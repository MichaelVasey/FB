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FB/Melatonin/"/>
    </mc:Choice>
  </mc:AlternateContent>
  <bookViews>
    <workbookView xWindow="0" yWindow="460" windowWidth="25600" windowHeight="15460" tabRatio="500" activeTab="3"/>
  </bookViews>
  <sheets>
    <sheet name="Adverse effects (%)" sheetId="5" r:id="rId1"/>
    <sheet name="Random-Controlled" sheetId="12" r:id="rId2"/>
    <sheet name="RC Efficacy" sheetId="13" r:id="rId3"/>
    <sheet name="Random-Controlled (MLT - PLB)" sheetId="11" r:id="rId4"/>
    <sheet name="Adverse effects (%) High - Low" sheetId="10" r:id="rId5"/>
    <sheet name="AE (%) Split (10%)" sheetId="9" r:id="rId6"/>
    <sheet name="AE+ Only" sheetId="7" r:id="rId7"/>
    <sheet name="Search" sheetId="1" r:id="rId8"/>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O68" i="11" l="1"/>
  <c r="CK68" i="11"/>
  <c r="CG68" i="11"/>
  <c r="CC68" i="11"/>
  <c r="BY68" i="11"/>
  <c r="BU68" i="11"/>
  <c r="BQ68" i="11"/>
  <c r="BM68" i="11"/>
  <c r="BI68" i="11"/>
  <c r="BE68" i="11"/>
  <c r="BA68" i="11"/>
  <c r="AW68" i="11"/>
  <c r="AS68" i="11"/>
  <c r="AO68" i="11"/>
  <c r="AK68" i="11"/>
  <c r="AG68" i="11"/>
  <c r="AC68" i="11"/>
  <c r="Y68" i="11"/>
  <c r="U68" i="11"/>
  <c r="Q68" i="11"/>
  <c r="M68" i="11"/>
  <c r="CN68" i="11"/>
  <c r="CJ68" i="11"/>
  <c r="CF68" i="11"/>
  <c r="CB68" i="11"/>
  <c r="BX68" i="11"/>
  <c r="BT68" i="11"/>
  <c r="BP68" i="11"/>
  <c r="BL68" i="11"/>
  <c r="BH68" i="11"/>
  <c r="BD68" i="11"/>
  <c r="AZ68" i="11"/>
  <c r="AV68" i="11"/>
  <c r="AR68" i="11"/>
  <c r="AN68" i="11"/>
  <c r="AJ68" i="11"/>
  <c r="AF68" i="11"/>
  <c r="AB68" i="11"/>
  <c r="X68" i="11"/>
  <c r="T68" i="11"/>
  <c r="P68" i="11"/>
  <c r="L68" i="11"/>
  <c r="CO67" i="11"/>
  <c r="CM68" i="11"/>
  <c r="CP68" i="11"/>
  <c r="CM67" i="11"/>
  <c r="CP67" i="11"/>
  <c r="CN67" i="11"/>
  <c r="CK67" i="11"/>
  <c r="CI68" i="11"/>
  <c r="CL68" i="11"/>
  <c r="CI67" i="11"/>
  <c r="CL67" i="11"/>
  <c r="CJ67" i="11"/>
  <c r="CG67" i="11"/>
  <c r="CE68" i="11"/>
  <c r="CH68" i="11"/>
  <c r="CE67" i="11"/>
  <c r="CH67" i="11"/>
  <c r="CF67" i="11"/>
  <c r="CC67" i="11"/>
  <c r="CA68" i="11"/>
  <c r="CD68" i="11"/>
  <c r="CA67" i="11"/>
  <c r="CD67" i="11"/>
  <c r="CB67" i="11"/>
  <c r="BY67" i="11"/>
  <c r="BW68" i="11"/>
  <c r="BZ68" i="11"/>
  <c r="BW67" i="11"/>
  <c r="BZ67" i="11"/>
  <c r="BX67" i="11"/>
  <c r="BU67" i="11"/>
  <c r="BS68" i="11"/>
  <c r="BV68" i="11"/>
  <c r="BS67" i="11"/>
  <c r="BV67" i="11"/>
  <c r="BT67" i="11"/>
  <c r="BQ67" i="11"/>
  <c r="BO68" i="11"/>
  <c r="BR68" i="11"/>
  <c r="BO67" i="11"/>
  <c r="BR67" i="11"/>
  <c r="BP67" i="11"/>
  <c r="BM67" i="11"/>
  <c r="BK68" i="11"/>
  <c r="BN68" i="11"/>
  <c r="BK67" i="11"/>
  <c r="BN67" i="11"/>
  <c r="BL67" i="11"/>
  <c r="BI67" i="11"/>
  <c r="BG68" i="11"/>
  <c r="BJ68" i="11"/>
  <c r="BG67" i="11"/>
  <c r="BJ67" i="11"/>
  <c r="BH67" i="11"/>
  <c r="BE67" i="11"/>
  <c r="BC68" i="11"/>
  <c r="BF68" i="11"/>
  <c r="BC67" i="11"/>
  <c r="BF67" i="11"/>
  <c r="BD67" i="11"/>
  <c r="BA67" i="11"/>
  <c r="AY68" i="11"/>
  <c r="BB68" i="11"/>
  <c r="AY67" i="11"/>
  <c r="BB67" i="11"/>
  <c r="AZ67" i="11"/>
  <c r="Y67" i="11"/>
  <c r="W68" i="11"/>
  <c r="Z68" i="11"/>
  <c r="W67" i="11"/>
  <c r="Z67" i="11"/>
  <c r="X67" i="11"/>
  <c r="AC67" i="11"/>
  <c r="AA68" i="11"/>
  <c r="AD68" i="11"/>
  <c r="AA67" i="11"/>
  <c r="AD67" i="11"/>
  <c r="AB67" i="11"/>
  <c r="AG67" i="11"/>
  <c r="AE68" i="11"/>
  <c r="AH68" i="11"/>
  <c r="AE67" i="11"/>
  <c r="AH67" i="11"/>
  <c r="AF67" i="11"/>
  <c r="AK67" i="11"/>
  <c r="AI68" i="11"/>
  <c r="AL68" i="11"/>
  <c r="AI67" i="11"/>
  <c r="AL67" i="11"/>
  <c r="AJ67" i="11"/>
  <c r="AO67" i="11"/>
  <c r="AM68" i="11"/>
  <c r="AP68" i="11"/>
  <c r="AM67" i="11"/>
  <c r="AP67" i="11"/>
  <c r="AN67" i="11"/>
  <c r="AS67" i="11"/>
  <c r="AQ68" i="11"/>
  <c r="AT68" i="11"/>
  <c r="AQ67" i="11"/>
  <c r="AT67" i="11"/>
  <c r="AR67" i="11"/>
  <c r="AW67" i="11"/>
  <c r="AU68" i="11"/>
  <c r="AX68" i="11"/>
  <c r="AU67" i="11"/>
  <c r="AX67" i="11"/>
  <c r="AV67" i="11"/>
  <c r="U67" i="11"/>
  <c r="S68" i="11"/>
  <c r="V68" i="11"/>
  <c r="S67" i="11"/>
  <c r="V67" i="11"/>
  <c r="T67" i="11"/>
  <c r="Q67" i="11"/>
  <c r="O68" i="11"/>
  <c r="R68" i="11"/>
  <c r="O67" i="11"/>
  <c r="R67" i="11"/>
  <c r="P67" i="11"/>
  <c r="H68" i="13"/>
  <c r="AP11" i="11"/>
  <c r="AP12" i="11"/>
  <c r="AP13" i="11"/>
  <c r="AP14" i="11"/>
  <c r="AP15" i="11"/>
  <c r="AP16" i="11"/>
  <c r="AP17" i="11"/>
  <c r="AP18" i="11"/>
  <c r="AP19" i="11"/>
  <c r="AP20"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8" i="11"/>
  <c r="AP59" i="11"/>
  <c r="AP60" i="11"/>
  <c r="AP61" i="11"/>
  <c r="AP62" i="11"/>
  <c r="AP63" i="11"/>
  <c r="AP64" i="11"/>
  <c r="N11" i="11"/>
  <c r="N12" i="11"/>
  <c r="N13" i="11"/>
  <c r="N14" i="11"/>
  <c r="N15" i="11"/>
  <c r="N16" i="11"/>
  <c r="N17" i="11"/>
  <c r="N18" i="11"/>
  <c r="N19" i="11"/>
  <c r="N20"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8" i="11"/>
  <c r="N59" i="11"/>
  <c r="N60" i="11"/>
  <c r="N61" i="11"/>
  <c r="N62" i="11"/>
  <c r="N63" i="11"/>
  <c r="N64" i="11"/>
  <c r="M67" i="11"/>
  <c r="K68" i="11"/>
  <c r="N68" i="11"/>
  <c r="R11" i="11"/>
  <c r="R12" i="11"/>
  <c r="R13" i="11"/>
  <c r="R14" i="11"/>
  <c r="R15" i="11"/>
  <c r="R16" i="11"/>
  <c r="R17" i="11"/>
  <c r="R18" i="11"/>
  <c r="R19" i="11"/>
  <c r="R20"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8" i="11"/>
  <c r="R59" i="11"/>
  <c r="R60" i="11"/>
  <c r="R61" i="11"/>
  <c r="R62" i="11"/>
  <c r="R63" i="11"/>
  <c r="R64" i="11"/>
  <c r="V11" i="11"/>
  <c r="V12" i="11"/>
  <c r="V13" i="11"/>
  <c r="V14" i="11"/>
  <c r="V15" i="11"/>
  <c r="V16" i="11"/>
  <c r="V17" i="11"/>
  <c r="V18" i="11"/>
  <c r="V19" i="11"/>
  <c r="V20" i="11"/>
  <c r="V22" i="11"/>
  <c r="V23" i="11"/>
  <c r="V24" i="11"/>
  <c r="V25" i="11"/>
  <c r="V26" i="11"/>
  <c r="V27" i="11"/>
  <c r="V28" i="11"/>
  <c r="V29" i="11"/>
  <c r="V30" i="11"/>
  <c r="V31" i="11"/>
  <c r="V32" i="11"/>
  <c r="V33" i="11"/>
  <c r="V34" i="11"/>
  <c r="V35" i="11"/>
  <c r="V36" i="11"/>
  <c r="V37" i="11"/>
  <c r="V38" i="11"/>
  <c r="V39" i="11"/>
  <c r="V40" i="11"/>
  <c r="V41" i="11"/>
  <c r="V42" i="11"/>
  <c r="V43" i="11"/>
  <c r="V44" i="11"/>
  <c r="V46" i="11"/>
  <c r="V47" i="11"/>
  <c r="V48" i="11"/>
  <c r="V49" i="11"/>
  <c r="V50" i="11"/>
  <c r="V51" i="11"/>
  <c r="V52" i="11"/>
  <c r="V53" i="11"/>
  <c r="V54" i="11"/>
  <c r="V55" i="11"/>
  <c r="V56" i="11"/>
  <c r="V58" i="11"/>
  <c r="V59" i="11"/>
  <c r="V60" i="11"/>
  <c r="V61" i="11"/>
  <c r="V62" i="11"/>
  <c r="V63" i="11"/>
  <c r="V64" i="11"/>
  <c r="Z11" i="11"/>
  <c r="Z12" i="11"/>
  <c r="Z13" i="11"/>
  <c r="Z14" i="11"/>
  <c r="Z15" i="11"/>
  <c r="Z16" i="11"/>
  <c r="Z17" i="11"/>
  <c r="Z18" i="11"/>
  <c r="Z19" i="11"/>
  <c r="Z20"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8" i="11"/>
  <c r="Z59" i="11"/>
  <c r="Z60" i="11"/>
  <c r="Z61" i="11"/>
  <c r="Z62" i="11"/>
  <c r="Z63" i="11"/>
  <c r="Z64" i="11"/>
  <c r="AD11" i="11"/>
  <c r="AD12" i="11"/>
  <c r="AD13"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6" i="11"/>
  <c r="AD58" i="11"/>
  <c r="AD59" i="11"/>
  <c r="AD60" i="11"/>
  <c r="AD61" i="11"/>
  <c r="AD62" i="11"/>
  <c r="AD63" i="11"/>
  <c r="AD64" i="11"/>
  <c r="AH11" i="11"/>
  <c r="AH12" i="11"/>
  <c r="AH13"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6" i="11"/>
  <c r="AH58" i="11"/>
  <c r="AH59" i="11"/>
  <c r="AH60" i="11"/>
  <c r="AH61" i="11"/>
  <c r="AH62" i="11"/>
  <c r="AH63" i="11"/>
  <c r="AH64" i="11"/>
  <c r="AL11" i="11"/>
  <c r="AL12" i="11"/>
  <c r="AL13"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8" i="11"/>
  <c r="AL59" i="11"/>
  <c r="AL60" i="11"/>
  <c r="AL61" i="11"/>
  <c r="AL62" i="11"/>
  <c r="AL63" i="11"/>
  <c r="AL64" i="11"/>
  <c r="AT11" i="11"/>
  <c r="AT12" i="11"/>
  <c r="AT13"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8" i="11"/>
  <c r="AT59" i="11"/>
  <c r="AT60" i="11"/>
  <c r="AT61" i="11"/>
  <c r="AT62" i="11"/>
  <c r="AT63" i="11"/>
  <c r="AT64" i="11"/>
  <c r="AX11" i="11"/>
  <c r="AX12" i="11"/>
  <c r="AX13"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8" i="11"/>
  <c r="AX59" i="11"/>
  <c r="AX60" i="11"/>
  <c r="AX61" i="11"/>
  <c r="AX62" i="11"/>
  <c r="AX63" i="11"/>
  <c r="AX64"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8" i="11"/>
  <c r="BB59" i="11"/>
  <c r="BB60" i="11"/>
  <c r="BB61" i="11"/>
  <c r="BB62" i="11"/>
  <c r="BB63" i="11"/>
  <c r="BB64" i="11"/>
  <c r="BF11" i="11"/>
  <c r="BF12" i="11"/>
  <c r="BF13"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6" i="11"/>
  <c r="BF58" i="11"/>
  <c r="BF59" i="11"/>
  <c r="BF60" i="11"/>
  <c r="BF61" i="11"/>
  <c r="BF62" i="11"/>
  <c r="BF63" i="11"/>
  <c r="BF64" i="11"/>
  <c r="BJ11" i="11"/>
  <c r="BJ12" i="11"/>
  <c r="BJ13"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8" i="11"/>
  <c r="BJ59" i="11"/>
  <c r="BJ60" i="11"/>
  <c r="BJ61" i="11"/>
  <c r="BJ62" i="11"/>
  <c r="BJ63" i="11"/>
  <c r="BJ64" i="11"/>
  <c r="BN11" i="11"/>
  <c r="BN12" i="11"/>
  <c r="BN13"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8" i="11"/>
  <c r="BN59" i="11"/>
  <c r="BN60" i="11"/>
  <c r="BN61" i="11"/>
  <c r="BN62" i="11"/>
  <c r="BN63" i="11"/>
  <c r="BN64" i="11"/>
  <c r="BR11" i="11"/>
  <c r="BR12" i="11"/>
  <c r="BR13"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8" i="11"/>
  <c r="BR59" i="11"/>
  <c r="BR60" i="11"/>
  <c r="BR61" i="11"/>
  <c r="BR62" i="11"/>
  <c r="BR63" i="11"/>
  <c r="BR64" i="11"/>
  <c r="CP11" i="11"/>
  <c r="CP12" i="11"/>
  <c r="CP13"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6" i="11"/>
  <c r="CP58" i="11"/>
  <c r="CP59" i="11"/>
  <c r="CP60" i="11"/>
  <c r="CP61" i="11"/>
  <c r="CP62" i="11"/>
  <c r="CP63" i="11"/>
  <c r="CP64" i="11"/>
  <c r="CL11" i="11"/>
  <c r="CL12" i="11"/>
  <c r="CL13"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6" i="11"/>
  <c r="CL58" i="11"/>
  <c r="CL59" i="11"/>
  <c r="CL60" i="11"/>
  <c r="CL61" i="11"/>
  <c r="CL62" i="11"/>
  <c r="CL63" i="11"/>
  <c r="CL64" i="11"/>
  <c r="CH11" i="11"/>
  <c r="CH12" i="11"/>
  <c r="CH13"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6" i="11"/>
  <c r="CH58" i="11"/>
  <c r="CH59" i="11"/>
  <c r="CH60" i="11"/>
  <c r="CH61" i="11"/>
  <c r="CH62" i="11"/>
  <c r="CH63" i="11"/>
  <c r="CH64" i="11"/>
  <c r="CD11" i="11"/>
  <c r="CD12" i="11"/>
  <c r="CD13"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6" i="11"/>
  <c r="CD58" i="11"/>
  <c r="CD59" i="11"/>
  <c r="CD60" i="11"/>
  <c r="CD61" i="11"/>
  <c r="CD62" i="11"/>
  <c r="CD63" i="11"/>
  <c r="CD64" i="11"/>
  <c r="BZ11" i="11"/>
  <c r="BZ12" i="11"/>
  <c r="BZ13"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6" i="11"/>
  <c r="BZ58" i="11"/>
  <c r="BZ59" i="11"/>
  <c r="BZ60" i="11"/>
  <c r="BZ61" i="11"/>
  <c r="BZ62" i="11"/>
  <c r="BZ63" i="11"/>
  <c r="BZ64" i="11"/>
  <c r="BV11" i="11"/>
  <c r="BV12" i="11"/>
  <c r="BV13"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8" i="11"/>
  <c r="BV59" i="11"/>
  <c r="BV60" i="11"/>
  <c r="BV61" i="11"/>
  <c r="BV62" i="11"/>
  <c r="BV63" i="11"/>
  <c r="BV64" i="11"/>
  <c r="H67" i="11"/>
  <c r="N67" i="11"/>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5" i="9"/>
  <c r="X86" i="9"/>
  <c r="X87" i="9"/>
  <c r="X88" i="9"/>
  <c r="X89" i="9"/>
  <c r="X90" i="9"/>
  <c r="X91" i="9"/>
  <c r="X92" i="9"/>
  <c r="X93" i="9"/>
  <c r="X94" i="9"/>
  <c r="X95" i="9"/>
  <c r="W98" i="9"/>
  <c r="H98" i="9"/>
  <c r="X98" i="9"/>
  <c r="W99" i="9"/>
  <c r="X99" i="9"/>
  <c r="AZ114" i="5"/>
  <c r="AX114" i="5"/>
  <c r="AV114" i="5"/>
  <c r="AT114" i="5"/>
  <c r="AR114" i="5"/>
  <c r="AP114" i="5"/>
  <c r="AN114" i="5"/>
  <c r="AL114" i="5"/>
  <c r="AJ114" i="5"/>
  <c r="AH114" i="5"/>
  <c r="AF114" i="5"/>
  <c r="AD114" i="5"/>
  <c r="AB114" i="5"/>
  <c r="Z114" i="5"/>
  <c r="X114" i="5"/>
  <c r="V114" i="5"/>
  <c r="T114" i="5"/>
  <c r="R114" i="5"/>
  <c r="P114" i="5"/>
  <c r="N114" i="5"/>
  <c r="L114" i="5"/>
  <c r="AZ113" i="5"/>
  <c r="AX113" i="5"/>
  <c r="AV113" i="5"/>
  <c r="AT113" i="5"/>
  <c r="AR113" i="5"/>
  <c r="AP113" i="5"/>
  <c r="AN113" i="5"/>
  <c r="AL113" i="5"/>
  <c r="AJ113" i="5"/>
  <c r="AH113" i="5"/>
  <c r="AF113" i="5"/>
  <c r="AD113" i="5"/>
  <c r="AB113" i="5"/>
  <c r="Z113" i="5"/>
  <c r="X113" i="5"/>
  <c r="V113" i="5"/>
  <c r="T113" i="5"/>
  <c r="R113" i="5"/>
  <c r="P113" i="5"/>
  <c r="N113" i="5"/>
  <c r="L113" i="5"/>
  <c r="AZ111" i="5"/>
  <c r="AX111" i="5"/>
  <c r="AV111" i="5"/>
  <c r="AT111" i="5"/>
  <c r="AR111" i="5"/>
  <c r="AP111" i="5"/>
  <c r="AN111" i="5"/>
  <c r="AL111" i="5"/>
  <c r="AJ111" i="5"/>
  <c r="AH111" i="5"/>
  <c r="AF111" i="5"/>
  <c r="AD111" i="5"/>
  <c r="AB111" i="5"/>
  <c r="Z111" i="5"/>
  <c r="X111" i="5"/>
  <c r="V111" i="5"/>
  <c r="T111" i="5"/>
  <c r="R111" i="5"/>
  <c r="P111" i="5"/>
  <c r="N111" i="5"/>
  <c r="L111"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N106" i="5"/>
  <c r="AL106" i="5"/>
  <c r="AJ106" i="5"/>
  <c r="AH106" i="5"/>
  <c r="AF106" i="5"/>
  <c r="AD106" i="5"/>
  <c r="AB106" i="5"/>
  <c r="Z106" i="5"/>
  <c r="X106" i="5"/>
  <c r="V106" i="5"/>
  <c r="T106" i="5"/>
  <c r="R106" i="5"/>
  <c r="P106" i="5"/>
  <c r="N106" i="5"/>
  <c r="L106" i="5"/>
  <c r="AZ105" i="5"/>
  <c r="AX105" i="5"/>
  <c r="AV105" i="5"/>
  <c r="AT105" i="5"/>
  <c r="AR105" i="5"/>
  <c r="AP105" i="5"/>
  <c r="AN105" i="5"/>
  <c r="AL105" i="5"/>
  <c r="AJ105" i="5"/>
  <c r="AH105" i="5"/>
  <c r="AF105" i="5"/>
  <c r="AD105" i="5"/>
  <c r="AB105" i="5"/>
  <c r="Z105" i="5"/>
  <c r="X105" i="5"/>
  <c r="V105" i="5"/>
  <c r="T105" i="5"/>
  <c r="R105" i="5"/>
  <c r="P105" i="5"/>
  <c r="N105" i="5"/>
  <c r="L105" i="5"/>
  <c r="AZ103" i="5"/>
  <c r="AX103" i="5"/>
  <c r="AV103" i="5"/>
  <c r="AT103" i="5"/>
  <c r="AR103" i="5"/>
  <c r="AP103" i="5"/>
  <c r="AN103" i="5"/>
  <c r="AL103" i="5"/>
  <c r="AJ103" i="5"/>
  <c r="AH103" i="5"/>
  <c r="AF103" i="5"/>
  <c r="AD103" i="5"/>
  <c r="AB103" i="5"/>
  <c r="Z103" i="5"/>
  <c r="X103" i="5"/>
  <c r="V103" i="5"/>
  <c r="T103" i="5"/>
  <c r="R103" i="5"/>
  <c r="P103" i="5"/>
  <c r="N103" i="5"/>
  <c r="L103" i="5"/>
  <c r="AZ101" i="5"/>
  <c r="AX101" i="5"/>
  <c r="AV101" i="5"/>
  <c r="AT101" i="5"/>
  <c r="AR101" i="5"/>
  <c r="AP101" i="5"/>
  <c r="AN101" i="5"/>
  <c r="AL101" i="5"/>
  <c r="AJ101" i="5"/>
  <c r="AH101" i="5"/>
  <c r="AF101" i="5"/>
  <c r="AD101" i="5"/>
  <c r="AB101" i="5"/>
  <c r="Z101" i="5"/>
  <c r="X101" i="5"/>
  <c r="V101" i="5"/>
  <c r="T101" i="5"/>
  <c r="R101" i="5"/>
  <c r="P101" i="5"/>
  <c r="N101" i="5"/>
  <c r="L101" i="5"/>
  <c r="AZ98" i="5"/>
  <c r="AX98" i="5"/>
  <c r="AV98" i="5"/>
  <c r="AT98" i="5"/>
  <c r="AR98" i="5"/>
  <c r="AP98" i="5"/>
  <c r="AN98" i="5"/>
  <c r="AL98" i="5"/>
  <c r="AJ98" i="5"/>
  <c r="AH98" i="5"/>
  <c r="AF98" i="5"/>
  <c r="AD98" i="5"/>
  <c r="AB98" i="5"/>
  <c r="Z98" i="5"/>
  <c r="X98" i="5"/>
  <c r="V98" i="5"/>
  <c r="T98" i="5"/>
  <c r="R98" i="5"/>
  <c r="P98" i="5"/>
  <c r="N98" i="5"/>
  <c r="L98" i="5"/>
  <c r="AZ95" i="5"/>
  <c r="AX95" i="5"/>
  <c r="AV95" i="5"/>
  <c r="AT95" i="5"/>
  <c r="AR95" i="5"/>
  <c r="AP95" i="5"/>
  <c r="AN95" i="5"/>
  <c r="AL95" i="5"/>
  <c r="AJ95" i="5"/>
  <c r="AH95" i="5"/>
  <c r="AF95" i="5"/>
  <c r="AD95" i="5"/>
  <c r="AB95" i="5"/>
  <c r="Z95" i="5"/>
  <c r="X95" i="5"/>
  <c r="V95" i="5"/>
  <c r="T95" i="5"/>
  <c r="R95" i="5"/>
  <c r="P95" i="5"/>
  <c r="N95" i="5"/>
  <c r="L95" i="5"/>
  <c r="AZ94" i="5"/>
  <c r="AX94" i="5"/>
  <c r="AV94" i="5"/>
  <c r="AT94" i="5"/>
  <c r="AR94" i="5"/>
  <c r="AP94" i="5"/>
  <c r="AN94" i="5"/>
  <c r="AL94" i="5"/>
  <c r="AJ94" i="5"/>
  <c r="AH94" i="5"/>
  <c r="AF94" i="5"/>
  <c r="AD94" i="5"/>
  <c r="AB94" i="5"/>
  <c r="Z94" i="5"/>
  <c r="X94" i="5"/>
  <c r="V94" i="5"/>
  <c r="T94" i="5"/>
  <c r="R94" i="5"/>
  <c r="P94" i="5"/>
  <c r="N94" i="5"/>
  <c r="L94" i="5"/>
  <c r="AZ93" i="5"/>
  <c r="AX93" i="5"/>
  <c r="AV93" i="5"/>
  <c r="AT93" i="5"/>
  <c r="AR93" i="5"/>
  <c r="AP93" i="5"/>
  <c r="AN93" i="5"/>
  <c r="AL93" i="5"/>
  <c r="AJ93" i="5"/>
  <c r="AH93" i="5"/>
  <c r="AF93" i="5"/>
  <c r="AD93" i="5"/>
  <c r="AB93" i="5"/>
  <c r="Z93" i="5"/>
  <c r="X93" i="5"/>
  <c r="V93" i="5"/>
  <c r="T93" i="5"/>
  <c r="R93" i="5"/>
  <c r="P93" i="5"/>
  <c r="N93" i="5"/>
  <c r="L93" i="5"/>
  <c r="AZ91" i="5"/>
  <c r="AX91" i="5"/>
  <c r="AV91" i="5"/>
  <c r="AT91" i="5"/>
  <c r="AR91" i="5"/>
  <c r="AP91" i="5"/>
  <c r="AN91" i="5"/>
  <c r="AL91" i="5"/>
  <c r="AJ91" i="5"/>
  <c r="AH91" i="5"/>
  <c r="AF91" i="5"/>
  <c r="AD91" i="5"/>
  <c r="AB91" i="5"/>
  <c r="Z91" i="5"/>
  <c r="X91" i="5"/>
  <c r="V91" i="5"/>
  <c r="T91" i="5"/>
  <c r="R91" i="5"/>
  <c r="P91" i="5"/>
  <c r="N91" i="5"/>
  <c r="L91" i="5"/>
  <c r="AZ87" i="5"/>
  <c r="AX87" i="5"/>
  <c r="AV87" i="5"/>
  <c r="AT87" i="5"/>
  <c r="AR87" i="5"/>
  <c r="AP87" i="5"/>
  <c r="AN87" i="5"/>
  <c r="AL87" i="5"/>
  <c r="AJ87" i="5"/>
  <c r="AH87" i="5"/>
  <c r="AF87" i="5"/>
  <c r="AD87" i="5"/>
  <c r="AB87" i="5"/>
  <c r="Z87" i="5"/>
  <c r="X87" i="5"/>
  <c r="V87" i="5"/>
  <c r="T87" i="5"/>
  <c r="R87" i="5"/>
  <c r="P87" i="5"/>
  <c r="N87" i="5"/>
  <c r="L87" i="5"/>
  <c r="AZ86" i="5"/>
  <c r="AX86" i="5"/>
  <c r="AV86" i="5"/>
  <c r="AT86" i="5"/>
  <c r="AR86" i="5"/>
  <c r="AP86" i="5"/>
  <c r="AN86" i="5"/>
  <c r="AL86" i="5"/>
  <c r="AJ86" i="5"/>
  <c r="AH86" i="5"/>
  <c r="AF86" i="5"/>
  <c r="AD86" i="5"/>
  <c r="AB86" i="5"/>
  <c r="Z86" i="5"/>
  <c r="X86" i="5"/>
  <c r="V86" i="5"/>
  <c r="T86" i="5"/>
  <c r="R86" i="5"/>
  <c r="P86" i="5"/>
  <c r="N86" i="5"/>
  <c r="L86" i="5"/>
  <c r="AZ85" i="5"/>
  <c r="AX85" i="5"/>
  <c r="AV85" i="5"/>
  <c r="AT85" i="5"/>
  <c r="AR85" i="5"/>
  <c r="AP85" i="5"/>
  <c r="AN85" i="5"/>
  <c r="AL85" i="5"/>
  <c r="AJ85" i="5"/>
  <c r="AH85" i="5"/>
  <c r="AF85" i="5"/>
  <c r="AD85" i="5"/>
  <c r="AB85" i="5"/>
  <c r="Z85" i="5"/>
  <c r="X85" i="5"/>
  <c r="V85" i="5"/>
  <c r="T85" i="5"/>
  <c r="R85" i="5"/>
  <c r="P85" i="5"/>
  <c r="N85" i="5"/>
  <c r="L85" i="5"/>
  <c r="AZ83" i="5"/>
  <c r="AX83" i="5"/>
  <c r="AV83" i="5"/>
  <c r="AT83" i="5"/>
  <c r="AR83" i="5"/>
  <c r="AP83" i="5"/>
  <c r="AN83" i="5"/>
  <c r="AL83" i="5"/>
  <c r="AJ83" i="5"/>
  <c r="AH83" i="5"/>
  <c r="AF83" i="5"/>
  <c r="AD83" i="5"/>
  <c r="AB83" i="5"/>
  <c r="Z83" i="5"/>
  <c r="X83" i="5"/>
  <c r="V83" i="5"/>
  <c r="T83" i="5"/>
  <c r="R83" i="5"/>
  <c r="P83" i="5"/>
  <c r="N83" i="5"/>
  <c r="L83" i="5"/>
  <c r="AZ82" i="5"/>
  <c r="AX82" i="5"/>
  <c r="AV82" i="5"/>
  <c r="AT82" i="5"/>
  <c r="AR82" i="5"/>
  <c r="AP82" i="5"/>
  <c r="AN82" i="5"/>
  <c r="AL82" i="5"/>
  <c r="AJ82" i="5"/>
  <c r="AH82" i="5"/>
  <c r="AF82" i="5"/>
  <c r="AD82" i="5"/>
  <c r="AB82" i="5"/>
  <c r="Z82" i="5"/>
  <c r="X82" i="5"/>
  <c r="V82" i="5"/>
  <c r="T82" i="5"/>
  <c r="R82" i="5"/>
  <c r="P82" i="5"/>
  <c r="N82" i="5"/>
  <c r="L82" i="5"/>
  <c r="AZ81" i="5"/>
  <c r="AV81" i="5"/>
  <c r="AT81" i="5"/>
  <c r="AR81" i="5"/>
  <c r="AP81" i="5"/>
  <c r="AN81" i="5"/>
  <c r="AL81" i="5"/>
  <c r="AJ81" i="5"/>
  <c r="AH81" i="5"/>
  <c r="AF81" i="5"/>
  <c r="AD81" i="5"/>
  <c r="AB81" i="5"/>
  <c r="Z81" i="5"/>
  <c r="X81" i="5"/>
  <c r="V81" i="5"/>
  <c r="T81" i="5"/>
  <c r="R81" i="5"/>
  <c r="P81" i="5"/>
  <c r="N81" i="5"/>
  <c r="L81" i="5"/>
  <c r="AZ79" i="5"/>
  <c r="AX79" i="5"/>
  <c r="AV79" i="5"/>
  <c r="AT79" i="5"/>
  <c r="AR79" i="5"/>
  <c r="AP79" i="5"/>
  <c r="AN79" i="5"/>
  <c r="AL79" i="5"/>
  <c r="AJ79" i="5"/>
  <c r="AH79" i="5"/>
  <c r="AF79" i="5"/>
  <c r="AD79" i="5"/>
  <c r="AB79" i="5"/>
  <c r="Z79" i="5"/>
  <c r="X79" i="5"/>
  <c r="V79" i="5"/>
  <c r="T79" i="5"/>
  <c r="R79" i="5"/>
  <c r="P79" i="5"/>
  <c r="N79" i="5"/>
  <c r="L79" i="5"/>
  <c r="AZ76" i="5"/>
  <c r="AX76" i="5"/>
  <c r="AV76" i="5"/>
  <c r="AT76" i="5"/>
  <c r="AR76" i="5"/>
  <c r="AP76" i="5"/>
  <c r="AN76" i="5"/>
  <c r="AL76" i="5"/>
  <c r="AJ76" i="5"/>
  <c r="AH76" i="5"/>
  <c r="AF76" i="5"/>
  <c r="AD76" i="5"/>
  <c r="AB76" i="5"/>
  <c r="Z76" i="5"/>
  <c r="X76" i="5"/>
  <c r="V76" i="5"/>
  <c r="T76" i="5"/>
  <c r="R76" i="5"/>
  <c r="P76" i="5"/>
  <c r="N76" i="5"/>
  <c r="L76" i="5"/>
  <c r="AZ71" i="5"/>
  <c r="AX71" i="5"/>
  <c r="AV71" i="5"/>
  <c r="AT71" i="5"/>
  <c r="AR71" i="5"/>
  <c r="AP71" i="5"/>
  <c r="AN71" i="5"/>
  <c r="AL71" i="5"/>
  <c r="AJ71" i="5"/>
  <c r="AH71" i="5"/>
  <c r="AF71" i="5"/>
  <c r="AD71" i="5"/>
  <c r="AB71" i="5"/>
  <c r="Z71" i="5"/>
  <c r="X71" i="5"/>
  <c r="V71" i="5"/>
  <c r="T71" i="5"/>
  <c r="R71" i="5"/>
  <c r="P71" i="5"/>
  <c r="N71" i="5"/>
  <c r="L71" i="5"/>
  <c r="AZ70" i="5"/>
  <c r="AX70" i="5"/>
  <c r="AV70" i="5"/>
  <c r="AT70" i="5"/>
  <c r="AR70" i="5"/>
  <c r="AP70" i="5"/>
  <c r="AN70" i="5"/>
  <c r="AL70" i="5"/>
  <c r="AJ70" i="5"/>
  <c r="AH70" i="5"/>
  <c r="AF70" i="5"/>
  <c r="AD70" i="5"/>
  <c r="AB70" i="5"/>
  <c r="Z70" i="5"/>
  <c r="X70" i="5"/>
  <c r="V70" i="5"/>
  <c r="T70" i="5"/>
  <c r="R70" i="5"/>
  <c r="P70" i="5"/>
  <c r="N70" i="5"/>
  <c r="L70" i="5"/>
  <c r="AZ69" i="5"/>
  <c r="AX69" i="5"/>
  <c r="AV69" i="5"/>
  <c r="AT69" i="5"/>
  <c r="AR69" i="5"/>
  <c r="AP69" i="5"/>
  <c r="AN69" i="5"/>
  <c r="AL69" i="5"/>
  <c r="AJ69" i="5"/>
  <c r="AH69" i="5"/>
  <c r="AF69" i="5"/>
  <c r="AD69" i="5"/>
  <c r="AB69" i="5"/>
  <c r="Z69" i="5"/>
  <c r="X69" i="5"/>
  <c r="V69" i="5"/>
  <c r="T69" i="5"/>
  <c r="R69" i="5"/>
  <c r="P69" i="5"/>
  <c r="N69" i="5"/>
  <c r="L69" i="5"/>
  <c r="AZ68" i="5"/>
  <c r="AX68" i="5"/>
  <c r="AV68" i="5"/>
  <c r="AT68" i="5"/>
  <c r="AR68" i="5"/>
  <c r="AP68" i="5"/>
  <c r="AN68" i="5"/>
  <c r="AL68" i="5"/>
  <c r="AJ68" i="5"/>
  <c r="AH68" i="5"/>
  <c r="AF68" i="5"/>
  <c r="AD68" i="5"/>
  <c r="AB68" i="5"/>
  <c r="Z68" i="5"/>
  <c r="X68" i="5"/>
  <c r="V68" i="5"/>
  <c r="T68" i="5"/>
  <c r="R68" i="5"/>
  <c r="P68" i="5"/>
  <c r="N68" i="5"/>
  <c r="L68"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5" i="5"/>
  <c r="AX45" i="5"/>
  <c r="AV45" i="5"/>
  <c r="AT45" i="5"/>
  <c r="AR45" i="5"/>
  <c r="AP45" i="5"/>
  <c r="AN45" i="5"/>
  <c r="AL45" i="5"/>
  <c r="AJ45" i="5"/>
  <c r="AH45" i="5"/>
  <c r="AF45" i="5"/>
  <c r="AD45" i="5"/>
  <c r="AB45" i="5"/>
  <c r="Z45" i="5"/>
  <c r="X45" i="5"/>
  <c r="V45" i="5"/>
  <c r="T45" i="5"/>
  <c r="R45" i="5"/>
  <c r="P45" i="5"/>
  <c r="N45" i="5"/>
  <c r="L45" i="5"/>
  <c r="AZ42" i="5"/>
  <c r="AX42" i="5"/>
  <c r="AV42" i="5"/>
  <c r="AT42" i="5"/>
  <c r="AR42" i="5"/>
  <c r="AP42" i="5"/>
  <c r="AN42" i="5"/>
  <c r="AL42" i="5"/>
  <c r="AJ42" i="5"/>
  <c r="AH42" i="5"/>
  <c r="AF42" i="5"/>
  <c r="AD42" i="5"/>
  <c r="AB42" i="5"/>
  <c r="Z42" i="5"/>
  <c r="X42" i="5"/>
  <c r="V42" i="5"/>
  <c r="T42" i="5"/>
  <c r="R42" i="5"/>
  <c r="P42" i="5"/>
  <c r="N42" i="5"/>
  <c r="L42" i="5"/>
  <c r="AZ41" i="5"/>
  <c r="AX41" i="5"/>
  <c r="AV41" i="5"/>
  <c r="AT41" i="5"/>
  <c r="AR41" i="5"/>
  <c r="AP41" i="5"/>
  <c r="AN41" i="5"/>
  <c r="AL41" i="5"/>
  <c r="AJ41" i="5"/>
  <c r="AH41" i="5"/>
  <c r="AF41" i="5"/>
  <c r="AD41" i="5"/>
  <c r="AB41" i="5"/>
  <c r="Z41" i="5"/>
  <c r="X41" i="5"/>
  <c r="V41" i="5"/>
  <c r="T41" i="5"/>
  <c r="R41" i="5"/>
  <c r="P41" i="5"/>
  <c r="N41" i="5"/>
  <c r="L41"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22" i="5"/>
  <c r="AX22" i="5"/>
  <c r="AV22" i="5"/>
  <c r="AT22" i="5"/>
  <c r="AR22" i="5"/>
  <c r="AP22" i="5"/>
  <c r="AN22" i="5"/>
  <c r="AL22" i="5"/>
  <c r="AJ22" i="5"/>
  <c r="AH22" i="5"/>
  <c r="AF22" i="5"/>
  <c r="AD22" i="5"/>
  <c r="AB22" i="5"/>
  <c r="Z22" i="5"/>
  <c r="X22" i="5"/>
  <c r="V22" i="5"/>
  <c r="T22" i="5"/>
  <c r="R22" i="5"/>
  <c r="P22" i="5"/>
  <c r="N22" i="5"/>
  <c r="L22" i="5"/>
  <c r="AZ19" i="5"/>
  <c r="AX19" i="5"/>
  <c r="AV19" i="5"/>
  <c r="AT19" i="5"/>
  <c r="AR19" i="5"/>
  <c r="AP19" i="5"/>
  <c r="AN19" i="5"/>
  <c r="AL19" i="5"/>
  <c r="AJ19" i="5"/>
  <c r="AH19" i="5"/>
  <c r="AF19" i="5"/>
  <c r="AD19" i="5"/>
  <c r="AB19" i="5"/>
  <c r="Z19" i="5"/>
  <c r="X19" i="5"/>
  <c r="V19" i="5"/>
  <c r="T19" i="5"/>
  <c r="R19" i="5"/>
  <c r="P19" i="5"/>
  <c r="N19" i="5"/>
  <c r="L19" i="5"/>
  <c r="AZ18" i="5"/>
  <c r="AX18" i="5"/>
  <c r="AV18" i="5"/>
  <c r="AT18" i="5"/>
  <c r="AR18" i="5"/>
  <c r="AP18" i="5"/>
  <c r="AN18" i="5"/>
  <c r="AL18" i="5"/>
  <c r="AJ18" i="5"/>
  <c r="AH18" i="5"/>
  <c r="AF18" i="5"/>
  <c r="AD18" i="5"/>
  <c r="AB18" i="5"/>
  <c r="Z18" i="5"/>
  <c r="X18" i="5"/>
  <c r="V18" i="5"/>
  <c r="T18" i="5"/>
  <c r="R18" i="5"/>
  <c r="P18" i="5"/>
  <c r="N18" i="5"/>
  <c r="L18" i="5"/>
  <c r="AZ14" i="5"/>
  <c r="AX14" i="5"/>
  <c r="AV14" i="5"/>
  <c r="AT14" i="5"/>
  <c r="AR14" i="5"/>
  <c r="AP14" i="5"/>
  <c r="AN14" i="5"/>
  <c r="AL14" i="5"/>
  <c r="AJ14" i="5"/>
  <c r="AH14" i="5"/>
  <c r="AF14" i="5"/>
  <c r="AD14" i="5"/>
  <c r="AB14" i="5"/>
  <c r="Z14" i="5"/>
  <c r="X14" i="5"/>
  <c r="V14" i="5"/>
  <c r="T14" i="5"/>
  <c r="R14" i="5"/>
  <c r="P14" i="5"/>
  <c r="N14" i="5"/>
  <c r="L14" i="5"/>
  <c r="AZ11" i="5"/>
  <c r="AX11" i="5"/>
  <c r="AV11" i="5"/>
  <c r="AT11" i="5"/>
  <c r="AR11" i="5"/>
  <c r="AP11" i="5"/>
  <c r="AN11" i="5"/>
  <c r="AL11" i="5"/>
  <c r="AJ11" i="5"/>
  <c r="AH11" i="5"/>
  <c r="AF11" i="5"/>
  <c r="AD11" i="5"/>
  <c r="AB11" i="5"/>
  <c r="Z11" i="5"/>
  <c r="X11" i="5"/>
  <c r="V11" i="5"/>
  <c r="T11" i="5"/>
  <c r="R11" i="5"/>
  <c r="P11" i="5"/>
  <c r="N11" i="5"/>
  <c r="L11" i="5"/>
  <c r="AZ43" i="7"/>
  <c r="AX43" i="7"/>
  <c r="AV43" i="7"/>
  <c r="AT43" i="7"/>
  <c r="AJ43" i="7"/>
  <c r="AF43" i="7"/>
  <c r="AN43" i="7"/>
  <c r="AP43" i="7"/>
  <c r="AL43" i="7"/>
  <c r="AH43" i="7"/>
  <c r="AR43" i="7"/>
  <c r="AD43" i="7"/>
  <c r="AB43" i="7"/>
  <c r="Z43" i="7"/>
  <c r="N43" i="7"/>
  <c r="X43" i="7"/>
  <c r="R43" i="7"/>
  <c r="P43" i="7"/>
  <c r="T43" i="7"/>
  <c r="L43" i="7"/>
  <c r="V43" i="7"/>
  <c r="AZ42" i="7"/>
  <c r="AX42" i="7"/>
  <c r="AV42" i="7"/>
  <c r="AT42" i="7"/>
  <c r="AJ42" i="7"/>
  <c r="AF42" i="7"/>
  <c r="AN42" i="7"/>
  <c r="AP42" i="7"/>
  <c r="AL42" i="7"/>
  <c r="AH42" i="7"/>
  <c r="AR42" i="7"/>
  <c r="AD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40" i="7"/>
  <c r="AX40" i="7"/>
  <c r="AV40" i="7"/>
  <c r="AT40" i="7"/>
  <c r="AJ40" i="7"/>
  <c r="AF40" i="7"/>
  <c r="AN40" i="7"/>
  <c r="AP40" i="7"/>
  <c r="AL40" i="7"/>
  <c r="AH40" i="7"/>
  <c r="AR40" i="7"/>
  <c r="AD40" i="7"/>
  <c r="AB40" i="7"/>
  <c r="Z40" i="7"/>
  <c r="N40" i="7"/>
  <c r="X40" i="7"/>
  <c r="R40" i="7"/>
  <c r="P40" i="7"/>
  <c r="T40" i="7"/>
  <c r="L40" i="7"/>
  <c r="V40"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7" i="7"/>
  <c r="AX27" i="7"/>
  <c r="AV27" i="7"/>
  <c r="AT27" i="7"/>
  <c r="AJ27" i="7"/>
  <c r="AF27" i="7"/>
  <c r="AN27" i="7"/>
  <c r="AP27" i="7"/>
  <c r="AL27" i="7"/>
  <c r="AH27" i="7"/>
  <c r="AR27" i="7"/>
  <c r="AD27" i="7"/>
  <c r="AB27" i="7"/>
  <c r="Z27" i="7"/>
  <c r="N27" i="7"/>
  <c r="X27" i="7"/>
  <c r="R27" i="7"/>
  <c r="P27" i="7"/>
  <c r="T27" i="7"/>
  <c r="L27" i="7"/>
  <c r="V27"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Z88" i="9"/>
  <c r="N88" i="9"/>
  <c r="V88" i="9"/>
  <c r="R88" i="9"/>
  <c r="P88" i="9"/>
  <c r="T88" i="9"/>
  <c r="L88" i="9"/>
  <c r="AD87" i="9"/>
  <c r="AB87" i="9"/>
  <c r="Z87" i="9"/>
  <c r="N87" i="9"/>
  <c r="V87" i="9"/>
  <c r="R87" i="9"/>
  <c r="P87" i="9"/>
  <c r="T87" i="9"/>
  <c r="L87" i="9"/>
  <c r="AD86" i="9"/>
  <c r="AB86" i="9"/>
  <c r="Z86" i="9"/>
  <c r="N86" i="9"/>
  <c r="V86" i="9"/>
  <c r="R86" i="9"/>
  <c r="P86" i="9"/>
  <c r="T86" i="9"/>
  <c r="L86" i="9"/>
  <c r="AD85" i="9"/>
  <c r="AB85" i="9"/>
  <c r="Z85" i="9"/>
  <c r="N85" i="9"/>
  <c r="V85" i="9"/>
  <c r="R85" i="9"/>
  <c r="P85" i="9"/>
  <c r="T85" i="9"/>
  <c r="L85" i="9"/>
  <c r="AD83" i="9"/>
  <c r="AB83" i="9"/>
  <c r="Z83" i="9"/>
  <c r="N83" i="9"/>
  <c r="V83" i="9"/>
  <c r="R83" i="9"/>
  <c r="P83" i="9"/>
  <c r="T83" i="9"/>
  <c r="L83"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4" i="10"/>
  <c r="AX114" i="10"/>
  <c r="AV114" i="10"/>
  <c r="AT114" i="10"/>
  <c r="AJ114" i="10"/>
  <c r="AF114" i="10"/>
  <c r="AN114" i="10"/>
  <c r="AP114" i="10"/>
  <c r="AL114" i="10"/>
  <c r="AH114" i="10"/>
  <c r="AR114" i="10"/>
  <c r="AD114" i="10"/>
  <c r="AB114" i="10"/>
  <c r="Z114" i="10"/>
  <c r="N114" i="10"/>
  <c r="V114" i="10"/>
  <c r="R114" i="10"/>
  <c r="P114" i="10"/>
  <c r="T114" i="10"/>
  <c r="L114" i="10"/>
  <c r="X114" i="10"/>
  <c r="AZ113" i="10"/>
  <c r="AX113" i="10"/>
  <c r="AV113" i="10"/>
  <c r="AT113" i="10"/>
  <c r="AJ113" i="10"/>
  <c r="AF113" i="10"/>
  <c r="AN113" i="10"/>
  <c r="AP113" i="10"/>
  <c r="AL113" i="10"/>
  <c r="AH113" i="10"/>
  <c r="AR113" i="10"/>
  <c r="AD113" i="10"/>
  <c r="AB113" i="10"/>
  <c r="Z113" i="10"/>
  <c r="N113" i="10"/>
  <c r="V113" i="10"/>
  <c r="R113" i="10"/>
  <c r="P113" i="10"/>
  <c r="T113" i="10"/>
  <c r="L113" i="10"/>
  <c r="X113" i="10"/>
  <c r="AZ111" i="10"/>
  <c r="AX111" i="10"/>
  <c r="AV111" i="10"/>
  <c r="AT111" i="10"/>
  <c r="AJ111" i="10"/>
  <c r="AF111" i="10"/>
  <c r="AN111" i="10"/>
  <c r="AP111" i="10"/>
  <c r="AL111" i="10"/>
  <c r="AH111" i="10"/>
  <c r="AR111" i="10"/>
  <c r="AD111" i="10"/>
  <c r="AB111" i="10"/>
  <c r="Z111" i="10"/>
  <c r="N111" i="10"/>
  <c r="V111" i="10"/>
  <c r="R111" i="10"/>
  <c r="P111" i="10"/>
  <c r="T111" i="10"/>
  <c r="L111" i="10"/>
  <c r="X111" i="10"/>
  <c r="AZ107" i="10"/>
  <c r="AX107" i="10"/>
  <c r="AV107" i="10"/>
  <c r="AT107" i="10"/>
  <c r="AJ107" i="10"/>
  <c r="AF107" i="10"/>
  <c r="AN107" i="10"/>
  <c r="AP107" i="10"/>
  <c r="AL107" i="10"/>
  <c r="AH107" i="10"/>
  <c r="AR107" i="10"/>
  <c r="AD107" i="10"/>
  <c r="AB107" i="10"/>
  <c r="Z107" i="10"/>
  <c r="N107" i="10"/>
  <c r="V107" i="10"/>
  <c r="R107" i="10"/>
  <c r="P107" i="10"/>
  <c r="T107" i="10"/>
  <c r="L107" i="10"/>
  <c r="X107" i="10"/>
  <c r="AZ106" i="10"/>
  <c r="AX106" i="10"/>
  <c r="AV106" i="10"/>
  <c r="AT106" i="10"/>
  <c r="AJ106" i="10"/>
  <c r="AF106" i="10"/>
  <c r="AN106" i="10"/>
  <c r="AP106" i="10"/>
  <c r="AL106" i="10"/>
  <c r="AH106" i="10"/>
  <c r="AR106" i="10"/>
  <c r="AD106" i="10"/>
  <c r="Z106" i="10"/>
  <c r="N106" i="10"/>
  <c r="V106" i="10"/>
  <c r="R106" i="10"/>
  <c r="P106" i="10"/>
  <c r="T106" i="10"/>
  <c r="L106" i="10"/>
  <c r="X106"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101" i="10"/>
  <c r="AX101" i="10"/>
  <c r="AV101" i="10"/>
  <c r="AT101" i="10"/>
  <c r="AJ101" i="10"/>
  <c r="AF101" i="10"/>
  <c r="AN101" i="10"/>
  <c r="AP101" i="10"/>
  <c r="AL101" i="10"/>
  <c r="AH101" i="10"/>
  <c r="AR101" i="10"/>
  <c r="AD101" i="10"/>
  <c r="AB101" i="10"/>
  <c r="Z101" i="10"/>
  <c r="N101" i="10"/>
  <c r="V101" i="10"/>
  <c r="R101" i="10"/>
  <c r="P101" i="10"/>
  <c r="T101" i="10"/>
  <c r="L101" i="10"/>
  <c r="X101" i="10"/>
  <c r="AZ98" i="10"/>
  <c r="AX98" i="10"/>
  <c r="AV98" i="10"/>
  <c r="AT98" i="10"/>
  <c r="AJ98" i="10"/>
  <c r="AF98" i="10"/>
  <c r="AN98" i="10"/>
  <c r="AP98" i="10"/>
  <c r="AL98" i="10"/>
  <c r="AH98" i="10"/>
  <c r="AR98" i="10"/>
  <c r="AD98" i="10"/>
  <c r="AB98" i="10"/>
  <c r="Z98" i="10"/>
  <c r="N98" i="10"/>
  <c r="V98" i="10"/>
  <c r="R98" i="10"/>
  <c r="P98" i="10"/>
  <c r="T98" i="10"/>
  <c r="L98" i="10"/>
  <c r="X98"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1" i="10"/>
  <c r="AX91" i="10"/>
  <c r="AV91" i="10"/>
  <c r="AT91" i="10"/>
  <c r="AJ91" i="10"/>
  <c r="AF91" i="10"/>
  <c r="AN91" i="10"/>
  <c r="AP91" i="10"/>
  <c r="AL91" i="10"/>
  <c r="AH91" i="10"/>
  <c r="AR91" i="10"/>
  <c r="AD91" i="10"/>
  <c r="AB91" i="10"/>
  <c r="Z91" i="10"/>
  <c r="N91" i="10"/>
  <c r="V91" i="10"/>
  <c r="R91" i="10"/>
  <c r="P91" i="10"/>
  <c r="T91" i="10"/>
  <c r="L91" i="10"/>
  <c r="X91"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R81" i="10"/>
  <c r="P81" i="10"/>
  <c r="T81" i="10"/>
  <c r="L81" i="10"/>
  <c r="X81" i="10"/>
  <c r="AZ79" i="10"/>
  <c r="AX79" i="10"/>
  <c r="AV79" i="10"/>
  <c r="AT79" i="10"/>
  <c r="AJ79" i="10"/>
  <c r="AF79" i="10"/>
  <c r="AN79" i="10"/>
  <c r="AP79" i="10"/>
  <c r="AL79" i="10"/>
  <c r="AH79" i="10"/>
  <c r="AR79" i="10"/>
  <c r="AD79" i="10"/>
  <c r="AB79" i="10"/>
  <c r="Z79" i="10"/>
  <c r="N79" i="10"/>
  <c r="V79" i="10"/>
  <c r="R79" i="10"/>
  <c r="P79" i="10"/>
  <c r="T79" i="10"/>
  <c r="L79" i="10"/>
  <c r="X79" i="10"/>
  <c r="AZ76" i="10"/>
  <c r="AX76" i="10"/>
  <c r="AV76" i="10"/>
  <c r="AT76" i="10"/>
  <c r="AJ76" i="10"/>
  <c r="AF76" i="10"/>
  <c r="AN76" i="10"/>
  <c r="AP76" i="10"/>
  <c r="AL76" i="10"/>
  <c r="AH76" i="10"/>
  <c r="AR76" i="10"/>
  <c r="AD76" i="10"/>
  <c r="AB76" i="10"/>
  <c r="Z76" i="10"/>
  <c r="N76" i="10"/>
  <c r="V76" i="10"/>
  <c r="R76" i="10"/>
  <c r="P76" i="10"/>
  <c r="T76" i="10"/>
  <c r="L76" i="10"/>
  <c r="X76"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6" i="12"/>
  <c r="AL58" i="12"/>
  <c r="AL59" i="12"/>
  <c r="AL60" i="12"/>
  <c r="AL61" i="12"/>
  <c r="AL62" i="12"/>
  <c r="AL63" i="12"/>
  <c r="AL64" i="12"/>
  <c r="AK67" i="12"/>
  <c r="H67" i="12"/>
  <c r="AL67" i="12"/>
  <c r="AK68" i="12"/>
  <c r="AL68" i="12"/>
  <c r="AQ67" i="12"/>
  <c r="AQ68" i="12"/>
  <c r="AR68" i="12"/>
  <c r="AY67" i="12"/>
  <c r="AY68" i="12"/>
  <c r="AZ68" i="12"/>
  <c r="AS67" i="12"/>
  <c r="AS68" i="12"/>
  <c r="AT68" i="12"/>
  <c r="AW67" i="12"/>
  <c r="AW68" i="12"/>
  <c r="AX68" i="12"/>
  <c r="AU67" i="12"/>
  <c r="AU68" i="12"/>
  <c r="AV68" i="12"/>
  <c r="AO67" i="12"/>
  <c r="AO68" i="12"/>
  <c r="AP68" i="12"/>
  <c r="AG67" i="12"/>
  <c r="AG68" i="12"/>
  <c r="AH68" i="12"/>
  <c r="AE67" i="12"/>
  <c r="AE68" i="12"/>
  <c r="AF68" i="12"/>
  <c r="AI67" i="12"/>
  <c r="AI68" i="12"/>
  <c r="AJ68" i="12"/>
  <c r="AA67" i="12"/>
  <c r="AA68" i="12"/>
  <c r="AB68" i="12"/>
  <c r="Y67" i="12"/>
  <c r="Y68" i="12"/>
  <c r="Z68" i="12"/>
  <c r="W67" i="12"/>
  <c r="W68" i="12"/>
  <c r="X68" i="12"/>
  <c r="AM67" i="12"/>
  <c r="AM68" i="12"/>
  <c r="AN68" i="12"/>
  <c r="AC67" i="12"/>
  <c r="AC68" i="12"/>
  <c r="AD68" i="12"/>
  <c r="O67" i="12"/>
  <c r="O68" i="12"/>
  <c r="P68" i="12"/>
  <c r="Q67" i="12"/>
  <c r="Q68" i="12"/>
  <c r="R68" i="12"/>
  <c r="S67" i="12"/>
  <c r="S68" i="12"/>
  <c r="T68" i="12"/>
  <c r="M67" i="12"/>
  <c r="M68" i="12"/>
  <c r="N68" i="12"/>
  <c r="U67" i="12"/>
  <c r="U68" i="12"/>
  <c r="V68" i="12"/>
  <c r="K67" i="12"/>
  <c r="K68" i="12"/>
  <c r="L68" i="12"/>
  <c r="AR67" i="12"/>
  <c r="AZ67" i="12"/>
  <c r="AT67" i="12"/>
  <c r="AX67" i="12"/>
  <c r="AV67" i="12"/>
  <c r="AP67" i="12"/>
  <c r="AH67" i="12"/>
  <c r="AF67" i="12"/>
  <c r="AJ67" i="12"/>
  <c r="AB67" i="12"/>
  <c r="Z67" i="12"/>
  <c r="X67" i="12"/>
  <c r="AN67" i="12"/>
  <c r="AD67" i="12"/>
  <c r="P67" i="12"/>
  <c r="R67" i="12"/>
  <c r="T67" i="12"/>
  <c r="N67" i="12"/>
  <c r="V67" i="12"/>
  <c r="L67"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X60" i="12"/>
  <c r="AN60" i="12"/>
  <c r="AD60" i="12"/>
  <c r="P60" i="12"/>
  <c r="R60" i="12"/>
  <c r="T60" i="12"/>
  <c r="N60" i="12"/>
  <c r="V60" i="12"/>
  <c r="L60" i="12"/>
  <c r="AR59" i="12"/>
  <c r="AZ59" i="12"/>
  <c r="AT59" i="12"/>
  <c r="AX59" i="12"/>
  <c r="AV59" i="12"/>
  <c r="AP59" i="12"/>
  <c r="AH59" i="12"/>
  <c r="AF59" i="12"/>
  <c r="AJ59" i="12"/>
  <c r="AB59" i="12"/>
  <c r="Z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AF60" i="11"/>
  <c r="AR59" i="11"/>
  <c r="T31" i="11"/>
  <c r="L21" i="11"/>
  <c r="AF21" i="11"/>
  <c r="P21" i="11"/>
  <c r="AB21" i="11"/>
  <c r="X21" i="11"/>
  <c r="T21" i="11"/>
  <c r="AV21" i="11"/>
  <c r="BP21" i="11"/>
  <c r="AJ21" i="11"/>
  <c r="AN21" i="11"/>
  <c r="AR21" i="11"/>
  <c r="BH21" i="11"/>
  <c r="AZ21" i="11"/>
  <c r="BL21" i="11"/>
  <c r="BD21" i="11"/>
  <c r="BT21" i="11"/>
  <c r="BX21" i="11"/>
  <c r="CB21" i="11"/>
  <c r="CF21" i="11"/>
  <c r="CJ21" i="11"/>
  <c r="CN21" i="11"/>
  <c r="K67" i="11"/>
  <c r="L67"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J60" i="11"/>
  <c r="BP60" i="11"/>
  <c r="AV60" i="11"/>
  <c r="T60" i="11"/>
  <c r="X60" i="11"/>
  <c r="AB60" i="11"/>
  <c r="P60" i="11"/>
  <c r="L60" i="11"/>
  <c r="CN59" i="11"/>
  <c r="CJ59" i="11"/>
  <c r="CF59" i="11"/>
  <c r="CB59" i="11"/>
  <c r="BX59" i="11"/>
  <c r="BT59" i="11"/>
  <c r="BD59" i="11"/>
  <c r="BL59" i="11"/>
  <c r="AZ59" i="11"/>
  <c r="BH59" i="11"/>
  <c r="AN59" i="11"/>
  <c r="AJ59" i="11"/>
  <c r="BP59" i="11"/>
  <c r="AV59" i="11"/>
  <c r="T59" i="11"/>
  <c r="X59" i="11"/>
  <c r="AB59" i="11"/>
  <c r="P59" i="11"/>
  <c r="AF59" i="11"/>
  <c r="L59"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7" i="10"/>
  <c r="AE118" i="10"/>
  <c r="AF118" i="10"/>
  <c r="U117" i="10"/>
  <c r="U118" i="10"/>
  <c r="V118" i="10"/>
  <c r="AC117" i="10"/>
  <c r="AC118" i="10"/>
  <c r="AD118" i="10"/>
  <c r="M117" i="10"/>
  <c r="M118" i="10"/>
  <c r="N118" i="10"/>
  <c r="Q117" i="10"/>
  <c r="Q118" i="10"/>
  <c r="R118" i="10"/>
  <c r="AA117" i="10"/>
  <c r="AA118" i="10"/>
  <c r="AB118" i="10"/>
  <c r="AI117" i="10"/>
  <c r="AI118" i="10"/>
  <c r="AJ118" i="10"/>
  <c r="AK117" i="10"/>
  <c r="AK118" i="10"/>
  <c r="AL118" i="10"/>
  <c r="AW117" i="10"/>
  <c r="AW118" i="10"/>
  <c r="AX118" i="10"/>
  <c r="Y117" i="10"/>
  <c r="Y118" i="10"/>
  <c r="Z118" i="10"/>
  <c r="O117" i="10"/>
  <c r="O118" i="10"/>
  <c r="P118" i="10"/>
  <c r="AU117" i="10"/>
  <c r="AU118" i="10"/>
  <c r="AV118" i="10"/>
  <c r="AQ117" i="10"/>
  <c r="AQ118" i="10"/>
  <c r="AR118" i="10"/>
  <c r="W117" i="10"/>
  <c r="W118" i="10"/>
  <c r="X118" i="10"/>
  <c r="K117" i="10"/>
  <c r="K118" i="10"/>
  <c r="L118" i="10"/>
  <c r="S117" i="10"/>
  <c r="S118" i="10"/>
  <c r="T118" i="10"/>
  <c r="AY118" i="10"/>
  <c r="AO117" i="10"/>
  <c r="AO118" i="10"/>
  <c r="AP118" i="10"/>
  <c r="AS117" i="10"/>
  <c r="AS118" i="10"/>
  <c r="AT118" i="10"/>
  <c r="AM117" i="10"/>
  <c r="AM118" i="10"/>
  <c r="AN118" i="10"/>
  <c r="AG117" i="10"/>
  <c r="AG118" i="10"/>
  <c r="AH118" i="10"/>
  <c r="H117" i="10"/>
  <c r="AF117" i="10"/>
  <c r="V117" i="10"/>
  <c r="AD117" i="10"/>
  <c r="N117" i="10"/>
  <c r="R117" i="10"/>
  <c r="AB117" i="10"/>
  <c r="AJ117" i="10"/>
  <c r="AL117" i="10"/>
  <c r="AX117" i="10"/>
  <c r="Z117" i="10"/>
  <c r="P117" i="10"/>
  <c r="AV117" i="10"/>
  <c r="AR117" i="10"/>
  <c r="X117" i="10"/>
  <c r="L117" i="10"/>
  <c r="T117" i="10"/>
  <c r="AY117" i="10"/>
  <c r="AZ117" i="10"/>
  <c r="AP117" i="10"/>
  <c r="AT117" i="10"/>
  <c r="AN117" i="10"/>
  <c r="AH117" i="10"/>
  <c r="AF112" i="10"/>
  <c r="V112" i="10"/>
  <c r="AD112" i="10"/>
  <c r="N112" i="10"/>
  <c r="R112" i="10"/>
  <c r="AB112" i="10"/>
  <c r="AJ112" i="10"/>
  <c r="AL112" i="10"/>
  <c r="AX112" i="10"/>
  <c r="Z112" i="10"/>
  <c r="P112" i="10"/>
  <c r="AV112" i="10"/>
  <c r="AR112" i="10"/>
  <c r="X112" i="10"/>
  <c r="L112" i="10"/>
  <c r="T112" i="10"/>
  <c r="AZ112" i="10"/>
  <c r="AP112" i="10"/>
  <c r="AT112" i="10"/>
  <c r="AN112" i="10"/>
  <c r="AH112" i="10"/>
  <c r="AF110" i="10"/>
  <c r="V110" i="10"/>
  <c r="AD110" i="10"/>
  <c r="N110" i="10"/>
  <c r="R110" i="10"/>
  <c r="AB110" i="10"/>
  <c r="AJ110" i="10"/>
  <c r="AL110" i="10"/>
  <c r="AX110" i="10"/>
  <c r="Z110" i="10"/>
  <c r="P110" i="10"/>
  <c r="AV110" i="10"/>
  <c r="AR110" i="10"/>
  <c r="X110" i="10"/>
  <c r="L110" i="10"/>
  <c r="T110" i="10"/>
  <c r="AZ110" i="10"/>
  <c r="AP110" i="10"/>
  <c r="AT110" i="10"/>
  <c r="AN110" i="10"/>
  <c r="AH110"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4" i="10"/>
  <c r="V104" i="10"/>
  <c r="AD104" i="10"/>
  <c r="N104" i="10"/>
  <c r="R104" i="10"/>
  <c r="AB104" i="10"/>
  <c r="AJ104" i="10"/>
  <c r="AL104" i="10"/>
  <c r="AX104" i="10"/>
  <c r="Z104" i="10"/>
  <c r="P104" i="10"/>
  <c r="AV104" i="10"/>
  <c r="AR104" i="10"/>
  <c r="X104" i="10"/>
  <c r="L104" i="10"/>
  <c r="T104" i="10"/>
  <c r="AZ104" i="10"/>
  <c r="AP104" i="10"/>
  <c r="AT104" i="10"/>
  <c r="AN104" i="10"/>
  <c r="AH104" i="10"/>
  <c r="AF100" i="10"/>
  <c r="V100" i="10"/>
  <c r="AD100" i="10"/>
  <c r="N100" i="10"/>
  <c r="R100" i="10"/>
  <c r="AB100" i="10"/>
  <c r="AJ100" i="10"/>
  <c r="AL100" i="10"/>
  <c r="AX100" i="10"/>
  <c r="Z100" i="10"/>
  <c r="P100" i="10"/>
  <c r="AV100" i="10"/>
  <c r="AR100" i="10"/>
  <c r="X100" i="10"/>
  <c r="L100" i="10"/>
  <c r="T100" i="10"/>
  <c r="AZ100" i="10"/>
  <c r="AP100" i="10"/>
  <c r="AT100" i="10"/>
  <c r="AN100" i="10"/>
  <c r="AH100" i="10"/>
  <c r="AF99" i="10"/>
  <c r="V99" i="10"/>
  <c r="AD99" i="10"/>
  <c r="N99" i="10"/>
  <c r="R99" i="10"/>
  <c r="AB99" i="10"/>
  <c r="AJ99" i="10"/>
  <c r="AL99" i="10"/>
  <c r="AX99" i="10"/>
  <c r="Z99" i="10"/>
  <c r="P99" i="10"/>
  <c r="AV99" i="10"/>
  <c r="AR99" i="10"/>
  <c r="X99" i="10"/>
  <c r="L99" i="10"/>
  <c r="T99" i="10"/>
  <c r="AZ99" i="10"/>
  <c r="AP99" i="10"/>
  <c r="AT99" i="10"/>
  <c r="AN99" i="10"/>
  <c r="AH99" i="10"/>
  <c r="AF97" i="10"/>
  <c r="V97" i="10"/>
  <c r="AD97" i="10"/>
  <c r="N97" i="10"/>
  <c r="R97" i="10"/>
  <c r="AB97" i="10"/>
  <c r="AJ97" i="10"/>
  <c r="AL97" i="10"/>
  <c r="AX97" i="10"/>
  <c r="Z97" i="10"/>
  <c r="P97" i="10"/>
  <c r="AV97" i="10"/>
  <c r="AR97" i="10"/>
  <c r="X97" i="10"/>
  <c r="L97" i="10"/>
  <c r="T97" i="10"/>
  <c r="AZ97" i="10"/>
  <c r="AP97" i="10"/>
  <c r="AT97" i="10"/>
  <c r="AN97" i="10"/>
  <c r="AH97" i="10"/>
  <c r="AF96" i="10"/>
  <c r="V96" i="10"/>
  <c r="AD96" i="10"/>
  <c r="N96" i="10"/>
  <c r="R96" i="10"/>
  <c r="AB96" i="10"/>
  <c r="AJ96" i="10"/>
  <c r="AL96" i="10"/>
  <c r="AX96" i="10"/>
  <c r="Z96" i="10"/>
  <c r="P96" i="10"/>
  <c r="AV96" i="10"/>
  <c r="AR96" i="10"/>
  <c r="X96" i="10"/>
  <c r="L96" i="10"/>
  <c r="T96" i="10"/>
  <c r="AZ96" i="10"/>
  <c r="AP96" i="10"/>
  <c r="AT96" i="10"/>
  <c r="AN96" i="10"/>
  <c r="AH96" i="10"/>
  <c r="AF92" i="10"/>
  <c r="V92" i="10"/>
  <c r="AD92" i="10"/>
  <c r="N92" i="10"/>
  <c r="R92" i="10"/>
  <c r="AB92" i="10"/>
  <c r="AJ92" i="10"/>
  <c r="AL92" i="10"/>
  <c r="AX92" i="10"/>
  <c r="Z92" i="10"/>
  <c r="P92" i="10"/>
  <c r="AV92" i="10"/>
  <c r="AR92" i="10"/>
  <c r="X92" i="10"/>
  <c r="L92" i="10"/>
  <c r="T92" i="10"/>
  <c r="AZ92" i="10"/>
  <c r="AP92" i="10"/>
  <c r="AT92" i="10"/>
  <c r="AN92" i="10"/>
  <c r="AH92"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4" i="10"/>
  <c r="V84" i="10"/>
  <c r="AD84" i="10"/>
  <c r="N84" i="10"/>
  <c r="R84" i="10"/>
  <c r="AB84" i="10"/>
  <c r="AJ84" i="10"/>
  <c r="AL84" i="10"/>
  <c r="AX84" i="10"/>
  <c r="Z84" i="10"/>
  <c r="P84" i="10"/>
  <c r="AV84" i="10"/>
  <c r="AR84" i="10"/>
  <c r="X84" i="10"/>
  <c r="L84" i="10"/>
  <c r="T84" i="10"/>
  <c r="AZ84" i="10"/>
  <c r="AP84" i="10"/>
  <c r="AT84" i="10"/>
  <c r="AN84" i="10"/>
  <c r="AH84" i="10"/>
  <c r="AF80" i="10"/>
  <c r="V80" i="10"/>
  <c r="AD80" i="10"/>
  <c r="N80" i="10"/>
  <c r="R80" i="10"/>
  <c r="AB80" i="10"/>
  <c r="AJ80" i="10"/>
  <c r="AL80" i="10"/>
  <c r="AX80" i="10"/>
  <c r="Z80" i="10"/>
  <c r="P80" i="10"/>
  <c r="AV80" i="10"/>
  <c r="AR80" i="10"/>
  <c r="X80" i="10"/>
  <c r="L80" i="10"/>
  <c r="T80" i="10"/>
  <c r="AZ80" i="10"/>
  <c r="AP80" i="10"/>
  <c r="AT80" i="10"/>
  <c r="AN80" i="10"/>
  <c r="AH80" i="10"/>
  <c r="AF78" i="10"/>
  <c r="V78" i="10"/>
  <c r="AD78" i="10"/>
  <c r="N78" i="10"/>
  <c r="R78" i="10"/>
  <c r="AB78" i="10"/>
  <c r="AJ78" i="10"/>
  <c r="AL78" i="10"/>
  <c r="AX78" i="10"/>
  <c r="Z78" i="10"/>
  <c r="P78" i="10"/>
  <c r="AV78" i="10"/>
  <c r="AR78" i="10"/>
  <c r="X78" i="10"/>
  <c r="L78" i="10"/>
  <c r="T78" i="10"/>
  <c r="AZ78" i="10"/>
  <c r="AP78" i="10"/>
  <c r="AT78" i="10"/>
  <c r="AN78" i="10"/>
  <c r="AH78" i="10"/>
  <c r="AF77" i="10"/>
  <c r="V77" i="10"/>
  <c r="AD77" i="10"/>
  <c r="N77" i="10"/>
  <c r="R77" i="10"/>
  <c r="AB77" i="10"/>
  <c r="AJ77" i="10"/>
  <c r="AL77" i="10"/>
  <c r="AX77" i="10"/>
  <c r="Z77" i="10"/>
  <c r="P77" i="10"/>
  <c r="AV77" i="10"/>
  <c r="AR77" i="10"/>
  <c r="X77" i="10"/>
  <c r="L77" i="10"/>
  <c r="T77" i="10"/>
  <c r="AZ77" i="10"/>
  <c r="AP77" i="10"/>
  <c r="AT77" i="10"/>
  <c r="AN77" i="10"/>
  <c r="AH77"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0" i="9"/>
  <c r="K211" i="9"/>
  <c r="L211" i="9"/>
  <c r="H210" i="9"/>
  <c r="L210" i="9"/>
  <c r="O210" i="9"/>
  <c r="O211" i="9"/>
  <c r="P211" i="9"/>
  <c r="P210" i="9"/>
  <c r="Q210" i="9"/>
  <c r="Q211" i="9"/>
  <c r="R211" i="9"/>
  <c r="R210" i="9"/>
  <c r="AC210" i="9"/>
  <c r="AC211" i="9"/>
  <c r="AD211" i="9"/>
  <c r="AD210" i="9"/>
  <c r="AA210" i="9"/>
  <c r="AA211" i="9"/>
  <c r="AB211" i="9"/>
  <c r="AB210" i="9"/>
  <c r="W210" i="9"/>
  <c r="W211" i="9"/>
  <c r="X211" i="9"/>
  <c r="X210" i="9"/>
  <c r="AE210" i="9"/>
  <c r="AE211" i="9"/>
  <c r="AF210" i="9"/>
  <c r="U210" i="9"/>
  <c r="U211" i="9"/>
  <c r="V211" i="9"/>
  <c r="V210" i="9"/>
  <c r="Y210" i="9"/>
  <c r="Y211" i="9"/>
  <c r="Z211" i="9"/>
  <c r="Z210" i="9"/>
  <c r="S210" i="9"/>
  <c r="S211" i="9"/>
  <c r="T211" i="9"/>
  <c r="T210" i="9"/>
  <c r="M211" i="9"/>
  <c r="M210" i="9"/>
  <c r="AY117" i="5"/>
  <c r="AY118" i="5"/>
  <c r="AZ118" i="5"/>
  <c r="H117" i="5"/>
  <c r="AZ117" i="5"/>
  <c r="AW117" i="5"/>
  <c r="AW118" i="5"/>
  <c r="AX118" i="5"/>
  <c r="AX117" i="5"/>
  <c r="AU117" i="5"/>
  <c r="AU118" i="5"/>
  <c r="AV118" i="5"/>
  <c r="AV117" i="5"/>
  <c r="AS117" i="5"/>
  <c r="AS118" i="5"/>
  <c r="AT118" i="5"/>
  <c r="AT117" i="5"/>
  <c r="AQ117" i="5"/>
  <c r="AQ118" i="5"/>
  <c r="AR118" i="5"/>
  <c r="AR117" i="5"/>
  <c r="AO117" i="5"/>
  <c r="AO118" i="5"/>
  <c r="AP118" i="5"/>
  <c r="AP117" i="5"/>
  <c r="AM117" i="5"/>
  <c r="AM118" i="5"/>
  <c r="AN118" i="5"/>
  <c r="AN117" i="5"/>
  <c r="AK117" i="5"/>
  <c r="AK118" i="5"/>
  <c r="AL118" i="5"/>
  <c r="AL117" i="5"/>
  <c r="AI117" i="5"/>
  <c r="AI118" i="5"/>
  <c r="AJ118" i="5"/>
  <c r="AJ117" i="5"/>
  <c r="AG117" i="5"/>
  <c r="AG118" i="5"/>
  <c r="AH118" i="5"/>
  <c r="AH117" i="5"/>
  <c r="AE117" i="5"/>
  <c r="AE118" i="5"/>
  <c r="AF118" i="5"/>
  <c r="AF117" i="5"/>
  <c r="AC117" i="5"/>
  <c r="AC118" i="5"/>
  <c r="AD118" i="5"/>
  <c r="AD117" i="5"/>
  <c r="AA117" i="5"/>
  <c r="AA118" i="5"/>
  <c r="AB118" i="5"/>
  <c r="AB117" i="5"/>
  <c r="Y117" i="5"/>
  <c r="Y118" i="5"/>
  <c r="Z118" i="5"/>
  <c r="Z117" i="5"/>
  <c r="W117" i="5"/>
  <c r="W118" i="5"/>
  <c r="X118" i="5"/>
  <c r="X117" i="5"/>
  <c r="U117" i="5"/>
  <c r="U118" i="5"/>
  <c r="V118" i="5"/>
  <c r="V117" i="5"/>
  <c r="Q117" i="5"/>
  <c r="Q118" i="5"/>
  <c r="R118" i="5"/>
  <c r="O117" i="5"/>
  <c r="O118" i="5"/>
  <c r="P118" i="5"/>
  <c r="M117" i="5"/>
  <c r="M118" i="5"/>
  <c r="N118" i="5"/>
  <c r="K117" i="5"/>
  <c r="K118" i="5"/>
  <c r="L118" i="5"/>
  <c r="S117" i="5"/>
  <c r="S118" i="5"/>
  <c r="T117" i="5"/>
  <c r="R117" i="5"/>
  <c r="P117" i="5"/>
  <c r="N117" i="5"/>
  <c r="U98" i="9"/>
  <c r="U99" i="9"/>
  <c r="V99" i="9"/>
  <c r="V98" i="9"/>
  <c r="AC98" i="9"/>
  <c r="AC99" i="9"/>
  <c r="AD99" i="9"/>
  <c r="AD98" i="9"/>
  <c r="M98" i="9"/>
  <c r="M99" i="9"/>
  <c r="N99" i="9"/>
  <c r="N98" i="9"/>
  <c r="Q98" i="9"/>
  <c r="Q99" i="9"/>
  <c r="R99" i="9"/>
  <c r="R98" i="9"/>
  <c r="AA98" i="9"/>
  <c r="AA99" i="9"/>
  <c r="AB99" i="9"/>
  <c r="AB98" i="9"/>
  <c r="Y98" i="9"/>
  <c r="Y99" i="9"/>
  <c r="Z99" i="9"/>
  <c r="Z98" i="9"/>
  <c r="O98" i="9"/>
  <c r="O99" i="9"/>
  <c r="P99" i="9"/>
  <c r="P98" i="9"/>
  <c r="K98" i="9"/>
  <c r="K99" i="9"/>
  <c r="L99" i="9"/>
  <c r="L98" i="9"/>
  <c r="S98" i="9"/>
  <c r="S99" i="9"/>
  <c r="N211" i="9"/>
  <c r="N210" i="9"/>
  <c r="T99" i="9"/>
  <c r="T98" i="9"/>
  <c r="V26" i="9"/>
  <c r="AD26" i="9"/>
  <c r="N26" i="9"/>
  <c r="R26" i="9"/>
  <c r="AB26" i="9"/>
  <c r="Z26" i="9"/>
  <c r="P26" i="9"/>
  <c r="L26" i="9"/>
  <c r="T26" i="9"/>
  <c r="AE47" i="7"/>
  <c r="AE48" i="7"/>
  <c r="AF48" i="7"/>
  <c r="W47" i="7"/>
  <c r="W48" i="7"/>
  <c r="X48" i="7"/>
  <c r="AC47" i="7"/>
  <c r="AC48" i="7"/>
  <c r="AD48" i="7"/>
  <c r="M47" i="7"/>
  <c r="M48" i="7"/>
  <c r="N48" i="7"/>
  <c r="Q47" i="7"/>
  <c r="Q48" i="7"/>
  <c r="R48" i="7"/>
  <c r="AA47" i="7"/>
  <c r="AA48" i="7"/>
  <c r="AB48" i="7"/>
  <c r="AI47" i="7"/>
  <c r="AI48" i="7"/>
  <c r="AJ48" i="7"/>
  <c r="AK47" i="7"/>
  <c r="AK48" i="7"/>
  <c r="AL48" i="7"/>
  <c r="AW47" i="7"/>
  <c r="AW48" i="7"/>
  <c r="AX48" i="7"/>
  <c r="Y47" i="7"/>
  <c r="Y48" i="7"/>
  <c r="Z48" i="7"/>
  <c r="O47" i="7"/>
  <c r="O48" i="7"/>
  <c r="P48" i="7"/>
  <c r="AU47" i="7"/>
  <c r="AU48" i="7"/>
  <c r="AV48" i="7"/>
  <c r="AQ47" i="7"/>
  <c r="AQ48" i="7"/>
  <c r="AR48" i="7"/>
  <c r="U47" i="7"/>
  <c r="U48" i="7"/>
  <c r="V48" i="7"/>
  <c r="K47" i="7"/>
  <c r="K48" i="7"/>
  <c r="L48" i="7"/>
  <c r="S47" i="7"/>
  <c r="S48" i="7"/>
  <c r="T48" i="7"/>
  <c r="AY48" i="7"/>
  <c r="AO47" i="7"/>
  <c r="AO48" i="7"/>
  <c r="AP48" i="7"/>
  <c r="AS47" i="7"/>
  <c r="AS48" i="7"/>
  <c r="AT48" i="7"/>
  <c r="AM47" i="7"/>
  <c r="AM48" i="7"/>
  <c r="AN48" i="7"/>
  <c r="AG47" i="7"/>
  <c r="AG48" i="7"/>
  <c r="AH48" i="7"/>
  <c r="H47" i="7"/>
  <c r="AF47" i="7"/>
  <c r="X47" i="7"/>
  <c r="AD47" i="7"/>
  <c r="N47" i="7"/>
  <c r="R47" i="7"/>
  <c r="AB47" i="7"/>
  <c r="AJ47" i="7"/>
  <c r="AL47" i="7"/>
  <c r="AX47" i="7"/>
  <c r="Z47" i="7"/>
  <c r="P47" i="7"/>
  <c r="AV47" i="7"/>
  <c r="AR47" i="7"/>
  <c r="V47" i="7"/>
  <c r="L47" i="7"/>
  <c r="T47" i="7"/>
  <c r="AY47" i="7"/>
  <c r="AZ47" i="7"/>
  <c r="AP47" i="7"/>
  <c r="AT47" i="7"/>
  <c r="AN47" i="7"/>
  <c r="AH47" i="7"/>
  <c r="AF44" i="7"/>
  <c r="X44" i="7"/>
  <c r="AD44" i="7"/>
  <c r="N44" i="7"/>
  <c r="R44" i="7"/>
  <c r="AB44" i="7"/>
  <c r="AJ44" i="7"/>
  <c r="AL44" i="7"/>
  <c r="AX44" i="7"/>
  <c r="Z44" i="7"/>
  <c r="P44" i="7"/>
  <c r="AV44" i="7"/>
  <c r="AR44" i="7"/>
  <c r="V44" i="7"/>
  <c r="L44" i="7"/>
  <c r="T44" i="7"/>
  <c r="AZ44" i="7"/>
  <c r="AP44" i="7"/>
  <c r="AT44" i="7"/>
  <c r="AN44" i="7"/>
  <c r="AH44" i="7"/>
  <c r="AZ112" i="5"/>
  <c r="AZ110" i="5"/>
  <c r="AZ109" i="5"/>
  <c r="AZ108" i="5"/>
  <c r="AZ104" i="5"/>
  <c r="AZ100" i="5"/>
  <c r="AZ99" i="5"/>
  <c r="AZ97" i="5"/>
  <c r="AZ96" i="5"/>
  <c r="AZ92" i="5"/>
  <c r="AZ90" i="5"/>
  <c r="AZ89" i="5"/>
  <c r="AZ88" i="5"/>
  <c r="AZ84" i="5"/>
  <c r="AZ80" i="5"/>
  <c r="AZ78" i="5"/>
  <c r="AZ77" i="5"/>
  <c r="AZ75" i="5"/>
  <c r="AZ74" i="5"/>
  <c r="AZ73" i="5"/>
  <c r="AZ72" i="5"/>
  <c r="AZ67" i="5"/>
  <c r="AZ66" i="5"/>
  <c r="AZ65" i="5"/>
  <c r="AZ64" i="5"/>
  <c r="AZ63" i="5"/>
  <c r="AZ60" i="5"/>
  <c r="AZ59" i="5"/>
  <c r="AZ58" i="5"/>
  <c r="AZ57" i="5"/>
  <c r="AZ53" i="5"/>
  <c r="AZ50" i="5"/>
  <c r="AZ49" i="5"/>
  <c r="AZ44" i="5"/>
  <c r="AZ43" i="5"/>
  <c r="AZ40" i="5"/>
  <c r="AZ39" i="5"/>
  <c r="AZ33" i="5"/>
  <c r="AZ32" i="5"/>
  <c r="AZ31" i="5"/>
  <c r="AZ30" i="5"/>
  <c r="AZ29" i="5"/>
  <c r="AZ24" i="5"/>
  <c r="AZ21" i="5"/>
  <c r="AZ20" i="5"/>
  <c r="AZ17" i="5"/>
  <c r="AZ16" i="5"/>
  <c r="AZ15" i="5"/>
  <c r="AZ13" i="5"/>
  <c r="AZ12" i="5"/>
  <c r="AX112" i="5"/>
  <c r="AX110" i="5"/>
  <c r="AX109" i="5"/>
  <c r="AX108" i="5"/>
  <c r="AX104" i="5"/>
  <c r="AX100" i="5"/>
  <c r="AX99" i="5"/>
  <c r="AX97" i="5"/>
  <c r="AX96" i="5"/>
  <c r="AX92" i="5"/>
  <c r="AX90" i="5"/>
  <c r="AX89" i="5"/>
  <c r="AX88" i="5"/>
  <c r="AX84" i="5"/>
  <c r="AX80" i="5"/>
  <c r="AX78" i="5"/>
  <c r="AX77" i="5"/>
  <c r="AX75" i="5"/>
  <c r="AX74" i="5"/>
  <c r="AX73" i="5"/>
  <c r="AX72" i="5"/>
  <c r="AX67" i="5"/>
  <c r="AX66" i="5"/>
  <c r="AX65" i="5"/>
  <c r="AX64" i="5"/>
  <c r="AX63" i="5"/>
  <c r="AX60" i="5"/>
  <c r="AX59" i="5"/>
  <c r="AX58" i="5"/>
  <c r="AX57" i="5"/>
  <c r="AX53" i="5"/>
  <c r="AX50" i="5"/>
  <c r="AX49" i="5"/>
  <c r="AX44" i="5"/>
  <c r="AX43" i="5"/>
  <c r="AX40" i="5"/>
  <c r="AX39" i="5"/>
  <c r="AX33" i="5"/>
  <c r="AX32" i="5"/>
  <c r="AX31" i="5"/>
  <c r="AX30" i="5"/>
  <c r="AX29" i="5"/>
  <c r="AX24" i="5"/>
  <c r="AX21" i="5"/>
  <c r="AX20" i="5"/>
  <c r="AX17" i="5"/>
  <c r="AX16" i="5"/>
  <c r="AX15" i="5"/>
  <c r="AX13" i="5"/>
  <c r="AX12" i="5"/>
  <c r="AV112" i="5"/>
  <c r="AV110" i="5"/>
  <c r="AV109" i="5"/>
  <c r="AV108" i="5"/>
  <c r="AV104" i="5"/>
  <c r="AV100" i="5"/>
  <c r="AV99" i="5"/>
  <c r="AV97" i="5"/>
  <c r="AV96" i="5"/>
  <c r="AV92" i="5"/>
  <c r="AV90" i="5"/>
  <c r="AV89" i="5"/>
  <c r="AV88" i="5"/>
  <c r="AV84" i="5"/>
  <c r="AV80" i="5"/>
  <c r="AV78" i="5"/>
  <c r="AV77" i="5"/>
  <c r="AV75" i="5"/>
  <c r="AV74" i="5"/>
  <c r="AV73" i="5"/>
  <c r="AV72" i="5"/>
  <c r="AV67" i="5"/>
  <c r="AV66" i="5"/>
  <c r="AV65" i="5"/>
  <c r="AV64" i="5"/>
  <c r="AV63" i="5"/>
  <c r="AV60" i="5"/>
  <c r="AV59" i="5"/>
  <c r="AV58" i="5"/>
  <c r="AV57" i="5"/>
  <c r="AV53" i="5"/>
  <c r="AV50" i="5"/>
  <c r="AV49" i="5"/>
  <c r="AV44" i="5"/>
  <c r="AV43" i="5"/>
  <c r="AV40" i="5"/>
  <c r="AV39" i="5"/>
  <c r="AV33" i="5"/>
  <c r="AV32" i="5"/>
  <c r="AV31" i="5"/>
  <c r="AV30" i="5"/>
  <c r="AV29" i="5"/>
  <c r="AV24" i="5"/>
  <c r="AV21" i="5"/>
  <c r="AV20" i="5"/>
  <c r="AV17" i="5"/>
  <c r="AV16" i="5"/>
  <c r="AV15" i="5"/>
  <c r="AV13" i="5"/>
  <c r="AV12" i="5"/>
  <c r="AT112" i="5"/>
  <c r="AT110" i="5"/>
  <c r="AT109" i="5"/>
  <c r="AT108" i="5"/>
  <c r="AT104" i="5"/>
  <c r="AT100" i="5"/>
  <c r="AT99" i="5"/>
  <c r="AT97" i="5"/>
  <c r="AT96" i="5"/>
  <c r="AT92" i="5"/>
  <c r="AT90" i="5"/>
  <c r="AT89" i="5"/>
  <c r="AT88" i="5"/>
  <c r="AT84" i="5"/>
  <c r="AT80" i="5"/>
  <c r="AT78" i="5"/>
  <c r="AT77" i="5"/>
  <c r="AT75" i="5"/>
  <c r="AT74" i="5"/>
  <c r="AT73" i="5"/>
  <c r="AT72" i="5"/>
  <c r="AT67" i="5"/>
  <c r="AT66" i="5"/>
  <c r="AT65" i="5"/>
  <c r="AT64" i="5"/>
  <c r="AT63" i="5"/>
  <c r="AT60" i="5"/>
  <c r="AT59" i="5"/>
  <c r="AT58" i="5"/>
  <c r="AT57" i="5"/>
  <c r="AT53" i="5"/>
  <c r="AT50" i="5"/>
  <c r="AT49" i="5"/>
  <c r="AT44" i="5"/>
  <c r="AT43" i="5"/>
  <c r="AT40" i="5"/>
  <c r="AT39" i="5"/>
  <c r="AT33" i="5"/>
  <c r="AT32" i="5"/>
  <c r="AT31" i="5"/>
  <c r="AT30" i="5"/>
  <c r="AT29" i="5"/>
  <c r="AT24" i="5"/>
  <c r="AT21" i="5"/>
  <c r="AT20" i="5"/>
  <c r="AT17" i="5"/>
  <c r="AT16" i="5"/>
  <c r="AT15" i="5"/>
  <c r="AT13" i="5"/>
  <c r="AT12" i="5"/>
  <c r="AR112" i="5"/>
  <c r="AR110" i="5"/>
  <c r="AR109" i="5"/>
  <c r="AR108" i="5"/>
  <c r="AR104" i="5"/>
  <c r="AR100" i="5"/>
  <c r="AR99" i="5"/>
  <c r="AR97" i="5"/>
  <c r="AR96" i="5"/>
  <c r="AR92" i="5"/>
  <c r="AR90" i="5"/>
  <c r="AR89" i="5"/>
  <c r="AR88" i="5"/>
  <c r="AR84" i="5"/>
  <c r="AR80" i="5"/>
  <c r="AR78" i="5"/>
  <c r="AR77" i="5"/>
  <c r="AR75" i="5"/>
  <c r="AR74" i="5"/>
  <c r="AR73" i="5"/>
  <c r="AR72" i="5"/>
  <c r="AR67" i="5"/>
  <c r="AR66" i="5"/>
  <c r="AR65" i="5"/>
  <c r="AR64" i="5"/>
  <c r="AR63" i="5"/>
  <c r="AR60" i="5"/>
  <c r="AR59" i="5"/>
  <c r="AR58" i="5"/>
  <c r="AR57" i="5"/>
  <c r="AR53" i="5"/>
  <c r="AR50" i="5"/>
  <c r="AR49" i="5"/>
  <c r="AR44" i="5"/>
  <c r="AR43" i="5"/>
  <c r="AR40" i="5"/>
  <c r="AR39" i="5"/>
  <c r="AR33" i="5"/>
  <c r="AR32" i="5"/>
  <c r="AR31" i="5"/>
  <c r="AR30" i="5"/>
  <c r="AR29" i="5"/>
  <c r="AR24" i="5"/>
  <c r="AR21" i="5"/>
  <c r="AR20" i="5"/>
  <c r="AR17" i="5"/>
  <c r="AR16" i="5"/>
  <c r="AR15" i="5"/>
  <c r="AR13" i="5"/>
  <c r="AR12" i="5"/>
  <c r="AP112" i="5"/>
  <c r="AP110" i="5"/>
  <c r="AP109" i="5"/>
  <c r="AP108" i="5"/>
  <c r="AP104" i="5"/>
  <c r="AP100" i="5"/>
  <c r="AP99" i="5"/>
  <c r="AP97" i="5"/>
  <c r="AP96" i="5"/>
  <c r="AP92" i="5"/>
  <c r="AP90" i="5"/>
  <c r="AP89" i="5"/>
  <c r="AP88" i="5"/>
  <c r="AP84" i="5"/>
  <c r="AP80" i="5"/>
  <c r="AP78" i="5"/>
  <c r="AP77" i="5"/>
  <c r="AP75" i="5"/>
  <c r="AP74" i="5"/>
  <c r="AP73" i="5"/>
  <c r="AP72" i="5"/>
  <c r="AP67" i="5"/>
  <c r="AP66" i="5"/>
  <c r="AP65" i="5"/>
  <c r="AP64" i="5"/>
  <c r="AP63" i="5"/>
  <c r="AP60" i="5"/>
  <c r="AP59" i="5"/>
  <c r="AP58" i="5"/>
  <c r="AP57" i="5"/>
  <c r="AP53" i="5"/>
  <c r="AP50" i="5"/>
  <c r="AP49" i="5"/>
  <c r="AP44" i="5"/>
  <c r="AP43" i="5"/>
  <c r="AP40" i="5"/>
  <c r="AP39" i="5"/>
  <c r="AP33" i="5"/>
  <c r="AP32" i="5"/>
  <c r="AP31" i="5"/>
  <c r="AP30" i="5"/>
  <c r="AP29" i="5"/>
  <c r="AP24" i="5"/>
  <c r="AP21" i="5"/>
  <c r="AP20" i="5"/>
  <c r="AP17" i="5"/>
  <c r="AP16" i="5"/>
  <c r="AP15" i="5"/>
  <c r="AP13" i="5"/>
  <c r="AP12" i="5"/>
  <c r="AN112" i="5"/>
  <c r="AN110" i="5"/>
  <c r="AN109" i="5"/>
  <c r="AN108" i="5"/>
  <c r="AN104" i="5"/>
  <c r="AN100" i="5"/>
  <c r="AN99" i="5"/>
  <c r="AN97" i="5"/>
  <c r="AN96" i="5"/>
  <c r="AN92" i="5"/>
  <c r="AN90" i="5"/>
  <c r="AN89" i="5"/>
  <c r="AN88" i="5"/>
  <c r="AN84" i="5"/>
  <c r="AN80" i="5"/>
  <c r="AN78" i="5"/>
  <c r="AN77" i="5"/>
  <c r="AN75" i="5"/>
  <c r="AN74" i="5"/>
  <c r="AN73" i="5"/>
  <c r="AN72" i="5"/>
  <c r="AN67" i="5"/>
  <c r="AN66" i="5"/>
  <c r="AN65" i="5"/>
  <c r="AN64" i="5"/>
  <c r="AN63" i="5"/>
  <c r="AN60" i="5"/>
  <c r="AN59" i="5"/>
  <c r="AN58" i="5"/>
  <c r="AN57" i="5"/>
  <c r="AN53" i="5"/>
  <c r="AN50" i="5"/>
  <c r="AN49" i="5"/>
  <c r="AN44" i="5"/>
  <c r="AN43" i="5"/>
  <c r="AN40" i="5"/>
  <c r="AN39" i="5"/>
  <c r="AN33" i="5"/>
  <c r="AN32" i="5"/>
  <c r="AN31" i="5"/>
  <c r="AN30" i="5"/>
  <c r="AN29" i="5"/>
  <c r="AN24" i="5"/>
  <c r="AN21" i="5"/>
  <c r="AN20" i="5"/>
  <c r="AN17" i="5"/>
  <c r="AN16" i="5"/>
  <c r="AN15" i="5"/>
  <c r="AN13" i="5"/>
  <c r="AN12" i="5"/>
  <c r="AL112" i="5"/>
  <c r="AL110" i="5"/>
  <c r="AL109" i="5"/>
  <c r="AL108" i="5"/>
  <c r="AL104" i="5"/>
  <c r="AL100" i="5"/>
  <c r="AL99" i="5"/>
  <c r="AL97" i="5"/>
  <c r="AL96" i="5"/>
  <c r="AL92" i="5"/>
  <c r="AL90" i="5"/>
  <c r="AL89" i="5"/>
  <c r="AL88" i="5"/>
  <c r="AL84" i="5"/>
  <c r="AL80" i="5"/>
  <c r="AL78" i="5"/>
  <c r="AL77" i="5"/>
  <c r="AL75" i="5"/>
  <c r="AL74" i="5"/>
  <c r="AL73" i="5"/>
  <c r="AL72" i="5"/>
  <c r="AL67" i="5"/>
  <c r="AL66" i="5"/>
  <c r="AL65" i="5"/>
  <c r="AL64" i="5"/>
  <c r="AL63" i="5"/>
  <c r="AL60" i="5"/>
  <c r="AL59" i="5"/>
  <c r="AL58" i="5"/>
  <c r="AL57" i="5"/>
  <c r="AL53" i="5"/>
  <c r="AL50" i="5"/>
  <c r="AL49" i="5"/>
  <c r="AL44" i="5"/>
  <c r="AL43" i="5"/>
  <c r="AL40" i="5"/>
  <c r="AL39" i="5"/>
  <c r="AL33" i="5"/>
  <c r="AL32" i="5"/>
  <c r="AL31" i="5"/>
  <c r="AL30" i="5"/>
  <c r="AL29" i="5"/>
  <c r="AL24" i="5"/>
  <c r="AL21" i="5"/>
  <c r="AL20" i="5"/>
  <c r="AL17" i="5"/>
  <c r="AL16" i="5"/>
  <c r="AL15" i="5"/>
  <c r="AL13" i="5"/>
  <c r="AL12" i="5"/>
  <c r="AJ112" i="5"/>
  <c r="AJ110" i="5"/>
  <c r="AJ109" i="5"/>
  <c r="AJ108" i="5"/>
  <c r="AJ104" i="5"/>
  <c r="AJ100" i="5"/>
  <c r="AJ99" i="5"/>
  <c r="AJ97" i="5"/>
  <c r="AJ96" i="5"/>
  <c r="AJ92" i="5"/>
  <c r="AJ90" i="5"/>
  <c r="AJ89" i="5"/>
  <c r="AJ88" i="5"/>
  <c r="AJ84" i="5"/>
  <c r="AJ80" i="5"/>
  <c r="AJ78" i="5"/>
  <c r="AJ77" i="5"/>
  <c r="AJ75" i="5"/>
  <c r="AJ74" i="5"/>
  <c r="AJ73" i="5"/>
  <c r="AJ72" i="5"/>
  <c r="AJ67" i="5"/>
  <c r="AJ66" i="5"/>
  <c r="AJ65" i="5"/>
  <c r="AJ64" i="5"/>
  <c r="AJ63" i="5"/>
  <c r="AJ60" i="5"/>
  <c r="AJ59" i="5"/>
  <c r="AJ58" i="5"/>
  <c r="AJ57" i="5"/>
  <c r="AJ53" i="5"/>
  <c r="AJ50" i="5"/>
  <c r="AJ49" i="5"/>
  <c r="AJ44" i="5"/>
  <c r="AJ43" i="5"/>
  <c r="AJ40" i="5"/>
  <c r="AJ39" i="5"/>
  <c r="AJ33" i="5"/>
  <c r="AJ32" i="5"/>
  <c r="AJ31" i="5"/>
  <c r="AJ30" i="5"/>
  <c r="AJ29" i="5"/>
  <c r="AJ24" i="5"/>
  <c r="AJ21" i="5"/>
  <c r="AJ20" i="5"/>
  <c r="AJ17" i="5"/>
  <c r="AJ16" i="5"/>
  <c r="AJ15" i="5"/>
  <c r="AJ13" i="5"/>
  <c r="AJ12" i="5"/>
  <c r="AH112" i="5"/>
  <c r="AH110" i="5"/>
  <c r="AH109" i="5"/>
  <c r="AH108" i="5"/>
  <c r="AH104" i="5"/>
  <c r="AH100" i="5"/>
  <c r="AH99" i="5"/>
  <c r="AH97" i="5"/>
  <c r="AH96" i="5"/>
  <c r="AH92" i="5"/>
  <c r="AH90" i="5"/>
  <c r="AH89" i="5"/>
  <c r="AH88" i="5"/>
  <c r="AH84" i="5"/>
  <c r="AH80" i="5"/>
  <c r="AH78" i="5"/>
  <c r="AH77" i="5"/>
  <c r="AH75" i="5"/>
  <c r="AH74" i="5"/>
  <c r="AH73" i="5"/>
  <c r="AH72" i="5"/>
  <c r="AH67" i="5"/>
  <c r="AH66" i="5"/>
  <c r="AH65" i="5"/>
  <c r="AH64" i="5"/>
  <c r="AH63" i="5"/>
  <c r="AH60" i="5"/>
  <c r="AH59" i="5"/>
  <c r="AH58" i="5"/>
  <c r="AH57" i="5"/>
  <c r="AH53" i="5"/>
  <c r="AH50" i="5"/>
  <c r="AH49" i="5"/>
  <c r="AH44" i="5"/>
  <c r="AH43" i="5"/>
  <c r="AH40" i="5"/>
  <c r="AH39" i="5"/>
  <c r="AH33" i="5"/>
  <c r="AH32" i="5"/>
  <c r="AH31" i="5"/>
  <c r="AH30" i="5"/>
  <c r="AH29" i="5"/>
  <c r="AH24" i="5"/>
  <c r="AH21" i="5"/>
  <c r="AH20" i="5"/>
  <c r="AH17" i="5"/>
  <c r="AH16" i="5"/>
  <c r="AH15" i="5"/>
  <c r="AH13" i="5"/>
  <c r="AH12" i="5"/>
  <c r="AF112" i="5"/>
  <c r="AF110" i="5"/>
  <c r="AF109" i="5"/>
  <c r="AF108" i="5"/>
  <c r="AF104" i="5"/>
  <c r="AF100" i="5"/>
  <c r="AF99" i="5"/>
  <c r="AF97" i="5"/>
  <c r="AF96" i="5"/>
  <c r="AF92" i="5"/>
  <c r="AF90" i="5"/>
  <c r="AF89" i="5"/>
  <c r="AF88" i="5"/>
  <c r="AF84" i="5"/>
  <c r="AF80" i="5"/>
  <c r="AF78" i="5"/>
  <c r="AF77" i="5"/>
  <c r="AF75" i="5"/>
  <c r="AF74" i="5"/>
  <c r="AF73" i="5"/>
  <c r="AF72" i="5"/>
  <c r="AF67" i="5"/>
  <c r="AF66" i="5"/>
  <c r="AF65" i="5"/>
  <c r="AF64" i="5"/>
  <c r="AF63" i="5"/>
  <c r="AF60" i="5"/>
  <c r="AF59" i="5"/>
  <c r="AF58" i="5"/>
  <c r="AF57" i="5"/>
  <c r="AF53" i="5"/>
  <c r="AF50" i="5"/>
  <c r="AF49" i="5"/>
  <c r="AF44" i="5"/>
  <c r="AF43" i="5"/>
  <c r="AF40" i="5"/>
  <c r="AF39" i="5"/>
  <c r="AF33" i="5"/>
  <c r="AF32" i="5"/>
  <c r="AF31" i="5"/>
  <c r="AF30" i="5"/>
  <c r="AF29" i="5"/>
  <c r="AF24" i="5"/>
  <c r="AF21" i="5"/>
  <c r="AF20" i="5"/>
  <c r="AF17" i="5"/>
  <c r="AF16" i="5"/>
  <c r="AF15" i="5"/>
  <c r="AF13" i="5"/>
  <c r="AF12" i="5"/>
  <c r="AD112" i="5"/>
  <c r="AD110" i="5"/>
  <c r="AD109" i="5"/>
  <c r="AD108" i="5"/>
  <c r="AD104" i="5"/>
  <c r="AD100" i="5"/>
  <c r="AD99" i="5"/>
  <c r="AD97" i="5"/>
  <c r="AD96" i="5"/>
  <c r="AD92" i="5"/>
  <c r="AD90" i="5"/>
  <c r="AD89" i="5"/>
  <c r="AD88" i="5"/>
  <c r="AD84" i="5"/>
  <c r="AD80" i="5"/>
  <c r="AD78" i="5"/>
  <c r="AD77" i="5"/>
  <c r="AD75" i="5"/>
  <c r="AD74" i="5"/>
  <c r="AD73" i="5"/>
  <c r="AD72" i="5"/>
  <c r="AD67" i="5"/>
  <c r="AD66" i="5"/>
  <c r="AD65" i="5"/>
  <c r="AD64" i="5"/>
  <c r="AD63" i="5"/>
  <c r="AD60" i="5"/>
  <c r="AD59" i="5"/>
  <c r="AD58" i="5"/>
  <c r="AD57" i="5"/>
  <c r="AD53" i="5"/>
  <c r="AD50" i="5"/>
  <c r="AD49" i="5"/>
  <c r="AD44" i="5"/>
  <c r="AD43" i="5"/>
  <c r="AD40" i="5"/>
  <c r="AD39" i="5"/>
  <c r="AD33" i="5"/>
  <c r="AD32" i="5"/>
  <c r="AD31" i="5"/>
  <c r="AD30" i="5"/>
  <c r="AD29" i="5"/>
  <c r="AD24" i="5"/>
  <c r="AD21" i="5"/>
  <c r="AD20" i="5"/>
  <c r="AD17" i="5"/>
  <c r="AD16" i="5"/>
  <c r="AD15" i="5"/>
  <c r="AD13" i="5"/>
  <c r="AD12" i="5"/>
  <c r="AB112" i="5"/>
  <c r="AB110" i="5"/>
  <c r="AB109" i="5"/>
  <c r="AB108" i="5"/>
  <c r="AB104" i="5"/>
  <c r="AB100" i="5"/>
  <c r="AB99" i="5"/>
  <c r="AB97" i="5"/>
  <c r="AB96" i="5"/>
  <c r="AB92" i="5"/>
  <c r="AB90" i="5"/>
  <c r="AB89" i="5"/>
  <c r="AB88" i="5"/>
  <c r="AB84" i="5"/>
  <c r="AB80" i="5"/>
  <c r="AB78" i="5"/>
  <c r="AB77" i="5"/>
  <c r="AB75" i="5"/>
  <c r="AB74" i="5"/>
  <c r="AB73" i="5"/>
  <c r="AB72" i="5"/>
  <c r="AB67" i="5"/>
  <c r="AB66" i="5"/>
  <c r="AB65" i="5"/>
  <c r="AB64" i="5"/>
  <c r="AB63" i="5"/>
  <c r="AB60" i="5"/>
  <c r="AB59" i="5"/>
  <c r="AB58" i="5"/>
  <c r="AB57" i="5"/>
  <c r="AB53" i="5"/>
  <c r="AB50" i="5"/>
  <c r="AB49" i="5"/>
  <c r="AB44" i="5"/>
  <c r="AB43" i="5"/>
  <c r="AB40" i="5"/>
  <c r="AB39" i="5"/>
  <c r="AB33" i="5"/>
  <c r="AB32" i="5"/>
  <c r="AB31" i="5"/>
  <c r="AB30" i="5"/>
  <c r="AB29" i="5"/>
  <c r="AB24" i="5"/>
  <c r="AB21" i="5"/>
  <c r="AB20" i="5"/>
  <c r="AB17" i="5"/>
  <c r="AB16" i="5"/>
  <c r="AB15" i="5"/>
  <c r="AB13" i="5"/>
  <c r="AB12" i="5"/>
  <c r="Z112" i="5"/>
  <c r="Z110" i="5"/>
  <c r="Z109" i="5"/>
  <c r="Z108" i="5"/>
  <c r="Z104" i="5"/>
  <c r="Z100" i="5"/>
  <c r="Z99" i="5"/>
  <c r="Z97" i="5"/>
  <c r="Z96" i="5"/>
  <c r="Z92" i="5"/>
  <c r="Z90" i="5"/>
  <c r="Z89" i="5"/>
  <c r="Z88" i="5"/>
  <c r="Z84" i="5"/>
  <c r="Z80" i="5"/>
  <c r="Z78" i="5"/>
  <c r="Z77" i="5"/>
  <c r="Z75" i="5"/>
  <c r="Z74" i="5"/>
  <c r="Z73" i="5"/>
  <c r="Z72" i="5"/>
  <c r="Z67" i="5"/>
  <c r="Z66" i="5"/>
  <c r="Z65" i="5"/>
  <c r="Z64" i="5"/>
  <c r="Z63" i="5"/>
  <c r="Z60" i="5"/>
  <c r="Z59" i="5"/>
  <c r="Z58" i="5"/>
  <c r="Z57" i="5"/>
  <c r="Z53" i="5"/>
  <c r="Z50" i="5"/>
  <c r="Z49" i="5"/>
  <c r="Z44" i="5"/>
  <c r="Z43" i="5"/>
  <c r="Z40" i="5"/>
  <c r="Z39" i="5"/>
  <c r="Z33" i="5"/>
  <c r="Z32" i="5"/>
  <c r="Z31" i="5"/>
  <c r="Z30" i="5"/>
  <c r="Z29" i="5"/>
  <c r="Z24" i="5"/>
  <c r="Z21" i="5"/>
  <c r="Z20" i="5"/>
  <c r="Z17" i="5"/>
  <c r="Z16" i="5"/>
  <c r="Z15" i="5"/>
  <c r="Z13" i="5"/>
  <c r="Z12" i="5"/>
  <c r="X112" i="5"/>
  <c r="X110" i="5"/>
  <c r="X109" i="5"/>
  <c r="X108" i="5"/>
  <c r="X104" i="5"/>
  <c r="X100" i="5"/>
  <c r="X99" i="5"/>
  <c r="X97" i="5"/>
  <c r="X96" i="5"/>
  <c r="X92" i="5"/>
  <c r="X90" i="5"/>
  <c r="X89" i="5"/>
  <c r="X88" i="5"/>
  <c r="X84" i="5"/>
  <c r="X80" i="5"/>
  <c r="X78" i="5"/>
  <c r="X77" i="5"/>
  <c r="X75" i="5"/>
  <c r="X74" i="5"/>
  <c r="X73" i="5"/>
  <c r="X72" i="5"/>
  <c r="X67" i="5"/>
  <c r="X66" i="5"/>
  <c r="X65" i="5"/>
  <c r="X64" i="5"/>
  <c r="X63" i="5"/>
  <c r="X60" i="5"/>
  <c r="X59" i="5"/>
  <c r="X58" i="5"/>
  <c r="X57" i="5"/>
  <c r="X53" i="5"/>
  <c r="X50" i="5"/>
  <c r="X49" i="5"/>
  <c r="X44" i="5"/>
  <c r="X43" i="5"/>
  <c r="X40" i="5"/>
  <c r="X39" i="5"/>
  <c r="X33" i="5"/>
  <c r="X32" i="5"/>
  <c r="X31" i="5"/>
  <c r="X30" i="5"/>
  <c r="X29" i="5"/>
  <c r="X24" i="5"/>
  <c r="X21" i="5"/>
  <c r="X20" i="5"/>
  <c r="X17" i="5"/>
  <c r="X16" i="5"/>
  <c r="X15" i="5"/>
  <c r="X13" i="5"/>
  <c r="X12" i="5"/>
  <c r="V112" i="5"/>
  <c r="V110" i="5"/>
  <c r="V109" i="5"/>
  <c r="V108" i="5"/>
  <c r="V104" i="5"/>
  <c r="V100" i="5"/>
  <c r="V99" i="5"/>
  <c r="V97" i="5"/>
  <c r="V96" i="5"/>
  <c r="V92" i="5"/>
  <c r="V90" i="5"/>
  <c r="V89" i="5"/>
  <c r="V88" i="5"/>
  <c r="V84" i="5"/>
  <c r="V80" i="5"/>
  <c r="V78" i="5"/>
  <c r="V77" i="5"/>
  <c r="V75" i="5"/>
  <c r="V74" i="5"/>
  <c r="V73" i="5"/>
  <c r="V72" i="5"/>
  <c r="V67" i="5"/>
  <c r="V66" i="5"/>
  <c r="V65" i="5"/>
  <c r="V64" i="5"/>
  <c r="V63" i="5"/>
  <c r="V60" i="5"/>
  <c r="V59" i="5"/>
  <c r="V58" i="5"/>
  <c r="V57" i="5"/>
  <c r="V53" i="5"/>
  <c r="V50" i="5"/>
  <c r="V49" i="5"/>
  <c r="V44" i="5"/>
  <c r="V43" i="5"/>
  <c r="V40" i="5"/>
  <c r="V39" i="5"/>
  <c r="V33" i="5"/>
  <c r="V32" i="5"/>
  <c r="V31" i="5"/>
  <c r="V30" i="5"/>
  <c r="V29" i="5"/>
  <c r="V24" i="5"/>
  <c r="V21" i="5"/>
  <c r="V20" i="5"/>
  <c r="V17" i="5"/>
  <c r="V16" i="5"/>
  <c r="V15" i="5"/>
  <c r="V13" i="5"/>
  <c r="V12" i="5"/>
  <c r="T112" i="5"/>
  <c r="T110" i="5"/>
  <c r="T109" i="5"/>
  <c r="T108" i="5"/>
  <c r="T104" i="5"/>
  <c r="T100" i="5"/>
  <c r="T99" i="5"/>
  <c r="T97" i="5"/>
  <c r="T96" i="5"/>
  <c r="T92" i="5"/>
  <c r="T90" i="5"/>
  <c r="T89" i="5"/>
  <c r="T88" i="5"/>
  <c r="T84" i="5"/>
  <c r="T80" i="5"/>
  <c r="T78" i="5"/>
  <c r="T77" i="5"/>
  <c r="T75" i="5"/>
  <c r="T74" i="5"/>
  <c r="T73" i="5"/>
  <c r="T72" i="5"/>
  <c r="T67" i="5"/>
  <c r="T66" i="5"/>
  <c r="T65" i="5"/>
  <c r="T64" i="5"/>
  <c r="T63" i="5"/>
  <c r="T60" i="5"/>
  <c r="T59" i="5"/>
  <c r="T58" i="5"/>
  <c r="T57" i="5"/>
  <c r="T53" i="5"/>
  <c r="T50" i="5"/>
  <c r="T49" i="5"/>
  <c r="T44" i="5"/>
  <c r="T43" i="5"/>
  <c r="T40" i="5"/>
  <c r="T39" i="5"/>
  <c r="T33" i="5"/>
  <c r="T32" i="5"/>
  <c r="T31" i="5"/>
  <c r="T30" i="5"/>
  <c r="T29" i="5"/>
  <c r="T24" i="5"/>
  <c r="T21" i="5"/>
  <c r="T20" i="5"/>
  <c r="T17" i="5"/>
  <c r="T16" i="5"/>
  <c r="T15" i="5"/>
  <c r="T13" i="5"/>
  <c r="T12" i="5"/>
  <c r="R112" i="5"/>
  <c r="R110" i="5"/>
  <c r="R109" i="5"/>
  <c r="R108" i="5"/>
  <c r="R104" i="5"/>
  <c r="R100" i="5"/>
  <c r="R99" i="5"/>
  <c r="R97" i="5"/>
  <c r="R96" i="5"/>
  <c r="R92" i="5"/>
  <c r="R90" i="5"/>
  <c r="R89" i="5"/>
  <c r="R88" i="5"/>
  <c r="R84" i="5"/>
  <c r="R80" i="5"/>
  <c r="R78" i="5"/>
  <c r="R77" i="5"/>
  <c r="R75" i="5"/>
  <c r="R74" i="5"/>
  <c r="R73" i="5"/>
  <c r="R72" i="5"/>
  <c r="R67" i="5"/>
  <c r="R66" i="5"/>
  <c r="R65" i="5"/>
  <c r="R64" i="5"/>
  <c r="R63" i="5"/>
  <c r="R60" i="5"/>
  <c r="R59" i="5"/>
  <c r="R58" i="5"/>
  <c r="R57" i="5"/>
  <c r="R53" i="5"/>
  <c r="R50" i="5"/>
  <c r="R49" i="5"/>
  <c r="R44" i="5"/>
  <c r="R43" i="5"/>
  <c r="R40" i="5"/>
  <c r="R39" i="5"/>
  <c r="R33" i="5"/>
  <c r="R32" i="5"/>
  <c r="R31" i="5"/>
  <c r="R30" i="5"/>
  <c r="R29" i="5"/>
  <c r="R24" i="5"/>
  <c r="R21" i="5"/>
  <c r="R20" i="5"/>
  <c r="R17" i="5"/>
  <c r="R16" i="5"/>
  <c r="R15" i="5"/>
  <c r="R13" i="5"/>
  <c r="R12" i="5"/>
  <c r="P112" i="5"/>
  <c r="P110" i="5"/>
  <c r="P109" i="5"/>
  <c r="P108" i="5"/>
  <c r="P104" i="5"/>
  <c r="P100" i="5"/>
  <c r="P99" i="5"/>
  <c r="P97" i="5"/>
  <c r="P96" i="5"/>
  <c r="P92" i="5"/>
  <c r="P90" i="5"/>
  <c r="P89" i="5"/>
  <c r="P88" i="5"/>
  <c r="P84" i="5"/>
  <c r="P80" i="5"/>
  <c r="P78" i="5"/>
  <c r="P77" i="5"/>
  <c r="P75" i="5"/>
  <c r="P74" i="5"/>
  <c r="P73" i="5"/>
  <c r="P72" i="5"/>
  <c r="P67" i="5"/>
  <c r="P66" i="5"/>
  <c r="P65" i="5"/>
  <c r="P64" i="5"/>
  <c r="P63" i="5"/>
  <c r="P60" i="5"/>
  <c r="P59" i="5"/>
  <c r="P58" i="5"/>
  <c r="P57" i="5"/>
  <c r="P53" i="5"/>
  <c r="P50" i="5"/>
  <c r="P49" i="5"/>
  <c r="P44" i="5"/>
  <c r="P43" i="5"/>
  <c r="P40" i="5"/>
  <c r="P39" i="5"/>
  <c r="P33" i="5"/>
  <c r="P32" i="5"/>
  <c r="P31" i="5"/>
  <c r="P30" i="5"/>
  <c r="P29" i="5"/>
  <c r="P24" i="5"/>
  <c r="P21" i="5"/>
  <c r="P20" i="5"/>
  <c r="P17" i="5"/>
  <c r="P16" i="5"/>
  <c r="P15" i="5"/>
  <c r="P13" i="5"/>
  <c r="P12" i="5"/>
  <c r="N112" i="5"/>
  <c r="N110" i="5"/>
  <c r="N109" i="5"/>
  <c r="N108" i="5"/>
  <c r="N104" i="5"/>
  <c r="N100" i="5"/>
  <c r="N99" i="5"/>
  <c r="N97" i="5"/>
  <c r="N96" i="5"/>
  <c r="N92" i="5"/>
  <c r="N90" i="5"/>
  <c r="N89" i="5"/>
  <c r="N88" i="5"/>
  <c r="N84" i="5"/>
  <c r="N80" i="5"/>
  <c r="N78" i="5"/>
  <c r="N77" i="5"/>
  <c r="N75" i="5"/>
  <c r="N74" i="5"/>
  <c r="N73" i="5"/>
  <c r="N72" i="5"/>
  <c r="N67" i="5"/>
  <c r="N66" i="5"/>
  <c r="N65" i="5"/>
  <c r="N64" i="5"/>
  <c r="N63" i="5"/>
  <c r="N60" i="5"/>
  <c r="N59" i="5"/>
  <c r="N58" i="5"/>
  <c r="N57" i="5"/>
  <c r="N53" i="5"/>
  <c r="N50" i="5"/>
  <c r="N49" i="5"/>
  <c r="N44" i="5"/>
  <c r="N43" i="5"/>
  <c r="N40" i="5"/>
  <c r="N39" i="5"/>
  <c r="N33" i="5"/>
  <c r="N32" i="5"/>
  <c r="N31" i="5"/>
  <c r="N30" i="5"/>
  <c r="N29" i="5"/>
  <c r="N24" i="5"/>
  <c r="N21" i="5"/>
  <c r="N20" i="5"/>
  <c r="N17" i="5"/>
  <c r="N16" i="5"/>
  <c r="N15" i="5"/>
  <c r="N12" i="5"/>
  <c r="L112" i="5"/>
  <c r="L110" i="5"/>
  <c r="L109" i="5"/>
  <c r="L108" i="5"/>
  <c r="L104" i="5"/>
  <c r="L100" i="5"/>
  <c r="L99" i="5"/>
  <c r="L97" i="5"/>
  <c r="L96" i="5"/>
  <c r="L92" i="5"/>
  <c r="L90" i="5"/>
  <c r="L89" i="5"/>
  <c r="L88" i="5"/>
  <c r="L84" i="5"/>
  <c r="L80" i="5"/>
  <c r="L78" i="5"/>
  <c r="L77" i="5"/>
  <c r="L75" i="5"/>
  <c r="L74" i="5"/>
  <c r="L73" i="5"/>
  <c r="L72" i="5"/>
  <c r="L67" i="5"/>
  <c r="L66" i="5"/>
  <c r="L65" i="5"/>
  <c r="L64" i="5"/>
  <c r="L63" i="5"/>
  <c r="L60" i="5"/>
  <c r="L59" i="5"/>
  <c r="L58" i="5"/>
  <c r="L57" i="5"/>
  <c r="L53" i="5"/>
  <c r="L50" i="5"/>
  <c r="L49" i="5"/>
  <c r="L44" i="5"/>
  <c r="L43" i="5"/>
  <c r="L40" i="5"/>
  <c r="L39" i="5"/>
  <c r="L33" i="5"/>
  <c r="L32" i="5"/>
  <c r="L31" i="5"/>
  <c r="L30" i="5"/>
  <c r="L29" i="5"/>
  <c r="L24" i="5"/>
  <c r="L21" i="5"/>
  <c r="L20" i="5"/>
  <c r="L17" i="5"/>
  <c r="L16" i="5"/>
  <c r="L15" i="5"/>
  <c r="L13" i="5"/>
  <c r="L117" i="5"/>
  <c r="N13" i="5"/>
  <c r="L12" i="5"/>
</calcChain>
</file>

<file path=xl/sharedStrings.xml><?xml version="1.0" encoding="utf-8"?>
<sst xmlns="http://schemas.openxmlformats.org/spreadsheetml/2006/main" count="4074" uniqueCount="460">
  <si>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</si>
  <si>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</si>
  <si>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</si>
  <si>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</si>
  <si>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</si>
  <si>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</si>
  <si>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</si>
  <si>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</si>
  <si>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</si>
  <si>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</si>
  <si>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</si>
  <si>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</si>
  <si>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</si>
  <si>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</si>
  <si>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</si>
  <si>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</si>
  <si>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</si>
  <si>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</si>
  <si>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</si>
  <si>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</si>
  <si>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</si>
  <si>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</si>
  <si>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</si>
  <si>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</si>
  <si>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</si>
  <si>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</si>
  <si>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</si>
  <si>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</si>
  <si>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</si>
  <si>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</si>
  <si>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</si>
  <si>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</si>
  <si>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</si>
  <si>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</si>
  <si>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</si>
  <si>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</si>
  <si>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</si>
  <si>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</si>
  <si>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</si>
  <si>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</si>
  <si>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</si>
  <si>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</si>
  <si>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</si>
  <si>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</si>
  <si>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</si>
  <si>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</si>
  <si>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</si>
  <si>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</si>
  <si>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</si>
  <si>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</si>
  <si>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</si>
  <si>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</si>
  <si>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</si>
  <si>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</si>
  <si>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</si>
  <si>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</si>
  <si>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</si>
  <si>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</si>
  <si>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</si>
  <si>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</si>
  <si>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</si>
  <si>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</si>
  <si>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</si>
  <si>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</si>
  <si>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</si>
  <si>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</si>
  <si>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</si>
  <si>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</si>
  <si>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</si>
  <si>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</si>
  <si>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</si>
  <si>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</si>
  <si>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</si>
  <si>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</si>
  <si>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</si>
  <si>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</si>
  <si>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</si>
  <si>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</si>
  <si>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</si>
  <si>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</si>
  <si>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</si>
  <si>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</si>
  <si>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</si>
  <si>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</si>
  <si>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</si>
  <si>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</si>
  <si>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</si>
  <si>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</si>
  <si>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</si>
  <si>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</si>
  <si>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</si>
  <si>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</si>
  <si>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</si>
  <si>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</si>
  <si>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</si>
  <si>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</si>
  <si>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</si>
  <si>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</si>
  <si>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</si>
  <si>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</si>
  <si>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</si>
  <si>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</si>
  <si>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</si>
  <si>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</si>
  <si>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</si>
  <si>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</si>
  <si>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</si>
  <si>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</si>
  <si>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</si>
  <si>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</si>
  <si>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</si>
  <si>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</si>
  <si>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</si>
  <si>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</si>
  <si>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</si>
  <si>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</si>
  <si>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</si>
  <si>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</si>
  <si>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</si>
  <si>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</si>
  <si>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</si>
  <si>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</si>
  <si>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</si>
  <si>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</si>
  <si>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</si>
  <si>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</si>
  <si>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</si>
  <si>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</si>
  <si>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</si>
  <si>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</si>
  <si>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</si>
  <si>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</si>
  <si>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</si>
  <si>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</si>
  <si>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</si>
  <si>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</si>
  <si>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</si>
  <si>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</si>
  <si>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</si>
  <si>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</si>
  <si>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</si>
  <si>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</si>
  <si>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</si>
  <si>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</si>
  <si>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</si>
  <si>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</si>
  <si>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</si>
  <si>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</si>
  <si>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</si>
  <si>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</si>
  <si>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</si>
  <si>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</si>
  <si>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</si>
  <si>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</si>
  <si>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</si>
  <si>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</si>
  <si>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</si>
  <si>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</si>
  <si>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</si>
  <si>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</si>
  <si>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</si>
  <si>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</si>
  <si>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</si>
  <si>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</si>
  <si>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</si>
  <si>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</si>
  <si>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</si>
  <si>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</si>
  <si>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</si>
  <si>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</si>
  <si>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</si>
  <si>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Few minor and/or temporary adverse effects recorded. No change in seizure frequency reported.</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</si>
  <si>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</si>
  <si>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</si>
  <si>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</si>
  <si>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</si>
  <si>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</si>
  <si>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</si>
  <si>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</si>
  <si>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</si>
  <si>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</si>
  <si>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</si>
  <si>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</si>
  <si>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</si>
  <si>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</si>
  <si>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</si>
  <si>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</si>
  <si>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</si>
  <si>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</si>
  <si>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</si>
  <si>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</si>
  <si>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</si>
  <si>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</si>
  <si>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</si>
  <si>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</si>
  <si>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</si>
  <si>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</si>
  <si>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</si>
  <si>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</si>
  <si>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</si>
  <si>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</si>
  <si>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</si>
  <si>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</si>
  <si>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</si>
  <si>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</si>
  <si>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</si>
  <si>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</si>
  <si>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</si>
  <si>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</si>
  <si>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</si>
  <si>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</si>
  <si>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</si>
  <si>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</si>
  <si>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</si>
  <si>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</si>
  <si>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</si>
  <si>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</si>
  <si>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</si>
  <si>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</si>
  <si>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</si>
  <si>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</si>
  <si>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</si>
  <si>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</si>
  <si>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</si>
  <si>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</si>
  <si>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</si>
  <si>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</si>
  <si>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</si>
  <si>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</si>
  <si>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</si>
  <si>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</si>
  <si>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</si>
  <si>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</si>
  <si>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</si>
  <si>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</si>
  <si>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</si>
  <si>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</si>
  <si>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</si>
  <si>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</si>
  <si>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</si>
  <si>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</si>
  <si>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</si>
  <si>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</si>
  <si>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</si>
  <si>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N</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</si>
  <si>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</si>
  <si>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</si>
  <si>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</si>
  <si>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</si>
  <si>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</si>
  <si>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</si>
  <si>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</si>
  <si>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</si>
  <si>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</si>
  <si>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</si>
  <si>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</si>
  <si>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</si>
  <si>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</si>
  <si>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</si>
  <si>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</si>
  <si>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</si>
  <si>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</si>
  <si>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</si>
  <si>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</si>
  <si>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</si>
  <si>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</si>
  <si>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</si>
  <si>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</si>
  <si>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</si>
  <si>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</si>
  <si>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</si>
  <si>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</si>
  <si>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</si>
  <si>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</si>
  <si>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</si>
  <si>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</si>
  <si>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</si>
  <si>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</si>
  <si>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</si>
  <si>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</si>
  <si>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</si>
  <si>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</si>
  <si>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</si>
  <si>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</si>
  <si>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</si>
  <si>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</si>
  <si>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</si>
  <si>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</si>
  <si>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</si>
  <si>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</si>
  <si>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</si>
  <si>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</si>
  <si>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</si>
  <si>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</si>
  <si>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</si>
  <si>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</si>
  <si>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</si>
  <si>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</si>
  <si>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</si>
  <si>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</si>
  <si>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</si>
  <si>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</si>
  <si>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</si>
  <si>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</si>
  <si>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</si>
  <si>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</si>
  <si>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</si>
  <si>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</si>
  <si>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</si>
  <si>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</si>
  <si>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</si>
  <si>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</si>
  <si>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</si>
  <si>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</si>
  <si>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</si>
  <si>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</si>
  <si>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</si>
  <si>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</si>
  <si>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</si>
  <si>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</si>
  <si>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</si>
  <si>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</si>
  <si>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</si>
  <si>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</si>
  <si>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</si>
  <si>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</si>
  <si>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</si>
  <si>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</si>
  <si>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</si>
  <si>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</si>
  <si>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</si>
  <si>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</si>
  <si>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</si>
  <si>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</si>
  <si>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</si>
  <si>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</si>
  <si>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</si>
  <si>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</si>
  <si>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</si>
  <si>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</si>
  <si>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</si>
  <si>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</si>
  <si>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</si>
  <si>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</si>
  <si>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</si>
  <si>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</si>
  <si>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</si>
  <si>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</si>
  <si>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</si>
  <si>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</si>
  <si>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</si>
  <si>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</si>
  <si>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</si>
  <si>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</si>
  <si>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</si>
  <si>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</si>
  <si>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</si>
  <si>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</si>
  <si>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</si>
  <si>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</si>
  <si>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</si>
  <si>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</si>
  <si>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</si>
  <si>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</si>
  <si>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</si>
  <si>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</si>
  <si>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</si>
  <si>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</si>
  <si>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</si>
  <si>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</si>
  <si>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</si>
  <si>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</si>
  <si>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</si>
  <si>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</si>
  <si>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</si>
  <si>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</si>
  <si>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</si>
  <si>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</si>
  <si>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</si>
  <si>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</si>
  <si>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</si>
  <si>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</si>
  <si>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</si>
  <si>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</si>
  <si>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</si>
  <si>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</si>
  <si>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</si>
  <si>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</si>
  <si>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</si>
  <si>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</si>
  <si>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</si>
  <si>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</si>
  <si>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</si>
  <si>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</si>
  <si>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</si>
  <si>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</si>
  <si>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</si>
  <si>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</si>
  <si>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</si>
  <si>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</si>
  <si>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</si>
  <si>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</si>
  <si>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</si>
  <si>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t>Δ (n - n(p))</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</si>
  <si>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</si>
  <si>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</si>
  <si>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</si>
  <si>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</si>
  <si>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</si>
  <si>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</si>
  <si>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</si>
  <si>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</si>
  <si>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</si>
  <si>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</si>
  <si>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</si>
  <si>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</si>
  <si>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</si>
  <si>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</si>
  <si>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</si>
  <si>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</si>
  <si>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</si>
  <si>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</si>
  <si>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</si>
  <si>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</si>
  <si>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</si>
  <si>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</si>
  <si>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</si>
  <si>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</si>
  <si>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</si>
  <si>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</si>
  <si>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</si>
  <si>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</si>
  <si>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</si>
  <si>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</si>
  <si>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Objective</t>
  </si>
  <si>
    <t>…</t>
  </si>
  <si>
    <t>Subjective Sleep Scores</t>
  </si>
  <si>
    <t>SQL</t>
  </si>
  <si>
    <t>Pre</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</si>
  <si>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</si>
  <si>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</si>
  <si>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</si>
  <si>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</si>
  <si>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</si>
  <si>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</si>
  <si>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</si>
  <si>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</si>
  <si>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</si>
  <si>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</si>
  <si>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TST MLT PRE (MEAN: 6.9; RANGE: 6.5 - 8.0) DURING (MEAN: 4.9; RANGE: 1.5 - 7.0) POST (MEAN: 6.1; RANGE: 4.5 - 8.0)</t>
  </si>
  <si>
    <t xml:space="preserve">SD: MLT PSQI PRE (±4.2) Δ (±2.4); PLB PSQI PRE (±3.3) Δ (±2.0) </t>
  </si>
  <si>
    <t>Children's Sleep Habit Questionnaire (CSHQ)</t>
  </si>
  <si>
    <t>Stanford Sleep Scale (SSS)</t>
  </si>
  <si>
    <t>N(T)</t>
  </si>
  <si>
    <t>n(ae)</t>
  </si>
  <si>
    <t>n(ae) = number of subjects experiencing adverse effect in all trials; N(T) = total number of subjects in all trials in which adverse effect was reported; N(ALL) = total number of subjects in all trials</t>
  </si>
  <si>
    <t>N(ALL)</t>
  </si>
  <si>
    <t>Δ (n(m) - n(p))</t>
  </si>
  <si>
    <t>Δ(n(m) - n(p)) = number of subjects experiencing adverse effect in melatonin group minus number of subjects experiencing adverse effect in placebo group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</si>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</sst>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s>
  <fills count="16">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s>
  <borders count="229">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right style="thin">
        <color rgb="FF95B6EC"/>
      </right>
      <top style="thin">
        <color rgb="FF95B6EC"/>
      </top>
      <bottom style="medium">
        <color rgb="FF839FDE"/>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thin">
        <color rgb="FF95B6EC"/>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style="thin">
        <color rgb="FF95B6EC"/>
      </left>
      <right style="thin">
        <color rgb="FF95B6EC"/>
      </right>
      <top style="thin">
        <color rgb="FF95B6EC"/>
      </top>
      <bottom style="thin">
        <color rgb="FF95B6EC"/>
      </bottom>
      <diagonal/>
    </border>
    <border>
      <left/>
      <right style="thin">
        <color rgb="FF95B6EC"/>
      </right>
      <top style="medium">
        <color rgb="FF95B6EC"/>
      </top>
      <bottom style="thin">
        <color rgb="FF95B6EC"/>
      </bottom>
      <diagonal/>
    </border>
    <border>
      <left style="thin">
        <color rgb="FF95B6EC"/>
      </left>
      <right style="thin">
        <color rgb="FF95B6EC"/>
      </right>
      <top style="medium">
        <color rgb="FF95B6EC"/>
      </top>
      <bottom style="thin">
        <color rgb="FF95B6EC"/>
      </bottom>
      <diagonal/>
    </border>
    <border>
      <left style="thin">
        <color rgb="FF80B345"/>
      </left>
      <right style="thin">
        <color rgb="FF80B345"/>
      </right>
      <top style="medium">
        <color rgb="FF95B6EC"/>
      </top>
      <bottom style="thin">
        <color rgb="FF80B345"/>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thin">
        <color rgb="FF80B345"/>
      </left>
      <right style="medium">
        <color rgb="FF95B6EC"/>
      </right>
      <top style="thin">
        <color rgb="FF80B345"/>
      </top>
      <bottom style="thin">
        <color rgb="FF80B345"/>
      </bottom>
      <diagonal/>
    </border>
    <border>
      <left style="medium">
        <color rgb="FF95B6EC"/>
      </left>
      <right style="thin">
        <color rgb="FF80B345"/>
      </right>
      <top style="thin">
        <color rgb="FF80B345"/>
      </top>
      <bottom style="medium">
        <color rgb="FF839FDE"/>
      </bottom>
      <diagonal/>
    </border>
    <border>
      <left style="thin">
        <color rgb="FF80B345"/>
      </left>
      <right style="thin">
        <color rgb="FF80B345"/>
      </right>
      <top style="thin">
        <color rgb="FF80B345"/>
      </top>
      <bottom style="medium">
        <color rgb="FF839FDE"/>
      </bottom>
      <diagonal/>
    </border>
    <border>
      <left style="thin">
        <color rgb="FF80B345"/>
      </left>
      <right style="medium">
        <color rgb="FF95B6EC"/>
      </right>
      <top style="thin">
        <color rgb="FF80B345"/>
      </top>
      <bottom style="medium">
        <color rgb="FF839FDE"/>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thin">
        <color rgb="FF80B345"/>
      </left>
      <right style="medium">
        <color rgb="FF95B6EC"/>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medium">
        <color rgb="FF95B6EC"/>
      </top>
      <bottom style="thin">
        <color rgb="FF80B345"/>
      </bottom>
      <diagonal/>
    </border>
    <border>
      <left style="thin">
        <color rgb="FF80B345"/>
      </left>
      <right style="medium">
        <color rgb="FF839FDE"/>
      </right>
      <top style="medium">
        <color rgb="FF95B6EC"/>
      </top>
      <bottom style="thin">
        <color rgb="FF80B345"/>
      </bottom>
      <diagonal/>
    </border>
    <border>
      <left style="medium">
        <color rgb="FF839FDE"/>
      </left>
      <right style="thin">
        <color rgb="FF80B345"/>
      </right>
      <top style="thin">
        <color rgb="FF80B345"/>
      </top>
      <bottom style="thin">
        <color rgb="FF80B345"/>
      </bottom>
      <diagonal/>
    </border>
    <border>
      <left style="thin">
        <color rgb="FF80B345"/>
      </left>
      <right style="medium">
        <color rgb="FF839FDE"/>
      </right>
      <top style="thin">
        <color rgb="FF80B345"/>
      </top>
      <bottom style="thin">
        <color rgb="FF80B345"/>
      </bottom>
      <diagonal/>
    </border>
    <border>
      <left style="thin">
        <color rgb="FF80B345"/>
      </left>
      <right style="medium">
        <color rgb="FF839FDE"/>
      </right>
      <top/>
      <bottom style="thin">
        <color rgb="FF80B345"/>
      </bottom>
      <diagonal/>
    </border>
    <border>
      <left style="medium">
        <color rgb="FF839FDE"/>
      </left>
      <right style="thin">
        <color rgb="FF95B6EC"/>
      </right>
      <top style="medium">
        <color rgb="FF839FDE"/>
      </top>
      <bottom style="thin">
        <color rgb="FF839FDE"/>
      </bottom>
      <diagonal/>
    </border>
    <border>
      <left style="thin">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diagonal/>
    </border>
    <border>
      <left style="medium">
        <color rgb="FF839FDE"/>
      </left>
      <right style="medium">
        <color rgb="FF839FDE"/>
      </right>
      <top/>
      <bottom/>
      <diagonal/>
    </border>
    <border>
      <left style="medium">
        <color rgb="FF839FDE"/>
      </left>
      <right style="medium">
        <color rgb="FF839FDE"/>
      </right>
      <top/>
      <bottom style="medium">
        <color rgb="FF839FDE"/>
      </bottom>
      <diagonal/>
    </border>
    <border>
      <left/>
      <right/>
      <top style="thin">
        <color rgb="FF80B345"/>
      </top>
      <bottom style="thin">
        <color rgb="FF80B345"/>
      </bottom>
      <diagonal/>
    </border>
    <border>
      <left style="thin">
        <color rgb="FF80B345"/>
      </left>
      <right/>
      <top style="medium">
        <color rgb="FF95B6EC"/>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medium">
        <color rgb="FF95B6EC"/>
      </top>
      <bottom style="thin">
        <color rgb="FF80B345"/>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right style="thin">
        <color rgb="FF80B345"/>
      </right>
      <top style="thin">
        <color rgb="FF80B345"/>
      </top>
      <bottom style="medium">
        <color rgb="FF839FDE"/>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medium">
        <color rgb="FF95B6EC"/>
      </top>
      <bottom style="medium">
        <color rgb="FF80B345"/>
      </bottom>
      <diagonal/>
    </border>
    <border>
      <left/>
      <right style="thin">
        <color rgb="FF80B345"/>
      </right>
      <top style="medium">
        <color rgb="FF95B6EC"/>
      </top>
      <bottom style="medium">
        <color rgb="FF80B345"/>
      </bottom>
      <diagonal/>
    </border>
    <border>
      <left style="thin">
        <color rgb="FF80B345"/>
      </left>
      <right style="thin">
        <color rgb="FF80B345"/>
      </right>
      <top style="medium">
        <color rgb="FF95B6EC"/>
      </top>
      <bottom style="medium">
        <color rgb="FF80B345"/>
      </bottom>
      <diagonal/>
    </border>
    <border>
      <left style="thin">
        <color rgb="FF80B345"/>
      </left>
      <right style="medium">
        <color rgb="FF95B6EC"/>
      </right>
      <top style="medium">
        <color rgb="FF95B6EC"/>
      </top>
      <bottom style="medium">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right style="thin">
        <color rgb="FF80B345"/>
      </right>
      <top style="thin">
        <color rgb="FF80B345"/>
      </top>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right style="medium">
        <color rgb="FF9DB4DC"/>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39FDE"/>
      </left>
      <right style="thin">
        <color rgb="FF95B6EC"/>
      </right>
      <top style="thin">
        <color rgb="FF95B6EC"/>
      </top>
      <bottom/>
      <diagonal/>
    </border>
    <border>
      <left style="medium">
        <color rgb="FF95B6EC"/>
      </left>
      <right/>
      <top style="medium">
        <color rgb="FF95B6EC"/>
      </top>
      <bottom style="medium">
        <color rgb="FF839FDE"/>
      </bottom>
      <diagonal/>
    </border>
    <border>
      <left/>
      <right style="medium">
        <color rgb="FF95B6EC"/>
      </right>
      <top style="medium">
        <color rgb="FF95B6EC"/>
      </top>
      <bottom style="medium">
        <color rgb="FF839FDE"/>
      </bottom>
      <diagonal/>
    </border>
    <border>
      <left style="medium">
        <color rgb="FF9DB4DC"/>
      </left>
      <right/>
      <top style="thin">
        <color rgb="FF80B345"/>
      </top>
      <bottom/>
      <diagonal/>
    </border>
    <border>
      <left/>
      <right/>
      <top style="thin">
        <color rgb="FF80B345"/>
      </top>
      <bottom/>
      <diagonal/>
    </border>
    <border>
      <left/>
      <right style="medium">
        <color rgb="FF9DB4DC"/>
      </right>
      <top style="thin">
        <color rgb="FF80B345"/>
      </top>
      <bottom/>
      <diagonal/>
    </border>
    <border>
      <left style="medium">
        <color rgb="FF95B6EC"/>
      </left>
      <right style="thin">
        <color rgb="FF80B345"/>
      </right>
      <top style="medium">
        <color rgb="FF80B345"/>
      </top>
      <bottom style="medium">
        <color rgb="FF839FDE"/>
      </bottom>
      <diagonal/>
    </border>
    <border>
      <left/>
      <right style="thin">
        <color rgb="FF80B345"/>
      </right>
      <top style="medium">
        <color rgb="FF80B345"/>
      </top>
      <bottom style="medium">
        <color rgb="FF839FDE"/>
      </bottom>
      <diagonal/>
    </border>
    <border>
      <left style="thin">
        <color rgb="FF80B345"/>
      </left>
      <right style="thin">
        <color rgb="FF80B345"/>
      </right>
      <top style="medium">
        <color rgb="FF80B345"/>
      </top>
      <bottom style="medium">
        <color rgb="FF839FDE"/>
      </bottom>
      <diagonal/>
    </border>
    <border>
      <left style="thin">
        <color rgb="FF80B345"/>
      </left>
      <right style="medium">
        <color rgb="FF95B6EC"/>
      </right>
      <top style="medium">
        <color rgb="FF80B345"/>
      </top>
      <bottom style="medium">
        <color rgb="FF839FDE"/>
      </bottom>
      <diagonal/>
    </border>
    <border>
      <left style="thin">
        <color rgb="FF95B6EC"/>
      </left>
      <right/>
      <top style="thin">
        <color rgb="FF95B6EC"/>
      </top>
      <bottom style="medium">
        <color rgb="FF95B6EC"/>
      </bottom>
      <diagonal/>
    </border>
    <border>
      <left/>
      <right/>
      <top style="thin">
        <color rgb="FF95B6EC"/>
      </top>
      <bottom style="medium">
        <color rgb="FF95B6EC"/>
      </bottom>
      <diagonal/>
    </border>
    <border>
      <left/>
      <right style="medium">
        <color rgb="FF9DB4DC"/>
      </right>
      <top style="thin">
        <color rgb="FF95B6EC"/>
      </top>
      <bottom style="medium">
        <color rgb="FF95B6EC"/>
      </bottom>
      <diagonal/>
    </border>
    <border>
      <left style="thin">
        <color rgb="FF80B345"/>
      </left>
      <right/>
      <top/>
      <bottom/>
      <diagonal/>
    </border>
    <border>
      <left style="medium">
        <color rgb="FF95B6EC"/>
      </left>
      <right/>
      <top style="medium">
        <color rgb="FF80B345"/>
      </top>
      <bottom style="thin">
        <color rgb="FF80B345"/>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style="medium">
        <color rgb="FF95B6EC"/>
      </top>
      <bottom style="medium">
        <color rgb="FF80B345"/>
      </bottom>
      <diagonal/>
    </border>
    <border>
      <left style="thin">
        <color rgb="FF80B345"/>
      </left>
      <right/>
      <top style="thin">
        <color rgb="FF80B345"/>
      </top>
      <bottom style="medium">
        <color rgb="FF839FDE"/>
      </bottom>
      <diagonal/>
    </border>
    <border>
      <left style="thin">
        <color rgb="FF80B345"/>
      </left>
      <right/>
      <top style="medium">
        <color rgb="FF80B345"/>
      </top>
      <bottom style="medium">
        <color rgb="FF839FDE"/>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style="thin">
        <color rgb="FF80B345"/>
      </right>
      <top style="thin">
        <color rgb="FF80B345"/>
      </top>
      <bottom style="medium">
        <color rgb="FF839FDE"/>
      </bottom>
      <diagonal/>
    </border>
    <border>
      <left style="medium">
        <color rgb="FF80B345"/>
      </left>
      <right/>
      <top style="medium">
        <color rgb="FF80B345"/>
      </top>
      <bottom style="thin">
        <color rgb="FF80B345"/>
      </bottom>
      <diagonal/>
    </border>
    <border>
      <left/>
      <right style="medium">
        <color rgb="FF9DB4DC"/>
      </right>
      <top style="medium">
        <color rgb="FF80B345"/>
      </top>
      <bottom style="thin">
        <color rgb="FF80B345"/>
      </bottom>
      <diagonal/>
    </border>
    <border>
      <left style="thin">
        <color rgb="FF80B345"/>
      </left>
      <right style="medium">
        <color rgb="FF9DB4DC"/>
      </right>
      <top style="thin">
        <color rgb="FF80B345"/>
      </top>
      <bottom/>
      <diagonal/>
    </border>
    <border>
      <left style="thin">
        <color rgb="FF80B345"/>
      </left>
      <right style="medium">
        <color rgb="FF9DB4DC"/>
      </right>
      <top/>
      <bottom/>
      <diagonal/>
    </border>
    <border>
      <left style="thin">
        <color rgb="FF80B345"/>
      </left>
      <right style="medium">
        <color rgb="FF9DB4DC"/>
      </right>
      <top/>
      <bottom style="medium">
        <color rgb="FF80B345"/>
      </bottom>
      <diagonal/>
    </border>
    <border>
      <left/>
      <right style="medium">
        <color rgb="FF80B345"/>
      </right>
      <top style="thin">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style="medium">
        <color rgb="FF80B345"/>
      </left>
      <right/>
      <top style="thin">
        <color rgb="FF80B345"/>
      </top>
      <bottom style="medium">
        <color rgb="FF839FDE"/>
      </bottom>
      <diagonal/>
    </border>
    <border>
      <left/>
      <right/>
      <top style="thin">
        <color rgb="FF80B345"/>
      </top>
      <bottom style="medium">
        <color rgb="FF839FDE"/>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thin">
        <color rgb="FF80B345"/>
      </left>
      <right style="medium">
        <color rgb="FF80B345"/>
      </right>
      <top style="thin">
        <color rgb="FF80B345"/>
      </top>
      <bottom style="medium">
        <color rgb="FF839FDE"/>
      </bottom>
      <diagonal/>
    </border>
  </borders>
  <cellStyleXfs count="7">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413">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6" borderId="68" xfId="0" applyFont="1" applyFill="1" applyBorder="1" applyAlignment="1">
      <alignment horizontal="center"/>
    </xf>
    <xf numFmtId="164" fontId="6" fillId="6" borderId="69"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6"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49" fontId="6" fillId="4" borderId="123"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9" fillId="6" borderId="132" xfId="0" applyFont="1" applyFill="1" applyBorder="1" applyAlignment="1">
      <alignment horizontal="center"/>
    </xf>
    <xf numFmtId="0" fontId="9" fillId="6" borderId="5" xfId="0" applyFont="1" applyFill="1" applyBorder="1" applyAlignment="1">
      <alignment horizontal="center"/>
    </xf>
    <xf numFmtId="0" fontId="9" fillId="6" borderId="133" xfId="0" applyFont="1" applyFill="1" applyBorder="1" applyAlignment="1">
      <alignment horizontal="center"/>
    </xf>
    <xf numFmtId="0" fontId="9" fillId="6" borderId="131"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45" xfId="0" applyFont="1" applyBorder="1" applyAlignment="1">
      <alignment horizontal="center"/>
    </xf>
    <xf numFmtId="0" fontId="5" fillId="0" borderId="145" xfId="0" applyFont="1" applyBorder="1"/>
    <xf numFmtId="0" fontId="9" fillId="12" borderId="150" xfId="0" applyFont="1" applyFill="1" applyBorder="1" applyAlignment="1">
      <alignment horizontal="center"/>
    </xf>
    <xf numFmtId="164" fontId="9" fillId="12" borderId="134" xfId="0" applyNumberFormat="1" applyFont="1" applyFill="1" applyBorder="1" applyAlignment="1">
      <alignment horizontal="center"/>
    </xf>
    <xf numFmtId="0" fontId="9" fillId="12" borderId="134" xfId="0" applyFont="1" applyFill="1" applyBorder="1" applyAlignment="1">
      <alignment horizontal="center"/>
    </xf>
    <xf numFmtId="164" fontId="9" fillId="12" borderId="151" xfId="0" applyNumberFormat="1" applyFont="1" applyFill="1" applyBorder="1" applyAlignment="1">
      <alignment horizontal="center"/>
    </xf>
    <xf numFmtId="0" fontId="9" fillId="12" borderId="152" xfId="0" applyFont="1" applyFill="1" applyBorder="1" applyAlignment="1">
      <alignment horizontal="center"/>
    </xf>
    <xf numFmtId="164" fontId="9" fillId="12" borderId="136" xfId="0" applyNumberFormat="1" applyFont="1" applyFill="1" applyBorder="1" applyAlignment="1">
      <alignment horizontal="center"/>
    </xf>
    <xf numFmtId="0" fontId="9" fillId="12" borderId="136" xfId="0" applyFont="1" applyFill="1" applyBorder="1" applyAlignment="1">
      <alignment horizontal="center"/>
    </xf>
    <xf numFmtId="164" fontId="9" fillId="12" borderId="153" xfId="0" applyNumberFormat="1" applyFont="1" applyFill="1" applyBorder="1" applyAlignment="1">
      <alignment horizontal="center"/>
    </xf>
    <xf numFmtId="49" fontId="6" fillId="4" borderId="155" xfId="0" applyNumberFormat="1" applyFont="1" applyFill="1" applyBorder="1" applyAlignment="1">
      <alignment horizontal="center"/>
    </xf>
    <xf numFmtId="49" fontId="6" fillId="4" borderId="156" xfId="0" applyNumberFormat="1" applyFont="1" applyFill="1" applyBorder="1" applyAlignment="1">
      <alignment horizontal="center"/>
    </xf>
    <xf numFmtId="0" fontId="9" fillId="12" borderId="169" xfId="0" applyFont="1" applyFill="1" applyBorder="1" applyAlignment="1">
      <alignment horizontal="center"/>
    </xf>
    <xf numFmtId="0" fontId="9" fillId="12" borderId="170" xfId="0" applyFont="1" applyFill="1" applyBorder="1" applyAlignment="1">
      <alignment horizontal="center"/>
    </xf>
    <xf numFmtId="0" fontId="13" fillId="2" borderId="8" xfId="0" applyFont="1" applyFill="1" applyBorder="1" applyAlignment="1">
      <alignment horizontal="center" vertical="center" textRotation="90"/>
    </xf>
    <xf numFmtId="0" fontId="13" fillId="2" borderId="24" xfId="0" applyFont="1" applyFill="1" applyBorder="1" applyAlignment="1">
      <alignment horizontal="center" vertical="center" textRotation="90"/>
    </xf>
    <xf numFmtId="0" fontId="23" fillId="15" borderId="186" xfId="0" applyFont="1" applyFill="1" applyBorder="1" applyAlignment="1">
      <alignment horizontal="center" vertical="center" textRotation="90"/>
    </xf>
    <xf numFmtId="0" fontId="9" fillId="12" borderId="161" xfId="0" applyFont="1" applyFill="1" applyBorder="1" applyAlignment="1">
      <alignment horizontal="center"/>
    </xf>
    <xf numFmtId="0" fontId="9" fillId="12" borderId="186" xfId="0" applyFont="1" applyFill="1" applyBorder="1" applyAlignment="1">
      <alignment horizontal="center"/>
    </xf>
    <xf numFmtId="0" fontId="23" fillId="15" borderId="176" xfId="0" applyFont="1" applyFill="1" applyBorder="1" applyAlignment="1">
      <alignment horizontal="center" vertical="center" textRotation="90"/>
    </xf>
    <xf numFmtId="0" fontId="21" fillId="15" borderId="160" xfId="0" applyFont="1" applyFill="1" applyBorder="1" applyAlignment="1">
      <alignment vertical="center" wrapText="1"/>
    </xf>
    <xf numFmtId="164" fontId="6" fillId="2" borderId="7" xfId="0" applyNumberFormat="1" applyFont="1" applyFill="1" applyBorder="1" applyAlignment="1">
      <alignment horizontal="center"/>
    </xf>
    <xf numFmtId="164" fontId="6" fillId="2" borderId="30" xfId="0" applyNumberFormat="1" applyFont="1" applyFill="1" applyBorder="1" applyAlignment="1">
      <alignment horizontal="center"/>
    </xf>
    <xf numFmtId="164" fontId="22" fillId="15" borderId="141" xfId="0" applyNumberFormat="1" applyFont="1" applyFill="1" applyBorder="1" applyAlignment="1">
      <alignment horizontal="center"/>
    </xf>
    <xf numFmtId="164" fontId="22" fillId="15" borderId="171" xfId="0" applyNumberFormat="1" applyFont="1" applyFill="1" applyBorder="1" applyAlignment="1">
      <alignment horizontal="center"/>
    </xf>
    <xf numFmtId="164" fontId="22" fillId="15" borderId="142" xfId="0" applyNumberFormat="1" applyFont="1" applyFill="1" applyBorder="1" applyAlignment="1">
      <alignment horizontal="center"/>
    </xf>
    <xf numFmtId="164" fontId="22" fillId="15" borderId="176" xfId="0" applyNumberFormat="1" applyFont="1" applyFill="1" applyBorder="1" applyAlignment="1">
      <alignment horizontal="center"/>
    </xf>
    <xf numFmtId="164" fontId="22" fillId="15" borderId="213" xfId="0" applyNumberFormat="1" applyFont="1" applyFill="1" applyBorder="1" applyAlignment="1">
      <alignment horizontal="center"/>
    </xf>
    <xf numFmtId="164" fontId="22" fillId="15" borderId="143" xfId="0" applyNumberFormat="1" applyFont="1" applyFill="1" applyBorder="1" applyAlignment="1">
      <alignment horizontal="center"/>
    </xf>
    <xf numFmtId="164" fontId="6" fillId="2" borderId="5" xfId="0" applyNumberFormat="1" applyFont="1" applyFill="1" applyBorder="1" applyAlignment="1">
      <alignment horizontal="center"/>
    </xf>
    <xf numFmtId="164" fontId="6" fillId="2" borderId="168" xfId="0" applyNumberFormat="1" applyFont="1" applyFill="1" applyBorder="1" applyAlignment="1">
      <alignment horizontal="center"/>
    </xf>
    <xf numFmtId="164" fontId="22" fillId="15" borderId="135" xfId="0" applyNumberFormat="1" applyFont="1" applyFill="1" applyBorder="1" applyAlignment="1">
      <alignment horizontal="center"/>
    </xf>
    <xf numFmtId="164" fontId="22" fillId="15" borderId="170" xfId="0" applyNumberFormat="1" applyFont="1" applyFill="1" applyBorder="1" applyAlignment="1">
      <alignment horizontal="center"/>
    </xf>
    <xf numFmtId="164" fontId="22" fillId="15" borderId="136" xfId="0" applyNumberFormat="1" applyFont="1" applyFill="1" applyBorder="1" applyAlignment="1">
      <alignment horizontal="center"/>
    </xf>
    <xf numFmtId="164" fontId="22" fillId="15" borderId="186" xfId="0" applyNumberFormat="1" applyFont="1" applyFill="1" applyBorder="1" applyAlignment="1">
      <alignment horizontal="center"/>
    </xf>
    <xf numFmtId="164" fontId="22" fillId="15" borderId="211" xfId="0" applyNumberFormat="1" applyFont="1" applyFill="1" applyBorder="1" applyAlignment="1">
      <alignment horizontal="center"/>
    </xf>
    <xf numFmtId="164" fontId="22" fillId="15" borderId="137" xfId="0" applyNumberFormat="1" applyFont="1" applyFill="1" applyBorder="1" applyAlignment="1">
      <alignment horizontal="center"/>
    </xf>
    <xf numFmtId="164" fontId="6" fillId="2" borderId="118" xfId="0" applyNumberFormat="1" applyFont="1" applyFill="1" applyBorder="1" applyAlignment="1">
      <alignment horizontal="center"/>
    </xf>
    <xf numFmtId="164" fontId="6" fillId="2" borderId="124" xfId="0" applyNumberFormat="1" applyFont="1" applyFill="1" applyBorder="1" applyAlignment="1">
      <alignment horizontal="center"/>
    </xf>
    <xf numFmtId="164" fontId="22" fillId="15" borderId="138" xfId="0" applyNumberFormat="1" applyFont="1" applyFill="1" applyBorder="1" applyAlignment="1">
      <alignment horizontal="center"/>
    </xf>
    <xf numFmtId="164" fontId="22" fillId="15" borderId="172" xfId="0" applyNumberFormat="1" applyFont="1" applyFill="1" applyBorder="1" applyAlignment="1">
      <alignment horizontal="center"/>
    </xf>
    <xf numFmtId="164" fontId="22" fillId="15" borderId="139" xfId="0" applyNumberFormat="1" applyFont="1" applyFill="1" applyBorder="1" applyAlignment="1">
      <alignment horizontal="center"/>
    </xf>
    <xf numFmtId="164" fontId="22" fillId="15" borderId="208" xfId="0" applyNumberFormat="1" applyFont="1" applyFill="1" applyBorder="1" applyAlignment="1">
      <alignment horizontal="center"/>
    </xf>
    <xf numFmtId="164" fontId="22" fillId="15" borderId="214" xfId="0" applyNumberFormat="1" applyFont="1" applyFill="1" applyBorder="1" applyAlignment="1">
      <alignment horizontal="center"/>
    </xf>
    <xf numFmtId="164" fontId="22" fillId="15" borderId="140" xfId="0" applyNumberFormat="1" applyFont="1" applyFill="1" applyBorder="1" applyAlignment="1">
      <alignment horizontal="center"/>
    </xf>
    <xf numFmtId="0" fontId="21" fillId="15" borderId="187" xfId="0" applyFont="1" applyFill="1" applyBorder="1" applyAlignment="1">
      <alignment vertical="center" wrapText="1"/>
    </xf>
    <xf numFmtId="164" fontId="22" fillId="15" borderId="221" xfId="0" applyNumberFormat="1" applyFont="1" applyFill="1" applyBorder="1" applyAlignment="1">
      <alignment horizontal="center"/>
    </xf>
    <xf numFmtId="164" fontId="22" fillId="15" borderId="222" xfId="0" applyNumberFormat="1" applyFont="1" applyFill="1" applyBorder="1" applyAlignment="1">
      <alignment horizontal="center"/>
    </xf>
    <xf numFmtId="164" fontId="22" fillId="15" borderId="223" xfId="0" applyNumberFormat="1" applyFont="1" applyFill="1" applyBorder="1" applyAlignment="1">
      <alignment horizontal="center"/>
    </xf>
    <xf numFmtId="164" fontId="22" fillId="15" borderId="175" xfId="0" applyNumberFormat="1" applyFont="1" applyFill="1" applyBorder="1" applyAlignment="1">
      <alignment horizontal="center"/>
    </xf>
    <xf numFmtId="164" fontId="22" fillId="15" borderId="160" xfId="0" applyNumberFormat="1" applyFont="1" applyFill="1" applyBorder="1" applyAlignment="1">
      <alignment horizontal="center"/>
    </xf>
    <xf numFmtId="164" fontId="22" fillId="15" borderId="224" xfId="0" applyNumberFormat="1" applyFont="1" applyFill="1" applyBorder="1" applyAlignment="1">
      <alignment horizontal="center"/>
    </xf>
    <xf numFmtId="164" fontId="22" fillId="15" borderId="226" xfId="0" applyNumberFormat="1" applyFont="1" applyFill="1" applyBorder="1" applyAlignment="1">
      <alignment horizontal="center"/>
    </xf>
    <xf numFmtId="164" fontId="22" fillId="15" borderId="227" xfId="0" applyNumberFormat="1" applyFont="1" applyFill="1" applyBorder="1" applyAlignment="1">
      <alignment horizontal="center"/>
    </xf>
    <xf numFmtId="164" fontId="22" fillId="15" borderId="228" xfId="0" applyNumberFormat="1" applyFont="1" applyFill="1" applyBorder="1" applyAlignment="1">
      <alignment horizontal="center"/>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12" fillId="2" borderId="49"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1" xfId="0" applyFont="1" applyFill="1" applyBorder="1" applyAlignment="1">
      <alignment horizontal="center" vertical="center" wrapText="1"/>
    </xf>
    <xf numFmtId="0" fontId="12" fillId="2" borderId="15"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5" fillId="2" borderId="23"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3" xfId="0" applyFont="1" applyFill="1" applyBorder="1" applyAlignment="1">
      <alignment horizontal="center" vertical="center" wrapText="1"/>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4"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99" xfId="0" applyFont="1" applyFill="1" applyBorder="1" applyAlignment="1">
      <alignment horizontal="center" vertical="center"/>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5" xfId="0" applyFont="1" applyFill="1" applyBorder="1" applyAlignment="1">
      <alignment horizontal="center"/>
    </xf>
    <xf numFmtId="0" fontId="5" fillId="2" borderId="2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2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23" fillId="15" borderId="173" xfId="0" applyFont="1" applyFill="1" applyBorder="1" applyAlignment="1">
      <alignment horizontal="center" vertical="center" textRotation="90" wrapText="1"/>
    </xf>
    <xf numFmtId="0" fontId="23" fillId="15" borderId="174" xfId="0" applyFont="1" applyFill="1" applyBorder="1" applyAlignment="1">
      <alignment horizontal="center" vertical="center" textRotation="90" wrapText="1"/>
    </xf>
    <xf numFmtId="0" fontId="23" fillId="15" borderId="182" xfId="0" applyFont="1" applyFill="1" applyBorder="1" applyAlignment="1">
      <alignment horizontal="center" vertical="center" textRotation="90" wrapText="1"/>
    </xf>
    <xf numFmtId="0" fontId="23" fillId="15" borderId="173" xfId="0" applyFont="1" applyFill="1" applyBorder="1" applyAlignment="1">
      <alignment horizontal="center" vertical="center" textRotation="90"/>
    </xf>
    <xf numFmtId="0" fontId="23" fillId="15" borderId="174" xfId="0" applyFont="1" applyFill="1" applyBorder="1" applyAlignment="1">
      <alignment horizontal="center" vertical="center" textRotation="90"/>
    </xf>
    <xf numFmtId="0" fontId="23" fillId="15" borderId="182" xfId="0" applyFont="1" applyFill="1" applyBorder="1" applyAlignment="1">
      <alignment horizontal="center" vertical="center" textRotation="90"/>
    </xf>
    <xf numFmtId="0" fontId="23" fillId="15" borderId="136" xfId="0" applyFont="1" applyFill="1" applyBorder="1" applyAlignment="1">
      <alignment horizontal="center" vertical="center" textRotation="90"/>
    </xf>
    <xf numFmtId="0" fontId="23" fillId="15" borderId="183" xfId="0" applyFont="1" applyFill="1" applyBorder="1" applyAlignment="1">
      <alignment horizontal="center" vertical="center" textRotation="90"/>
    </xf>
    <xf numFmtId="0" fontId="21" fillId="15" borderId="215" xfId="0" applyFont="1" applyFill="1" applyBorder="1" applyAlignment="1">
      <alignment horizontal="center" vertical="center" wrapText="1"/>
    </xf>
    <xf numFmtId="0" fontId="21" fillId="15" borderId="204" xfId="0" applyFont="1" applyFill="1" applyBorder="1" applyAlignment="1">
      <alignment horizontal="center" vertical="center" wrapText="1"/>
    </xf>
    <xf numFmtId="0" fontId="21" fillId="15" borderId="216" xfId="0" applyFont="1" applyFill="1" applyBorder="1" applyAlignment="1">
      <alignment horizontal="center" vertical="center" wrapText="1"/>
    </xf>
    <xf numFmtId="0" fontId="21" fillId="15" borderId="186" xfId="0" applyFont="1" applyFill="1" applyBorder="1" applyAlignment="1">
      <alignment horizontal="center" vertical="center" wrapText="1"/>
    </xf>
    <xf numFmtId="0" fontId="21" fillId="15" borderId="160" xfId="0" applyFont="1" applyFill="1" applyBorder="1" applyAlignment="1">
      <alignment horizontal="center" vertical="center" wrapText="1"/>
    </xf>
    <xf numFmtId="0" fontId="23" fillId="15" borderId="185" xfId="0" applyFont="1" applyFill="1" applyBorder="1" applyAlignment="1">
      <alignment horizontal="center" vertical="center" textRotation="90"/>
    </xf>
    <xf numFmtId="0" fontId="23" fillId="15" borderId="202" xfId="0" applyFont="1" applyFill="1" applyBorder="1" applyAlignment="1">
      <alignment horizontal="center" vertical="center" textRotation="90"/>
    </xf>
    <xf numFmtId="0" fontId="23" fillId="15" borderId="210" xfId="0" applyFont="1" applyFill="1" applyBorder="1" applyAlignment="1">
      <alignment horizontal="center" vertical="center" textRotation="90"/>
    </xf>
    <xf numFmtId="0" fontId="21" fillId="15" borderId="211" xfId="0" applyFont="1" applyFill="1" applyBorder="1" applyAlignment="1">
      <alignment horizontal="center" vertical="center" wrapText="1"/>
    </xf>
    <xf numFmtId="0" fontId="21" fillId="15" borderId="136" xfId="0" applyFont="1" applyFill="1" applyBorder="1" applyAlignment="1">
      <alignment horizontal="center" vertical="center" wrapText="1"/>
    </xf>
    <xf numFmtId="0" fontId="23" fillId="15" borderId="211" xfId="0" applyFont="1" applyFill="1" applyBorder="1" applyAlignment="1">
      <alignment horizontal="center" vertical="center" textRotation="90" wrapText="1"/>
    </xf>
    <xf numFmtId="0" fontId="23" fillId="15" borderId="211" xfId="0" applyFont="1" applyFill="1" applyBorder="1" applyAlignment="1">
      <alignment horizontal="center" vertical="center" textRotation="90"/>
    </xf>
    <xf numFmtId="0" fontId="23" fillId="15" borderId="212" xfId="0" applyFont="1" applyFill="1" applyBorder="1" applyAlignment="1">
      <alignment horizontal="center" vertical="center" textRotation="90"/>
    </xf>
    <xf numFmtId="0" fontId="21" fillId="15" borderId="220" xfId="0" applyFont="1" applyFill="1" applyBorder="1" applyAlignment="1">
      <alignment horizontal="center" vertical="center" wrapText="1"/>
    </xf>
    <xf numFmtId="0" fontId="21" fillId="15" borderId="225" xfId="0" applyFont="1" applyFill="1" applyBorder="1" applyAlignment="1">
      <alignment horizontal="center" vertical="center" wrapText="1"/>
    </xf>
    <xf numFmtId="0" fontId="21" fillId="15" borderId="213" xfId="0" applyFont="1" applyFill="1" applyBorder="1" applyAlignment="1">
      <alignment horizontal="center" vertical="center" wrapText="1"/>
    </xf>
    <xf numFmtId="0" fontId="21" fillId="15" borderId="175" xfId="0" applyFont="1" applyFill="1" applyBorder="1" applyAlignment="1">
      <alignment horizontal="center" vertical="center" wrapText="1"/>
    </xf>
    <xf numFmtId="0" fontId="21" fillId="15" borderId="176" xfId="0" applyFont="1" applyFill="1" applyBorder="1" applyAlignment="1">
      <alignment horizontal="center" vertical="center" wrapText="1"/>
    </xf>
    <xf numFmtId="0" fontId="13" fillId="2" borderId="205" xfId="0" applyFont="1" applyFill="1" applyBorder="1" applyAlignment="1">
      <alignment horizontal="center" vertical="center" textRotation="90"/>
    </xf>
    <xf numFmtId="0" fontId="13" fillId="2" borderId="206" xfId="0" applyFont="1" applyFill="1" applyBorder="1" applyAlignment="1">
      <alignment horizontal="center" vertical="center" textRotation="90"/>
    </xf>
    <xf numFmtId="0" fontId="5" fillId="2" borderId="126" xfId="0" applyFont="1" applyFill="1" applyBorder="1" applyAlignment="1">
      <alignment horizontal="center" vertical="center" wrapText="1"/>
    </xf>
    <xf numFmtId="0" fontId="5" fillId="2" borderId="127" xfId="0" applyFont="1" applyFill="1" applyBorder="1" applyAlignment="1">
      <alignment horizontal="center" vertical="center" wrapText="1"/>
    </xf>
    <xf numFmtId="0" fontId="5" fillId="2" borderId="128" xfId="0" applyFont="1" applyFill="1" applyBorder="1" applyAlignment="1">
      <alignment horizontal="center" vertical="center" wrapText="1"/>
    </xf>
    <xf numFmtId="0" fontId="21" fillId="15" borderId="203" xfId="0" applyFont="1" applyFill="1" applyBorder="1" applyAlignment="1">
      <alignment horizontal="center" vertical="center" wrapText="1"/>
    </xf>
    <xf numFmtId="0" fontId="13" fillId="2" borderId="5" xfId="0" applyFont="1" applyFill="1" applyBorder="1" applyAlignment="1">
      <alignment horizontal="center" vertical="center" textRotation="90"/>
    </xf>
    <xf numFmtId="0" fontId="13" fillId="2" borderId="6" xfId="0" applyFont="1" applyFill="1" applyBorder="1" applyAlignment="1">
      <alignment horizontal="center" vertical="center" textRotation="90"/>
    </xf>
    <xf numFmtId="0" fontId="13" fillId="2" borderId="144" xfId="0" applyFont="1" applyFill="1" applyBorder="1" applyAlignment="1">
      <alignment horizontal="center" vertical="center" textRotation="90"/>
    </xf>
    <xf numFmtId="0" fontId="13" fillId="2" borderId="149" xfId="0" applyFont="1" applyFill="1" applyBorder="1" applyAlignment="1">
      <alignment horizontal="center" vertical="center" textRotation="90"/>
    </xf>
    <xf numFmtId="0" fontId="13" fillId="2" borderId="163" xfId="0" applyFont="1" applyFill="1" applyBorder="1" applyAlignment="1">
      <alignment horizontal="center" vertical="center" textRotation="90"/>
    </xf>
    <xf numFmtId="0" fontId="13" fillId="2" borderId="164" xfId="0" applyFont="1" applyFill="1" applyBorder="1" applyAlignment="1">
      <alignment horizontal="center" vertical="center" textRotation="90"/>
    </xf>
    <xf numFmtId="0" fontId="13" fillId="2" borderId="165" xfId="0" applyFont="1" applyFill="1" applyBorder="1" applyAlignment="1">
      <alignment horizontal="center" vertical="center" textRotation="90"/>
    </xf>
    <xf numFmtId="0" fontId="13" fillId="2" borderId="166" xfId="0" applyFont="1" applyFill="1" applyBorder="1" applyAlignment="1">
      <alignment horizontal="center" vertical="center" textRotation="90"/>
    </xf>
    <xf numFmtId="0" fontId="13" fillId="2" borderId="162" xfId="0" applyFont="1" applyFill="1" applyBorder="1" applyAlignment="1">
      <alignment horizontal="center" vertical="center" textRotation="90"/>
    </xf>
    <xf numFmtId="0" fontId="13" fillId="2" borderId="131" xfId="0" applyFont="1" applyFill="1" applyBorder="1" applyAlignment="1">
      <alignment horizontal="center" vertical="center" textRotation="90"/>
    </xf>
    <xf numFmtId="0" fontId="13" fillId="2" borderId="167" xfId="0" applyFont="1" applyFill="1" applyBorder="1" applyAlignment="1">
      <alignment horizontal="center" vertical="center" textRotation="90"/>
    </xf>
    <xf numFmtId="0" fontId="21" fillId="15" borderId="141"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10" fillId="2" borderId="157" xfId="0" applyFont="1" applyFill="1" applyBorder="1" applyAlignment="1">
      <alignment horizontal="center" vertical="center"/>
    </xf>
    <xf numFmtId="0" fontId="10" fillId="2" borderId="158" xfId="0" applyFont="1" applyFill="1" applyBorder="1" applyAlignment="1">
      <alignment horizontal="center" vertical="center"/>
    </xf>
    <xf numFmtId="0" fontId="10" fillId="2" borderId="159" xfId="0" applyFont="1" applyFill="1" applyBorder="1" applyAlignment="1">
      <alignment horizontal="center" vertical="center"/>
    </xf>
    <xf numFmtId="0" fontId="5" fillId="2" borderId="188"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168" xfId="0" applyFont="1" applyFill="1" applyBorder="1" applyAlignment="1">
      <alignment horizontal="center" vertical="center" wrapText="1"/>
    </xf>
    <xf numFmtId="0" fontId="5" fillId="0" borderId="145" xfId="0" applyFont="1" applyBorder="1" applyAlignment="1">
      <alignment horizontal="center" textRotation="90"/>
    </xf>
    <xf numFmtId="0" fontId="5" fillId="0" borderId="145" xfId="0" applyFont="1" applyBorder="1" applyAlignment="1">
      <alignment horizontal="center" textRotation="90" wrapText="1"/>
    </xf>
    <xf numFmtId="0" fontId="13" fillId="2" borderId="40" xfId="0" applyFont="1" applyFill="1" applyBorder="1" applyAlignment="1">
      <alignment horizontal="center" vertical="center" textRotation="90"/>
    </xf>
    <xf numFmtId="0" fontId="13" fillId="2" borderId="41" xfId="0" applyFont="1" applyFill="1" applyBorder="1" applyAlignment="1">
      <alignment horizontal="center" vertical="center" textRotation="90"/>
    </xf>
    <xf numFmtId="0" fontId="5" fillId="3" borderId="146" xfId="0" applyFont="1" applyFill="1" applyBorder="1" applyAlignment="1">
      <alignment horizontal="center" textRotation="90"/>
    </xf>
    <xf numFmtId="49" fontId="5" fillId="4" borderId="147" xfId="0" applyNumberFormat="1" applyFont="1" applyFill="1" applyBorder="1" applyAlignment="1">
      <alignment horizontal="center" textRotation="90" shrinkToFit="1"/>
    </xf>
    <xf numFmtId="49" fontId="5" fillId="4" borderId="119" xfId="0" applyNumberFormat="1" applyFont="1" applyFill="1" applyBorder="1" applyAlignment="1">
      <alignment horizontal="center" textRotation="90"/>
    </xf>
    <xf numFmtId="49" fontId="5" fillId="4" borderId="120" xfId="0" applyNumberFormat="1" applyFont="1" applyFill="1" applyBorder="1" applyAlignment="1">
      <alignment horizontal="center" textRotation="90"/>
    </xf>
    <xf numFmtId="49" fontId="5" fillId="4" borderId="148" xfId="0" applyNumberFormat="1" applyFont="1" applyFill="1" applyBorder="1" applyAlignment="1">
      <alignment horizontal="center" textRotation="90"/>
    </xf>
    <xf numFmtId="0" fontId="23" fillId="15" borderId="176" xfId="0" applyFont="1" applyFill="1" applyBorder="1" applyAlignment="1">
      <alignment horizontal="center" vertical="center" textRotation="90"/>
    </xf>
    <xf numFmtId="0" fontId="23" fillId="15" borderId="186" xfId="0" applyFont="1" applyFill="1" applyBorder="1" applyAlignment="1">
      <alignment horizontal="center" vertical="center" textRotation="90"/>
    </xf>
    <xf numFmtId="0" fontId="23" fillId="15" borderId="142" xfId="0" applyFont="1" applyFill="1" applyBorder="1" applyAlignment="1">
      <alignment horizontal="center" vertical="center" textRotation="90"/>
    </xf>
    <xf numFmtId="0" fontId="23" fillId="15" borderId="154" xfId="0" applyFont="1" applyFill="1" applyBorder="1" applyAlignment="1">
      <alignment horizontal="center" vertical="center" textRotation="90"/>
    </xf>
    <xf numFmtId="0" fontId="23" fillId="15" borderId="153" xfId="0" applyFont="1" applyFill="1" applyBorder="1" applyAlignment="1">
      <alignment horizontal="center" vertical="center" textRotation="90"/>
    </xf>
    <xf numFmtId="0" fontId="13" fillId="2" borderId="129" xfId="0" applyFont="1" applyFill="1" applyBorder="1" applyAlignment="1">
      <alignment horizontal="center" vertical="center" textRotation="90"/>
    </xf>
    <xf numFmtId="0" fontId="13" fillId="2" borderId="130" xfId="0" applyFont="1" applyFill="1" applyBorder="1" applyAlignment="1">
      <alignment horizontal="center" vertical="center" textRotation="90"/>
    </xf>
    <xf numFmtId="0" fontId="13" fillId="2" borderId="189" xfId="0" applyFont="1" applyFill="1" applyBorder="1" applyAlignment="1">
      <alignment horizontal="center" vertical="center" textRotation="90"/>
    </xf>
    <xf numFmtId="0" fontId="13" fillId="2" borderId="50" xfId="0" applyFont="1" applyFill="1" applyBorder="1" applyAlignment="1">
      <alignment horizontal="center" vertical="center" textRotation="90"/>
    </xf>
    <xf numFmtId="0" fontId="13" fillId="2" borderId="43" xfId="0" applyFont="1" applyFill="1" applyBorder="1" applyAlignment="1">
      <alignment horizontal="center" vertical="center" textRotation="90"/>
    </xf>
    <xf numFmtId="0" fontId="21" fillId="15" borderId="192" xfId="0" applyFont="1" applyFill="1" applyBorder="1" applyAlignment="1">
      <alignment horizontal="center" vertical="center" textRotation="90"/>
    </xf>
    <xf numFmtId="0" fontId="21" fillId="15" borderId="193" xfId="0" applyFont="1" applyFill="1" applyBorder="1" applyAlignment="1">
      <alignment horizontal="center" vertical="center" textRotation="90"/>
    </xf>
    <xf numFmtId="0" fontId="21" fillId="15" borderId="184" xfId="0" applyFont="1" applyFill="1" applyBorder="1" applyAlignment="1">
      <alignment horizontal="center" vertical="center" textRotation="90"/>
    </xf>
    <xf numFmtId="0" fontId="21" fillId="15" borderId="185" xfId="0" applyFont="1" applyFill="1" applyBorder="1" applyAlignment="1">
      <alignment horizontal="center" vertical="center" textRotation="90"/>
    </xf>
    <xf numFmtId="0" fontId="21" fillId="15" borderId="194" xfId="0" applyFont="1" applyFill="1" applyBorder="1" applyAlignment="1">
      <alignment horizontal="center" vertical="center" textRotation="90"/>
    </xf>
    <xf numFmtId="0" fontId="5" fillId="2" borderId="199" xfId="0" applyFont="1" applyFill="1" applyBorder="1" applyAlignment="1">
      <alignment horizontal="center" vertical="center"/>
    </xf>
    <xf numFmtId="0" fontId="5" fillId="2" borderId="200" xfId="0" applyFont="1" applyFill="1" applyBorder="1" applyAlignment="1">
      <alignment horizontal="center" vertical="center"/>
    </xf>
    <xf numFmtId="0" fontId="5" fillId="2" borderId="201" xfId="0" applyFont="1" applyFill="1" applyBorder="1" applyAlignment="1">
      <alignment horizontal="center" vertical="center"/>
    </xf>
    <xf numFmtId="0" fontId="13" fillId="2" borderId="73" xfId="0" applyFont="1" applyFill="1" applyBorder="1" applyAlignment="1">
      <alignment horizontal="center" vertical="center" wrapText="1"/>
    </xf>
    <xf numFmtId="0" fontId="13" fillId="2" borderId="74" xfId="0" applyFont="1" applyFill="1" applyBorder="1" applyAlignment="1">
      <alignment horizontal="center" vertical="center" wrapText="1"/>
    </xf>
    <xf numFmtId="0" fontId="13" fillId="2" borderId="75" xfId="0" applyFont="1" applyFill="1" applyBorder="1" applyAlignment="1">
      <alignment horizontal="center" vertical="center" wrapText="1"/>
    </xf>
    <xf numFmtId="0" fontId="21" fillId="15" borderId="177" xfId="0" applyFont="1" applyFill="1" applyBorder="1" applyAlignment="1">
      <alignment horizontal="center" vertical="center" wrapText="1"/>
    </xf>
    <xf numFmtId="0" fontId="21" fillId="15" borderId="178" xfId="0" applyFont="1" applyFill="1" applyBorder="1" applyAlignment="1">
      <alignment horizontal="center" vertical="center" wrapText="1"/>
    </xf>
    <xf numFmtId="0" fontId="21" fillId="15" borderId="179" xfId="0" applyFont="1" applyFill="1" applyBorder="1" applyAlignment="1">
      <alignment horizontal="center" vertical="center" wrapText="1"/>
    </xf>
    <xf numFmtId="0" fontId="21" fillId="15" borderId="207" xfId="0" applyFont="1" applyFill="1" applyBorder="1" applyAlignment="1">
      <alignment horizontal="center" vertical="center" wrapText="1"/>
    </xf>
    <xf numFmtId="0" fontId="21" fillId="15" borderId="180" xfId="0" applyFont="1" applyFill="1" applyBorder="1" applyAlignment="1">
      <alignment horizontal="center" vertical="center" wrapText="1"/>
    </xf>
    <xf numFmtId="0" fontId="5" fillId="2" borderId="190" xfId="0" applyFont="1" applyFill="1" applyBorder="1" applyAlignment="1">
      <alignment horizontal="center" vertical="center" wrapText="1"/>
    </xf>
    <xf numFmtId="0" fontId="5" fillId="2" borderId="77" xfId="0" applyFont="1" applyFill="1" applyBorder="1" applyAlignment="1">
      <alignment horizontal="center" vertical="center" wrapText="1"/>
    </xf>
    <xf numFmtId="0" fontId="5" fillId="2" borderId="191" xfId="0" applyFont="1" applyFill="1" applyBorder="1" applyAlignment="1">
      <alignment horizontal="center" vertical="center" wrapText="1"/>
    </xf>
    <xf numFmtId="0" fontId="21" fillId="15" borderId="195" xfId="0" applyFont="1" applyFill="1" applyBorder="1" applyAlignment="1">
      <alignment horizontal="center" vertical="center" wrapText="1"/>
    </xf>
    <xf numFmtId="0" fontId="21" fillId="15" borderId="196" xfId="0" applyFont="1" applyFill="1" applyBorder="1" applyAlignment="1">
      <alignment horizontal="center" vertical="center" wrapText="1"/>
    </xf>
    <xf numFmtId="0" fontId="21" fillId="15" borderId="197" xfId="0" applyFont="1" applyFill="1" applyBorder="1" applyAlignment="1">
      <alignment horizontal="center" vertical="center" wrapText="1"/>
    </xf>
    <xf numFmtId="0" fontId="21" fillId="15" borderId="209" xfId="0" applyFont="1" applyFill="1" applyBorder="1" applyAlignment="1">
      <alignment horizontal="center" vertical="center" wrapText="1"/>
    </xf>
    <xf numFmtId="0" fontId="21" fillId="15" borderId="198" xfId="0" applyFont="1" applyFill="1" applyBorder="1" applyAlignment="1">
      <alignment horizontal="center" vertical="center" wrapText="1"/>
    </xf>
    <xf numFmtId="0" fontId="23" fillId="15" borderId="135" xfId="0" applyFont="1" applyFill="1" applyBorder="1" applyAlignment="1">
      <alignment horizontal="center" vertical="center" textRotation="90" wrapText="1"/>
    </xf>
    <xf numFmtId="0" fontId="23" fillId="15" borderId="135" xfId="0" applyFont="1" applyFill="1" applyBorder="1" applyAlignment="1">
      <alignment horizontal="center" vertical="center" textRotation="90"/>
    </xf>
    <xf numFmtId="0" fontId="23" fillId="15" borderId="181" xfId="0" applyFont="1" applyFill="1" applyBorder="1" applyAlignment="1">
      <alignment horizontal="center" vertical="center" textRotation="90"/>
    </xf>
    <xf numFmtId="0" fontId="23" fillId="15" borderId="217" xfId="0" applyFont="1" applyFill="1" applyBorder="1" applyAlignment="1">
      <alignment horizontal="center" vertical="center" textRotation="90"/>
    </xf>
    <xf numFmtId="0" fontId="23" fillId="15" borderId="218" xfId="0" applyFont="1" applyFill="1" applyBorder="1" applyAlignment="1">
      <alignment horizontal="center" vertical="center" textRotation="90"/>
    </xf>
    <xf numFmtId="0" fontId="23" fillId="15" borderId="219" xfId="0" applyFont="1" applyFill="1" applyBorder="1" applyAlignment="1">
      <alignment horizontal="center" vertical="center" textRotation="90"/>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13" fillId="2" borderId="98" xfId="0" applyFont="1" applyFill="1" applyBorder="1" applyAlignment="1">
      <alignment horizontal="center"/>
    </xf>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49" fontId="6" fillId="0" borderId="0" xfId="0" applyNumberFormat="1" applyFont="1" applyAlignment="1">
      <alignment horizontal="left"/>
    </xf>
    <xf numFmtId="1" fontId="17" fillId="9" borderId="63" xfId="0" applyNumberFormat="1" applyFont="1" applyFill="1" applyBorder="1" applyAlignment="1">
      <alignment horizontal="center"/>
    </xf>
    <xf numFmtId="0" fontId="6" fillId="0" borderId="0" xfId="0" applyFont="1" applyAlignment="1">
      <alignment horizontal="left"/>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14" borderId="102" xfId="0" applyFont="1" applyFill="1" applyBorder="1" applyAlignment="1">
      <alignment horizontal="center" vertical="center" textRotation="90" shrinkToFi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0" fontId="17" fillId="7" borderId="61" xfId="0" applyFont="1" applyFill="1" applyBorder="1" applyAlignment="1">
      <alignment horizontal="center"/>
    </xf>
    <xf numFmtId="0" fontId="17" fillId="3" borderId="59"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cellXfs>
  <cellStyles count="7">
    <cellStyle name="Followed Hyperlink" xfId="2" builtinId="9" hidden="1"/>
    <cellStyle name="Followed Hyperlink" xfId="4" builtinId="9" hidden="1"/>
    <cellStyle name="Followed Hyperlink" xfId="6" builtinId="9" hidden="1"/>
    <cellStyle name="Hyperlink" xfId="1" builtinId="8" hidden="1"/>
    <cellStyle name="Hyperlink" xfId="3" builtinId="8" hidden="1"/>
    <cellStyle name="Hyperlink" xfId="5"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87D4F1"/>
      <color rgb="FFA7ED5B"/>
      <color rgb="FF9DB4DC"/>
      <color rgb="FF80B345"/>
      <color rgb="FFBAFA97"/>
      <color rgb="FFA1E258"/>
      <color rgb="FFA5C9F1"/>
      <color rgb="FF3587EC"/>
      <color rgb="FFA4F97C"/>
      <color rgb="FF9FF17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46" t="s">
        <v>162</v>
      </c>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8"/>
    </row>
    <row r="3" spans="1:53" ht="16" customHeight="1" x14ac:dyDescent="0.2">
      <c r="D3" s="190" t="s">
        <v>234</v>
      </c>
      <c r="K3" s="212" t="s">
        <v>157</v>
      </c>
      <c r="L3" s="213"/>
      <c r="M3" s="212" t="s">
        <v>209</v>
      </c>
      <c r="N3" s="213"/>
      <c r="O3" s="212" t="s">
        <v>159</v>
      </c>
      <c r="P3" s="213"/>
      <c r="Q3" s="212" t="s">
        <v>158</v>
      </c>
      <c r="R3" s="213"/>
      <c r="S3" s="212" t="s">
        <v>204</v>
      </c>
      <c r="T3" s="213"/>
      <c r="U3" s="212" t="s">
        <v>164</v>
      </c>
      <c r="V3" s="213"/>
      <c r="W3" s="218" t="s">
        <v>239</v>
      </c>
      <c r="X3" s="213"/>
      <c r="Y3" s="212" t="s">
        <v>174</v>
      </c>
      <c r="Z3" s="213"/>
      <c r="AA3" s="218" t="s">
        <v>240</v>
      </c>
      <c r="AB3" s="213"/>
      <c r="AC3" s="212" t="s">
        <v>208</v>
      </c>
      <c r="AD3" s="213"/>
      <c r="AE3" s="218" t="s">
        <v>241</v>
      </c>
      <c r="AF3" s="213"/>
      <c r="AG3" s="212" t="s">
        <v>172</v>
      </c>
      <c r="AH3" s="213"/>
      <c r="AI3" s="212" t="s">
        <v>207</v>
      </c>
      <c r="AJ3" s="213"/>
      <c r="AK3" s="212" t="s">
        <v>163</v>
      </c>
      <c r="AL3" s="213"/>
      <c r="AM3" s="218" t="s">
        <v>238</v>
      </c>
      <c r="AN3" s="213"/>
      <c r="AO3" s="212" t="s">
        <v>175</v>
      </c>
      <c r="AP3" s="213"/>
      <c r="AQ3" s="212" t="s">
        <v>173</v>
      </c>
      <c r="AR3" s="213"/>
      <c r="AS3" s="212" t="s">
        <v>160</v>
      </c>
      <c r="AT3" s="213"/>
      <c r="AU3" s="212" t="s">
        <v>161</v>
      </c>
      <c r="AV3" s="213"/>
      <c r="AW3" s="260" t="s">
        <v>210</v>
      </c>
      <c r="AX3" s="213"/>
      <c r="AY3" s="218" t="s">
        <v>379</v>
      </c>
      <c r="AZ3" s="252"/>
    </row>
    <row r="4" spans="1:53" ht="20" customHeight="1" x14ac:dyDescent="0.2">
      <c r="B4" s="84"/>
      <c r="D4" s="191"/>
      <c r="K4" s="214"/>
      <c r="L4" s="215"/>
      <c r="M4" s="214"/>
      <c r="N4" s="215"/>
      <c r="O4" s="214"/>
      <c r="P4" s="215"/>
      <c r="Q4" s="214"/>
      <c r="R4" s="215"/>
      <c r="S4" s="214"/>
      <c r="T4" s="215"/>
      <c r="U4" s="214"/>
      <c r="V4" s="215"/>
      <c r="W4" s="214"/>
      <c r="X4" s="215"/>
      <c r="Y4" s="214"/>
      <c r="Z4" s="215"/>
      <c r="AA4" s="214"/>
      <c r="AB4" s="215"/>
      <c r="AC4" s="214"/>
      <c r="AD4" s="215"/>
      <c r="AE4" s="214"/>
      <c r="AF4" s="215"/>
      <c r="AG4" s="214"/>
      <c r="AH4" s="215"/>
      <c r="AI4" s="214"/>
      <c r="AJ4" s="215"/>
      <c r="AK4" s="214"/>
      <c r="AL4" s="215"/>
      <c r="AM4" s="214"/>
      <c r="AN4" s="215"/>
      <c r="AO4" s="214"/>
      <c r="AP4" s="215"/>
      <c r="AQ4" s="214"/>
      <c r="AR4" s="215"/>
      <c r="AS4" s="214"/>
      <c r="AT4" s="215"/>
      <c r="AU4" s="214"/>
      <c r="AV4" s="215"/>
      <c r="AW4" s="258"/>
      <c r="AX4" s="215"/>
      <c r="AY4" s="253"/>
      <c r="AZ4" s="254"/>
    </row>
    <row r="5" spans="1:53" ht="20" customHeight="1" thickBot="1" x14ac:dyDescent="0.25">
      <c r="A5" s="61"/>
      <c r="B5" s="83"/>
      <c r="D5" s="188" t="s">
        <v>248</v>
      </c>
      <c r="I5" s="24"/>
      <c r="J5" s="24"/>
      <c r="K5" s="216"/>
      <c r="L5" s="217"/>
      <c r="M5" s="216"/>
      <c r="N5" s="217"/>
      <c r="O5" s="216"/>
      <c r="P5" s="217"/>
      <c r="Q5" s="216"/>
      <c r="R5" s="217"/>
      <c r="S5" s="216"/>
      <c r="T5" s="217"/>
      <c r="U5" s="216"/>
      <c r="V5" s="217"/>
      <c r="W5" s="216"/>
      <c r="X5" s="217"/>
      <c r="Y5" s="216"/>
      <c r="Z5" s="217"/>
      <c r="AA5" s="216"/>
      <c r="AB5" s="217"/>
      <c r="AC5" s="216"/>
      <c r="AD5" s="217"/>
      <c r="AE5" s="216"/>
      <c r="AF5" s="217"/>
      <c r="AG5" s="216"/>
      <c r="AH5" s="217"/>
      <c r="AI5" s="216"/>
      <c r="AJ5" s="217"/>
      <c r="AK5" s="216"/>
      <c r="AL5" s="217"/>
      <c r="AM5" s="216"/>
      <c r="AN5" s="217"/>
      <c r="AO5" s="216"/>
      <c r="AP5" s="217"/>
      <c r="AQ5" s="216"/>
      <c r="AR5" s="217"/>
      <c r="AS5" s="216"/>
      <c r="AT5" s="217"/>
      <c r="AU5" s="216"/>
      <c r="AV5" s="217"/>
      <c r="AW5" s="261"/>
      <c r="AX5" s="217"/>
      <c r="AY5" s="255"/>
      <c r="AZ5" s="256"/>
    </row>
    <row r="6" spans="1:53" ht="20" customHeight="1" x14ac:dyDescent="0.2">
      <c r="A6" s="60"/>
      <c r="B6" s="82"/>
      <c r="D6" s="188"/>
      <c r="G6" s="184" t="s">
        <v>24</v>
      </c>
      <c r="H6" s="195" t="s">
        <v>330</v>
      </c>
      <c r="I6" s="198" t="s">
        <v>328</v>
      </c>
      <c r="J6" s="201" t="s">
        <v>329</v>
      </c>
      <c r="K6" s="204" t="s">
        <v>242</v>
      </c>
      <c r="L6" s="262" t="s">
        <v>243</v>
      </c>
      <c r="M6" s="192" t="s">
        <v>242</v>
      </c>
      <c r="N6" s="220" t="s">
        <v>243</v>
      </c>
      <c r="O6" s="192" t="s">
        <v>242</v>
      </c>
      <c r="P6" s="220" t="s">
        <v>243</v>
      </c>
      <c r="Q6" s="192" t="s">
        <v>242</v>
      </c>
      <c r="R6" s="220" t="s">
        <v>243</v>
      </c>
      <c r="S6" s="192" t="s">
        <v>242</v>
      </c>
      <c r="T6" s="220" t="s">
        <v>243</v>
      </c>
      <c r="U6" s="192" t="s">
        <v>242</v>
      </c>
      <c r="V6" s="220" t="s">
        <v>243</v>
      </c>
      <c r="W6" s="219" t="s">
        <v>242</v>
      </c>
      <c r="X6" s="220" t="s">
        <v>243</v>
      </c>
      <c r="Y6" s="225" t="s">
        <v>242</v>
      </c>
      <c r="Z6" s="220" t="s">
        <v>243</v>
      </c>
      <c r="AA6" s="219" t="s">
        <v>242</v>
      </c>
      <c r="AB6" s="220" t="s">
        <v>243</v>
      </c>
      <c r="AC6" s="192" t="s">
        <v>242</v>
      </c>
      <c r="AD6" s="220" t="s">
        <v>243</v>
      </c>
      <c r="AE6" s="192" t="s">
        <v>242</v>
      </c>
      <c r="AF6" s="220" t="s">
        <v>243</v>
      </c>
      <c r="AG6" s="192" t="s">
        <v>242</v>
      </c>
      <c r="AH6" s="220" t="s">
        <v>243</v>
      </c>
      <c r="AI6" s="192" t="s">
        <v>242</v>
      </c>
      <c r="AJ6" s="220" t="s">
        <v>243</v>
      </c>
      <c r="AK6" s="192" t="s">
        <v>242</v>
      </c>
      <c r="AL6" s="220" t="s">
        <v>243</v>
      </c>
      <c r="AM6" s="219" t="s">
        <v>242</v>
      </c>
      <c r="AN6" s="220" t="s">
        <v>243</v>
      </c>
      <c r="AO6" s="192" t="s">
        <v>242</v>
      </c>
      <c r="AP6" s="220" t="s">
        <v>243</v>
      </c>
      <c r="AQ6" s="192" t="s">
        <v>242</v>
      </c>
      <c r="AR6" s="220" t="s">
        <v>243</v>
      </c>
      <c r="AS6" s="192" t="s">
        <v>242</v>
      </c>
      <c r="AT6" s="220" t="s">
        <v>243</v>
      </c>
      <c r="AU6" s="204" t="s">
        <v>242</v>
      </c>
      <c r="AV6" s="220" t="s">
        <v>243</v>
      </c>
      <c r="AW6" s="222" t="s">
        <v>242</v>
      </c>
      <c r="AX6" s="220" t="s">
        <v>243</v>
      </c>
      <c r="AY6" s="222" t="s">
        <v>242</v>
      </c>
      <c r="AZ6" s="220" t="s">
        <v>243</v>
      </c>
    </row>
    <row r="7" spans="1:53" ht="20" customHeight="1" thickBot="1" x14ac:dyDescent="0.25">
      <c r="A7" s="184" t="s">
        <v>251</v>
      </c>
      <c r="B7" s="186" t="s">
        <v>334</v>
      </c>
      <c r="D7" s="189"/>
      <c r="G7" s="184"/>
      <c r="H7" s="196"/>
      <c r="I7" s="199"/>
      <c r="J7" s="202"/>
      <c r="K7" s="205"/>
      <c r="L7" s="263"/>
      <c r="M7" s="192"/>
      <c r="N7" s="220"/>
      <c r="O7" s="192"/>
      <c r="P7" s="220"/>
      <c r="Q7" s="192"/>
      <c r="R7" s="220"/>
      <c r="S7" s="192"/>
      <c r="T7" s="220"/>
      <c r="U7" s="192"/>
      <c r="V7" s="220"/>
      <c r="W7" s="219"/>
      <c r="X7" s="220"/>
      <c r="Y7" s="226"/>
      <c r="Z7" s="220"/>
      <c r="AA7" s="219"/>
      <c r="AB7" s="220"/>
      <c r="AC7" s="192"/>
      <c r="AD7" s="220"/>
      <c r="AE7" s="192"/>
      <c r="AF7" s="220"/>
      <c r="AG7" s="192"/>
      <c r="AH7" s="220"/>
      <c r="AI7" s="192"/>
      <c r="AJ7" s="220"/>
      <c r="AK7" s="192"/>
      <c r="AL7" s="220"/>
      <c r="AM7" s="192"/>
      <c r="AN7" s="220"/>
      <c r="AO7" s="192"/>
      <c r="AP7" s="220"/>
      <c r="AQ7" s="192"/>
      <c r="AR7" s="220"/>
      <c r="AS7" s="192"/>
      <c r="AT7" s="220"/>
      <c r="AU7" s="205"/>
      <c r="AV7" s="220"/>
      <c r="AW7" s="222"/>
      <c r="AX7" s="220"/>
      <c r="AY7" s="222"/>
      <c r="AZ7" s="220"/>
    </row>
    <row r="8" spans="1:53" ht="20" customHeight="1" x14ac:dyDescent="0.2">
      <c r="A8" s="184"/>
      <c r="B8" s="186"/>
      <c r="G8" s="184"/>
      <c r="H8" s="196"/>
      <c r="I8" s="199"/>
      <c r="J8" s="202"/>
      <c r="K8" s="205"/>
      <c r="L8" s="263"/>
      <c r="M8" s="192"/>
      <c r="N8" s="220"/>
      <c r="O8" s="192"/>
      <c r="P8" s="220"/>
      <c r="Q8" s="192"/>
      <c r="R8" s="220"/>
      <c r="S8" s="192"/>
      <c r="T8" s="220"/>
      <c r="U8" s="192"/>
      <c r="V8" s="220"/>
      <c r="W8" s="219"/>
      <c r="X8" s="220"/>
      <c r="Y8" s="226"/>
      <c r="Z8" s="220"/>
      <c r="AA8" s="219"/>
      <c r="AB8" s="220"/>
      <c r="AC8" s="192"/>
      <c r="AD8" s="220"/>
      <c r="AE8" s="192"/>
      <c r="AF8" s="220"/>
      <c r="AG8" s="192"/>
      <c r="AH8" s="220"/>
      <c r="AI8" s="192"/>
      <c r="AJ8" s="220"/>
      <c r="AK8" s="192"/>
      <c r="AL8" s="220"/>
      <c r="AM8" s="192"/>
      <c r="AN8" s="220"/>
      <c r="AO8" s="192"/>
      <c r="AP8" s="220"/>
      <c r="AQ8" s="192"/>
      <c r="AR8" s="220"/>
      <c r="AS8" s="192"/>
      <c r="AT8" s="220"/>
      <c r="AU8" s="205"/>
      <c r="AV8" s="220"/>
      <c r="AW8" s="222"/>
      <c r="AX8" s="220"/>
      <c r="AY8" s="222"/>
      <c r="AZ8" s="220"/>
    </row>
    <row r="9" spans="1:53" ht="20" customHeight="1" x14ac:dyDescent="0.2">
      <c r="A9" s="184"/>
      <c r="B9" s="186"/>
      <c r="G9" s="184"/>
      <c r="H9" s="196"/>
      <c r="I9" s="199"/>
      <c r="J9" s="202"/>
      <c r="K9" s="205"/>
      <c r="L9" s="263"/>
      <c r="M9" s="192"/>
      <c r="N9" s="220"/>
      <c r="O9" s="192"/>
      <c r="P9" s="220"/>
      <c r="Q9" s="192"/>
      <c r="R9" s="220"/>
      <c r="S9" s="192"/>
      <c r="T9" s="220"/>
      <c r="U9" s="192"/>
      <c r="V9" s="220"/>
      <c r="W9" s="219"/>
      <c r="X9" s="220"/>
      <c r="Y9" s="226"/>
      <c r="Z9" s="220"/>
      <c r="AA9" s="219"/>
      <c r="AB9" s="220"/>
      <c r="AC9" s="192"/>
      <c r="AD9" s="220"/>
      <c r="AE9" s="192"/>
      <c r="AF9" s="220"/>
      <c r="AG9" s="192"/>
      <c r="AH9" s="220"/>
      <c r="AI9" s="192"/>
      <c r="AJ9" s="220"/>
      <c r="AK9" s="192"/>
      <c r="AL9" s="220"/>
      <c r="AM9" s="192"/>
      <c r="AN9" s="220"/>
      <c r="AO9" s="192"/>
      <c r="AP9" s="220"/>
      <c r="AQ9" s="192"/>
      <c r="AR9" s="220"/>
      <c r="AS9" s="192"/>
      <c r="AT9" s="220"/>
      <c r="AU9" s="205"/>
      <c r="AV9" s="220"/>
      <c r="AW9" s="222"/>
      <c r="AX9" s="220"/>
      <c r="AY9" s="222"/>
      <c r="AZ9" s="220"/>
    </row>
    <row r="10" spans="1:53" s="22" customFormat="1" ht="20" customHeight="1" thickBot="1" x14ac:dyDescent="0.25">
      <c r="A10" s="185"/>
      <c r="B10" s="187"/>
      <c r="C10" s="21" t="s">
        <v>20</v>
      </c>
      <c r="D10" s="20" t="s">
        <v>21</v>
      </c>
      <c r="E10" s="20" t="s">
        <v>22</v>
      </c>
      <c r="F10" s="21" t="s">
        <v>23</v>
      </c>
      <c r="G10" s="194"/>
      <c r="H10" s="197"/>
      <c r="I10" s="200"/>
      <c r="J10" s="203"/>
      <c r="K10" s="206"/>
      <c r="L10" s="264"/>
      <c r="M10" s="193"/>
      <c r="N10" s="221"/>
      <c r="O10" s="193"/>
      <c r="P10" s="221"/>
      <c r="Q10" s="193"/>
      <c r="R10" s="221"/>
      <c r="S10" s="193"/>
      <c r="T10" s="221"/>
      <c r="U10" s="193"/>
      <c r="V10" s="221"/>
      <c r="W10" s="224"/>
      <c r="X10" s="221"/>
      <c r="Y10" s="227"/>
      <c r="Z10" s="221"/>
      <c r="AA10" s="224"/>
      <c r="AB10" s="221"/>
      <c r="AC10" s="193"/>
      <c r="AD10" s="221"/>
      <c r="AE10" s="193"/>
      <c r="AF10" s="221"/>
      <c r="AG10" s="193"/>
      <c r="AH10" s="221"/>
      <c r="AI10" s="193"/>
      <c r="AJ10" s="221"/>
      <c r="AK10" s="193"/>
      <c r="AL10" s="221"/>
      <c r="AM10" s="193"/>
      <c r="AN10" s="221"/>
      <c r="AO10" s="193"/>
      <c r="AP10" s="221"/>
      <c r="AQ10" s="193"/>
      <c r="AR10" s="221"/>
      <c r="AS10" s="193"/>
      <c r="AT10" s="221"/>
      <c r="AU10" s="206"/>
      <c r="AV10" s="221"/>
      <c r="AW10" s="223"/>
      <c r="AX10" s="221"/>
      <c r="AY10" s="223"/>
      <c r="AZ10" s="221"/>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IF((ISERROR((K11/$H11)*100)), "", IF(AND(NOT(ISERROR((K11/$H11)*100)),((K11/$H11)*100) &lt;&gt; 0), (K11/$H11)*100, ""))</f>
        <v/>
      </c>
      <c r="M11" s="70"/>
      <c r="N11" s="77" t="str">
        <f>IF((ISERROR((M11/$H11)*100)), "", IF(AND(NOT(ISERROR((M11/$H11)*100)),((M11/$H11)*100) &lt;&gt; 0), (M11/$H11)*100, ""))</f>
        <v/>
      </c>
      <c r="O11" s="70"/>
      <c r="P11" s="77" t="str">
        <f>IF((ISERROR((O11/$H11)*100)), "", IF(AND(NOT(ISERROR((O11/$H11)*100)),((O11/$H11)*100) &lt;&gt; 0), (O11/$H11)*100, ""))</f>
        <v/>
      </c>
      <c r="Q11" s="70"/>
      <c r="R11" s="77" t="str">
        <f>IF((ISERROR((Q11/$H11)*100)), "", IF(AND(NOT(ISERROR((Q11/$H11)*100)),((Q11/$H11)*100) &lt;&gt; 0), (Q11/$H11)*100, ""))</f>
        <v/>
      </c>
      <c r="S11" s="70"/>
      <c r="T11" s="77" t="str">
        <f>IF((ISERROR((S11/$H11)*100)), "", IF(AND(NOT(ISERROR((S11/$H11)*100)),((S11/$H11)*100) &lt;&gt; 0), (S11/$H11)*100, ""))</f>
        <v/>
      </c>
      <c r="U11" s="70"/>
      <c r="V11" s="77" t="str">
        <f>IF((ISERROR((U11/$H11)*100)), "", IF(AND(NOT(ISERROR((U11/$H11)*100)),((U11/$H11)*100) &lt;&gt; 0), (U11/$H11)*100, ""))</f>
        <v/>
      </c>
      <c r="W11" s="71"/>
      <c r="X11" s="77" t="str">
        <f>IF((ISERROR((W11/$H11)*100)), "", IF(AND(NOT(ISERROR((W11/$H11)*100)),((W11/$H11)*100) &lt;&gt; 0), (W11/$H11)*100, ""))</f>
        <v/>
      </c>
      <c r="Y11" s="71"/>
      <c r="Z11" s="77" t="str">
        <f>IF((ISERROR((Y11/$H11)*100)), "", IF(AND(NOT(ISERROR((Y11/$H11)*100)),((Y11/$H11)*100) &lt;&gt; 0), (Y11/$H11)*100, ""))</f>
        <v/>
      </c>
      <c r="AA11" s="71"/>
      <c r="AB11" s="77" t="str">
        <f>IF((ISERROR((AA11/$H11)*100)), "", IF(AND(NOT(ISERROR((AA11/$H11)*100)),((AA11/$H11)*100) &lt;&gt; 0), (AA11/$H11)*100, ""))</f>
        <v/>
      </c>
      <c r="AC11" s="70"/>
      <c r="AD11" s="77" t="str">
        <f>IF((ISERROR((AC11/$H11)*100)), "", IF(AND(NOT(ISERROR((AC11/$H11)*100)),((AC11/$H11)*100) &lt;&gt; 0), (AC11/$H11)*100, ""))</f>
        <v/>
      </c>
      <c r="AE11" s="70"/>
      <c r="AF11" s="77" t="str">
        <f t="shared" ref="AF11" si="0">IF((ISERROR((AE11/$H11)*100)), "", IF(AND(NOT(ISERROR((AE11/$H11)*100)),((AE11/$H11)*100) &lt;&gt; 0), (AE11/$H11)*100, ""))</f>
        <v/>
      </c>
      <c r="AG11" s="70"/>
      <c r="AH11" s="77" t="str">
        <f>IF((ISERROR((AG11/$H11)*100)), "", IF(AND(NOT(ISERROR((AG11/$H11)*100)),((AG11/$H11)*100) &lt;&gt; 0), (AG11/$H11)*100, ""))</f>
        <v/>
      </c>
      <c r="AI11" s="70"/>
      <c r="AJ11" s="77" t="str">
        <f>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IF((ISERROR((AO11/$H11)*100)), "", IF(AND(NOT(ISERROR((AO11/$H11)*100)),((AO11/$H11)*100) &lt;&gt; 0), (AO11/$H11)*100, ""))</f>
        <v/>
      </c>
      <c r="AQ11" s="70"/>
      <c r="AR11" s="77" t="str">
        <f t="shared" ref="AR11" si="1">IF((ISERROR((AQ11/$H11)*100)), "", IF(AND(NOT(ISERROR((AQ11/$H11)*100)),((AQ11/$H11)*100) &lt;&gt; 0), (AQ11/$H11)*100, ""))</f>
        <v/>
      </c>
      <c r="AS11" s="70"/>
      <c r="AT11" s="77" t="str">
        <f>IF((ISERROR((AS11/$H11)*100)), "", IF(AND(NOT(ISERROR((AS11/$H11)*100)),((AS11/$H11)*100) &lt;&gt; 0), (AS11/$H11)*100, ""))</f>
        <v/>
      </c>
      <c r="AU11" s="70"/>
      <c r="AV11" s="77" t="str">
        <f>IF((ISERROR((AU11/$H11)*100)), "", IF(AND(NOT(ISERROR((AU11/$H11)*100)),((AU11/$H11)*100) &lt;&gt; 0), (AU11/$H11)*100, ""))</f>
        <v/>
      </c>
      <c r="AW11" s="72"/>
      <c r="AX11" s="78" t="str">
        <f t="shared" ref="AX11" si="2">IF((ISERROR((AW11/$H11)*100)), "", IF(AND(NOT(ISERROR((AW11/$H11)*100)),((AW11/$H11)*100) &lt;&gt; 0), (AW11/$H11)*100, ""))</f>
        <v/>
      </c>
      <c r="AY11" s="72"/>
      <c r="AZ11" s="78" t="str">
        <f t="shared" ref="AZ11" si="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IF((ISERROR((K12/$H12)*100)), "", IF(AND(NOT(ISERROR((K12/$H12)*100)),((K12/$H12)*100) &lt;&gt; 0), (K12/$H12)*100, ""))</f>
        <v/>
      </c>
      <c r="M12" s="65"/>
      <c r="N12" s="66" t="str">
        <f t="shared" ref="N12:P112" si="4">IF((ISERROR((M12/$H12)*100)), "", IF(AND(NOT(ISERROR((M12/$H12)*100)),((M12/$H12)*100) &lt;&gt; 0), (M12/$H12)*100, ""))</f>
        <v/>
      </c>
      <c r="O12" s="67"/>
      <c r="P12" s="68" t="str">
        <f t="shared" si="4"/>
        <v/>
      </c>
      <c r="Q12" s="67"/>
      <c r="R12" s="68" t="str">
        <f t="shared" ref="R12:R75" si="5">IF((ISERROR((Q12/$H12)*100)), "", IF(AND(NOT(ISERROR((Q12/$H12)*100)),((Q12/$H12)*100) &lt;&gt; 0), (Q12/$H12)*100, ""))</f>
        <v/>
      </c>
      <c r="S12" s="67"/>
      <c r="T12" s="68" t="str">
        <f t="shared" ref="T12:T75" si="6">IF((ISERROR((S12/$H12)*100)), "", IF(AND(NOT(ISERROR((S12/$H12)*100)),((S12/$H12)*100) &lt;&gt; 0), (S12/$H12)*100, ""))</f>
        <v/>
      </c>
      <c r="U12" s="65"/>
      <c r="V12" s="66" t="str">
        <f t="shared" ref="V12:V75" si="7">IF((ISERROR((U12/$H12)*100)), "", IF(AND(NOT(ISERROR((U12/$H12)*100)),((U12/$H12)*100) &lt;&gt; 0), (U12/$H12)*100, ""))</f>
        <v/>
      </c>
      <c r="W12" s="65"/>
      <c r="X12" s="66" t="str">
        <f t="shared" ref="X12:X75" si="8">IF((ISERROR((W12/$H12)*100)), "", IF(AND(NOT(ISERROR((W12/$H12)*100)),((W12/$H12)*100) &lt;&gt; 0), (W12/$H12)*100, ""))</f>
        <v/>
      </c>
      <c r="Y12" s="65"/>
      <c r="Z12" s="66" t="str">
        <f t="shared" ref="Z12:Z75" si="9">IF((ISERROR((Y12/$H12)*100)), "", IF(AND(NOT(ISERROR((Y12/$H12)*100)),((Y12/$H12)*100) &lt;&gt; 0), (Y12/$H12)*100, ""))</f>
        <v/>
      </c>
      <c r="AA12" s="67"/>
      <c r="AB12" s="68" t="str">
        <f t="shared" ref="AB12:AB75" si="10">IF((ISERROR((AA12/$H12)*100)), "", IF(AND(NOT(ISERROR((AA12/$H12)*100)),((AA12/$H12)*100) &lt;&gt; 0), (AA12/$H12)*100, ""))</f>
        <v/>
      </c>
      <c r="AC12" s="67"/>
      <c r="AD12" s="68" t="str">
        <f t="shared" ref="AD12:AD75" si="11">IF((ISERROR((AC12/$H12)*100)), "", IF(AND(NOT(ISERROR((AC12/$H12)*100)),((AC12/$H12)*100) &lt;&gt; 0), (AC12/$H12)*100, ""))</f>
        <v/>
      </c>
      <c r="AE12" s="67"/>
      <c r="AF12" s="68" t="str">
        <f t="shared" ref="AF12:AL75" si="12">IF((ISERROR((AE12/$H12)*100)), "", IF(AND(NOT(ISERROR((AE12/$H12)*100)),((AE12/$H12)*100) &lt;&gt; 0), (AE12/$H12)*100, ""))</f>
        <v/>
      </c>
      <c r="AG12" s="67"/>
      <c r="AH12" s="68" t="str">
        <f t="shared" si="12"/>
        <v/>
      </c>
      <c r="AI12" s="67"/>
      <c r="AJ12" s="68" t="str">
        <f t="shared" si="12"/>
        <v/>
      </c>
      <c r="AK12" s="67"/>
      <c r="AL12" s="68" t="str">
        <f t="shared" si="12"/>
        <v/>
      </c>
      <c r="AM12" s="67"/>
      <c r="AN12" s="68" t="str">
        <f t="shared" ref="AN12:AN75" si="13">IF((ISERROR((AM12/$H12)*100)), "", IF(AND(NOT(ISERROR((AM12/$H12)*100)),((AM12/$H12)*100) &lt;&gt; 0), (AM12/$H12)*100, ""))</f>
        <v/>
      </c>
      <c r="AO12" s="67"/>
      <c r="AP12" s="68" t="str">
        <f t="shared" ref="AP12:AP75" si="14">IF((ISERROR((AO12/$H12)*100)), "", IF(AND(NOT(ISERROR((AO12/$H12)*100)),((AO12/$H12)*100) &lt;&gt; 0), (AO12/$H12)*100, ""))</f>
        <v/>
      </c>
      <c r="AQ12" s="67"/>
      <c r="AR12" s="68" t="str">
        <f t="shared" ref="AR12:AR75" si="15">IF((ISERROR((AQ12/$H12)*100)), "", IF(AND(NOT(ISERROR((AQ12/$H12)*100)),((AQ12/$H12)*100) &lt;&gt; 0), (AQ12/$H12)*100, ""))</f>
        <v/>
      </c>
      <c r="AS12" s="67"/>
      <c r="AT12" s="68" t="str">
        <f t="shared" ref="AT12:AT75" si="16">IF((ISERROR((AS12/$H12)*100)), "", IF(AND(NOT(ISERROR((AS12/$H12)*100)),((AS12/$H12)*100) &lt;&gt; 0), (AS12/$H12)*100, ""))</f>
        <v/>
      </c>
      <c r="AU12" s="67"/>
      <c r="AV12" s="68" t="str">
        <f t="shared" ref="AV12:AV75" si="17">IF((ISERROR((AU12/$H12)*100)), "", IF(AND(NOT(ISERROR((AU12/$H12)*100)),((AU12/$H12)*100) &lt;&gt; 0), (AU12/$H12)*100, ""))</f>
        <v/>
      </c>
      <c r="AW12" s="69"/>
      <c r="AX12" s="36" t="str">
        <f t="shared" ref="AX12:AX75" si="18">IF((ISERROR((AW12/$H12)*100)), "", IF(AND(NOT(ISERROR((AW12/$H12)*100)),((AW12/$H12)*100) &lt;&gt; 0), (AW12/$H12)*100, ""))</f>
        <v/>
      </c>
      <c r="AY12" s="69"/>
      <c r="AZ12" s="36" t="str">
        <f t="shared" ref="AZ12:AZ75" si="19">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ref="L13:L77" si="20">IF((ISERROR((K13/$H13)*100)), "", IF(AND(NOT(ISERROR((K13/$H13)*100)),((K13/$H13)*100) &lt;&gt; 0), (K13/$H13)*100, ""))</f>
        <v/>
      </c>
      <c r="M13" s="33"/>
      <c r="N13" s="36" t="str">
        <f t="shared" si="4"/>
        <v/>
      </c>
      <c r="O13" s="33"/>
      <c r="P13" s="36" t="str">
        <f t="shared" si="4"/>
        <v/>
      </c>
      <c r="Q13" s="33"/>
      <c r="R13" s="36" t="str">
        <f t="shared" si="5"/>
        <v/>
      </c>
      <c r="S13" s="33"/>
      <c r="T13" s="36" t="str">
        <f t="shared" si="6"/>
        <v/>
      </c>
      <c r="U13" s="33"/>
      <c r="V13" s="36" t="str">
        <f t="shared" si="7"/>
        <v/>
      </c>
      <c r="W13" s="33"/>
      <c r="X13" s="36" t="str">
        <f t="shared" si="8"/>
        <v/>
      </c>
      <c r="Y13" s="33"/>
      <c r="Z13" s="36" t="str">
        <f t="shared" si="9"/>
        <v/>
      </c>
      <c r="AA13" s="33"/>
      <c r="AB13" s="36" t="str">
        <f t="shared" si="10"/>
        <v/>
      </c>
      <c r="AC13" s="33"/>
      <c r="AD13" s="36" t="str">
        <f t="shared" si="11"/>
        <v/>
      </c>
      <c r="AE13" s="33"/>
      <c r="AF13" s="36" t="str">
        <f t="shared" si="12"/>
        <v/>
      </c>
      <c r="AG13" s="33"/>
      <c r="AH13" s="36" t="str">
        <f t="shared" si="12"/>
        <v/>
      </c>
      <c r="AI13" s="33"/>
      <c r="AJ13" s="36" t="str">
        <f t="shared" si="12"/>
        <v/>
      </c>
      <c r="AK13" s="33"/>
      <c r="AL13" s="36" t="str">
        <f t="shared" si="12"/>
        <v/>
      </c>
      <c r="AM13" s="33"/>
      <c r="AN13" s="36" t="str">
        <f t="shared" si="13"/>
        <v/>
      </c>
      <c r="AO13" s="33"/>
      <c r="AP13" s="36" t="str">
        <f t="shared" si="14"/>
        <v/>
      </c>
      <c r="AQ13" s="33"/>
      <c r="AR13" s="36" t="str">
        <f t="shared" si="15"/>
        <v/>
      </c>
      <c r="AS13" s="33"/>
      <c r="AT13" s="36" t="str">
        <f t="shared" si="16"/>
        <v/>
      </c>
      <c r="AU13" s="33"/>
      <c r="AV13" s="36" t="str">
        <f t="shared" si="17"/>
        <v/>
      </c>
      <c r="AW13" s="30"/>
      <c r="AX13" s="36" t="str">
        <f t="shared" si="18"/>
        <v/>
      </c>
      <c r="AY13" s="59"/>
      <c r="AZ13" s="36" t="str">
        <f t="shared" si="19"/>
        <v/>
      </c>
    </row>
    <row r="14" spans="1:53" customFormat="1" ht="20" customHeight="1" x14ac:dyDescent="0.2">
      <c r="A14" s="61"/>
      <c r="B14" s="83"/>
      <c r="C14" s="24" t="s">
        <v>85</v>
      </c>
      <c r="D14" s="23" t="s">
        <v>254</v>
      </c>
      <c r="E14" s="23" t="s">
        <v>255</v>
      </c>
      <c r="F14" s="24">
        <v>2016</v>
      </c>
      <c r="H14" s="89">
        <v>12</v>
      </c>
      <c r="I14" s="85" t="s">
        <v>335</v>
      </c>
      <c r="J14" s="86"/>
      <c r="K14" s="33"/>
      <c r="L14" s="36" t="str">
        <f>IF((ISERROR((K14/$H14)*100)), "", IF(AND(NOT(ISERROR((K14/$H14)*100)),((K14/$H14)*100) &lt;&gt; 0), (K14/$H14)*100, ""))</f>
        <v/>
      </c>
      <c r="M14" s="33"/>
      <c r="N14" s="36" t="str">
        <f>IF((ISERROR((M14/$H14)*100)), "", IF(AND(NOT(ISERROR((M14/$H14)*100)),((M14/$H14)*100) &lt;&gt; 0), (M14/$H14)*100, ""))</f>
        <v/>
      </c>
      <c r="O14" s="33"/>
      <c r="P14" s="36" t="str">
        <f>IF((ISERROR((O14/$H14)*100)), "", IF(AND(NOT(ISERROR((O14/$H14)*100)),((O14/$H14)*100) &lt;&gt; 0), (O14/$H14)*100, ""))</f>
        <v/>
      </c>
      <c r="Q14" s="33"/>
      <c r="R14" s="36" t="str">
        <f>IF((ISERROR((Q14/$H14)*100)), "", IF(AND(NOT(ISERROR((Q14/$H14)*100)),((Q14/$H14)*100) &lt;&gt; 0), (Q14/$H14)*100, ""))</f>
        <v/>
      </c>
      <c r="S14" s="33"/>
      <c r="T14" s="36" t="str">
        <f>IF((ISERROR((S14/$H14)*100)), "", IF(AND(NOT(ISERROR((S14/$H14)*100)),((S14/$H14)*100) &lt;&gt; 0), (S14/$H14)*100, ""))</f>
        <v/>
      </c>
      <c r="U14" s="33"/>
      <c r="V14" s="36" t="str">
        <f>IF((ISERROR((U14/$H14)*100)), "", IF(AND(NOT(ISERROR((U14/$H14)*100)),((U14/$H14)*100) &lt;&gt; 0), (U14/$H14)*100, ""))</f>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33"/>
      <c r="AF14" s="36" t="str">
        <f t="shared" si="12"/>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 t="shared" si="15"/>
        <v/>
      </c>
      <c r="AS14" s="33"/>
      <c r="AT14" s="36" t="str">
        <f>IF((ISERROR((AS14/$H14)*100)), "", IF(AND(NOT(ISERROR((AS14/$H14)*100)),((AS14/$H14)*100) &lt;&gt; 0), (AS14/$H14)*100, ""))</f>
        <v/>
      </c>
      <c r="AU14" s="33"/>
      <c r="AV14" s="36" t="str">
        <f>IF((ISERROR((AU14/$H14)*100)), "", IF(AND(NOT(ISERROR((AU14/$H14)*100)),((AU14/$H14)*100) &lt;&gt; 0), (AU14/$H14)*100, ""))</f>
        <v/>
      </c>
      <c r="AW14" s="76"/>
      <c r="AX14" s="36" t="str">
        <f t="shared" si="18"/>
        <v/>
      </c>
      <c r="AY14" s="76"/>
      <c r="AZ14" s="36" t="str">
        <f t="shared" si="19"/>
        <v/>
      </c>
      <c r="BA14" s="23" t="s">
        <v>336</v>
      </c>
    </row>
    <row r="15" spans="1:53" ht="20" customHeight="1" x14ac:dyDescent="0.2">
      <c r="A15" s="61"/>
      <c r="B15" s="24"/>
      <c r="C15" s="50"/>
      <c r="D15" s="49" t="s">
        <v>155</v>
      </c>
      <c r="E15" s="49" t="s">
        <v>156</v>
      </c>
      <c r="F15" s="50">
        <v>1997</v>
      </c>
      <c r="G15" s="50"/>
      <c r="H15" s="89"/>
      <c r="I15" s="85"/>
      <c r="J15" s="86"/>
      <c r="K15" s="33"/>
      <c r="L15" s="36" t="str">
        <f t="shared" si="20"/>
        <v/>
      </c>
      <c r="M15" s="33"/>
      <c r="N15" s="36" t="str">
        <f t="shared" si="4"/>
        <v/>
      </c>
      <c r="O15" s="33"/>
      <c r="P15" s="36" t="str">
        <f t="shared" si="4"/>
        <v/>
      </c>
      <c r="Q15" s="33"/>
      <c r="R15" s="36" t="str">
        <f t="shared" si="5"/>
        <v/>
      </c>
      <c r="S15" s="33"/>
      <c r="T15" s="36" t="str">
        <f t="shared" si="6"/>
        <v/>
      </c>
      <c r="U15" s="33"/>
      <c r="V15" s="36" t="str">
        <f t="shared" si="7"/>
        <v/>
      </c>
      <c r="W15" s="33"/>
      <c r="X15" s="36" t="str">
        <f t="shared" si="8"/>
        <v/>
      </c>
      <c r="Y15" s="33"/>
      <c r="Z15" s="36" t="str">
        <f t="shared" si="9"/>
        <v/>
      </c>
      <c r="AA15" s="33"/>
      <c r="AB15" s="36" t="str">
        <f t="shared" si="10"/>
        <v/>
      </c>
      <c r="AC15" s="33"/>
      <c r="AD15" s="36" t="str">
        <f t="shared" si="11"/>
        <v/>
      </c>
      <c r="AE15" s="33"/>
      <c r="AF15" s="36" t="str">
        <f t="shared" si="12"/>
        <v/>
      </c>
      <c r="AG15" s="33"/>
      <c r="AH15" s="36" t="str">
        <f t="shared" si="12"/>
        <v/>
      </c>
      <c r="AI15" s="33"/>
      <c r="AJ15" s="36" t="str">
        <f t="shared" si="12"/>
        <v/>
      </c>
      <c r="AK15" s="33"/>
      <c r="AL15" s="36" t="str">
        <f t="shared" si="12"/>
        <v/>
      </c>
      <c r="AM15" s="33"/>
      <c r="AN15" s="36" t="str">
        <f t="shared" si="13"/>
        <v/>
      </c>
      <c r="AO15" s="33"/>
      <c r="AP15" s="36" t="str">
        <f t="shared" si="14"/>
        <v/>
      </c>
      <c r="AQ15" s="33"/>
      <c r="AR15" s="36" t="str">
        <f t="shared" si="15"/>
        <v/>
      </c>
      <c r="AS15" s="33"/>
      <c r="AT15" s="36" t="str">
        <f t="shared" si="16"/>
        <v/>
      </c>
      <c r="AU15" s="33"/>
      <c r="AV15" s="36" t="str">
        <f t="shared" si="17"/>
        <v/>
      </c>
      <c r="AW15" s="30"/>
      <c r="AX15" s="36" t="str">
        <f t="shared" si="18"/>
        <v/>
      </c>
      <c r="AY15" s="59"/>
      <c r="AZ15" s="36" t="str">
        <f t="shared" si="19"/>
        <v/>
      </c>
    </row>
    <row r="16" spans="1:53" ht="20" customHeight="1" x14ac:dyDescent="0.2">
      <c r="A16" s="60"/>
      <c r="B16" s="24"/>
      <c r="C16" s="50" t="s">
        <v>30</v>
      </c>
      <c r="D16" s="49" t="s">
        <v>31</v>
      </c>
      <c r="E16" s="49" t="s">
        <v>32</v>
      </c>
      <c r="F16" s="50">
        <v>2004</v>
      </c>
      <c r="G16" s="50">
        <v>21</v>
      </c>
      <c r="H16" s="89"/>
      <c r="I16" s="85"/>
      <c r="J16" s="86"/>
      <c r="K16" s="33"/>
      <c r="L16" s="36" t="str">
        <f t="shared" si="20"/>
        <v/>
      </c>
      <c r="M16" s="33"/>
      <c r="N16" s="36" t="str">
        <f t="shared" si="4"/>
        <v/>
      </c>
      <c r="O16" s="33"/>
      <c r="P16" s="36" t="str">
        <f t="shared" si="4"/>
        <v/>
      </c>
      <c r="Q16" s="33"/>
      <c r="R16" s="36" t="str">
        <f t="shared" si="5"/>
        <v/>
      </c>
      <c r="S16" s="33"/>
      <c r="T16" s="36" t="str">
        <f t="shared" si="6"/>
        <v/>
      </c>
      <c r="U16" s="33"/>
      <c r="V16" s="36" t="str">
        <f t="shared" si="7"/>
        <v/>
      </c>
      <c r="W16" s="33"/>
      <c r="X16" s="36" t="str">
        <f t="shared" si="8"/>
        <v/>
      </c>
      <c r="Y16" s="33"/>
      <c r="Z16" s="36" t="str">
        <f t="shared" si="9"/>
        <v/>
      </c>
      <c r="AA16" s="33"/>
      <c r="AB16" s="36" t="str">
        <f t="shared" si="10"/>
        <v/>
      </c>
      <c r="AC16" s="33"/>
      <c r="AD16" s="36" t="str">
        <f t="shared" si="11"/>
        <v/>
      </c>
      <c r="AE16" s="33"/>
      <c r="AF16" s="36" t="str">
        <f t="shared" si="12"/>
        <v/>
      </c>
      <c r="AG16" s="33"/>
      <c r="AH16" s="36" t="str">
        <f t="shared" si="12"/>
        <v/>
      </c>
      <c r="AI16" s="33"/>
      <c r="AJ16" s="36" t="str">
        <f t="shared" si="12"/>
        <v/>
      </c>
      <c r="AK16" s="33"/>
      <c r="AL16" s="36" t="str">
        <f t="shared" si="12"/>
        <v/>
      </c>
      <c r="AM16" s="33"/>
      <c r="AN16" s="36" t="str">
        <f t="shared" si="13"/>
        <v/>
      </c>
      <c r="AO16" s="33"/>
      <c r="AP16" s="36" t="str">
        <f t="shared" si="14"/>
        <v/>
      </c>
      <c r="AQ16" s="33"/>
      <c r="AR16" s="36" t="str">
        <f t="shared" si="15"/>
        <v/>
      </c>
      <c r="AS16" s="33"/>
      <c r="AT16" s="36" t="str">
        <f t="shared" si="16"/>
        <v/>
      </c>
      <c r="AU16" s="33"/>
      <c r="AV16" s="36" t="str">
        <f t="shared" si="17"/>
        <v/>
      </c>
      <c r="AW16" s="30"/>
      <c r="AX16" s="36" t="str">
        <f t="shared" si="18"/>
        <v/>
      </c>
      <c r="AY16" s="59"/>
      <c r="AZ16" s="36" t="str">
        <f t="shared" si="19"/>
        <v/>
      </c>
    </row>
    <row r="17" spans="1:53" ht="20" customHeight="1" x14ac:dyDescent="0.2">
      <c r="A17" s="61"/>
      <c r="B17" s="82"/>
      <c r="C17" s="24" t="s">
        <v>85</v>
      </c>
      <c r="D17" s="23" t="s">
        <v>33</v>
      </c>
      <c r="E17" s="23" t="s">
        <v>34</v>
      </c>
      <c r="F17" s="24">
        <v>2003</v>
      </c>
      <c r="G17" s="24">
        <v>291</v>
      </c>
      <c r="H17" s="89">
        <v>14</v>
      </c>
      <c r="I17" s="85" t="s">
        <v>167</v>
      </c>
      <c r="J17" s="86"/>
      <c r="K17" s="33">
        <v>2</v>
      </c>
      <c r="L17" s="36">
        <f t="shared" si="20"/>
        <v>14.285714285714285</v>
      </c>
      <c r="M17" s="33"/>
      <c r="N17" s="36" t="str">
        <f t="shared" si="4"/>
        <v/>
      </c>
      <c r="O17" s="33"/>
      <c r="P17" s="36" t="str">
        <f t="shared" si="4"/>
        <v/>
      </c>
      <c r="Q17" s="33"/>
      <c r="R17" s="36" t="str">
        <f t="shared" si="5"/>
        <v/>
      </c>
      <c r="S17" s="33"/>
      <c r="T17" s="36" t="str">
        <f t="shared" si="6"/>
        <v/>
      </c>
      <c r="U17" s="33">
        <v>2</v>
      </c>
      <c r="V17" s="36">
        <f t="shared" si="7"/>
        <v>14.285714285714285</v>
      </c>
      <c r="W17" s="33"/>
      <c r="X17" s="36" t="str">
        <f t="shared" si="8"/>
        <v/>
      </c>
      <c r="Y17" s="33"/>
      <c r="Z17" s="36" t="str">
        <f t="shared" si="9"/>
        <v/>
      </c>
      <c r="AA17" s="33">
        <v>1</v>
      </c>
      <c r="AB17" s="36">
        <f t="shared" si="10"/>
        <v>7.1428571428571423</v>
      </c>
      <c r="AC17" s="33"/>
      <c r="AD17" s="36" t="str">
        <f t="shared" si="11"/>
        <v/>
      </c>
      <c r="AE17" s="33"/>
      <c r="AF17" s="36" t="str">
        <f t="shared" si="12"/>
        <v/>
      </c>
      <c r="AG17" s="33"/>
      <c r="AH17" s="36" t="str">
        <f t="shared" si="12"/>
        <v/>
      </c>
      <c r="AI17" s="33"/>
      <c r="AJ17" s="36" t="str">
        <f t="shared" si="12"/>
        <v/>
      </c>
      <c r="AK17" s="33"/>
      <c r="AL17" s="36" t="str">
        <f t="shared" si="12"/>
        <v/>
      </c>
      <c r="AM17" s="33"/>
      <c r="AN17" s="36" t="str">
        <f t="shared" si="13"/>
        <v/>
      </c>
      <c r="AO17" s="33"/>
      <c r="AP17" s="36" t="str">
        <f t="shared" si="14"/>
        <v/>
      </c>
      <c r="AQ17" s="33"/>
      <c r="AR17" s="36" t="str">
        <f t="shared" si="15"/>
        <v/>
      </c>
      <c r="AS17" s="33"/>
      <c r="AT17" s="36" t="str">
        <f t="shared" si="16"/>
        <v/>
      </c>
      <c r="AU17" s="33"/>
      <c r="AV17" s="36" t="str">
        <f t="shared" si="17"/>
        <v/>
      </c>
      <c r="AW17" s="30"/>
      <c r="AX17" s="36" t="str">
        <f t="shared" si="18"/>
        <v/>
      </c>
      <c r="AY17" s="59"/>
      <c r="AZ17" s="36" t="str">
        <f t="shared" si="19"/>
        <v/>
      </c>
      <c r="BA17" s="23" t="s">
        <v>337</v>
      </c>
    </row>
    <row r="18" spans="1:53" ht="20" customHeight="1" x14ac:dyDescent="0.2">
      <c r="A18" s="60"/>
      <c r="B18" s="82"/>
      <c r="C18" s="24" t="s">
        <v>85</v>
      </c>
      <c r="D18" s="23" t="s">
        <v>256</v>
      </c>
      <c r="E18" s="23" t="s">
        <v>257</v>
      </c>
      <c r="F18" s="24">
        <v>2008</v>
      </c>
      <c r="H18" s="89">
        <v>13</v>
      </c>
      <c r="I18" s="85" t="s">
        <v>220</v>
      </c>
      <c r="J18" s="86" t="s">
        <v>338</v>
      </c>
      <c r="K18" s="33">
        <v>1</v>
      </c>
      <c r="L18" s="36">
        <f>IF((ISERROR((K18/$H18)*100)), "", IF(AND(NOT(ISERROR((K18/$H18)*100)),((K18/$H18)*100) &lt;&gt; 0), (K18/$H18)*100, ""))</f>
        <v>7.6923076923076925</v>
      </c>
      <c r="M18" s="33"/>
      <c r="N18" s="36" t="str">
        <f>IF((ISERROR((M18/$H18)*100)), "", IF(AND(NOT(ISERROR((M18/$H18)*100)),((M18/$H18)*100) &lt;&gt; 0), (M18/$H18)*100, ""))</f>
        <v/>
      </c>
      <c r="O18" s="33"/>
      <c r="P18" s="36" t="str">
        <f>IF((ISERROR((O18/$H18)*100)), "", IF(AND(NOT(ISERROR((O18/$H18)*100)),((O18/$H18)*100) &lt;&gt; 0), (O18/$H18)*100, ""))</f>
        <v/>
      </c>
      <c r="Q18" s="33"/>
      <c r="R18" s="36" t="str">
        <f>IF((ISERROR((Q18/$H18)*100)), "", IF(AND(NOT(ISERROR((Q18/$H18)*100)),((Q18/$H18)*100) &lt;&gt; 0), (Q18/$H18)*100, ""))</f>
        <v/>
      </c>
      <c r="S18" s="33"/>
      <c r="T18" s="36" t="str">
        <f>IF((ISERROR((S18/$H18)*100)), "", IF(AND(NOT(ISERROR((S18/$H18)*100)),((S18/$H18)*100) &lt;&gt; 0), (S18/$H18)*100, ""))</f>
        <v/>
      </c>
      <c r="U18" s="33"/>
      <c r="V18" s="36" t="str">
        <f>IF((ISERROR((U18/$H18)*100)), "", IF(AND(NOT(ISERROR((U18/$H18)*100)),((U18/$H18)*100) &lt;&gt; 0), (U18/$H18)*100, ""))</f>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33"/>
      <c r="AF18" s="36" t="str">
        <f t="shared" si="12"/>
        <v/>
      </c>
      <c r="AG18" s="33"/>
      <c r="AH18" s="36" t="str">
        <f>IF((ISERROR((AG18/$H18)*100)), "", IF(AND(NOT(ISERROR((AG18/$H18)*100)),((AG18/$H18)*100) &lt;&gt; 0), (AG18/$H18)*100, ""))</f>
        <v/>
      </c>
      <c r="AI18" s="33"/>
      <c r="AJ18" s="36" t="str">
        <f>IF((ISERROR((AI18/$H18)*100)), "", IF(AND(NOT(ISERROR((AI18/$H18)*100)),((AI18/$H18)*100) &lt;&gt; 0), (AI18/$H18)*100, ""))</f>
        <v/>
      </c>
      <c r="AK18" s="33"/>
      <c r="AL18" s="36" t="str">
        <f>IF((ISERROR((AK18/$H18)*100)), "", IF(AND(NOT(ISERROR((AK18/$H18)*100)),((AK18/$H18)*100) &lt;&gt; 0), (AK18/$H18)*100, ""))</f>
        <v/>
      </c>
      <c r="AM18" s="33"/>
      <c r="AN18" s="36" t="str">
        <f>IF((ISERROR((AM18/$H18)*100)), "", IF(AND(NOT(ISERROR((AM18/$H18)*100)),((AM18/$H18)*100) &lt;&gt; 0), (AM18/$H18)*100, ""))</f>
        <v/>
      </c>
      <c r="AO18" s="33"/>
      <c r="AP18" s="36" t="str">
        <f>IF((ISERROR((AO18/$H18)*100)), "", IF(AND(NOT(ISERROR((AO18/$H18)*100)),((AO18/$H18)*100) &lt;&gt; 0), (AO18/$H18)*100, ""))</f>
        <v/>
      </c>
      <c r="AQ18" s="33"/>
      <c r="AR18" s="36" t="str">
        <f t="shared" si="15"/>
        <v/>
      </c>
      <c r="AS18" s="33"/>
      <c r="AT18" s="36" t="str">
        <f>IF((ISERROR((AS18/$H18)*100)), "", IF(AND(NOT(ISERROR((AS18/$H18)*100)),((AS18/$H18)*100) &lt;&gt; 0), (AS18/$H18)*100, ""))</f>
        <v/>
      </c>
      <c r="AU18" s="33"/>
      <c r="AV18" s="36" t="str">
        <f>IF((ISERROR((AU18/$H18)*100)), "", IF(AND(NOT(ISERROR((AU18/$H18)*100)),((AU18/$H18)*100) &lt;&gt; 0), (AU18/$H18)*100, ""))</f>
        <v/>
      </c>
      <c r="AW18" s="76"/>
      <c r="AX18" s="36" t="str">
        <f t="shared" si="18"/>
        <v/>
      </c>
      <c r="AY18" s="76"/>
      <c r="AZ18" s="36" t="str">
        <f t="shared" si="19"/>
        <v/>
      </c>
    </row>
    <row r="19" spans="1:53" ht="20" customHeight="1" x14ac:dyDescent="0.2">
      <c r="A19" s="61"/>
      <c r="B19" s="82"/>
      <c r="C19" s="24" t="s">
        <v>85</v>
      </c>
      <c r="D19" s="23" t="s">
        <v>36</v>
      </c>
      <c r="E19" s="23" t="s">
        <v>37</v>
      </c>
      <c r="F19" s="24">
        <v>2008</v>
      </c>
      <c r="G19" s="24">
        <v>40</v>
      </c>
      <c r="H19" s="89"/>
      <c r="I19" s="85"/>
      <c r="J19" s="86" t="s">
        <v>169</v>
      </c>
      <c r="K19" s="33"/>
      <c r="L19" s="36" t="str">
        <f>IF((ISERROR((K19/$H19)*100)), "", IF(AND(NOT(ISERROR((K19/$H19)*100)),((K19/$H19)*100) &lt;&gt; 0), (K19/$H19)*100, ""))</f>
        <v/>
      </c>
      <c r="M19" s="33"/>
      <c r="N19" s="36" t="str">
        <f>IF((ISERROR((M19/$H19)*100)), "", IF(AND(NOT(ISERROR((M19/$H19)*100)),((M19/$H19)*100) &lt;&gt; 0), (M19/$H19)*100, ""))</f>
        <v/>
      </c>
      <c r="O19" s="33"/>
      <c r="P19" s="36" t="str">
        <f>IF((ISERROR((O19/$H19)*100)), "", IF(AND(NOT(ISERROR((O19/$H19)*100)),((O19/$H19)*100) &lt;&gt; 0), (O19/$H19)*100, ""))</f>
        <v/>
      </c>
      <c r="Q19" s="33"/>
      <c r="R19" s="36" t="str">
        <f>IF((ISERROR((Q19/$H19)*100)), "", IF(AND(NOT(ISERROR((Q19/$H19)*100)),((Q19/$H19)*100) &lt;&gt; 0), (Q19/$H19)*100, ""))</f>
        <v/>
      </c>
      <c r="S19" s="33"/>
      <c r="T19" s="36" t="str">
        <f>IF((ISERROR((S19/$H19)*100)), "", IF(AND(NOT(ISERROR((S19/$H19)*100)),((S19/$H19)*100) &lt;&gt; 0), (S19/$H19)*100, ""))</f>
        <v/>
      </c>
      <c r="U19" s="33"/>
      <c r="V19" s="36" t="str">
        <f>IF((ISERROR((U19/$H19)*100)), "", IF(AND(NOT(ISERROR((U19/$H19)*100)),((U19/$H19)*100) &lt;&gt; 0), (U19/$H19)*100, ""))</f>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33"/>
      <c r="AF19" s="36" t="str">
        <f t="shared" si="12"/>
        <v/>
      </c>
      <c r="AG19" s="33"/>
      <c r="AH19" s="36" t="str">
        <f>IF((ISERROR((AG19/$H19)*100)), "", IF(AND(NOT(ISERROR((AG19/$H19)*100)),((AG19/$H19)*100) &lt;&gt; 0), (AG19/$H19)*100, ""))</f>
        <v/>
      </c>
      <c r="AI19" s="33"/>
      <c r="AJ19" s="36" t="str">
        <f>IF((ISERROR((AI19/$H19)*100)), "", IF(AND(NOT(ISERROR((AI19/$H19)*100)),((AI19/$H19)*100) &lt;&gt; 0), (AI19/$H19)*100, ""))</f>
        <v/>
      </c>
      <c r="AK19" s="33"/>
      <c r="AL19" s="36" t="str">
        <f>IF((ISERROR((AK19/$H19)*100)), "", IF(AND(NOT(ISERROR((AK19/$H19)*100)),((AK19/$H19)*100) &lt;&gt; 0), (AK19/$H19)*100, ""))</f>
        <v/>
      </c>
      <c r="AM19" s="33"/>
      <c r="AN19" s="36" t="str">
        <f>IF((ISERROR((AM19/$H19)*100)), "", IF(AND(NOT(ISERROR((AM19/$H19)*100)),((AM19/$H19)*100) &lt;&gt; 0), (AM19/$H19)*100, ""))</f>
        <v/>
      </c>
      <c r="AO19" s="33"/>
      <c r="AP19" s="36" t="str">
        <f>IF((ISERROR((AO19/$H19)*100)), "", IF(AND(NOT(ISERROR((AO19/$H19)*100)),((AO19/$H19)*100) &lt;&gt; 0), (AO19/$H19)*100, ""))</f>
        <v/>
      </c>
      <c r="AQ19" s="33"/>
      <c r="AR19" s="36" t="str">
        <f t="shared" si="15"/>
        <v/>
      </c>
      <c r="AS19" s="33"/>
      <c r="AT19" s="36" t="str">
        <f>IF((ISERROR((AS19/$H19)*100)), "", IF(AND(NOT(ISERROR((AS19/$H19)*100)),((AS19/$H19)*100) &lt;&gt; 0), (AS19/$H19)*100, ""))</f>
        <v/>
      </c>
      <c r="AU19" s="33"/>
      <c r="AV19" s="36" t="str">
        <f>IF((ISERROR((AU19/$H19)*100)), "", IF(AND(NOT(ISERROR((AU19/$H19)*100)),((AU19/$H19)*100) &lt;&gt; 0), (AU19/$H19)*100, ""))</f>
        <v/>
      </c>
      <c r="AW19" s="76"/>
      <c r="AX19" s="36" t="str">
        <f t="shared" si="18"/>
        <v/>
      </c>
      <c r="AY19" s="40"/>
      <c r="AZ19" s="39" t="str">
        <f t="shared" si="19"/>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20"/>
        <v/>
      </c>
      <c r="M20" s="33"/>
      <c r="N20" s="36" t="str">
        <f t="shared" si="4"/>
        <v/>
      </c>
      <c r="O20" s="33"/>
      <c r="P20" s="36" t="str">
        <f t="shared" si="4"/>
        <v/>
      </c>
      <c r="Q20" s="33"/>
      <c r="R20" s="36" t="str">
        <f t="shared" si="5"/>
        <v/>
      </c>
      <c r="S20" s="33"/>
      <c r="T20" s="36" t="str">
        <f t="shared" si="6"/>
        <v/>
      </c>
      <c r="U20" s="33"/>
      <c r="V20" s="36" t="str">
        <f t="shared" si="7"/>
        <v/>
      </c>
      <c r="W20" s="33"/>
      <c r="X20" s="36" t="str">
        <f t="shared" si="8"/>
        <v/>
      </c>
      <c r="Y20" s="33"/>
      <c r="Z20" s="36" t="str">
        <f t="shared" si="9"/>
        <v/>
      </c>
      <c r="AA20" s="33"/>
      <c r="AB20" s="36" t="str">
        <f t="shared" si="10"/>
        <v/>
      </c>
      <c r="AC20" s="33"/>
      <c r="AD20" s="36" t="str">
        <f t="shared" si="11"/>
        <v/>
      </c>
      <c r="AE20" s="33"/>
      <c r="AF20" s="36" t="str">
        <f t="shared" si="12"/>
        <v/>
      </c>
      <c r="AG20" s="33"/>
      <c r="AH20" s="36" t="str">
        <f t="shared" si="12"/>
        <v/>
      </c>
      <c r="AI20" s="33"/>
      <c r="AJ20" s="36" t="str">
        <f t="shared" si="12"/>
        <v/>
      </c>
      <c r="AK20" s="33"/>
      <c r="AL20" s="36" t="str">
        <f t="shared" si="12"/>
        <v/>
      </c>
      <c r="AM20" s="33"/>
      <c r="AN20" s="36" t="str">
        <f t="shared" si="13"/>
        <v/>
      </c>
      <c r="AO20" s="33"/>
      <c r="AP20" s="36" t="str">
        <f t="shared" si="14"/>
        <v/>
      </c>
      <c r="AQ20" s="33"/>
      <c r="AR20" s="36" t="str">
        <f t="shared" si="15"/>
        <v/>
      </c>
      <c r="AS20" s="33"/>
      <c r="AT20" s="36" t="str">
        <f t="shared" si="16"/>
        <v/>
      </c>
      <c r="AU20" s="33"/>
      <c r="AV20" s="36" t="str">
        <f t="shared" si="17"/>
        <v/>
      </c>
      <c r="AW20" s="30"/>
      <c r="AX20" s="36" t="str">
        <f t="shared" si="18"/>
        <v/>
      </c>
      <c r="AY20" s="59"/>
      <c r="AZ20" s="36" t="str">
        <f t="shared" si="19"/>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20"/>
        <v/>
      </c>
      <c r="M21" s="38"/>
      <c r="N21" s="39" t="str">
        <f t="shared" si="4"/>
        <v/>
      </c>
      <c r="O21" s="38"/>
      <c r="P21" s="39" t="str">
        <f t="shared" si="4"/>
        <v/>
      </c>
      <c r="Q21" s="38"/>
      <c r="R21" s="39" t="str">
        <f t="shared" si="5"/>
        <v/>
      </c>
      <c r="S21" s="38"/>
      <c r="T21" s="39" t="str">
        <f t="shared" si="6"/>
        <v/>
      </c>
      <c r="U21" s="38"/>
      <c r="V21" s="39" t="str">
        <f t="shared" si="7"/>
        <v/>
      </c>
      <c r="W21" s="38"/>
      <c r="X21" s="39" t="str">
        <f t="shared" si="8"/>
        <v/>
      </c>
      <c r="Y21" s="38"/>
      <c r="Z21" s="39" t="str">
        <f t="shared" si="9"/>
        <v/>
      </c>
      <c r="AA21" s="33"/>
      <c r="AB21" s="36" t="str">
        <f t="shared" si="10"/>
        <v/>
      </c>
      <c r="AC21" s="33"/>
      <c r="AD21" s="36" t="str">
        <f t="shared" si="11"/>
        <v/>
      </c>
      <c r="AE21" s="33"/>
      <c r="AF21" s="36" t="str">
        <f t="shared" si="12"/>
        <v/>
      </c>
      <c r="AG21" s="33"/>
      <c r="AH21" s="36" t="str">
        <f t="shared" si="12"/>
        <v/>
      </c>
      <c r="AI21" s="33"/>
      <c r="AJ21" s="36" t="str">
        <f t="shared" si="12"/>
        <v/>
      </c>
      <c r="AK21" s="33"/>
      <c r="AL21" s="36" t="str">
        <f t="shared" si="12"/>
        <v/>
      </c>
      <c r="AM21" s="33"/>
      <c r="AN21" s="36" t="str">
        <f t="shared" si="13"/>
        <v/>
      </c>
      <c r="AO21" s="33"/>
      <c r="AP21" s="36" t="str">
        <f t="shared" si="14"/>
        <v/>
      </c>
      <c r="AQ21" s="33"/>
      <c r="AR21" s="36" t="str">
        <f t="shared" si="15"/>
        <v/>
      </c>
      <c r="AS21" s="33"/>
      <c r="AT21" s="36" t="str">
        <f t="shared" si="16"/>
        <v/>
      </c>
      <c r="AU21" s="33"/>
      <c r="AV21" s="36" t="str">
        <f t="shared" si="17"/>
        <v/>
      </c>
      <c r="AW21" s="30"/>
      <c r="AX21" s="36" t="str">
        <f t="shared" si="18"/>
        <v/>
      </c>
      <c r="AY21" s="59"/>
      <c r="AZ21" s="36" t="str">
        <f t="shared" si="19"/>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v>5</v>
      </c>
      <c r="L22" s="36">
        <f>IF((ISERROR((K22/$H22)*100)), "", IF(AND(NOT(ISERROR((K22/$H22)*100)),((K22/$H22)*100) &lt;&gt; 0), (K22/$H22)*100, ""))</f>
        <v>41.666666666666671</v>
      </c>
      <c r="M22" s="33"/>
      <c r="N22" s="36" t="str">
        <f>IF((ISERROR((M22/$H22)*100)), "", IF(AND(NOT(ISERROR((M22/$H22)*100)),((M22/$H22)*100) &lt;&gt; 0), (M22/$H22)*100, ""))</f>
        <v/>
      </c>
      <c r="O22" s="33"/>
      <c r="P22" s="36" t="str">
        <f>IF((ISERROR((O22/$H22)*100)), "", IF(AND(NOT(ISERROR((O22/$H22)*100)),((O22/$H22)*100) &lt;&gt; 0), (O22/$H22)*100, ""))</f>
        <v/>
      </c>
      <c r="Q22" s="33"/>
      <c r="R22" s="36" t="str">
        <f>IF((ISERROR((Q22/$H22)*100)), "", IF(AND(NOT(ISERROR((Q22/$H22)*100)),((Q22/$H22)*100) &lt;&gt; 0), (Q22/$H22)*100, ""))</f>
        <v/>
      </c>
      <c r="S22" s="33"/>
      <c r="T22" s="36" t="str">
        <f>IF((ISERROR((S22/$H22)*100)), "", IF(AND(NOT(ISERROR((S22/$H22)*100)),((S22/$H22)*100) &lt;&gt; 0), (S22/$H22)*100, ""))</f>
        <v/>
      </c>
      <c r="U22" s="33"/>
      <c r="V22" s="36" t="str">
        <f>IF((ISERROR((U22/$H22)*100)), "", IF(AND(NOT(ISERROR((U22/$H22)*100)),((U22/$H22)*100) &lt;&gt; 0), (U22/$H22)*100, ""))</f>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33"/>
      <c r="AF22" s="36" t="str">
        <f t="shared" si="12"/>
        <v/>
      </c>
      <c r="AG22" s="33"/>
      <c r="AH22" s="36" t="str">
        <f>IF((ISERROR((AG22/$H22)*100)), "", IF(AND(NOT(ISERROR((AG22/$H22)*100)),((AG22/$H22)*100) &lt;&gt; 0), (AG22/$H22)*100, ""))</f>
        <v/>
      </c>
      <c r="AI22" s="33"/>
      <c r="AJ22" s="36" t="str">
        <f>IF((ISERROR((AI22/$H22)*100)), "", IF(AND(NOT(ISERROR((AI22/$H22)*100)),((AI22/$H22)*100) &lt;&gt; 0), (AI22/$H22)*100, ""))</f>
        <v/>
      </c>
      <c r="AK22" s="33"/>
      <c r="AL22" s="36" t="str">
        <f>IF((ISERROR((AK22/$H22)*100)), "", IF(AND(NOT(ISERROR((AK22/$H22)*100)),((AK22/$H22)*100) &lt;&gt; 0), (AK22/$H22)*100, ""))</f>
        <v/>
      </c>
      <c r="AM22" s="33"/>
      <c r="AN22" s="36" t="str">
        <f>IF((ISERROR((AM22/$H22)*100)), "", IF(AND(NOT(ISERROR((AM22/$H22)*100)),((AM22/$H22)*100) &lt;&gt; 0), (AM22/$H22)*100, ""))</f>
        <v/>
      </c>
      <c r="AO22" s="33"/>
      <c r="AP22" s="36" t="str">
        <f>IF((ISERROR((AO22/$H22)*100)), "", IF(AND(NOT(ISERROR((AO22/$H22)*100)),((AO22/$H22)*100) &lt;&gt; 0), (AO22/$H22)*100, ""))</f>
        <v/>
      </c>
      <c r="AQ22" s="33"/>
      <c r="AR22" s="36" t="str">
        <f t="shared" si="15"/>
        <v/>
      </c>
      <c r="AS22" s="33"/>
      <c r="AT22" s="36" t="str">
        <f>IF((ISERROR((AS22/$H22)*100)), "", IF(AND(NOT(ISERROR((AS22/$H22)*100)),((AS22/$H22)*100) &lt;&gt; 0), (AS22/$H22)*100, ""))</f>
        <v/>
      </c>
      <c r="AU22" s="33"/>
      <c r="AV22" s="36" t="str">
        <f>IF((ISERROR((AU22/$H22)*100)), "", IF(AND(NOT(ISERROR((AU22/$H22)*100)),((AU22/$H22)*100) &lt;&gt; 0), (AU22/$H22)*100, ""))</f>
        <v/>
      </c>
      <c r="AW22" s="76"/>
      <c r="AX22" s="36" t="str">
        <f t="shared" si="18"/>
        <v/>
      </c>
      <c r="AY22" s="76"/>
      <c r="AZ22" s="36" t="str">
        <f t="shared" si="19"/>
        <v/>
      </c>
      <c r="BA22" s="23" t="s">
        <v>170</v>
      </c>
    </row>
    <row r="23" spans="1:53" ht="20" customHeight="1" x14ac:dyDescent="0.2">
      <c r="A23" s="60"/>
      <c r="B23" s="82"/>
      <c r="C23" s="24" t="s">
        <v>85</v>
      </c>
      <c r="D23" s="23" t="s">
        <v>43</v>
      </c>
      <c r="E23" s="23" t="s">
        <v>44</v>
      </c>
      <c r="F23" s="24">
        <v>1976</v>
      </c>
      <c r="G23" s="24">
        <v>179</v>
      </c>
      <c r="H23" s="89">
        <v>8</v>
      </c>
      <c r="I23" s="112" t="s">
        <v>339</v>
      </c>
      <c r="J23" s="86"/>
      <c r="K23" s="33"/>
      <c r="L23" s="36" t="str">
        <f>IF((ISERROR((K23/$H23)*100)), "", IF(AND(NOT(ISERROR((K23/$H23)*100)),((K23/$H23)*100) &lt;&gt; 0), (K23/$H23)*100, ""))</f>
        <v/>
      </c>
      <c r="M23" s="33"/>
      <c r="N23" s="36" t="str">
        <f>IF((ISERROR((M23/$H23)*100)), "", IF(AND(NOT(ISERROR((M23/$H23)*100)),((M23/$H23)*100) &lt;&gt; 0), (M23/$H23)*100, ""))</f>
        <v/>
      </c>
      <c r="O23" s="33"/>
      <c r="P23" s="36" t="str">
        <f>IF((ISERROR((O23/$H23)*100)), "", IF(AND(NOT(ISERROR((O23/$H23)*100)),((O23/$H23)*100) &lt;&gt; 0), (O23/$H23)*100, ""))</f>
        <v/>
      </c>
      <c r="Q23" s="33"/>
      <c r="R23" s="36" t="str">
        <f>IF((ISERROR((Q23/$H23)*100)), "", IF(AND(NOT(ISERROR((Q23/$H23)*100)),((Q23/$H23)*100) &lt;&gt; 0), (Q23/$H23)*100, ""))</f>
        <v/>
      </c>
      <c r="S23" s="33"/>
      <c r="T23" s="36" t="str">
        <f>IF((ISERROR((S23/$H23)*100)), "", IF(AND(NOT(ISERROR((S23/$H23)*100)),((S23/$H23)*100) &lt;&gt; 0), (S23/$H23)*100, ""))</f>
        <v/>
      </c>
      <c r="U23" s="38">
        <v>1</v>
      </c>
      <c r="V23" s="39">
        <f>IF((ISERROR((U23/$H23)*100)), "", IF(AND(NOT(ISERROR((U23/$H23)*100)),((U23/$H23)*100) &lt;&gt; 0), (U23/$H23)*100, ""))</f>
        <v>12.5</v>
      </c>
      <c r="W23" s="38">
        <v>2</v>
      </c>
      <c r="X23" s="39">
        <f>IF((ISERROR((W23/$H23)*100)), "", IF(AND(NOT(ISERROR((W23/$H23)*100)),((W23/$H23)*100) &lt;&gt; 0), (W23/$H23)*100, ""))</f>
        <v>25</v>
      </c>
      <c r="Y23" s="38">
        <v>1</v>
      </c>
      <c r="Z23" s="39">
        <f>IF((ISERROR((Y23/$H23)*100)), "", IF(AND(NOT(ISERROR((Y23/$H23)*100)),((Y23/$H23)*100) &lt;&gt; 0), (Y23/$H23)*100, ""))</f>
        <v>12.5</v>
      </c>
      <c r="AA23" s="38">
        <v>1</v>
      </c>
      <c r="AB23" s="39">
        <f>IF((ISERROR((AA23/$H23)*100)), "", IF(AND(NOT(ISERROR((AA23/$H23)*100)),((AA23/$H23)*100) &lt;&gt; 0), (AA23/$H23)*100, ""))</f>
        <v>12.5</v>
      </c>
      <c r="AC23" s="38"/>
      <c r="AD23" s="39" t="str">
        <f>IF((ISERROR((AC23/$H23)*100)), "", IF(AND(NOT(ISERROR((AC23/$H23)*100)),((AC23/$H23)*100) &lt;&gt; 0), (AC23/$H23)*100, ""))</f>
        <v/>
      </c>
      <c r="AE23" s="38">
        <v>5</v>
      </c>
      <c r="AF23" s="39">
        <f t="shared" ref="AF23" si="21">IF((ISERROR((AE23/$H23)*100)), "", IF(AND(NOT(ISERROR((AE23/$H23)*100)),((AE23/$H23)*100) &lt;&gt; 0), (AE23/$H23)*100, ""))</f>
        <v>62.5</v>
      </c>
      <c r="AG23" s="38">
        <v>1</v>
      </c>
      <c r="AH23" s="39">
        <f>IF((ISERROR((AG23/$H23)*100)), "", IF(AND(NOT(ISERROR((AG23/$H23)*100)),((AG23/$H23)*100) &lt;&gt; 0), (AG23/$H23)*100, ""))</f>
        <v>12.5</v>
      </c>
      <c r="AI23" s="38"/>
      <c r="AJ23" s="39" t="str">
        <f>IF((ISERROR((AI23/$H23)*100)), "", IF(AND(NOT(ISERROR((AI23/$H23)*100)),((AI23/$H23)*100) &lt;&gt; 0), (AI23/$H23)*100, ""))</f>
        <v/>
      </c>
      <c r="AK23" s="38">
        <v>1</v>
      </c>
      <c r="AL23" s="39">
        <f>IF((ISERROR((AK23/$H23)*100)), "", IF(AND(NOT(ISERROR((AK23/$H23)*100)),((AK23/$H23)*100) &lt;&gt; 0), (AK23/$H23)*100, ""))</f>
        <v>12.5</v>
      </c>
      <c r="AM23" s="33"/>
      <c r="AN23" s="36" t="str">
        <f>IF((ISERROR((AM23/$H23)*100)), "", IF(AND(NOT(ISERROR((AM23/$H23)*100)),((AM23/$H23)*100) &lt;&gt; 0), (AM23/$H23)*100, ""))</f>
        <v/>
      </c>
      <c r="AO23" s="38">
        <v>1</v>
      </c>
      <c r="AP23" s="39">
        <f>IF((ISERROR((AO23/$H23)*100)), "", IF(AND(NOT(ISERROR((AO23/$H23)*100)),((AO23/$H23)*100) &lt;&gt; 0), (AO23/$H23)*100, ""))</f>
        <v>12.5</v>
      </c>
      <c r="AQ23" s="38">
        <v>2</v>
      </c>
      <c r="AR23" s="39">
        <f t="shared" si="15"/>
        <v>25</v>
      </c>
      <c r="AS23" s="33"/>
      <c r="AT23" s="36" t="str">
        <f>IF((ISERROR((AS23/$H23)*100)), "", IF(AND(NOT(ISERROR((AS23/$H23)*100)),((AS23/$H23)*100) &lt;&gt; 0), (AS23/$H23)*100, ""))</f>
        <v/>
      </c>
      <c r="AU23" s="33"/>
      <c r="AV23" s="36" t="str">
        <f>IF((ISERROR((AU23/$H23)*100)), "", IF(AND(NOT(ISERROR((AU23/$H23)*100)),((AU23/$H23)*100) &lt;&gt; 0), (AU23/$H23)*100, ""))</f>
        <v/>
      </c>
      <c r="AW23" s="76">
        <v>1</v>
      </c>
      <c r="AX23" s="36">
        <f t="shared" si="18"/>
        <v>12.5</v>
      </c>
      <c r="AY23" s="76"/>
      <c r="AZ23" s="36" t="str">
        <f t="shared" si="19"/>
        <v/>
      </c>
      <c r="BA23" s="23" t="s">
        <v>184</v>
      </c>
    </row>
    <row r="24" spans="1:53" ht="20" customHeight="1" x14ac:dyDescent="0.2">
      <c r="A24" s="61"/>
      <c r="B24" s="83"/>
      <c r="C24" s="24" t="s">
        <v>85</v>
      </c>
      <c r="D24" s="23" t="s">
        <v>152</v>
      </c>
      <c r="E24" s="23" t="s">
        <v>153</v>
      </c>
      <c r="F24" s="24">
        <v>2007</v>
      </c>
      <c r="H24" s="89">
        <v>44</v>
      </c>
      <c r="I24" s="85"/>
      <c r="J24" s="86"/>
      <c r="K24" s="33"/>
      <c r="L24" s="36" t="str">
        <f t="shared" si="20"/>
        <v/>
      </c>
      <c r="M24" s="33"/>
      <c r="N24" s="36" t="str">
        <f t="shared" si="4"/>
        <v/>
      </c>
      <c r="O24" s="33"/>
      <c r="P24" s="36" t="str">
        <f t="shared" si="4"/>
        <v/>
      </c>
      <c r="Q24" s="33"/>
      <c r="R24" s="36" t="str">
        <f t="shared" si="5"/>
        <v/>
      </c>
      <c r="S24" s="33"/>
      <c r="T24" s="36" t="str">
        <f t="shared" si="6"/>
        <v/>
      </c>
      <c r="U24" s="33"/>
      <c r="V24" s="36" t="str">
        <f t="shared" si="7"/>
        <v/>
      </c>
      <c r="W24" s="33"/>
      <c r="X24" s="36" t="str">
        <f t="shared" si="8"/>
        <v/>
      </c>
      <c r="Y24" s="33"/>
      <c r="Z24" s="36" t="str">
        <f t="shared" si="9"/>
        <v/>
      </c>
      <c r="AA24" s="33"/>
      <c r="AB24" s="36" t="str">
        <f t="shared" si="10"/>
        <v/>
      </c>
      <c r="AC24" s="33"/>
      <c r="AD24" s="36" t="str">
        <f t="shared" si="11"/>
        <v/>
      </c>
      <c r="AE24" s="33"/>
      <c r="AF24" s="36" t="str">
        <f t="shared" si="12"/>
        <v/>
      </c>
      <c r="AG24" s="33"/>
      <c r="AH24" s="36" t="str">
        <f t="shared" si="12"/>
        <v/>
      </c>
      <c r="AI24" s="33"/>
      <c r="AJ24" s="36" t="str">
        <f t="shared" si="12"/>
        <v/>
      </c>
      <c r="AK24" s="33"/>
      <c r="AL24" s="36" t="str">
        <f t="shared" si="12"/>
        <v/>
      </c>
      <c r="AM24" s="33"/>
      <c r="AN24" s="36" t="str">
        <f t="shared" si="13"/>
        <v/>
      </c>
      <c r="AO24" s="33"/>
      <c r="AP24" s="36" t="str">
        <f t="shared" si="14"/>
        <v/>
      </c>
      <c r="AQ24" s="33"/>
      <c r="AR24" s="36" t="str">
        <f t="shared" si="15"/>
        <v/>
      </c>
      <c r="AS24" s="33"/>
      <c r="AT24" s="36" t="str">
        <f t="shared" si="16"/>
        <v/>
      </c>
      <c r="AU24" s="33"/>
      <c r="AV24" s="36" t="str">
        <f t="shared" si="17"/>
        <v/>
      </c>
      <c r="AW24" s="30"/>
      <c r="AX24" s="36" t="str">
        <f t="shared" si="18"/>
        <v/>
      </c>
      <c r="AY24" s="59"/>
      <c r="AZ24" s="36" t="str">
        <f t="shared" si="19"/>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IF((ISERROR((K25/$H25)*100)), "", IF(AND(NOT(ISERROR((K25/$H25)*100)),((K25/$H25)*100) &lt;&gt; 0), (K25/$H25)*100, ""))</f>
        <v/>
      </c>
      <c r="M25" s="33"/>
      <c r="N25" s="36" t="str">
        <f>IF((ISERROR((M25/$H25)*100)), "", IF(AND(NOT(ISERROR((M25/$H25)*100)),((M25/$H25)*100) &lt;&gt; 0), (M25/$H25)*100, ""))</f>
        <v/>
      </c>
      <c r="O25" s="33"/>
      <c r="P25" s="36" t="str">
        <f>IF((ISERROR((O25/$H25)*100)), "", IF(AND(NOT(ISERROR((O25/$H25)*100)),((O25/$H25)*100) &lt;&gt; 0), (O25/$H25)*100, ""))</f>
        <v/>
      </c>
      <c r="Q25" s="33"/>
      <c r="R25" s="36" t="str">
        <f>IF((ISERROR((Q25/$H25)*100)), "", IF(AND(NOT(ISERROR((Q25/$H25)*100)),((Q25/$H25)*100) &lt;&gt; 0), (Q25/$H25)*100, ""))</f>
        <v/>
      </c>
      <c r="S25" s="33"/>
      <c r="T25" s="36" t="str">
        <f>IF((ISERROR((S25/$H25)*100)), "", IF(AND(NOT(ISERROR((S25/$H25)*100)),((S25/$H25)*100) &lt;&gt; 0), (S25/$H25)*100, ""))</f>
        <v/>
      </c>
      <c r="U25" s="33"/>
      <c r="V25" s="36" t="str">
        <f>IF((ISERROR((U25/$H25)*100)), "", IF(AND(NOT(ISERROR((U25/$H25)*100)),((U25/$H25)*100) &lt;&gt; 0), (U25/$H25)*100, ""))</f>
        <v/>
      </c>
      <c r="W25" s="38"/>
      <c r="X25" s="38"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33"/>
      <c r="AF25" s="36" t="str">
        <f t="shared" ref="AF25:AF28" si="22">IF((ISERROR((AE25/$H25)*100)), "", IF(AND(NOT(ISERROR((AE25/$H25)*100)),((AE25/$H25)*100) &lt;&gt; 0), (AE25/$H25)*100, ""))</f>
        <v/>
      </c>
      <c r="AG25" s="33"/>
      <c r="AH25" s="36" t="str">
        <f>IF((ISERROR((AG25/$H25)*100)), "", IF(AND(NOT(ISERROR((AG25/$H25)*100)),((AG25/$H25)*100) &lt;&gt; 0), (AG25/$H25)*100, ""))</f>
        <v/>
      </c>
      <c r="AI25" s="33"/>
      <c r="AJ25" s="36" t="str">
        <f>IF((ISERROR((AI25/$H25)*100)), "", IF(AND(NOT(ISERROR((AI25/$H25)*100)),((AI25/$H25)*100) &lt;&gt; 0), (AI25/$H25)*100, ""))</f>
        <v/>
      </c>
      <c r="AK25" s="33"/>
      <c r="AL25" s="36" t="str">
        <f>IF((ISERROR((AK25/$H25)*100)), "", IF(AND(NOT(ISERROR((AK25/$H25)*100)),((AK25/$H25)*100) &lt;&gt; 0), (AK25/$H25)*100, ""))</f>
        <v/>
      </c>
      <c r="AM25" s="33"/>
      <c r="AN25" s="36" t="str">
        <f>IF((ISERROR((AM25/$H25)*100)), "", IF(AND(NOT(ISERROR((AM25/$H25)*100)),((AM25/$H25)*100) &lt;&gt; 0), (AM25/$H25)*100, ""))</f>
        <v/>
      </c>
      <c r="AO25" s="33"/>
      <c r="AP25" s="36" t="str">
        <f>IF((ISERROR((AO25/$H25)*100)), "", IF(AND(NOT(ISERROR((AO25/$H25)*100)),((AO25/$H25)*100) &lt;&gt; 0), (AO25/$H25)*100, ""))</f>
        <v/>
      </c>
      <c r="AQ25" s="33"/>
      <c r="AR25" s="36" t="str">
        <f t="shared" si="15"/>
        <v/>
      </c>
      <c r="AS25" s="33"/>
      <c r="AT25" s="36" t="str">
        <f>IF((ISERROR((AS25/$H25)*100)), "", IF(AND(NOT(ISERROR((AS25/$H25)*100)),((AS25/$H25)*100) &lt;&gt; 0), (AS25/$H25)*100, ""))</f>
        <v/>
      </c>
      <c r="AU25" s="33"/>
      <c r="AV25" s="36" t="str">
        <f>IF((ISERROR((AU25/$H25)*100)), "", IF(AND(NOT(ISERROR((AU25/$H25)*100)),((AU25/$H25)*100) &lt;&gt; 0), (AU25/$H25)*100, ""))</f>
        <v/>
      </c>
      <c r="AW25" s="76"/>
      <c r="AX25" s="36" t="str">
        <f t="shared" si="18"/>
        <v/>
      </c>
      <c r="AY25" s="76"/>
      <c r="AZ25" s="36" t="str">
        <f t="shared" si="19"/>
        <v/>
      </c>
      <c r="BA25" s="23" t="s">
        <v>404</v>
      </c>
    </row>
    <row r="26" spans="1:53" ht="20" customHeight="1" x14ac:dyDescent="0.2">
      <c r="A26" s="60"/>
      <c r="B26" s="24"/>
      <c r="D26" s="23" t="s">
        <v>260</v>
      </c>
      <c r="E26" s="23" t="s">
        <v>261</v>
      </c>
      <c r="F26" s="24">
        <v>2015</v>
      </c>
      <c r="H26" s="89"/>
      <c r="I26" s="85"/>
      <c r="J26" s="86"/>
      <c r="K26" s="33"/>
      <c r="L26" s="36" t="str">
        <f>IF((ISERROR((K26/$H26)*100)), "", IF(AND(NOT(ISERROR((K26/$H26)*100)),((K26/$H26)*100) &lt;&gt; 0), (K26/$H26)*100, ""))</f>
        <v/>
      </c>
      <c r="M26" s="33"/>
      <c r="N26" s="36" t="str">
        <f>IF((ISERROR((M26/$H26)*100)), "", IF(AND(NOT(ISERROR((M26/$H26)*100)),((M26/$H26)*100) &lt;&gt; 0), (M26/$H26)*100, ""))</f>
        <v/>
      </c>
      <c r="O26" s="33"/>
      <c r="P26" s="36" t="str">
        <f>IF((ISERROR((O26/$H26)*100)), "", IF(AND(NOT(ISERROR((O26/$H26)*100)),((O26/$H26)*100) &lt;&gt; 0), (O26/$H26)*100, ""))</f>
        <v/>
      </c>
      <c r="Q26" s="33"/>
      <c r="R26" s="36" t="str">
        <f>IF((ISERROR((Q26/$H26)*100)), "", IF(AND(NOT(ISERROR((Q26/$H26)*100)),((Q26/$H26)*100) &lt;&gt; 0), (Q26/$H26)*100, ""))</f>
        <v/>
      </c>
      <c r="S26" s="33"/>
      <c r="T26" s="36" t="str">
        <f>IF((ISERROR((S26/$H26)*100)), "", IF(AND(NOT(ISERROR((S26/$H26)*100)),((S26/$H26)*100) &lt;&gt; 0), (S26/$H26)*100, ""))</f>
        <v/>
      </c>
      <c r="U26" s="33"/>
      <c r="V26" s="36" t="str">
        <f>IF((ISERROR((U26/$H26)*100)), "", IF(AND(NOT(ISERROR((U26/$H26)*100)),((U26/$H26)*100) &lt;&gt; 0), (U26/$H26)*100, ""))</f>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33"/>
      <c r="AF26" s="36" t="str">
        <f t="shared" si="22"/>
        <v/>
      </c>
      <c r="AG26" s="33"/>
      <c r="AH26" s="36" t="str">
        <f>IF((ISERROR((AG26/$H26)*100)), "", IF(AND(NOT(ISERROR((AG26/$H26)*100)),((AG26/$H26)*100) &lt;&gt; 0), (AG26/$H26)*100, ""))</f>
        <v/>
      </c>
      <c r="AI26" s="33"/>
      <c r="AJ26" s="36" t="str">
        <f>IF((ISERROR((AI26/$H26)*100)), "", IF(AND(NOT(ISERROR((AI26/$H26)*100)),((AI26/$H26)*100) &lt;&gt; 0), (AI26/$H26)*100, ""))</f>
        <v/>
      </c>
      <c r="AK26" s="33"/>
      <c r="AL26" s="36" t="str">
        <f>IF((ISERROR((AK26/$H26)*100)), "", IF(AND(NOT(ISERROR((AK26/$H26)*100)),((AK26/$H26)*100) &lt;&gt; 0), (AK26/$H26)*100, ""))</f>
        <v/>
      </c>
      <c r="AM26" s="33"/>
      <c r="AN26" s="36" t="str">
        <f>IF((ISERROR((AM26/$H26)*100)), "", IF(AND(NOT(ISERROR((AM26/$H26)*100)),((AM26/$H26)*100) &lt;&gt; 0), (AM26/$H26)*100, ""))</f>
        <v/>
      </c>
      <c r="AO26" s="33"/>
      <c r="AP26" s="36" t="str">
        <f>IF((ISERROR((AO26/$H26)*100)), "", IF(AND(NOT(ISERROR((AO26/$H26)*100)),((AO26/$H26)*100) &lt;&gt; 0), (AO26/$H26)*100, ""))</f>
        <v/>
      </c>
      <c r="AQ26" s="33"/>
      <c r="AR26" s="36" t="str">
        <f t="shared" si="15"/>
        <v/>
      </c>
      <c r="AS26" s="33"/>
      <c r="AT26" s="36" t="str">
        <f>IF((ISERROR((AS26/$H26)*100)), "", IF(AND(NOT(ISERROR((AS26/$H26)*100)),((AS26/$H26)*100) &lt;&gt; 0), (AS26/$H26)*100, ""))</f>
        <v/>
      </c>
      <c r="AU26" s="33"/>
      <c r="AV26" s="36" t="str">
        <f>IF((ISERROR((AU26/$H26)*100)), "", IF(AND(NOT(ISERROR((AU26/$H26)*100)),((AU26/$H26)*100) &lt;&gt; 0), (AU26/$H26)*100, ""))</f>
        <v/>
      </c>
      <c r="AW26" s="76"/>
      <c r="AX26" s="36" t="str">
        <f t="shared" si="18"/>
        <v/>
      </c>
      <c r="AY26" s="76"/>
      <c r="AZ26" s="36" t="str">
        <f t="shared" si="19"/>
        <v/>
      </c>
    </row>
    <row r="27" spans="1:53" ht="20" customHeight="1" x14ac:dyDescent="0.2">
      <c r="A27" s="60"/>
      <c r="B27" s="83"/>
      <c r="C27" s="24" t="s">
        <v>85</v>
      </c>
      <c r="D27" s="23" t="s">
        <v>262</v>
      </c>
      <c r="E27" s="23" t="s">
        <v>263</v>
      </c>
      <c r="F27" s="24">
        <v>2012</v>
      </c>
      <c r="H27" s="89">
        <v>80</v>
      </c>
      <c r="I27" s="85" t="s">
        <v>216</v>
      </c>
      <c r="J27" s="86" t="s">
        <v>193</v>
      </c>
      <c r="K27" s="33"/>
      <c r="L27" s="36" t="str">
        <f>IF((ISERROR((K27/$H27)*100)), "", IF(AND(NOT(ISERROR((K27/$H27)*100)),((K27/$H27)*100) &lt;&gt; 0), (K27/$H27)*100, ""))</f>
        <v/>
      </c>
      <c r="M27" s="33"/>
      <c r="N27" s="36" t="str">
        <f>IF((ISERROR((M27/$H27)*100)), "", IF(AND(NOT(ISERROR((M27/$H27)*100)),((M27/$H27)*100) &lt;&gt; 0), (M27/$H27)*100, ""))</f>
        <v/>
      </c>
      <c r="O27" s="33"/>
      <c r="P27" s="36" t="str">
        <f>IF((ISERROR((O27/$H27)*100)), "", IF(AND(NOT(ISERROR((O27/$H27)*100)),((O27/$H27)*100) &lt;&gt; 0), (O27/$H27)*100, ""))</f>
        <v/>
      </c>
      <c r="Q27" s="33"/>
      <c r="R27" s="36" t="str">
        <f>IF((ISERROR((Q27/$H27)*100)), "", IF(AND(NOT(ISERROR((Q27/$H27)*100)),((Q27/$H27)*100) &lt;&gt; 0), (Q27/$H27)*100, ""))</f>
        <v/>
      </c>
      <c r="S27" s="33"/>
      <c r="T27" s="36" t="str">
        <f>IF((ISERROR((S27/$H27)*100)), "", IF(AND(NOT(ISERROR((S27/$H27)*100)),((S27/$H27)*100) &lt;&gt; 0), (S27/$H27)*100, ""))</f>
        <v/>
      </c>
      <c r="U27" s="33"/>
      <c r="V27" s="36" t="str">
        <f>IF((ISERROR((U27/$H27)*100)), "", IF(AND(NOT(ISERROR((U27/$H27)*100)),((U27/$H27)*100) &lt;&gt; 0), (U27/$H27)*100, ""))</f>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33"/>
      <c r="AF27" s="36" t="str">
        <f t="shared" si="22"/>
        <v/>
      </c>
      <c r="AG27" s="33"/>
      <c r="AH27" s="36" t="str">
        <f>IF((ISERROR((AG27/$H27)*100)), "", IF(AND(NOT(ISERROR((AG27/$H27)*100)),((AG27/$H27)*100) &lt;&gt; 0), (AG27/$H27)*100, ""))</f>
        <v/>
      </c>
      <c r="AI27" s="33"/>
      <c r="AJ27" s="36" t="str">
        <f>IF((ISERROR((AI27/$H27)*100)), "", IF(AND(NOT(ISERROR((AI27/$H27)*100)),((AI27/$H27)*100) &lt;&gt; 0), (AI27/$H27)*100, ""))</f>
        <v/>
      </c>
      <c r="AK27" s="33"/>
      <c r="AL27" s="36" t="str">
        <f>IF((ISERROR((AK27/$H27)*100)), "", IF(AND(NOT(ISERROR((AK27/$H27)*100)),((AK27/$H27)*100) &lt;&gt; 0), (AK27/$H27)*100, ""))</f>
        <v/>
      </c>
      <c r="AM27" s="33"/>
      <c r="AN27" s="36" t="str">
        <f>IF((ISERROR((AM27/$H27)*100)), "", IF(AND(NOT(ISERROR((AM27/$H27)*100)),((AM27/$H27)*100) &lt;&gt; 0), (AM27/$H27)*100, ""))</f>
        <v/>
      </c>
      <c r="AO27" s="33"/>
      <c r="AP27" s="36" t="str">
        <f>IF((ISERROR((AO27/$H27)*100)), "", IF(AND(NOT(ISERROR((AO27/$H27)*100)),((AO27/$H27)*100) &lt;&gt; 0), (AO27/$H27)*100, ""))</f>
        <v/>
      </c>
      <c r="AQ27" s="33"/>
      <c r="AR27" s="36" t="str">
        <f t="shared" si="15"/>
        <v/>
      </c>
      <c r="AS27" s="33"/>
      <c r="AT27" s="36" t="str">
        <f>IF((ISERROR((AS27/$H27)*100)), "", IF(AND(NOT(ISERROR((AS27/$H27)*100)),((AS27/$H27)*100) &lt;&gt; 0), (AS27/$H27)*100, ""))</f>
        <v/>
      </c>
      <c r="AU27" s="33"/>
      <c r="AV27" s="36" t="str">
        <f>IF((ISERROR((AU27/$H27)*100)), "", IF(AND(NOT(ISERROR((AU27/$H27)*100)),((AU27/$H27)*100) &lt;&gt; 0), (AU27/$H27)*100, ""))</f>
        <v/>
      </c>
      <c r="AW27" s="76"/>
      <c r="AX27" s="36" t="str">
        <f t="shared" si="18"/>
        <v/>
      </c>
      <c r="AY27" s="76"/>
      <c r="AZ27" s="36" t="str">
        <f t="shared" si="19"/>
        <v/>
      </c>
    </row>
    <row r="28" spans="1:53" ht="20" customHeight="1" x14ac:dyDescent="0.2">
      <c r="A28" s="60"/>
      <c r="B28" s="82"/>
      <c r="C28" s="24" t="s">
        <v>85</v>
      </c>
      <c r="D28" s="23" t="s">
        <v>264</v>
      </c>
      <c r="E28" s="23" t="s">
        <v>265</v>
      </c>
      <c r="F28" s="24">
        <v>2013</v>
      </c>
      <c r="H28" s="89">
        <v>12</v>
      </c>
      <c r="I28" s="85" t="s">
        <v>216</v>
      </c>
      <c r="J28" s="86" t="s">
        <v>341</v>
      </c>
      <c r="K28" s="33"/>
      <c r="L28" s="36" t="str">
        <f>IF((ISERROR((K28/$H28)*100)), "", IF(AND(NOT(ISERROR((K28/$H28)*100)),((K28/$H28)*100) &lt;&gt; 0), (K28/$H28)*100, ""))</f>
        <v/>
      </c>
      <c r="M28" s="33"/>
      <c r="N28" s="36" t="str">
        <f>IF((ISERROR((M28/$H28)*100)), "", IF(AND(NOT(ISERROR((M28/$H28)*100)),((M28/$H28)*100) &lt;&gt; 0), (M28/$H28)*100, ""))</f>
        <v/>
      </c>
      <c r="O28" s="33"/>
      <c r="P28" s="36" t="str">
        <f>IF((ISERROR((O28/$H28)*100)), "", IF(AND(NOT(ISERROR((O28/$H28)*100)),((O28/$H28)*100) &lt;&gt; 0), (O28/$H28)*100, ""))</f>
        <v/>
      </c>
      <c r="Q28" s="33"/>
      <c r="R28" s="36" t="str">
        <f>IF((ISERROR((Q28/$H28)*100)), "", IF(AND(NOT(ISERROR((Q28/$H28)*100)),((Q28/$H28)*100) &lt;&gt; 0), (Q28/$H28)*100, ""))</f>
        <v/>
      </c>
      <c r="S28" s="33"/>
      <c r="T28" s="36" t="str">
        <f>IF((ISERROR((S28/$H28)*100)), "", IF(AND(NOT(ISERROR((S28/$H28)*100)),((S28/$H28)*100) &lt;&gt; 0), (S28/$H28)*100, ""))</f>
        <v/>
      </c>
      <c r="U28" s="38"/>
      <c r="V28" s="39" t="str">
        <f>IF((ISERROR((U28/$H28)*100)), "", IF(AND(NOT(ISERROR((U28/$H28)*100)),((U28/$H28)*100) &lt;&gt; 0), (U28/$H28)*100, ""))</f>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33"/>
      <c r="AF28" s="36" t="str">
        <f t="shared" si="22"/>
        <v/>
      </c>
      <c r="AG28" s="33"/>
      <c r="AH28" s="36" t="str">
        <f>IF((ISERROR((AG28/$H28)*100)), "", IF(AND(NOT(ISERROR((AG28/$H28)*100)),((AG28/$H28)*100) &lt;&gt; 0), (AG28/$H28)*100, ""))</f>
        <v/>
      </c>
      <c r="AI28" s="33"/>
      <c r="AJ28" s="36" t="str">
        <f>IF((ISERROR((AI28/$H28)*100)), "", IF(AND(NOT(ISERROR((AI28/$H28)*100)),((AI28/$H28)*100) &lt;&gt; 0), (AI28/$H28)*100, ""))</f>
        <v/>
      </c>
      <c r="AK28" s="33"/>
      <c r="AL28" s="36" t="str">
        <f>IF((ISERROR((AK28/$H28)*100)), "", IF(AND(NOT(ISERROR((AK28/$H28)*100)),((AK28/$H28)*100) &lt;&gt; 0), (AK28/$H28)*100, ""))</f>
        <v/>
      </c>
      <c r="AM28" s="33"/>
      <c r="AN28" s="36" t="str">
        <f>IF((ISERROR((AM28/$H28)*100)), "", IF(AND(NOT(ISERROR((AM28/$H28)*100)),((AM28/$H28)*100) &lt;&gt; 0), (AM28/$H28)*100, ""))</f>
        <v/>
      </c>
      <c r="AO28" s="33"/>
      <c r="AP28" s="36" t="str">
        <f>IF((ISERROR((AO28/$H28)*100)), "", IF(AND(NOT(ISERROR((AO28/$H28)*100)),((AO28/$H28)*100) &lt;&gt; 0), (AO28/$H28)*100, ""))</f>
        <v/>
      </c>
      <c r="AQ28" s="33"/>
      <c r="AR28" s="36" t="str">
        <f t="shared" si="15"/>
        <v/>
      </c>
      <c r="AS28" s="33"/>
      <c r="AT28" s="36" t="str">
        <f>IF((ISERROR((AS28/$H28)*100)), "", IF(AND(NOT(ISERROR((AS28/$H28)*100)),((AS28/$H28)*100) &lt;&gt; 0), (AS28/$H28)*100, ""))</f>
        <v/>
      </c>
      <c r="AU28" s="33"/>
      <c r="AV28" s="36" t="str">
        <f>IF((ISERROR((AU28/$H28)*100)), "", IF(AND(NOT(ISERROR((AU28/$H28)*100)),((AU28/$H28)*100) &lt;&gt; 0), (AU28/$H28)*100, ""))</f>
        <v/>
      </c>
      <c r="AW28" s="40"/>
      <c r="AX28" s="39" t="str">
        <f t="shared" si="18"/>
        <v/>
      </c>
      <c r="AY28" s="76"/>
      <c r="AZ28" s="36" t="str">
        <f t="shared" si="19"/>
        <v/>
      </c>
      <c r="BA28" s="23" t="s">
        <v>405</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20"/>
        <v/>
      </c>
      <c r="M29" s="33"/>
      <c r="N29" s="36" t="str">
        <f t="shared" si="4"/>
        <v/>
      </c>
      <c r="O29" s="33"/>
      <c r="P29" s="36" t="str">
        <f t="shared" si="4"/>
        <v/>
      </c>
      <c r="Q29" s="33"/>
      <c r="R29" s="36" t="str">
        <f t="shared" si="5"/>
        <v/>
      </c>
      <c r="S29" s="33"/>
      <c r="T29" s="36" t="str">
        <f t="shared" si="6"/>
        <v/>
      </c>
      <c r="U29" s="33"/>
      <c r="V29" s="36" t="str">
        <f t="shared" si="7"/>
        <v/>
      </c>
      <c r="W29" s="33"/>
      <c r="X29" s="36" t="str">
        <f t="shared" si="8"/>
        <v/>
      </c>
      <c r="Y29" s="33"/>
      <c r="Z29" s="36" t="str">
        <f t="shared" si="9"/>
        <v/>
      </c>
      <c r="AA29" s="33"/>
      <c r="AB29" s="36" t="str">
        <f t="shared" si="10"/>
        <v/>
      </c>
      <c r="AC29" s="33"/>
      <c r="AD29" s="36" t="str">
        <f t="shared" si="11"/>
        <v/>
      </c>
      <c r="AE29" s="33"/>
      <c r="AF29" s="36" t="str">
        <f t="shared" si="12"/>
        <v/>
      </c>
      <c r="AG29" s="33"/>
      <c r="AH29" s="36" t="str">
        <f t="shared" si="12"/>
        <v/>
      </c>
      <c r="AI29" s="33"/>
      <c r="AJ29" s="36" t="str">
        <f t="shared" si="12"/>
        <v/>
      </c>
      <c r="AK29" s="33"/>
      <c r="AL29" s="36" t="str">
        <f t="shared" si="12"/>
        <v/>
      </c>
      <c r="AM29" s="33"/>
      <c r="AN29" s="36" t="str">
        <f t="shared" si="13"/>
        <v/>
      </c>
      <c r="AO29" s="33"/>
      <c r="AP29" s="36" t="str">
        <f t="shared" si="14"/>
        <v/>
      </c>
      <c r="AQ29" s="33"/>
      <c r="AR29" s="36" t="str">
        <f t="shared" si="15"/>
        <v/>
      </c>
      <c r="AS29" s="33"/>
      <c r="AT29" s="36" t="str">
        <f t="shared" si="16"/>
        <v/>
      </c>
      <c r="AU29" s="33"/>
      <c r="AV29" s="36" t="str">
        <f t="shared" si="17"/>
        <v/>
      </c>
      <c r="AW29" s="30"/>
      <c r="AX29" s="36" t="str">
        <f t="shared" si="18"/>
        <v/>
      </c>
      <c r="AY29" s="59"/>
      <c r="AZ29" s="36" t="str">
        <f t="shared" si="19"/>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20"/>
        <v/>
      </c>
      <c r="M30" s="33"/>
      <c r="N30" s="36" t="str">
        <f t="shared" si="4"/>
        <v/>
      </c>
      <c r="O30" s="33"/>
      <c r="P30" s="36" t="str">
        <f t="shared" si="4"/>
        <v/>
      </c>
      <c r="Q30" s="33"/>
      <c r="R30" s="36" t="str">
        <f t="shared" si="5"/>
        <v/>
      </c>
      <c r="S30" s="33"/>
      <c r="T30" s="36" t="str">
        <f t="shared" si="6"/>
        <v/>
      </c>
      <c r="U30" s="33">
        <v>1</v>
      </c>
      <c r="V30" s="36">
        <f t="shared" si="7"/>
        <v>11.111111111111111</v>
      </c>
      <c r="W30" s="33"/>
      <c r="X30" s="36" t="str">
        <f t="shared" si="8"/>
        <v/>
      </c>
      <c r="Y30" s="33"/>
      <c r="Z30" s="36" t="str">
        <f t="shared" si="9"/>
        <v/>
      </c>
      <c r="AA30" s="33"/>
      <c r="AB30" s="36" t="str">
        <f t="shared" si="10"/>
        <v/>
      </c>
      <c r="AC30" s="33"/>
      <c r="AD30" s="36" t="str">
        <f t="shared" si="11"/>
        <v/>
      </c>
      <c r="AE30" s="33">
        <v>1</v>
      </c>
      <c r="AF30" s="36">
        <f t="shared" si="12"/>
        <v>11.111111111111111</v>
      </c>
      <c r="AG30" s="33"/>
      <c r="AH30" s="36" t="str">
        <f t="shared" si="12"/>
        <v/>
      </c>
      <c r="AI30" s="33"/>
      <c r="AJ30" s="36" t="str">
        <f t="shared" si="12"/>
        <v/>
      </c>
      <c r="AK30" s="33"/>
      <c r="AL30" s="36" t="str">
        <f t="shared" si="12"/>
        <v/>
      </c>
      <c r="AM30" s="33"/>
      <c r="AN30" s="36" t="str">
        <f t="shared" si="13"/>
        <v/>
      </c>
      <c r="AO30" s="33"/>
      <c r="AP30" s="36" t="str">
        <f t="shared" si="14"/>
        <v/>
      </c>
      <c r="AQ30" s="33"/>
      <c r="AR30" s="36" t="str">
        <f t="shared" si="15"/>
        <v/>
      </c>
      <c r="AS30" s="33"/>
      <c r="AT30" s="36" t="str">
        <f t="shared" si="16"/>
        <v/>
      </c>
      <c r="AU30" s="33"/>
      <c r="AV30" s="36" t="str">
        <f t="shared" si="17"/>
        <v/>
      </c>
      <c r="AW30" s="31">
        <v>1</v>
      </c>
      <c r="AX30" s="36">
        <f t="shared" si="18"/>
        <v>11.111111111111111</v>
      </c>
      <c r="AY30" s="59"/>
      <c r="AZ30" s="36" t="str">
        <f t="shared" si="19"/>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20"/>
        <v/>
      </c>
      <c r="M31" s="33"/>
      <c r="N31" s="36" t="str">
        <f t="shared" si="4"/>
        <v/>
      </c>
      <c r="O31" s="33"/>
      <c r="P31" s="36" t="str">
        <f t="shared" si="4"/>
        <v/>
      </c>
      <c r="Q31" s="33"/>
      <c r="R31" s="36" t="str">
        <f t="shared" si="5"/>
        <v/>
      </c>
      <c r="S31" s="33"/>
      <c r="T31" s="36" t="str">
        <f t="shared" si="6"/>
        <v/>
      </c>
      <c r="U31" s="33"/>
      <c r="V31" s="36" t="str">
        <f t="shared" si="7"/>
        <v/>
      </c>
      <c r="W31" s="33"/>
      <c r="X31" s="36" t="str">
        <f t="shared" si="8"/>
        <v/>
      </c>
      <c r="Y31" s="33"/>
      <c r="Z31" s="36" t="str">
        <f t="shared" si="9"/>
        <v/>
      </c>
      <c r="AA31" s="33"/>
      <c r="AB31" s="36" t="str">
        <f t="shared" si="10"/>
        <v/>
      </c>
      <c r="AC31" s="33"/>
      <c r="AD31" s="36" t="str">
        <f t="shared" si="11"/>
        <v/>
      </c>
      <c r="AE31" s="33"/>
      <c r="AF31" s="36" t="str">
        <f t="shared" si="12"/>
        <v/>
      </c>
      <c r="AG31" s="33"/>
      <c r="AH31" s="36" t="str">
        <f t="shared" si="12"/>
        <v/>
      </c>
      <c r="AI31" s="33"/>
      <c r="AJ31" s="36" t="str">
        <f t="shared" si="12"/>
        <v/>
      </c>
      <c r="AK31" s="33"/>
      <c r="AL31" s="36" t="str">
        <f t="shared" si="12"/>
        <v/>
      </c>
      <c r="AM31" s="33"/>
      <c r="AN31" s="36" t="str">
        <f t="shared" si="13"/>
        <v/>
      </c>
      <c r="AO31" s="33"/>
      <c r="AP31" s="36" t="str">
        <f t="shared" si="14"/>
        <v/>
      </c>
      <c r="AQ31" s="33"/>
      <c r="AR31" s="36" t="str">
        <f t="shared" si="15"/>
        <v/>
      </c>
      <c r="AS31" s="33"/>
      <c r="AT31" s="36" t="str">
        <f t="shared" si="16"/>
        <v/>
      </c>
      <c r="AU31" s="33"/>
      <c r="AV31" s="36" t="str">
        <f t="shared" si="17"/>
        <v/>
      </c>
      <c r="AW31" s="31"/>
      <c r="AX31" s="36" t="str">
        <f t="shared" si="18"/>
        <v/>
      </c>
      <c r="AY31" s="59"/>
      <c r="AZ31" s="36" t="str">
        <f t="shared" si="19"/>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20"/>
        <v/>
      </c>
      <c r="M32" s="33"/>
      <c r="N32" s="36" t="str">
        <f t="shared" si="4"/>
        <v/>
      </c>
      <c r="O32" s="33"/>
      <c r="P32" s="36" t="str">
        <f t="shared" si="4"/>
        <v/>
      </c>
      <c r="Q32" s="33"/>
      <c r="R32" s="36" t="str">
        <f t="shared" si="5"/>
        <v/>
      </c>
      <c r="S32" s="33"/>
      <c r="T32" s="36" t="str">
        <f t="shared" si="6"/>
        <v/>
      </c>
      <c r="U32" s="33"/>
      <c r="V32" s="36" t="str">
        <f t="shared" si="7"/>
        <v/>
      </c>
      <c r="W32" s="33"/>
      <c r="X32" s="36" t="str">
        <f t="shared" si="8"/>
        <v/>
      </c>
      <c r="Y32" s="33"/>
      <c r="Z32" s="36" t="str">
        <f t="shared" si="9"/>
        <v/>
      </c>
      <c r="AA32" s="33"/>
      <c r="AB32" s="36" t="str">
        <f t="shared" si="10"/>
        <v/>
      </c>
      <c r="AC32" s="33"/>
      <c r="AD32" s="36" t="str">
        <f t="shared" si="11"/>
        <v/>
      </c>
      <c r="AE32" s="33"/>
      <c r="AF32" s="36" t="str">
        <f t="shared" si="12"/>
        <v/>
      </c>
      <c r="AG32" s="33"/>
      <c r="AH32" s="36" t="str">
        <f t="shared" si="12"/>
        <v/>
      </c>
      <c r="AI32" s="33"/>
      <c r="AJ32" s="36" t="str">
        <f t="shared" si="12"/>
        <v/>
      </c>
      <c r="AK32" s="33"/>
      <c r="AL32" s="36" t="str">
        <f t="shared" si="12"/>
        <v/>
      </c>
      <c r="AM32" s="33"/>
      <c r="AN32" s="36" t="str">
        <f t="shared" si="13"/>
        <v/>
      </c>
      <c r="AO32" s="33"/>
      <c r="AP32" s="36" t="str">
        <f t="shared" si="14"/>
        <v/>
      </c>
      <c r="AQ32" s="33"/>
      <c r="AR32" s="36" t="str">
        <f t="shared" si="15"/>
        <v/>
      </c>
      <c r="AS32" s="33"/>
      <c r="AT32" s="36" t="str">
        <f t="shared" si="16"/>
        <v/>
      </c>
      <c r="AU32" s="33"/>
      <c r="AV32" s="36" t="str">
        <f t="shared" si="17"/>
        <v/>
      </c>
      <c r="AW32" s="30"/>
      <c r="AX32" s="36" t="str">
        <f t="shared" si="18"/>
        <v/>
      </c>
      <c r="AY32" s="59"/>
      <c r="AZ32" s="36" t="str">
        <f t="shared" si="19"/>
        <v/>
      </c>
    </row>
    <row r="33" spans="1:53" ht="20" customHeight="1" x14ac:dyDescent="0.2">
      <c r="A33" s="60"/>
      <c r="B33" s="24"/>
      <c r="C33" s="50" t="s">
        <v>30</v>
      </c>
      <c r="D33" s="49" t="s">
        <v>50</v>
      </c>
      <c r="E33" s="49" t="s">
        <v>51</v>
      </c>
      <c r="F33" s="50">
        <v>1993</v>
      </c>
      <c r="G33" s="50">
        <v>306</v>
      </c>
      <c r="H33" s="89"/>
      <c r="I33" s="85"/>
      <c r="J33" s="86"/>
      <c r="K33" s="33"/>
      <c r="L33" s="36" t="str">
        <f t="shared" si="20"/>
        <v/>
      </c>
      <c r="M33" s="33"/>
      <c r="N33" s="36" t="str">
        <f t="shared" si="4"/>
        <v/>
      </c>
      <c r="O33" s="33"/>
      <c r="P33" s="36" t="str">
        <f t="shared" si="4"/>
        <v/>
      </c>
      <c r="Q33" s="33"/>
      <c r="R33" s="36" t="str">
        <f t="shared" si="5"/>
        <v/>
      </c>
      <c r="S33" s="33"/>
      <c r="T33" s="36" t="str">
        <f t="shared" si="6"/>
        <v/>
      </c>
      <c r="U33" s="33"/>
      <c r="V33" s="36" t="str">
        <f t="shared" si="7"/>
        <v/>
      </c>
      <c r="W33" s="33"/>
      <c r="X33" s="36" t="str">
        <f t="shared" si="8"/>
        <v/>
      </c>
      <c r="Y33" s="33"/>
      <c r="Z33" s="36" t="str">
        <f t="shared" si="9"/>
        <v/>
      </c>
      <c r="AA33" s="33"/>
      <c r="AB33" s="36" t="str">
        <f t="shared" si="10"/>
        <v/>
      </c>
      <c r="AC33" s="33"/>
      <c r="AD33" s="36" t="str">
        <f t="shared" si="11"/>
        <v/>
      </c>
      <c r="AE33" s="33"/>
      <c r="AF33" s="36" t="str">
        <f t="shared" si="12"/>
        <v/>
      </c>
      <c r="AG33" s="33"/>
      <c r="AH33" s="36" t="str">
        <f t="shared" si="12"/>
        <v/>
      </c>
      <c r="AI33" s="33"/>
      <c r="AJ33" s="36" t="str">
        <f t="shared" si="12"/>
        <v/>
      </c>
      <c r="AK33" s="33"/>
      <c r="AL33" s="36" t="str">
        <f t="shared" si="12"/>
        <v/>
      </c>
      <c r="AM33" s="33"/>
      <c r="AN33" s="36" t="str">
        <f t="shared" si="13"/>
        <v/>
      </c>
      <c r="AO33" s="33"/>
      <c r="AP33" s="36" t="str">
        <f t="shared" si="14"/>
        <v/>
      </c>
      <c r="AQ33" s="33"/>
      <c r="AR33" s="36" t="str">
        <f t="shared" si="15"/>
        <v/>
      </c>
      <c r="AS33" s="33"/>
      <c r="AT33" s="36" t="str">
        <f t="shared" si="16"/>
        <v/>
      </c>
      <c r="AU33" s="33"/>
      <c r="AV33" s="36" t="str">
        <f t="shared" si="17"/>
        <v/>
      </c>
      <c r="AW33" s="30"/>
      <c r="AX33" s="36" t="str">
        <f t="shared" si="18"/>
        <v/>
      </c>
      <c r="AY33" s="59"/>
      <c r="AZ33" s="36" t="str">
        <f t="shared" si="19"/>
        <v/>
      </c>
    </row>
    <row r="34" spans="1:53" ht="20" customHeight="1" x14ac:dyDescent="0.2">
      <c r="A34" s="60"/>
      <c r="B34" s="82"/>
      <c r="C34" s="24" t="s">
        <v>85</v>
      </c>
      <c r="D34" s="23" t="s">
        <v>406</v>
      </c>
      <c r="E34" s="23" t="s">
        <v>407</v>
      </c>
      <c r="F34" s="24">
        <v>2013</v>
      </c>
      <c r="H34" s="89">
        <v>38</v>
      </c>
      <c r="I34" s="85" t="s">
        <v>408</v>
      </c>
      <c r="J34" s="86" t="s">
        <v>169</v>
      </c>
      <c r="K34" s="33"/>
      <c r="L34" s="36" t="str">
        <f>IF((ISERROR((K34/$H34)*100)), "", IF(AND(NOT(ISERROR((K34/$H34)*100)),((K34/$H34)*100) &lt;&gt; 0), (K34/$H34)*100, ""))</f>
        <v/>
      </c>
      <c r="M34" s="33"/>
      <c r="N34" s="36" t="str">
        <f>IF((ISERROR((M34/$H34)*100)), "", IF(AND(NOT(ISERROR((M34/$H34)*100)),((M34/$H34)*100) &lt;&gt; 0), (M34/$H34)*100, ""))</f>
        <v/>
      </c>
      <c r="O34" s="33"/>
      <c r="P34" s="36" t="str">
        <f>IF((ISERROR((O34/$H34)*100)), "", IF(AND(NOT(ISERROR((O34/$H34)*100)),((O34/$H34)*100) &lt;&gt; 0), (O34/$H34)*100, ""))</f>
        <v/>
      </c>
      <c r="Q34" s="33"/>
      <c r="R34" s="36" t="str">
        <f>IF((ISERROR((Q34/$H34)*100)), "", IF(AND(NOT(ISERROR((Q34/$H34)*100)),((Q34/$H34)*100) &lt;&gt; 0), (Q34/$H34)*100, ""))</f>
        <v/>
      </c>
      <c r="S34" s="33"/>
      <c r="T34" s="36" t="str">
        <f>IF((ISERROR((S34/$H34)*100)), "", IF(AND(NOT(ISERROR((S34/$H34)*100)),((S34/$H34)*100) &lt;&gt; 0), (S34/$H34)*100, ""))</f>
        <v/>
      </c>
      <c r="U34" s="33"/>
      <c r="V34" s="36" t="str">
        <f>IF((ISERROR((U34/$H34)*100)), "", IF(AND(NOT(ISERROR((U34/$H34)*100)),((U34/$H34)*100) &lt;&gt; 0), (U34/$H34)*100, ""))</f>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33"/>
      <c r="AF34" s="36" t="str">
        <f t="shared" ref="AF34:AF38" si="23">IF((ISERROR((AE34/$H34)*100)), "", IF(AND(NOT(ISERROR((AE34/$H34)*100)),((AE34/$H34)*100) &lt;&gt; 0), (AE34/$H34)*100, ""))</f>
        <v/>
      </c>
      <c r="AG34" s="33"/>
      <c r="AH34" s="36" t="str">
        <f>IF((ISERROR((AG34/$H34)*100)), "", IF(AND(NOT(ISERROR((AG34/$H34)*100)),((AG34/$H34)*100) &lt;&gt; 0), (AG34/$H34)*100, ""))</f>
        <v/>
      </c>
      <c r="AI34" s="33"/>
      <c r="AJ34" s="36" t="str">
        <f>IF((ISERROR((AI34/$H34)*100)), "", IF(AND(NOT(ISERROR((AI34/$H34)*100)),((AI34/$H34)*100) &lt;&gt; 0), (AI34/$H34)*100, ""))</f>
        <v/>
      </c>
      <c r="AK34" s="33"/>
      <c r="AL34" s="36" t="str">
        <f>IF((ISERROR((AK34/$H34)*100)), "", IF(AND(NOT(ISERROR((AK34/$H34)*100)),((AK34/$H34)*100) &lt;&gt; 0), (AK34/$H34)*100, ""))</f>
        <v/>
      </c>
      <c r="AM34" s="33"/>
      <c r="AN34" s="36" t="str">
        <f>IF((ISERROR((AM34/$H34)*100)), "", IF(AND(NOT(ISERROR((AM34/$H34)*100)),((AM34/$H34)*100) &lt;&gt; 0), (AM34/$H34)*100, ""))</f>
        <v/>
      </c>
      <c r="AO34" s="33"/>
      <c r="AP34" s="36" t="str">
        <f>IF((ISERROR((AO34/$H34)*100)), "", IF(AND(NOT(ISERROR((AO34/$H34)*100)),((AO34/$H34)*100) &lt;&gt; 0), (AO34/$H34)*100, ""))</f>
        <v/>
      </c>
      <c r="AQ34" s="33"/>
      <c r="AR34" s="36" t="str">
        <f t="shared" si="15"/>
        <v/>
      </c>
      <c r="AS34" s="33"/>
      <c r="AT34" s="36" t="str">
        <f>IF((ISERROR((AS34/$H34)*100)), "", IF(AND(NOT(ISERROR((AS34/$H34)*100)),((AS34/$H34)*100) &lt;&gt; 0), (AS34/$H34)*100, ""))</f>
        <v/>
      </c>
      <c r="AU34" s="33"/>
      <c r="AV34" s="36" t="str">
        <f>IF((ISERROR((AU34/$H34)*100)), "", IF(AND(NOT(ISERROR((AU34/$H34)*100)),((AU34/$H34)*100) &lt;&gt; 0), (AU34/$H34)*100, ""))</f>
        <v/>
      </c>
      <c r="AW34" s="33"/>
      <c r="AX34" s="36" t="str">
        <f t="shared" si="18"/>
        <v/>
      </c>
      <c r="AY34" s="76">
        <v>37</v>
      </c>
      <c r="AZ34" s="36">
        <f t="shared" si="19"/>
        <v>97.368421052631575</v>
      </c>
      <c r="BA34" s="23" t="s">
        <v>416</v>
      </c>
    </row>
    <row r="35" spans="1:53" ht="20" customHeight="1" x14ac:dyDescent="0.2">
      <c r="A35" s="61"/>
      <c r="B35" s="83"/>
      <c r="C35" s="24" t="s">
        <v>85</v>
      </c>
      <c r="D35" s="23" t="s">
        <v>52</v>
      </c>
      <c r="E35" s="23" t="s">
        <v>53</v>
      </c>
      <c r="F35" s="24">
        <v>2001</v>
      </c>
      <c r="G35" s="24">
        <v>118</v>
      </c>
      <c r="H35" s="89">
        <v>20</v>
      </c>
      <c r="I35" s="85"/>
      <c r="J35" s="86" t="s">
        <v>190</v>
      </c>
      <c r="K35" s="33"/>
      <c r="L35" s="36" t="str">
        <f>IF((ISERROR((K35/$H35)*100)), "", IF(AND(NOT(ISERROR((K35/$H35)*100)),((K35/$H35)*100) &lt;&gt; 0), (K35/$H35)*100, ""))</f>
        <v/>
      </c>
      <c r="M35" s="33"/>
      <c r="N35" s="36" t="str">
        <f>IF((ISERROR((M35/$H35)*100)), "", IF(AND(NOT(ISERROR((M35/$H35)*100)),((M35/$H35)*100) &lt;&gt; 0), (M35/$H35)*100, ""))</f>
        <v/>
      </c>
      <c r="O35" s="33"/>
      <c r="P35" s="36" t="str">
        <f>IF((ISERROR((O35/$H35)*100)), "", IF(AND(NOT(ISERROR((O35/$H35)*100)),((O35/$H35)*100) &lt;&gt; 0), (O35/$H35)*100, ""))</f>
        <v/>
      </c>
      <c r="Q35" s="33"/>
      <c r="R35" s="36" t="str">
        <f>IF((ISERROR((Q35/$H35)*100)), "", IF(AND(NOT(ISERROR((Q35/$H35)*100)),((Q35/$H35)*100) &lt;&gt; 0), (Q35/$H35)*100, ""))</f>
        <v/>
      </c>
      <c r="S35" s="33"/>
      <c r="T35" s="36" t="str">
        <f>IF((ISERROR((S35/$H35)*100)), "", IF(AND(NOT(ISERROR((S35/$H35)*100)),((S35/$H35)*100) &lt;&gt; 0), (S35/$H35)*100, ""))</f>
        <v/>
      </c>
      <c r="U35" s="33"/>
      <c r="V35" s="36" t="str">
        <f>IF((ISERROR((U35/$H35)*100)), "", IF(AND(NOT(ISERROR((U35/$H35)*100)),((U35/$H35)*100) &lt;&gt; 0), (U35/$H35)*100, ""))</f>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33"/>
      <c r="AF35" s="36" t="str">
        <f t="shared" si="23"/>
        <v/>
      </c>
      <c r="AG35" s="33"/>
      <c r="AH35" s="36" t="str">
        <f>IF((ISERROR((AG35/$H35)*100)), "", IF(AND(NOT(ISERROR((AG35/$H35)*100)),((AG35/$H35)*100) &lt;&gt; 0), (AG35/$H35)*100, ""))</f>
        <v/>
      </c>
      <c r="AI35" s="33"/>
      <c r="AJ35" s="36" t="str">
        <f>IF((ISERROR((AI35/$H35)*100)), "", IF(AND(NOT(ISERROR((AI35/$H35)*100)),((AI35/$H35)*100) &lt;&gt; 0), (AI35/$H35)*100, ""))</f>
        <v/>
      </c>
      <c r="AK35" s="33"/>
      <c r="AL35" s="36" t="str">
        <f>IF((ISERROR((AK35/$H35)*100)), "", IF(AND(NOT(ISERROR((AK35/$H35)*100)),((AK35/$H35)*100) &lt;&gt; 0), (AK35/$H35)*100, ""))</f>
        <v/>
      </c>
      <c r="AM35" s="33"/>
      <c r="AN35" s="36" t="str">
        <f>IF((ISERROR((AM35/$H35)*100)), "", IF(AND(NOT(ISERROR((AM35/$H35)*100)),((AM35/$H35)*100) &lt;&gt; 0), (AM35/$H35)*100, ""))</f>
        <v/>
      </c>
      <c r="AO35" s="33"/>
      <c r="AP35" s="36" t="str">
        <f>IF((ISERROR((AO35/$H35)*100)), "", IF(AND(NOT(ISERROR((AO35/$H35)*100)),((AO35/$H35)*100) &lt;&gt; 0), (AO35/$H35)*100, ""))</f>
        <v/>
      </c>
      <c r="AQ35" s="33"/>
      <c r="AR35" s="36" t="str">
        <f t="shared" si="15"/>
        <v/>
      </c>
      <c r="AS35" s="33"/>
      <c r="AT35" s="36" t="str">
        <f>IF((ISERROR((AS35/$H35)*100)), "", IF(AND(NOT(ISERROR((AS35/$H35)*100)),((AS35/$H35)*100) &lt;&gt; 0), (AS35/$H35)*100, ""))</f>
        <v/>
      </c>
      <c r="AU35" s="33"/>
      <c r="AV35" s="36" t="str">
        <f>IF((ISERROR((AU35/$H35)*100)), "", IF(AND(NOT(ISERROR((AU35/$H35)*100)),((AU35/$H35)*100) &lt;&gt; 0), (AU35/$H35)*100, ""))</f>
        <v/>
      </c>
      <c r="AW35" s="76"/>
      <c r="AX35" s="36" t="str">
        <f t="shared" si="18"/>
        <v/>
      </c>
      <c r="AY35" s="76"/>
      <c r="AZ35" s="36" t="str">
        <f t="shared" si="19"/>
        <v/>
      </c>
      <c r="BA35" s="23" t="s">
        <v>181</v>
      </c>
    </row>
    <row r="36" spans="1:53" ht="20" customHeight="1" x14ac:dyDescent="0.2">
      <c r="A36" s="60"/>
      <c r="B36" s="82"/>
      <c r="C36" s="24" t="s">
        <v>85</v>
      </c>
      <c r="D36" s="23" t="s">
        <v>270</v>
      </c>
      <c r="E36" s="23" t="s">
        <v>271</v>
      </c>
      <c r="F36" s="24">
        <v>1994</v>
      </c>
      <c r="H36" s="89">
        <v>20</v>
      </c>
      <c r="I36" s="85" t="s">
        <v>343</v>
      </c>
      <c r="J36" s="86"/>
      <c r="K36" s="33"/>
      <c r="L36" s="36" t="str">
        <f>IF((ISERROR((K36/$H36)*100)), "", IF(AND(NOT(ISERROR((K36/$H36)*100)),((K36/$H36)*100) &lt;&gt; 0), (K36/$H36)*100, ""))</f>
        <v/>
      </c>
      <c r="M36" s="33"/>
      <c r="N36" s="36" t="str">
        <f>IF((ISERROR((M36/$H36)*100)), "", IF(AND(NOT(ISERROR((M36/$H36)*100)),((M36/$H36)*100) &lt;&gt; 0), (M36/$H36)*100, ""))</f>
        <v/>
      </c>
      <c r="O36" s="33"/>
      <c r="P36" s="36" t="str">
        <f>IF((ISERROR((O36/$H36)*100)), "", IF(AND(NOT(ISERROR((O36/$H36)*100)),((O36/$H36)*100) &lt;&gt; 0), (O36/$H36)*100, ""))</f>
        <v/>
      </c>
      <c r="Q36" s="33"/>
      <c r="R36" s="36" t="str">
        <f>IF((ISERROR((Q36/$H36)*100)), "", IF(AND(NOT(ISERROR((Q36/$H36)*100)),((Q36/$H36)*100) &lt;&gt; 0), (Q36/$H36)*100, ""))</f>
        <v/>
      </c>
      <c r="S36" s="33"/>
      <c r="T36" s="36" t="str">
        <f>IF((ISERROR((S36/$H36)*100)), "", IF(AND(NOT(ISERROR((S36/$H36)*100)),((S36/$H36)*100) &lt;&gt; 0), (S36/$H36)*100, ""))</f>
        <v/>
      </c>
      <c r="U36" s="38"/>
      <c r="V36" s="39" t="str">
        <f>IF((ISERROR((U36/$H36)*100)), "", IF(AND(NOT(ISERROR((U36/$H36)*100)),((U36/$H36)*100) &lt;&gt; 0), (U36/$H36)*100, ""))</f>
        <v/>
      </c>
      <c r="W36" s="33"/>
      <c r="X36" s="36" t="str">
        <f>IF((ISERROR((W36/$H36)*100)), "", IF(AND(NOT(ISERROR((W36/$H36)*100)),((W36/$H36)*100) &lt;&gt; 0), (W36/$H36)*100, ""))</f>
        <v/>
      </c>
      <c r="Y36" s="38"/>
      <c r="Z36" s="39"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33"/>
      <c r="AF36" s="36" t="str">
        <f t="shared" si="23"/>
        <v/>
      </c>
      <c r="AG36" s="33"/>
      <c r="AH36" s="36" t="str">
        <f>IF((ISERROR((AG36/$H36)*100)), "", IF(AND(NOT(ISERROR((AG36/$H36)*100)),((AG36/$H36)*100) &lt;&gt; 0), (AG36/$H36)*100, ""))</f>
        <v/>
      </c>
      <c r="AI36" s="33"/>
      <c r="AJ36" s="36" t="str">
        <f>IF((ISERROR((AI36/$H36)*100)), "", IF(AND(NOT(ISERROR((AI36/$H36)*100)),((AI36/$H36)*100) &lt;&gt; 0), (AI36/$H36)*100, ""))</f>
        <v/>
      </c>
      <c r="AK36" s="33"/>
      <c r="AL36" s="36" t="str">
        <f>IF((ISERROR((AK36/$H36)*100)), "", IF(AND(NOT(ISERROR((AK36/$H36)*100)),((AK36/$H36)*100) &lt;&gt; 0), (AK36/$H36)*100, ""))</f>
        <v/>
      </c>
      <c r="AM36" s="33"/>
      <c r="AN36" s="36" t="str">
        <f>IF((ISERROR((AM36/$H36)*100)), "", IF(AND(NOT(ISERROR((AM36/$H36)*100)),((AM36/$H36)*100) &lt;&gt; 0), (AM36/$H36)*100, ""))</f>
        <v/>
      </c>
      <c r="AO36" s="33"/>
      <c r="AP36" s="36" t="str">
        <f>IF((ISERROR((AO36/$H36)*100)), "", IF(AND(NOT(ISERROR((AO36/$H36)*100)),((AO36/$H36)*100) &lt;&gt; 0), (AO36/$H36)*100, ""))</f>
        <v/>
      </c>
      <c r="AQ36" s="33"/>
      <c r="AR36" s="36" t="str">
        <f t="shared" si="15"/>
        <v/>
      </c>
      <c r="AS36" s="33"/>
      <c r="AT36" s="36" t="str">
        <f>IF((ISERROR((AS36/$H36)*100)), "", IF(AND(NOT(ISERROR((AS36/$H36)*100)),((AS36/$H36)*100) &lt;&gt; 0), (AS36/$H36)*100, ""))</f>
        <v/>
      </c>
      <c r="AU36" s="33"/>
      <c r="AV36" s="36" t="str">
        <f>IF((ISERROR((AU36/$H36)*100)), "", IF(AND(NOT(ISERROR((AU36/$H36)*100)),((AU36/$H36)*100) &lt;&gt; 0), (AU36/$H36)*100, ""))</f>
        <v/>
      </c>
      <c r="AW36" s="40"/>
      <c r="AX36" s="39" t="str">
        <f t="shared" si="18"/>
        <v/>
      </c>
      <c r="AY36" s="76"/>
      <c r="AZ36" s="36" t="str">
        <f t="shared" si="19"/>
        <v/>
      </c>
      <c r="BA36" s="23" t="s">
        <v>409</v>
      </c>
    </row>
    <row r="37" spans="1:53" ht="20" customHeight="1" x14ac:dyDescent="0.2">
      <c r="A37" s="60"/>
      <c r="B37" s="83"/>
      <c r="C37" s="24" t="s">
        <v>85</v>
      </c>
      <c r="D37" s="23" t="s">
        <v>344</v>
      </c>
      <c r="E37" s="23" t="s">
        <v>345</v>
      </c>
      <c r="F37" s="24">
        <v>2008</v>
      </c>
      <c r="H37" s="89">
        <v>16</v>
      </c>
      <c r="I37" s="85" t="s">
        <v>177</v>
      </c>
      <c r="J37" s="86" t="s">
        <v>346</v>
      </c>
      <c r="K37" s="33"/>
      <c r="L37" s="36" t="str">
        <f>IF((ISERROR((K37/$H37)*100)), "", IF(AND(NOT(ISERROR((K37/$H37)*100)),((K37/$H37)*100) &lt;&gt; 0), (K37/$H37)*100, ""))</f>
        <v/>
      </c>
      <c r="M37" s="33"/>
      <c r="N37" s="36" t="str">
        <f>IF((ISERROR((M37/$H37)*100)), "", IF(AND(NOT(ISERROR((M37/$H37)*100)),((M37/$H37)*100) &lt;&gt; 0), (M37/$H37)*100, ""))</f>
        <v/>
      </c>
      <c r="O37" s="33"/>
      <c r="P37" s="36" t="str">
        <f>IF((ISERROR((O37/$H37)*100)), "", IF(AND(NOT(ISERROR((O37/$H37)*100)),((O37/$H37)*100) &lt;&gt; 0), (O37/$H37)*100, ""))</f>
        <v/>
      </c>
      <c r="Q37" s="33"/>
      <c r="R37" s="36" t="str">
        <f>IF((ISERROR((Q37/$H37)*100)), "", IF(AND(NOT(ISERROR((Q37/$H37)*100)),((Q37/$H37)*100) &lt;&gt; 0), (Q37/$H37)*100, ""))</f>
        <v/>
      </c>
      <c r="S37" s="33"/>
      <c r="T37" s="36" t="str">
        <f>IF((ISERROR((S37/$H37)*100)), "", IF(AND(NOT(ISERROR((S37/$H37)*100)),((S37/$H37)*100) &lt;&gt; 0), (S37/$H37)*100, ""))</f>
        <v/>
      </c>
      <c r="U37" s="33"/>
      <c r="V37" s="36" t="str">
        <f>IF((ISERROR((U37/$H37)*100)), "", IF(AND(NOT(ISERROR((U37/$H37)*100)),((U37/$H37)*100) &lt;&gt; 0), (U37/$H37)*100, ""))</f>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33"/>
      <c r="AF37" s="36" t="str">
        <f t="shared" si="23"/>
        <v/>
      </c>
      <c r="AG37" s="33"/>
      <c r="AH37" s="36" t="str">
        <f>IF((ISERROR((AG37/$H37)*100)), "", IF(AND(NOT(ISERROR((AG37/$H37)*100)),((AG37/$H37)*100) &lt;&gt; 0), (AG37/$H37)*100, ""))</f>
        <v/>
      </c>
      <c r="AI37" s="33"/>
      <c r="AJ37" s="36" t="str">
        <f>IF((ISERROR((AI37/$H37)*100)), "", IF(AND(NOT(ISERROR((AI37/$H37)*100)),((AI37/$H37)*100) &lt;&gt; 0), (AI37/$H37)*100, ""))</f>
        <v/>
      </c>
      <c r="AK37" s="33"/>
      <c r="AL37" s="36" t="str">
        <f>IF((ISERROR((AK37/$H37)*100)), "", IF(AND(NOT(ISERROR((AK37/$H37)*100)),((AK37/$H37)*100) &lt;&gt; 0), (AK37/$H37)*100, ""))</f>
        <v/>
      </c>
      <c r="AM37" s="33"/>
      <c r="AN37" s="36" t="str">
        <f>IF((ISERROR((AM37/$H37)*100)), "", IF(AND(NOT(ISERROR((AM37/$H37)*100)),((AM37/$H37)*100) &lt;&gt; 0), (AM37/$H37)*100, ""))</f>
        <v/>
      </c>
      <c r="AO37" s="33"/>
      <c r="AP37" s="36" t="str">
        <f>IF((ISERROR((AO37/$H37)*100)), "", IF(AND(NOT(ISERROR((AO37/$H37)*100)),((AO37/$H37)*100) &lt;&gt; 0), (AO37/$H37)*100, ""))</f>
        <v/>
      </c>
      <c r="AQ37" s="33"/>
      <c r="AR37" s="36" t="str">
        <f t="shared" si="15"/>
        <v/>
      </c>
      <c r="AS37" s="33"/>
      <c r="AT37" s="36" t="str">
        <f>IF((ISERROR((AS37/$H37)*100)), "", IF(AND(NOT(ISERROR((AS37/$H37)*100)),((AS37/$H37)*100) &lt;&gt; 0), (AS37/$H37)*100, ""))</f>
        <v/>
      </c>
      <c r="AU37" s="33"/>
      <c r="AV37" s="36" t="str">
        <f>IF((ISERROR((AU37/$H37)*100)), "", IF(AND(NOT(ISERROR((AU37/$H37)*100)),((AU37/$H37)*100) &lt;&gt; 0), (AU37/$H37)*100, ""))</f>
        <v/>
      </c>
      <c r="AW37" s="76"/>
      <c r="AX37" s="36" t="str">
        <f t="shared" si="18"/>
        <v/>
      </c>
      <c r="AY37" s="76"/>
      <c r="AZ37" s="36" t="str">
        <f t="shared" si="19"/>
        <v/>
      </c>
      <c r="BA37" s="23" t="s">
        <v>417</v>
      </c>
    </row>
    <row r="38" spans="1:53" ht="20" customHeight="1" x14ac:dyDescent="0.2">
      <c r="A38" s="60"/>
      <c r="B38" s="82"/>
      <c r="C38" s="24" t="s">
        <v>85</v>
      </c>
      <c r="D38" s="23" t="s">
        <v>54</v>
      </c>
      <c r="E38" s="23" t="s">
        <v>55</v>
      </c>
      <c r="F38" s="24">
        <v>1996</v>
      </c>
      <c r="G38" s="24">
        <v>82</v>
      </c>
      <c r="H38" s="89">
        <v>15</v>
      </c>
      <c r="I38" s="85" t="s">
        <v>177</v>
      </c>
      <c r="J38" s="86" t="s">
        <v>179</v>
      </c>
      <c r="K38" s="33">
        <v>3</v>
      </c>
      <c r="L38" s="36">
        <f>IF((ISERROR((K38/$H38)*100)), "", IF(AND(NOT(ISERROR((K38/$H38)*100)),((K38/$H38)*100) &lt;&gt; 0), (K38/$H38)*100, ""))</f>
        <v>20</v>
      </c>
      <c r="M38" s="33"/>
      <c r="N38" s="36" t="str">
        <f>IF((ISERROR((M38/$H38)*100)), "", IF(AND(NOT(ISERROR((M38/$H38)*100)),((M38/$H38)*100) &lt;&gt; 0), (M38/$H38)*100, ""))</f>
        <v/>
      </c>
      <c r="O38" s="33"/>
      <c r="P38" s="36" t="str">
        <f>IF((ISERROR((O38/$H38)*100)), "", IF(AND(NOT(ISERROR((O38/$H38)*100)),((O38/$H38)*100) &lt;&gt; 0), (O38/$H38)*100, ""))</f>
        <v/>
      </c>
      <c r="Q38" s="33"/>
      <c r="R38" s="36" t="str">
        <f>IF((ISERROR((Q38/$H38)*100)), "", IF(AND(NOT(ISERROR((Q38/$H38)*100)),((Q38/$H38)*100) &lt;&gt; 0), (Q38/$H38)*100, ""))</f>
        <v/>
      </c>
      <c r="S38" s="33"/>
      <c r="T38" s="36" t="str">
        <f>IF((ISERROR((S38/$H38)*100)), "", IF(AND(NOT(ISERROR((S38/$H38)*100)),((S38/$H38)*100) &lt;&gt; 0), (S38/$H38)*100, ""))</f>
        <v/>
      </c>
      <c r="U38" s="33"/>
      <c r="V38" s="36" t="str">
        <f>IF((ISERROR((U38/$H38)*100)), "", IF(AND(NOT(ISERROR((U38/$H38)*100)),((U38/$H38)*100) &lt;&gt; 0), (U38/$H38)*100, ""))</f>
        <v/>
      </c>
      <c r="W38" s="33">
        <v>1</v>
      </c>
      <c r="X38" s="36">
        <f>IF((ISERROR((W38/$H38)*100)), "", IF(AND(NOT(ISERROR((W38/$H38)*100)),((W38/$H38)*100) &lt;&gt; 0), (W38/$H38)*100, ""))</f>
        <v>6.666666666666667</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33"/>
      <c r="AF38" s="36" t="str">
        <f t="shared" si="23"/>
        <v/>
      </c>
      <c r="AG38" s="33"/>
      <c r="AH38" s="36" t="str">
        <f>IF((ISERROR((AG38/$H38)*100)), "", IF(AND(NOT(ISERROR((AG38/$H38)*100)),((AG38/$H38)*100) &lt;&gt; 0), (AG38/$H38)*100, ""))</f>
        <v/>
      </c>
      <c r="AI38" s="33"/>
      <c r="AJ38" s="36" t="str">
        <f>IF((ISERROR((AI38/$H38)*100)), "", IF(AND(NOT(ISERROR((AI38/$H38)*100)),((AI38/$H38)*100) &lt;&gt; 0), (AI38/$H38)*100, ""))</f>
        <v/>
      </c>
      <c r="AK38" s="33"/>
      <c r="AL38" s="36" t="str">
        <f>IF((ISERROR((AK38/$H38)*100)), "", IF(AND(NOT(ISERROR((AK38/$H38)*100)),((AK38/$H38)*100) &lt;&gt; 0), (AK38/$H38)*100, ""))</f>
        <v/>
      </c>
      <c r="AM38" s="33">
        <v>1</v>
      </c>
      <c r="AN38" s="36">
        <f>IF((ISERROR((AM38/$H38)*100)), "", IF(AND(NOT(ISERROR((AM38/$H38)*100)),((AM38/$H38)*100) &lt;&gt; 0), (AM38/$H38)*100, ""))</f>
        <v>6.666666666666667</v>
      </c>
      <c r="AO38" s="33"/>
      <c r="AP38" s="36" t="str">
        <f>IF((ISERROR((AO38/$H38)*100)), "", IF(AND(NOT(ISERROR((AO38/$H38)*100)),((AO38/$H38)*100) &lt;&gt; 0), (AO38/$H38)*100, ""))</f>
        <v/>
      </c>
      <c r="AQ38" s="33"/>
      <c r="AR38" s="36" t="str">
        <f t="shared" si="15"/>
        <v/>
      </c>
      <c r="AS38" s="33"/>
      <c r="AT38" s="36" t="str">
        <f>IF((ISERROR((AS38/$H38)*100)), "", IF(AND(NOT(ISERROR((AS38/$H38)*100)),((AS38/$H38)*100) &lt;&gt; 0), (AS38/$H38)*100, ""))</f>
        <v/>
      </c>
      <c r="AU38" s="33"/>
      <c r="AV38" s="36" t="str">
        <f>IF((ISERROR((AU38/$H38)*100)), "", IF(AND(NOT(ISERROR((AU38/$H38)*100)),((AU38/$H38)*100) &lt;&gt; 0), (AU38/$H38)*100, ""))</f>
        <v/>
      </c>
      <c r="AW38" s="76">
        <v>1</v>
      </c>
      <c r="AX38" s="36">
        <f t="shared" si="18"/>
        <v>6.666666666666667</v>
      </c>
      <c r="AY38" s="76"/>
      <c r="AZ38" s="36" t="str">
        <f t="shared" si="19"/>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20"/>
        <v/>
      </c>
      <c r="M39" s="33"/>
      <c r="N39" s="36" t="str">
        <f t="shared" si="4"/>
        <v/>
      </c>
      <c r="O39" s="33"/>
      <c r="P39" s="36" t="str">
        <f t="shared" si="4"/>
        <v/>
      </c>
      <c r="Q39" s="33"/>
      <c r="R39" s="36" t="str">
        <f t="shared" si="5"/>
        <v/>
      </c>
      <c r="S39" s="33"/>
      <c r="T39" s="36" t="str">
        <f t="shared" si="6"/>
        <v/>
      </c>
      <c r="U39" s="33"/>
      <c r="V39" s="36" t="str">
        <f t="shared" si="7"/>
        <v/>
      </c>
      <c r="W39" s="33"/>
      <c r="X39" s="36" t="str">
        <f t="shared" si="8"/>
        <v/>
      </c>
      <c r="Y39" s="33"/>
      <c r="Z39" s="36" t="str">
        <f t="shared" si="9"/>
        <v/>
      </c>
      <c r="AA39" s="33"/>
      <c r="AB39" s="36" t="str">
        <f t="shared" si="10"/>
        <v/>
      </c>
      <c r="AC39" s="33"/>
      <c r="AD39" s="36" t="str">
        <f t="shared" si="11"/>
        <v/>
      </c>
      <c r="AE39" s="33"/>
      <c r="AF39" s="36" t="str">
        <f t="shared" si="12"/>
        <v/>
      </c>
      <c r="AG39" s="33"/>
      <c r="AH39" s="36" t="str">
        <f t="shared" si="12"/>
        <v/>
      </c>
      <c r="AI39" s="33"/>
      <c r="AJ39" s="36" t="str">
        <f t="shared" si="12"/>
        <v/>
      </c>
      <c r="AK39" s="33"/>
      <c r="AL39" s="36" t="str">
        <f t="shared" si="12"/>
        <v/>
      </c>
      <c r="AM39" s="33"/>
      <c r="AN39" s="36" t="str">
        <f t="shared" si="13"/>
        <v/>
      </c>
      <c r="AO39" s="33"/>
      <c r="AP39" s="36" t="str">
        <f t="shared" si="14"/>
        <v/>
      </c>
      <c r="AQ39" s="33"/>
      <c r="AR39" s="36" t="str">
        <f t="shared" si="15"/>
        <v/>
      </c>
      <c r="AS39" s="33"/>
      <c r="AT39" s="36" t="str">
        <f t="shared" si="16"/>
        <v/>
      </c>
      <c r="AU39" s="33"/>
      <c r="AV39" s="36" t="str">
        <f t="shared" si="17"/>
        <v/>
      </c>
      <c r="AW39" s="31"/>
      <c r="AX39" s="36" t="str">
        <f t="shared" si="18"/>
        <v/>
      </c>
      <c r="AY39" s="59"/>
      <c r="AZ39" s="36" t="str">
        <f t="shared" si="19"/>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20"/>
        <v/>
      </c>
      <c r="M40" s="33"/>
      <c r="N40" s="36" t="str">
        <f t="shared" si="4"/>
        <v/>
      </c>
      <c r="O40" s="33"/>
      <c r="P40" s="36" t="str">
        <f t="shared" si="4"/>
        <v/>
      </c>
      <c r="Q40" s="33"/>
      <c r="R40" s="36" t="str">
        <f t="shared" si="5"/>
        <v/>
      </c>
      <c r="S40" s="33"/>
      <c r="T40" s="36" t="str">
        <f t="shared" si="6"/>
        <v/>
      </c>
      <c r="U40" s="38"/>
      <c r="V40" s="39" t="str">
        <f t="shared" si="7"/>
        <v/>
      </c>
      <c r="W40" s="33"/>
      <c r="X40" s="36" t="str">
        <f t="shared" si="8"/>
        <v/>
      </c>
      <c r="Y40" s="33"/>
      <c r="Z40" s="36" t="str">
        <f t="shared" si="9"/>
        <v/>
      </c>
      <c r="AA40" s="33"/>
      <c r="AB40" s="36" t="str">
        <f t="shared" si="10"/>
        <v/>
      </c>
      <c r="AC40" s="33"/>
      <c r="AD40" s="36" t="str">
        <f t="shared" si="11"/>
        <v/>
      </c>
      <c r="AE40" s="33"/>
      <c r="AF40" s="36" t="str">
        <f t="shared" si="12"/>
        <v/>
      </c>
      <c r="AG40" s="33"/>
      <c r="AH40" s="36" t="str">
        <f t="shared" si="12"/>
        <v/>
      </c>
      <c r="AI40" s="33"/>
      <c r="AJ40" s="36" t="str">
        <f t="shared" si="12"/>
        <v/>
      </c>
      <c r="AK40" s="33"/>
      <c r="AL40" s="36" t="str">
        <f t="shared" si="12"/>
        <v/>
      </c>
      <c r="AM40" s="33"/>
      <c r="AN40" s="36" t="str">
        <f t="shared" si="13"/>
        <v/>
      </c>
      <c r="AO40" s="33"/>
      <c r="AP40" s="36" t="str">
        <f t="shared" si="14"/>
        <v/>
      </c>
      <c r="AQ40" s="33"/>
      <c r="AR40" s="36" t="str">
        <f t="shared" si="15"/>
        <v/>
      </c>
      <c r="AS40" s="33"/>
      <c r="AT40" s="36" t="str">
        <f t="shared" si="16"/>
        <v/>
      </c>
      <c r="AU40" s="33"/>
      <c r="AV40" s="36" t="str">
        <f t="shared" si="17"/>
        <v/>
      </c>
      <c r="AW40" s="30"/>
      <c r="AX40" s="36" t="str">
        <f t="shared" si="18"/>
        <v/>
      </c>
      <c r="AY40" s="59"/>
      <c r="AZ40" s="36" t="str">
        <f t="shared" si="19"/>
        <v/>
      </c>
      <c r="BA40" s="23" t="s">
        <v>350</v>
      </c>
    </row>
    <row r="41" spans="1:53" ht="20" customHeight="1" x14ac:dyDescent="0.2">
      <c r="A41" s="61"/>
      <c r="B41" s="24"/>
      <c r="C41" s="24" t="s">
        <v>85</v>
      </c>
      <c r="D41" s="23" t="s">
        <v>57</v>
      </c>
      <c r="E41" s="23" t="s">
        <v>58</v>
      </c>
      <c r="F41" s="24">
        <v>2006</v>
      </c>
      <c r="G41" s="24">
        <v>132</v>
      </c>
      <c r="H41" s="89">
        <v>7</v>
      </c>
      <c r="I41" s="85"/>
      <c r="J41" s="86"/>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IF((ISERROR((U41/$H41)*100)), "", IF(AND(NOT(ISERROR((U41/$H41)*100)),((U41/$H41)*100) &lt;&gt; 0), (U41/$H41)*100, ""))</f>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33"/>
      <c r="AF41" s="36" t="str">
        <f t="shared" ref="AF41:AF42" si="24">IF((ISERROR((AE41/$H41)*100)), "", IF(AND(NOT(ISERROR((AE41/$H41)*100)),((AE41/$H41)*100) &lt;&gt; 0), (AE41/$H41)*100, ""))</f>
        <v/>
      </c>
      <c r="AG41" s="33"/>
      <c r="AH41" s="36" t="str">
        <f>IF((ISERROR((AG41/$H41)*100)), "", IF(AND(NOT(ISERROR((AG41/$H41)*100)),((AG41/$H41)*100) &lt;&gt; 0), (AG41/$H41)*100, ""))</f>
        <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si="15"/>
        <v/>
      </c>
      <c r="AS41" s="33"/>
      <c r="AT41" s="36" t="str">
        <f>IF((ISERROR((AS41/$H41)*100)), "", IF(AND(NOT(ISERROR((AS41/$H41)*100)),((AS41/$H41)*100) &lt;&gt; 0), (AS41/$H41)*100, ""))</f>
        <v/>
      </c>
      <c r="AU41" s="33"/>
      <c r="AV41" s="36" t="str">
        <f>IF((ISERROR((AU41/$H41)*100)), "", IF(AND(NOT(ISERROR((AU41/$H41)*100)),((AU41/$H41)*100) &lt;&gt; 0), (AU41/$H41)*100, ""))</f>
        <v/>
      </c>
      <c r="AW41" s="76"/>
      <c r="AX41" s="36" t="str">
        <f t="shared" si="18"/>
        <v/>
      </c>
      <c r="AY41" s="76"/>
      <c r="AZ41" s="36" t="str">
        <f t="shared" si="19"/>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c r="T42" s="36" t="str">
        <f>IF((ISERROR((S42/$H42)*100)), "", IF(AND(NOT(ISERROR((S42/$H42)*100)),((S42/$H42)*100) &lt;&gt; 0), (S42/$H42)*100, ""))</f>
        <v/>
      </c>
      <c r="U42" s="33"/>
      <c r="V42" s="36" t="str">
        <f>IF((ISERROR((U42/$H42)*100)), "", IF(AND(NOT(ISERROR((U42/$H42)*100)),((U42/$H42)*100) &lt;&gt; 0), (U42/$H42)*100, ""))</f>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33"/>
      <c r="AF42" s="36" t="str">
        <f t="shared" si="24"/>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c r="AR42" s="36" t="str">
        <f t="shared" si="15"/>
        <v/>
      </c>
      <c r="AS42" s="33"/>
      <c r="AT42" s="36" t="str">
        <f>IF((ISERROR((AS42/$H42)*100)), "", IF(AND(NOT(ISERROR((AS42/$H42)*100)),((AS42/$H42)*100) &lt;&gt; 0), (AS42/$H42)*100, ""))</f>
        <v/>
      </c>
      <c r="AU42" s="33"/>
      <c r="AV42" s="36" t="str">
        <f>IF((ISERROR((AU42/$H42)*100)), "", IF(AND(NOT(ISERROR((AU42/$H42)*100)),((AU42/$H42)*100) &lt;&gt; 0), (AU42/$H42)*100, ""))</f>
        <v/>
      </c>
      <c r="AW42" s="76"/>
      <c r="AX42" s="36" t="str">
        <f t="shared" si="18"/>
        <v/>
      </c>
      <c r="AY42" s="76"/>
      <c r="AZ42" s="36" t="str">
        <f t="shared" si="19"/>
        <v/>
      </c>
      <c r="BA42" s="23" t="s">
        <v>410</v>
      </c>
    </row>
    <row r="43" spans="1:53" ht="20" customHeight="1" x14ac:dyDescent="0.2">
      <c r="A43" s="61"/>
      <c r="B43" s="83"/>
      <c r="C43" s="24" t="s">
        <v>85</v>
      </c>
      <c r="D43" s="23" t="s">
        <v>61</v>
      </c>
      <c r="E43" s="23" t="s">
        <v>62</v>
      </c>
      <c r="F43" s="24">
        <v>2006</v>
      </c>
      <c r="G43" s="24">
        <v>144</v>
      </c>
      <c r="H43" s="89">
        <v>25</v>
      </c>
      <c r="I43" s="85"/>
      <c r="J43" s="86" t="s">
        <v>192</v>
      </c>
      <c r="K43" s="33"/>
      <c r="L43" s="36" t="str">
        <f t="shared" si="20"/>
        <v/>
      </c>
      <c r="M43" s="33"/>
      <c r="N43" s="36" t="str">
        <f t="shared" si="4"/>
        <v/>
      </c>
      <c r="O43" s="33"/>
      <c r="P43" s="36" t="str">
        <f t="shared" si="4"/>
        <v/>
      </c>
      <c r="Q43" s="33"/>
      <c r="R43" s="36" t="str">
        <f t="shared" si="5"/>
        <v/>
      </c>
      <c r="S43" s="33"/>
      <c r="T43" s="36" t="str">
        <f t="shared" si="6"/>
        <v/>
      </c>
      <c r="U43" s="33"/>
      <c r="V43" s="36" t="str">
        <f t="shared" si="7"/>
        <v/>
      </c>
      <c r="W43" s="33"/>
      <c r="X43" s="36" t="str">
        <f t="shared" si="8"/>
        <v/>
      </c>
      <c r="Y43" s="33"/>
      <c r="Z43" s="36" t="str">
        <f t="shared" si="9"/>
        <v/>
      </c>
      <c r="AA43" s="33"/>
      <c r="AB43" s="36" t="str">
        <f t="shared" si="10"/>
        <v/>
      </c>
      <c r="AC43" s="33"/>
      <c r="AD43" s="36" t="str">
        <f t="shared" si="11"/>
        <v/>
      </c>
      <c r="AE43" s="33"/>
      <c r="AF43" s="36" t="str">
        <f t="shared" si="12"/>
        <v/>
      </c>
      <c r="AG43" s="33"/>
      <c r="AH43" s="36" t="str">
        <f t="shared" si="12"/>
        <v/>
      </c>
      <c r="AI43" s="33"/>
      <c r="AJ43" s="36" t="str">
        <f t="shared" si="12"/>
        <v/>
      </c>
      <c r="AK43" s="33"/>
      <c r="AL43" s="36" t="str">
        <f t="shared" si="12"/>
        <v/>
      </c>
      <c r="AM43" s="33"/>
      <c r="AN43" s="36" t="str">
        <f t="shared" si="13"/>
        <v/>
      </c>
      <c r="AO43" s="33"/>
      <c r="AP43" s="36" t="str">
        <f t="shared" si="14"/>
        <v/>
      </c>
      <c r="AQ43" s="33"/>
      <c r="AR43" s="36" t="str">
        <f t="shared" si="15"/>
        <v/>
      </c>
      <c r="AS43" s="33"/>
      <c r="AT43" s="36" t="str">
        <f t="shared" si="16"/>
        <v/>
      </c>
      <c r="AU43" s="33"/>
      <c r="AV43" s="36" t="str">
        <f t="shared" si="17"/>
        <v/>
      </c>
      <c r="AW43" s="30"/>
      <c r="AX43" s="36" t="str">
        <f t="shared" si="18"/>
        <v/>
      </c>
      <c r="AY43" s="59"/>
      <c r="AZ43" s="36" t="str">
        <f t="shared" si="19"/>
        <v/>
      </c>
      <c r="BA43" s="23" t="s">
        <v>182</v>
      </c>
    </row>
    <row r="44" spans="1:53" ht="20" customHeight="1" x14ac:dyDescent="0.2">
      <c r="A44" s="61"/>
      <c r="B44" s="24"/>
      <c r="D44" s="23" t="s">
        <v>274</v>
      </c>
      <c r="E44" s="23" t="s">
        <v>275</v>
      </c>
      <c r="F44" s="24">
        <v>2004</v>
      </c>
      <c r="H44" s="89"/>
      <c r="I44" s="85"/>
      <c r="J44" s="86"/>
      <c r="K44" s="33"/>
      <c r="L44" s="36" t="str">
        <f t="shared" si="20"/>
        <v/>
      </c>
      <c r="M44" s="33"/>
      <c r="N44" s="36" t="str">
        <f t="shared" si="4"/>
        <v/>
      </c>
      <c r="O44" s="33"/>
      <c r="P44" s="36" t="str">
        <f t="shared" si="4"/>
        <v/>
      </c>
      <c r="Q44" s="33"/>
      <c r="R44" s="36" t="str">
        <f t="shared" si="5"/>
        <v/>
      </c>
      <c r="S44" s="33"/>
      <c r="T44" s="36" t="str">
        <f t="shared" si="6"/>
        <v/>
      </c>
      <c r="U44" s="33"/>
      <c r="V44" s="36" t="str">
        <f t="shared" si="7"/>
        <v/>
      </c>
      <c r="W44" s="33"/>
      <c r="X44" s="36" t="str">
        <f t="shared" si="8"/>
        <v/>
      </c>
      <c r="Y44" s="33"/>
      <c r="Z44" s="36" t="str">
        <f t="shared" si="9"/>
        <v/>
      </c>
      <c r="AA44" s="33"/>
      <c r="AB44" s="36" t="str">
        <f t="shared" si="10"/>
        <v/>
      </c>
      <c r="AC44" s="33"/>
      <c r="AD44" s="36" t="str">
        <f t="shared" si="11"/>
        <v/>
      </c>
      <c r="AE44" s="33"/>
      <c r="AF44" s="36" t="str">
        <f t="shared" si="12"/>
        <v/>
      </c>
      <c r="AG44" s="33"/>
      <c r="AH44" s="36" t="str">
        <f t="shared" si="12"/>
        <v/>
      </c>
      <c r="AI44" s="33"/>
      <c r="AJ44" s="36" t="str">
        <f t="shared" si="12"/>
        <v/>
      </c>
      <c r="AK44" s="33"/>
      <c r="AL44" s="36" t="str">
        <f t="shared" si="12"/>
        <v/>
      </c>
      <c r="AM44" s="33"/>
      <c r="AN44" s="36" t="str">
        <f t="shared" si="13"/>
        <v/>
      </c>
      <c r="AO44" s="33"/>
      <c r="AP44" s="36" t="str">
        <f t="shared" si="14"/>
        <v/>
      </c>
      <c r="AQ44" s="33"/>
      <c r="AR44" s="36" t="str">
        <f t="shared" si="15"/>
        <v/>
      </c>
      <c r="AS44" s="33"/>
      <c r="AT44" s="36" t="str">
        <f t="shared" si="16"/>
        <v/>
      </c>
      <c r="AU44" s="33"/>
      <c r="AV44" s="36" t="str">
        <f t="shared" si="17"/>
        <v/>
      </c>
      <c r="AW44" s="31"/>
      <c r="AX44" s="36" t="str">
        <f t="shared" si="18"/>
        <v/>
      </c>
      <c r="AY44" s="59"/>
      <c r="AZ44" s="36" t="str">
        <f t="shared" si="19"/>
        <v/>
      </c>
    </row>
    <row r="45" spans="1:53" ht="20" customHeight="1" x14ac:dyDescent="0.2">
      <c r="A45" s="60"/>
      <c r="B45" s="82"/>
      <c r="C45" s="24" t="s">
        <v>85</v>
      </c>
      <c r="D45" s="23" t="s">
        <v>276</v>
      </c>
      <c r="E45" s="23" t="s">
        <v>277</v>
      </c>
      <c r="F45" s="24">
        <v>2014</v>
      </c>
      <c r="H45" s="89">
        <v>39</v>
      </c>
      <c r="I45" s="85" t="s">
        <v>411</v>
      </c>
      <c r="J45" s="86" t="s">
        <v>346</v>
      </c>
      <c r="K45" s="33"/>
      <c r="L45" s="36" t="str">
        <f>IF((ISERROR((K45/$H45)*100)), "", IF(AND(NOT(ISERROR((K45/$H45)*100)),((K45/$H45)*100) &lt;&gt; 0), (K45/$H45)*100, ""))</f>
        <v/>
      </c>
      <c r="M45" s="33"/>
      <c r="N45" s="36" t="str">
        <f>IF((ISERROR((M45/$H45)*100)), "", IF(AND(NOT(ISERROR((M45/$H45)*100)),((M45/$H45)*100) &lt;&gt; 0), (M45/$H45)*100, ""))</f>
        <v/>
      </c>
      <c r="O45" s="33">
        <v>3</v>
      </c>
      <c r="P45" s="36">
        <f>IF((ISERROR((O45/$H45)*100)), "", IF(AND(NOT(ISERROR((O45/$H45)*100)),((O45/$H45)*100) &lt;&gt; 0), (O45/$H45)*100, ""))</f>
        <v>7.6923076923076925</v>
      </c>
      <c r="Q45" s="33">
        <v>8</v>
      </c>
      <c r="R45" s="36">
        <f>IF((ISERROR((Q45/$H45)*100)), "", IF(AND(NOT(ISERROR((Q45/$H45)*100)),((Q45/$H45)*100) &lt;&gt; 0), (Q45/$H45)*100, ""))</f>
        <v>20.512820512820511</v>
      </c>
      <c r="S45" s="33"/>
      <c r="T45" s="36" t="str">
        <f>IF((ISERROR((S45/$H45)*100)), "", IF(AND(NOT(ISERROR((S45/$H45)*100)),((S45/$H45)*100) &lt;&gt; 0), (S45/$H45)*100, ""))</f>
        <v/>
      </c>
      <c r="U45" s="33">
        <v>22</v>
      </c>
      <c r="V45" s="36">
        <f>IF((ISERROR((U45/$H45)*100)), "", IF(AND(NOT(ISERROR((U45/$H45)*100)),((U45/$H45)*100) &lt;&gt; 0), (U45/$H45)*100, ""))</f>
        <v>56.410256410256409</v>
      </c>
      <c r="W45" s="33">
        <v>22</v>
      </c>
      <c r="X45" s="36">
        <f>IF((ISERROR((W45/$H45)*100)), "", IF(AND(NOT(ISERROR((W45/$H45)*100)),((W45/$H45)*100) &lt;&gt; 0), (W45/$H45)*100, ""))</f>
        <v>56.410256410256409</v>
      </c>
      <c r="Y45" s="33">
        <v>23</v>
      </c>
      <c r="Z45" s="36">
        <f>IF((ISERROR((Y45/$H45)*100)), "", IF(AND(NOT(ISERROR((Y45/$H45)*100)),((Y45/$H45)*100) &lt;&gt; 0), (Y45/$H45)*100, ""))</f>
        <v>58.974358974358978</v>
      </c>
      <c r="AA45" s="33"/>
      <c r="AB45" s="36" t="str">
        <f>IF((ISERROR((AA45/$H45)*100)), "", IF(AND(NOT(ISERROR((AA45/$H45)*100)),((AA45/$H45)*100) &lt;&gt; 0), (AA45/$H45)*100, ""))</f>
        <v/>
      </c>
      <c r="AC45" s="33"/>
      <c r="AD45" s="36" t="str">
        <f>IF((ISERROR((AC45/$H45)*100)), "", IF(AND(NOT(ISERROR((AC45/$H45)*100)),((AC45/$H45)*100) &lt;&gt; 0), (AC45/$H45)*100, ""))</f>
        <v/>
      </c>
      <c r="AE45" s="33"/>
      <c r="AF45" s="36" t="str">
        <f t="shared" ref="AF45:AF48" si="25">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si="15"/>
        <v/>
      </c>
      <c r="AS45" s="33"/>
      <c r="AT45" s="36" t="str">
        <f>IF((ISERROR((AS45/$H45)*100)), "", IF(AND(NOT(ISERROR((AS45/$H45)*100)),((AS45/$H45)*100) &lt;&gt; 0), (AS45/$H45)*100, ""))</f>
        <v/>
      </c>
      <c r="AU45" s="33"/>
      <c r="AV45" s="36" t="str">
        <f>IF((ISERROR((AU45/$H45)*100)), "", IF(AND(NOT(ISERROR((AU45/$H45)*100)),((AU45/$H45)*100) &lt;&gt; 0), (AU45/$H45)*100, ""))</f>
        <v/>
      </c>
      <c r="AW45" s="76"/>
      <c r="AX45" s="36" t="str">
        <f t="shared" si="18"/>
        <v/>
      </c>
      <c r="AY45" s="76"/>
      <c r="AZ45" s="36" t="str">
        <f t="shared" si="19"/>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c r="T46" s="36" t="str">
        <f>IF((ISERROR((S46/$H46)*100)), "", IF(AND(NOT(ISERROR((S46/$H46)*100)),((S46/$H46)*100) &lt;&gt; 0), (S46/$H46)*100, ""))</f>
        <v/>
      </c>
      <c r="U46" s="33">
        <v>2</v>
      </c>
      <c r="V46" s="36">
        <f>IF((ISERROR((U46/$H46)*100)), "", IF(AND(NOT(ISERROR((U46/$H46)*100)),((U46/$H46)*100) &lt;&gt; 0), (U46/$H46)*100, ""))</f>
        <v>25</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33"/>
      <c r="AF46" s="36" t="str">
        <f t="shared" si="25"/>
        <v/>
      </c>
      <c r="AG46" s="33"/>
      <c r="AH46" s="36" t="str">
        <f>IF((ISERROR((AG46/$H46)*100)), "", IF(AND(NOT(ISERROR((AG46/$H46)*100)),((AG46/$H46)*100) &lt;&gt; 0), (AG46/$H46)*100, ""))</f>
        <v/>
      </c>
      <c r="AI46" s="33"/>
      <c r="AJ46" s="36" t="str">
        <f>IF((ISERROR((AI46/$H46)*100)), "", IF(AND(NOT(ISERROR((AI46/$H46)*100)),((AI46/$H46)*100) &lt;&gt; 0), (AI46/$H46)*100, ""))</f>
        <v/>
      </c>
      <c r="AK46" s="33"/>
      <c r="AL46" s="36" t="str">
        <f>IF((ISERROR((AK46/$H46)*100)), "", IF(AND(NOT(ISERROR((AK46/$H46)*100)),((AK46/$H46)*100) &lt;&gt; 0), (AK46/$H46)*100, ""))</f>
        <v/>
      </c>
      <c r="AM46" s="33"/>
      <c r="AN46" s="36" t="str">
        <f>IF((ISERROR((AM46/$H46)*100)), "", IF(AND(NOT(ISERROR((AM46/$H46)*100)),((AM46/$H46)*100) &lt;&gt; 0), (AM46/$H46)*100, ""))</f>
        <v/>
      </c>
      <c r="AO46" s="33"/>
      <c r="AP46" s="36" t="str">
        <f>IF((ISERROR((AO46/$H46)*100)), "", IF(AND(NOT(ISERROR((AO46/$H46)*100)),((AO46/$H46)*100) &lt;&gt; 0), (AO46/$H46)*100, ""))</f>
        <v/>
      </c>
      <c r="AQ46" s="33"/>
      <c r="AR46" s="36" t="str">
        <f t="shared" si="15"/>
        <v/>
      </c>
      <c r="AS46" s="33"/>
      <c r="AT46" s="36" t="str">
        <f>IF((ISERROR((AS46/$H46)*100)), "", IF(AND(NOT(ISERROR((AS46/$H46)*100)),((AS46/$H46)*100) &lt;&gt; 0), (AS46/$H46)*100, ""))</f>
        <v/>
      </c>
      <c r="AU46" s="33"/>
      <c r="AV46" s="36" t="str">
        <f>IF((ISERROR((AU46/$H46)*100)), "", IF(AND(NOT(ISERROR((AU46/$H46)*100)),((AU46/$H46)*100) &lt;&gt; 0), (AU46/$H46)*100, ""))</f>
        <v/>
      </c>
      <c r="AW46" s="76"/>
      <c r="AX46" s="36" t="str">
        <f t="shared" si="18"/>
        <v/>
      </c>
      <c r="AY46" s="76"/>
      <c r="AZ46" s="36" t="str">
        <f t="shared" si="19"/>
        <v/>
      </c>
      <c r="BA46" s="23" t="s">
        <v>412</v>
      </c>
    </row>
    <row r="47" spans="1:53" ht="20" customHeight="1" x14ac:dyDescent="0.2">
      <c r="A47" s="61"/>
      <c r="B47" s="82"/>
      <c r="C47" s="24" t="s">
        <v>85</v>
      </c>
      <c r="D47" s="23" t="s">
        <v>280</v>
      </c>
      <c r="E47" s="23" t="s">
        <v>281</v>
      </c>
      <c r="F47" s="24">
        <v>2001</v>
      </c>
      <c r="H47" s="89">
        <v>9</v>
      </c>
      <c r="I47" s="85"/>
      <c r="J47" s="86" t="s">
        <v>354</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c r="T47" s="36" t="str">
        <f>IF((ISERROR((S47/$H47)*100)), "", IF(AND(NOT(ISERROR((S47/$H47)*100)),((S47/$H47)*100) &lt;&gt; 0), (S47/$H47)*100, ""))</f>
        <v/>
      </c>
      <c r="U47" s="33"/>
      <c r="V47" s="36" t="str">
        <f>IF((ISERROR((U47/$H47)*100)), "", IF(AND(NOT(ISERROR((U47/$H47)*100)),((U47/$H47)*100) &lt;&gt; 0), (U47/$H47)*100, ""))</f>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33"/>
      <c r="AF47" s="36" t="str">
        <f t="shared" si="25"/>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c r="AR47" s="36" t="str">
        <f t="shared" si="15"/>
        <v/>
      </c>
      <c r="AS47" s="33"/>
      <c r="AT47" s="36" t="str">
        <f>IF((ISERROR((AS47/$H47)*100)), "", IF(AND(NOT(ISERROR((AS47/$H47)*100)),((AS47/$H47)*100) &lt;&gt; 0), (AS47/$H47)*100, ""))</f>
        <v/>
      </c>
      <c r="AU47" s="33"/>
      <c r="AV47" s="36" t="str">
        <f>IF((ISERROR((AU47/$H47)*100)), "", IF(AND(NOT(ISERROR((AU47/$H47)*100)),((AU47/$H47)*100) &lt;&gt; 0), (AU47/$H47)*100, ""))</f>
        <v/>
      </c>
      <c r="AW47" s="40"/>
      <c r="AX47" s="39" t="str">
        <f t="shared" si="18"/>
        <v/>
      </c>
      <c r="AY47" s="76"/>
      <c r="AZ47" s="36" t="str">
        <f t="shared" si="19"/>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v>10</v>
      </c>
      <c r="L48" s="36">
        <f>IF((ISERROR((K48/$H48)*100)), "", IF(AND(NOT(ISERROR((K48/$H48)*100)),((K48/$H48)*100) &lt;&gt; 0), (K48/$H48)*100, ""))</f>
        <v>14.285714285714285</v>
      </c>
      <c r="M48" s="33"/>
      <c r="N48" s="36" t="str">
        <f>IF((ISERROR((M48/$H48)*100)), "", IF(AND(NOT(ISERROR((M48/$H48)*100)),((M48/$H48)*100) &lt;&gt; 0), (M48/$H48)*100, ""))</f>
        <v/>
      </c>
      <c r="O48" s="33">
        <v>3</v>
      </c>
      <c r="P48" s="36">
        <f>IF((ISERROR((O48/$H48)*100)), "", IF(AND(NOT(ISERROR((O48/$H48)*100)),((O48/$H48)*100) &lt;&gt; 0), (O48/$H48)*100, ""))</f>
        <v>4.2857142857142856</v>
      </c>
      <c r="Q48" s="33">
        <v>1</v>
      </c>
      <c r="R48" s="36">
        <f>IF((ISERROR((Q48/$H48)*100)), "", IF(AND(NOT(ISERROR((Q48/$H48)*100)),((Q48/$H48)*100) &lt;&gt; 0), (Q48/$H48)*100, ""))</f>
        <v>1.4285714285714286</v>
      </c>
      <c r="S48" s="33"/>
      <c r="T48" s="36" t="str">
        <f>IF((ISERROR((S48/$H48)*100)), "", IF(AND(NOT(ISERROR((S48/$H48)*100)),((S48/$H48)*100) &lt;&gt; 0), (S48/$H48)*100, ""))</f>
        <v/>
      </c>
      <c r="U48" s="33">
        <v>9</v>
      </c>
      <c r="V48" s="36">
        <f>IF((ISERROR((U48/$H48)*100)), "", IF(AND(NOT(ISERROR((U48/$H48)*100)),((U48/$H48)*100) &lt;&gt; 0), (U48/$H48)*100, ""))</f>
        <v>12.857142857142856</v>
      </c>
      <c r="W48" s="33"/>
      <c r="X48" s="36" t="str">
        <f>IF((ISERROR((W48/$H48)*100)), "", IF(AND(NOT(ISERROR((W48/$H48)*100)),((W48/$H48)*100) &lt;&gt; 0), (W48/$H48)*100, ""))</f>
        <v/>
      </c>
      <c r="Y48" s="33">
        <v>8</v>
      </c>
      <c r="Z48" s="36">
        <f>IF((ISERROR((Y48/$H48)*100)), "", IF(AND(NOT(ISERROR((Y48/$H48)*100)),((Y48/$H48)*100) &lt;&gt; 0), (Y48/$H48)*100, ""))</f>
        <v>11.428571428571429</v>
      </c>
      <c r="AA48" s="33"/>
      <c r="AB48" s="36" t="str">
        <f>IF((ISERROR((AA48/$H48)*100)), "", IF(AND(NOT(ISERROR((AA48/$H48)*100)),((AA48/$H48)*100) &lt;&gt; 0), (AA48/$H48)*100, ""))</f>
        <v/>
      </c>
      <c r="AC48" s="33"/>
      <c r="AD48" s="36" t="str">
        <f>IF((ISERROR((AC48/$H48)*100)), "", IF(AND(NOT(ISERROR((AC48/$H48)*100)),((AC48/$H48)*100) &lt;&gt; 0), (AC48/$H48)*100, ""))</f>
        <v/>
      </c>
      <c r="AE48" s="33"/>
      <c r="AF48" s="36" t="str">
        <f t="shared" si="25"/>
        <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 t="shared" si="15"/>
        <v/>
      </c>
      <c r="AS48" s="33"/>
      <c r="AT48" s="36" t="str">
        <f>IF((ISERROR((AS48/$H48)*100)), "", IF(AND(NOT(ISERROR((AS48/$H48)*100)),((AS48/$H48)*100) &lt;&gt; 0), (AS48/$H48)*100, ""))</f>
        <v/>
      </c>
      <c r="AU48" s="33"/>
      <c r="AV48" s="36" t="str">
        <f>IF((ISERROR((AU48/$H48)*100)), "", IF(AND(NOT(ISERROR((AU48/$H48)*100)),((AU48/$H48)*100) &lt;&gt; 0), (AU48/$H48)*100, ""))</f>
        <v/>
      </c>
      <c r="AW48" s="76">
        <v>31</v>
      </c>
      <c r="AX48" s="36">
        <f t="shared" si="18"/>
        <v>44.285714285714285</v>
      </c>
      <c r="AY48" s="76">
        <v>1</v>
      </c>
      <c r="AZ48" s="36">
        <f t="shared" si="19"/>
        <v>1.4285714285714286</v>
      </c>
      <c r="BA48" s="23" t="s">
        <v>418</v>
      </c>
    </row>
    <row r="49" spans="1:53" ht="20" customHeight="1" x14ac:dyDescent="0.2">
      <c r="A49" s="61"/>
      <c r="B49" s="24"/>
      <c r="C49" s="50" t="s">
        <v>49</v>
      </c>
      <c r="D49" s="49" t="s">
        <v>65</v>
      </c>
      <c r="E49" s="49" t="s">
        <v>66</v>
      </c>
      <c r="F49" s="50">
        <v>1997</v>
      </c>
      <c r="G49" s="50"/>
      <c r="H49" s="89"/>
      <c r="I49" s="85"/>
      <c r="J49" s="86"/>
      <c r="K49" s="33"/>
      <c r="L49" s="36" t="str">
        <f t="shared" si="20"/>
        <v/>
      </c>
      <c r="M49" s="33"/>
      <c r="N49" s="36" t="str">
        <f t="shared" si="4"/>
        <v/>
      </c>
      <c r="O49" s="33"/>
      <c r="P49" s="36" t="str">
        <f t="shared" si="4"/>
        <v/>
      </c>
      <c r="Q49" s="33"/>
      <c r="R49" s="36" t="str">
        <f t="shared" si="5"/>
        <v/>
      </c>
      <c r="S49" s="33"/>
      <c r="T49" s="36" t="str">
        <f t="shared" si="6"/>
        <v/>
      </c>
      <c r="U49" s="33"/>
      <c r="V49" s="36" t="str">
        <f t="shared" si="7"/>
        <v/>
      </c>
      <c r="W49" s="33"/>
      <c r="X49" s="36" t="str">
        <f t="shared" si="8"/>
        <v/>
      </c>
      <c r="Y49" s="33"/>
      <c r="Z49" s="36" t="str">
        <f t="shared" si="9"/>
        <v/>
      </c>
      <c r="AA49" s="33"/>
      <c r="AB49" s="36" t="str">
        <f t="shared" si="10"/>
        <v/>
      </c>
      <c r="AC49" s="33"/>
      <c r="AD49" s="36" t="str">
        <f t="shared" si="11"/>
        <v/>
      </c>
      <c r="AE49" s="33"/>
      <c r="AF49" s="36" t="str">
        <f t="shared" si="12"/>
        <v/>
      </c>
      <c r="AG49" s="33"/>
      <c r="AH49" s="36" t="str">
        <f t="shared" si="12"/>
        <v/>
      </c>
      <c r="AI49" s="33"/>
      <c r="AJ49" s="36" t="str">
        <f t="shared" si="12"/>
        <v/>
      </c>
      <c r="AK49" s="33"/>
      <c r="AL49" s="36" t="str">
        <f t="shared" si="12"/>
        <v/>
      </c>
      <c r="AM49" s="33"/>
      <c r="AN49" s="36" t="str">
        <f t="shared" si="13"/>
        <v/>
      </c>
      <c r="AO49" s="33"/>
      <c r="AP49" s="36" t="str">
        <f t="shared" si="14"/>
        <v/>
      </c>
      <c r="AQ49" s="33"/>
      <c r="AR49" s="36" t="str">
        <f t="shared" si="15"/>
        <v/>
      </c>
      <c r="AS49" s="33"/>
      <c r="AT49" s="36" t="str">
        <f t="shared" si="16"/>
        <v/>
      </c>
      <c r="AU49" s="33"/>
      <c r="AV49" s="36" t="str">
        <f t="shared" si="17"/>
        <v/>
      </c>
      <c r="AW49" s="30"/>
      <c r="AX49" s="36" t="str">
        <f t="shared" si="18"/>
        <v/>
      </c>
      <c r="AY49" s="59"/>
      <c r="AZ49" s="36" t="str">
        <f t="shared" si="19"/>
        <v/>
      </c>
    </row>
    <row r="50" spans="1:53" ht="20" customHeight="1" x14ac:dyDescent="0.2">
      <c r="A50" s="61"/>
      <c r="B50" s="24"/>
      <c r="C50" s="50" t="s">
        <v>30</v>
      </c>
      <c r="D50" s="49" t="s">
        <v>67</v>
      </c>
      <c r="E50" s="49" t="s">
        <v>68</v>
      </c>
      <c r="F50" s="50">
        <v>2011</v>
      </c>
      <c r="G50" s="50">
        <v>54</v>
      </c>
      <c r="H50" s="89"/>
      <c r="I50" s="85"/>
      <c r="J50" s="86"/>
      <c r="K50" s="33"/>
      <c r="L50" s="36" t="str">
        <f t="shared" si="20"/>
        <v/>
      </c>
      <c r="M50" s="33"/>
      <c r="N50" s="36" t="str">
        <f t="shared" si="4"/>
        <v/>
      </c>
      <c r="O50" s="33"/>
      <c r="P50" s="36" t="str">
        <f t="shared" si="4"/>
        <v/>
      </c>
      <c r="Q50" s="33"/>
      <c r="R50" s="36" t="str">
        <f t="shared" si="5"/>
        <v/>
      </c>
      <c r="S50" s="33"/>
      <c r="T50" s="36" t="str">
        <f t="shared" si="6"/>
        <v/>
      </c>
      <c r="U50" s="33"/>
      <c r="V50" s="36" t="str">
        <f t="shared" si="7"/>
        <v/>
      </c>
      <c r="W50" s="33"/>
      <c r="X50" s="36" t="str">
        <f t="shared" si="8"/>
        <v/>
      </c>
      <c r="Y50" s="33"/>
      <c r="Z50" s="36" t="str">
        <f t="shared" si="9"/>
        <v/>
      </c>
      <c r="AA50" s="33"/>
      <c r="AB50" s="36" t="str">
        <f t="shared" si="10"/>
        <v/>
      </c>
      <c r="AC50" s="33"/>
      <c r="AD50" s="36" t="str">
        <f t="shared" si="11"/>
        <v/>
      </c>
      <c r="AE50" s="33"/>
      <c r="AF50" s="36" t="str">
        <f t="shared" si="12"/>
        <v/>
      </c>
      <c r="AG50" s="33"/>
      <c r="AH50" s="36" t="str">
        <f t="shared" si="12"/>
        <v/>
      </c>
      <c r="AI50" s="33"/>
      <c r="AJ50" s="36" t="str">
        <f t="shared" si="12"/>
        <v/>
      </c>
      <c r="AK50" s="33"/>
      <c r="AL50" s="36" t="str">
        <f t="shared" si="12"/>
        <v/>
      </c>
      <c r="AM50" s="33"/>
      <c r="AN50" s="36" t="str">
        <f t="shared" si="13"/>
        <v/>
      </c>
      <c r="AO50" s="33"/>
      <c r="AP50" s="36" t="str">
        <f t="shared" si="14"/>
        <v/>
      </c>
      <c r="AQ50" s="33"/>
      <c r="AR50" s="36" t="str">
        <f t="shared" si="15"/>
        <v/>
      </c>
      <c r="AS50" s="33"/>
      <c r="AT50" s="36" t="str">
        <f t="shared" si="16"/>
        <v/>
      </c>
      <c r="AU50" s="33"/>
      <c r="AV50" s="36" t="str">
        <f t="shared" si="17"/>
        <v/>
      </c>
      <c r="AW50" s="30"/>
      <c r="AX50" s="36" t="str">
        <f t="shared" si="18"/>
        <v/>
      </c>
      <c r="AY50" s="59"/>
      <c r="AZ50" s="36" t="str">
        <f t="shared" si="19"/>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IF((ISERROR((K51/$H51)*100)), "", IF(AND(NOT(ISERROR((K51/$H51)*100)),((K51/$H51)*100) &lt;&gt; 0), (K51/$H51)*100, ""))</f>
        <v/>
      </c>
      <c r="M51" s="33"/>
      <c r="N51" s="36" t="str">
        <f>IF((ISERROR((M51/$H51)*100)), "", IF(AND(NOT(ISERROR((M51/$H51)*100)),((M51/$H51)*100) &lt;&gt; 0), (M51/$H51)*100, ""))</f>
        <v/>
      </c>
      <c r="O51" s="33"/>
      <c r="P51" s="36" t="str">
        <f>IF((ISERROR((O51/$H51)*100)), "", IF(AND(NOT(ISERROR((O51/$H51)*100)),((O51/$H51)*100) &lt;&gt; 0), (O51/$H51)*100, ""))</f>
        <v/>
      </c>
      <c r="Q51" s="33"/>
      <c r="R51" s="36" t="str">
        <f>IF((ISERROR((Q51/$H51)*100)), "", IF(AND(NOT(ISERROR((Q51/$H51)*100)),((Q51/$H51)*100) &lt;&gt; 0), (Q51/$H51)*100, ""))</f>
        <v/>
      </c>
      <c r="S51" s="33"/>
      <c r="T51" s="36" t="str">
        <f>IF((ISERROR((S51/$H51)*100)), "", IF(AND(NOT(ISERROR((S51/$H51)*100)),((S51/$H51)*100) &lt;&gt; 0), (S51/$H51)*100, ""))</f>
        <v/>
      </c>
      <c r="U51" s="33"/>
      <c r="V51" s="36" t="str">
        <f>IF((ISERROR((U51/$H51)*100)), "", IF(AND(NOT(ISERROR((U51/$H51)*100)),((U51/$H51)*100) &lt;&gt; 0), (U51/$H51)*100, ""))</f>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33"/>
      <c r="AF51" s="36" t="str">
        <f t="shared" ref="AF51:AF52" si="26">IF((ISERROR((AE51/$H51)*100)), "", IF(AND(NOT(ISERROR((AE51/$H51)*100)),((AE51/$H51)*100) &lt;&gt; 0), (AE51/$H51)*100, ""))</f>
        <v/>
      </c>
      <c r="AG51" s="33"/>
      <c r="AH51" s="36" t="str">
        <f>IF((ISERROR((AG51/$H51)*100)), "", IF(AND(NOT(ISERROR((AG51/$H51)*100)),((AG51/$H51)*100) &lt;&gt; 0), (AG51/$H51)*100, ""))</f>
        <v/>
      </c>
      <c r="AI51" s="33"/>
      <c r="AJ51" s="36" t="str">
        <f>IF((ISERROR((AI51/$H51)*100)), "", IF(AND(NOT(ISERROR((AI51/$H51)*100)),((AI51/$H51)*100) &lt;&gt; 0), (AI51/$H51)*100, ""))</f>
        <v/>
      </c>
      <c r="AK51" s="33"/>
      <c r="AL51" s="36" t="str">
        <f>IF((ISERROR((AK51/$H51)*100)), "", IF(AND(NOT(ISERROR((AK51/$H51)*100)),((AK51/$H51)*100) &lt;&gt; 0), (AK51/$H51)*100, ""))</f>
        <v/>
      </c>
      <c r="AM51" s="33"/>
      <c r="AN51" s="36" t="str">
        <f>IF((ISERROR((AM51/$H51)*100)), "", IF(AND(NOT(ISERROR((AM51/$H51)*100)),((AM51/$H51)*100) &lt;&gt; 0), (AM51/$H51)*100, ""))</f>
        <v/>
      </c>
      <c r="AO51" s="33"/>
      <c r="AP51" s="36" t="str">
        <f>IF((ISERROR((AO51/$H51)*100)), "", IF(AND(NOT(ISERROR((AO51/$H51)*100)),((AO51/$H51)*100) &lt;&gt; 0), (AO51/$H51)*100, ""))</f>
        <v/>
      </c>
      <c r="AQ51" s="33"/>
      <c r="AR51" s="36" t="str">
        <f t="shared" si="15"/>
        <v/>
      </c>
      <c r="AS51" s="33"/>
      <c r="AT51" s="36" t="str">
        <f>IF((ISERROR((AS51/$H51)*100)), "", IF(AND(NOT(ISERROR((AS51/$H51)*100)),((AS51/$H51)*100) &lt;&gt; 0), (AS51/$H51)*100, ""))</f>
        <v/>
      </c>
      <c r="AU51" s="33"/>
      <c r="AV51" s="36" t="str">
        <f>IF((ISERROR((AU51/$H51)*100)), "", IF(AND(NOT(ISERROR((AU51/$H51)*100)),((AU51/$H51)*100) &lt;&gt; 0), (AU51/$H51)*100, ""))</f>
        <v/>
      </c>
      <c r="AW51" s="76">
        <v>13</v>
      </c>
      <c r="AX51" s="36">
        <f t="shared" si="18"/>
        <v>86.666666666666671</v>
      </c>
      <c r="AY51" s="76"/>
      <c r="AZ51" s="36" t="str">
        <f t="shared" si="19"/>
        <v/>
      </c>
      <c r="BA51" s="23" t="s">
        <v>419</v>
      </c>
    </row>
    <row r="52" spans="1:53" ht="20" customHeight="1" x14ac:dyDescent="0.2">
      <c r="A52" s="60"/>
      <c r="B52" s="83"/>
      <c r="C52" s="50" t="s">
        <v>85</v>
      </c>
      <c r="D52" s="49" t="s">
        <v>71</v>
      </c>
      <c r="E52" s="49" t="s">
        <v>70</v>
      </c>
      <c r="F52" s="50">
        <v>2004</v>
      </c>
      <c r="G52" s="50">
        <v>45</v>
      </c>
      <c r="H52" s="89">
        <v>15</v>
      </c>
      <c r="I52" s="85" t="s">
        <v>185</v>
      </c>
      <c r="J52" s="86" t="s">
        <v>194</v>
      </c>
      <c r="K52" s="33"/>
      <c r="L52" s="36" t="str">
        <f>IF((ISERROR((K52/$H52)*100)), "", IF(AND(NOT(ISERROR((K52/$H52)*100)),((K52/$H52)*100) &lt;&gt; 0), (K52/$H52)*100, ""))</f>
        <v/>
      </c>
      <c r="M52" s="33"/>
      <c r="N52" s="36" t="str">
        <f>IF((ISERROR((M52/$H52)*100)), "", IF(AND(NOT(ISERROR((M52/$H52)*100)),((M52/$H52)*100) &lt;&gt; 0), (M52/$H52)*100, ""))</f>
        <v/>
      </c>
      <c r="O52" s="33"/>
      <c r="P52" s="36" t="str">
        <f>IF((ISERROR((O52/$H52)*100)), "", IF(AND(NOT(ISERROR((O52/$H52)*100)),((O52/$H52)*100) &lt;&gt; 0), (O52/$H52)*100, ""))</f>
        <v/>
      </c>
      <c r="Q52" s="33"/>
      <c r="R52" s="36" t="str">
        <f>IF((ISERROR((Q52/$H52)*100)), "", IF(AND(NOT(ISERROR((Q52/$H52)*100)),((Q52/$H52)*100) &lt;&gt; 0), (Q52/$H52)*100, ""))</f>
        <v/>
      </c>
      <c r="S52" s="33"/>
      <c r="T52" s="36" t="str">
        <f>IF((ISERROR((S52/$H52)*100)), "", IF(AND(NOT(ISERROR((S52/$H52)*100)),((S52/$H52)*100) &lt;&gt; 0), (S52/$H52)*100, ""))</f>
        <v/>
      </c>
      <c r="U52" s="33"/>
      <c r="V52" s="36" t="str">
        <f>IF((ISERROR((U52/$H52)*100)), "", IF(AND(NOT(ISERROR((U52/$H52)*100)),((U52/$H52)*100) &lt;&gt; 0), (U52/$H52)*100, ""))</f>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33"/>
      <c r="AF52" s="36" t="str">
        <f t="shared" si="26"/>
        <v/>
      </c>
      <c r="AG52" s="33"/>
      <c r="AH52" s="36" t="str">
        <f>IF((ISERROR((AG52/$H52)*100)), "", IF(AND(NOT(ISERROR((AG52/$H52)*100)),((AG52/$H52)*100) &lt;&gt; 0), (AG52/$H52)*100, ""))</f>
        <v/>
      </c>
      <c r="AI52" s="33"/>
      <c r="AJ52" s="36" t="str">
        <f>IF((ISERROR((AI52/$H52)*100)), "", IF(AND(NOT(ISERROR((AI52/$H52)*100)),((AI52/$H52)*100) &lt;&gt; 0), (AI52/$H52)*100, ""))</f>
        <v/>
      </c>
      <c r="AK52" s="33"/>
      <c r="AL52" s="36" t="str">
        <f>IF((ISERROR((AK52/$H52)*100)), "", IF(AND(NOT(ISERROR((AK52/$H52)*100)),((AK52/$H52)*100) &lt;&gt; 0), (AK52/$H52)*100, ""))</f>
        <v/>
      </c>
      <c r="AM52" s="33"/>
      <c r="AN52" s="36" t="str">
        <f>IF((ISERROR((AM52/$H52)*100)), "", IF(AND(NOT(ISERROR((AM52/$H52)*100)),((AM52/$H52)*100) &lt;&gt; 0), (AM52/$H52)*100, ""))</f>
        <v/>
      </c>
      <c r="AO52" s="33"/>
      <c r="AP52" s="36" t="str">
        <f>IF((ISERROR((AO52/$H52)*100)), "", IF(AND(NOT(ISERROR((AO52/$H52)*100)),((AO52/$H52)*100) &lt;&gt; 0), (AO52/$H52)*100, ""))</f>
        <v/>
      </c>
      <c r="AQ52" s="33"/>
      <c r="AR52" s="36" t="str">
        <f t="shared" si="15"/>
        <v/>
      </c>
      <c r="AS52" s="33"/>
      <c r="AT52" s="36" t="str">
        <f>IF((ISERROR((AS52/$H52)*100)), "", IF(AND(NOT(ISERROR((AS52/$H52)*100)),((AS52/$H52)*100) &lt;&gt; 0), (AS52/$H52)*100, ""))</f>
        <v/>
      </c>
      <c r="AU52" s="33"/>
      <c r="AV52" s="36" t="str">
        <f>IF((ISERROR((AU52/$H52)*100)), "", IF(AND(NOT(ISERROR((AU52/$H52)*100)),((AU52/$H52)*100) &lt;&gt; 0), (AU52/$H52)*100, ""))</f>
        <v/>
      </c>
      <c r="AW52" s="76"/>
      <c r="AX52" s="36" t="str">
        <f t="shared" si="18"/>
        <v/>
      </c>
      <c r="AY52" s="76"/>
      <c r="AZ52" s="36" t="str">
        <f t="shared" si="19"/>
        <v/>
      </c>
      <c r="BA52" s="23" t="s">
        <v>420</v>
      </c>
    </row>
    <row r="53" spans="1:53" ht="20" customHeight="1" x14ac:dyDescent="0.2">
      <c r="A53" s="60"/>
      <c r="B53" s="82"/>
      <c r="D53" s="23" t="s">
        <v>282</v>
      </c>
      <c r="E53" s="23" t="s">
        <v>285</v>
      </c>
      <c r="F53" s="24">
        <v>2008</v>
      </c>
      <c r="H53" s="89"/>
      <c r="I53" s="85"/>
      <c r="J53" s="86" t="s">
        <v>356</v>
      </c>
      <c r="K53" s="33"/>
      <c r="L53" s="36" t="str">
        <f t="shared" si="20"/>
        <v/>
      </c>
      <c r="M53" s="33"/>
      <c r="N53" s="36" t="str">
        <f t="shared" si="4"/>
        <v/>
      </c>
      <c r="O53" s="33"/>
      <c r="P53" s="36" t="str">
        <f t="shared" si="4"/>
        <v/>
      </c>
      <c r="Q53" s="33"/>
      <c r="R53" s="36" t="str">
        <f t="shared" si="5"/>
        <v/>
      </c>
      <c r="S53" s="33"/>
      <c r="T53" s="36" t="str">
        <f t="shared" si="6"/>
        <v/>
      </c>
      <c r="U53" s="33">
        <v>2</v>
      </c>
      <c r="V53" s="36" t="str">
        <f t="shared" si="7"/>
        <v/>
      </c>
      <c r="W53" s="33"/>
      <c r="X53" s="36" t="str">
        <f t="shared" si="8"/>
        <v/>
      </c>
      <c r="Y53" s="33"/>
      <c r="Z53" s="36" t="str">
        <f t="shared" si="9"/>
        <v/>
      </c>
      <c r="AA53" s="33"/>
      <c r="AB53" s="36" t="str">
        <f t="shared" si="10"/>
        <v/>
      </c>
      <c r="AC53" s="33"/>
      <c r="AD53" s="36" t="str">
        <f t="shared" si="11"/>
        <v/>
      </c>
      <c r="AE53" s="33"/>
      <c r="AF53" s="36" t="str">
        <f t="shared" si="12"/>
        <v/>
      </c>
      <c r="AG53" s="33"/>
      <c r="AH53" s="36" t="str">
        <f t="shared" si="12"/>
        <v/>
      </c>
      <c r="AI53" s="33"/>
      <c r="AJ53" s="36" t="str">
        <f t="shared" si="12"/>
        <v/>
      </c>
      <c r="AK53" s="33"/>
      <c r="AL53" s="36" t="str">
        <f t="shared" si="12"/>
        <v/>
      </c>
      <c r="AM53" s="33"/>
      <c r="AN53" s="36" t="str">
        <f t="shared" si="13"/>
        <v/>
      </c>
      <c r="AO53" s="33"/>
      <c r="AP53" s="36" t="str">
        <f t="shared" si="14"/>
        <v/>
      </c>
      <c r="AQ53" s="33"/>
      <c r="AR53" s="36" t="str">
        <f t="shared" si="15"/>
        <v/>
      </c>
      <c r="AS53" s="33"/>
      <c r="AT53" s="36" t="str">
        <f t="shared" si="16"/>
        <v/>
      </c>
      <c r="AU53" s="33"/>
      <c r="AV53" s="36" t="str">
        <f t="shared" si="17"/>
        <v/>
      </c>
      <c r="AW53" s="31"/>
      <c r="AX53" s="36" t="str">
        <f t="shared" si="18"/>
        <v/>
      </c>
      <c r="AY53" s="59"/>
      <c r="AZ53" s="36" t="str">
        <f t="shared" si="19"/>
        <v/>
      </c>
    </row>
    <row r="54" spans="1:53" ht="20" customHeight="1" x14ac:dyDescent="0.2">
      <c r="A54" s="60"/>
      <c r="B54" s="83"/>
      <c r="C54" s="24" t="s">
        <v>85</v>
      </c>
      <c r="D54" s="23" t="s">
        <v>283</v>
      </c>
      <c r="E54" s="23" t="s">
        <v>284</v>
      </c>
      <c r="F54" s="24">
        <v>2013</v>
      </c>
      <c r="H54" s="89">
        <v>23</v>
      </c>
      <c r="I54" s="85"/>
      <c r="J54" s="86"/>
      <c r="K54" s="33"/>
      <c r="L54" s="36" t="str">
        <f>IF((ISERROR((K54/$H54)*100)), "", IF(AND(NOT(ISERROR((K54/$H54)*100)),((K54/$H54)*100) &lt;&gt; 0), (K54/$H54)*100, ""))</f>
        <v/>
      </c>
      <c r="M54" s="33"/>
      <c r="N54" s="36" t="str">
        <f>IF((ISERROR((M54/$H54)*100)), "", IF(AND(NOT(ISERROR((M54/$H54)*100)),((M54/$H54)*100) &lt;&gt; 0), (M54/$H54)*100, ""))</f>
        <v/>
      </c>
      <c r="O54" s="33"/>
      <c r="P54" s="36" t="str">
        <f>IF((ISERROR((O54/$H54)*100)), "", IF(AND(NOT(ISERROR((O54/$H54)*100)),((O54/$H54)*100) &lt;&gt; 0), (O54/$H54)*100, ""))</f>
        <v/>
      </c>
      <c r="Q54" s="33"/>
      <c r="R54" s="36" t="str">
        <f>IF((ISERROR((Q54/$H54)*100)), "", IF(AND(NOT(ISERROR((Q54/$H54)*100)),((Q54/$H54)*100) &lt;&gt; 0), (Q54/$H54)*100, ""))</f>
        <v/>
      </c>
      <c r="S54" s="33"/>
      <c r="T54" s="36" t="str">
        <f>IF((ISERROR((S54/$H54)*100)), "", IF(AND(NOT(ISERROR((S54/$H54)*100)),((S54/$H54)*100) &lt;&gt; 0), (S54/$H54)*100, ""))</f>
        <v/>
      </c>
      <c r="U54" s="33"/>
      <c r="V54" s="36" t="str">
        <f>IF((ISERROR((U54/$H54)*100)), "", IF(AND(NOT(ISERROR((U54/$H54)*100)),((U54/$H54)*100) &lt;&gt; 0), (U54/$H54)*100, ""))</f>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33"/>
      <c r="AF54" s="36" t="str">
        <f t="shared" ref="AF54:AF56" si="27">IF((ISERROR((AE54/$H54)*100)), "", IF(AND(NOT(ISERROR((AE54/$H54)*100)),((AE54/$H54)*100) &lt;&gt; 0), (AE54/$H54)*100, ""))</f>
        <v/>
      </c>
      <c r="AG54" s="33"/>
      <c r="AH54" s="36" t="str">
        <f>IF((ISERROR((AG54/$H54)*100)), "", IF(AND(NOT(ISERROR((AG54/$H54)*100)),((AG54/$H54)*100) &lt;&gt; 0), (AG54/$H54)*100, ""))</f>
        <v/>
      </c>
      <c r="AI54" s="33"/>
      <c r="AJ54" s="36" t="str">
        <f>IF((ISERROR((AI54/$H54)*100)), "", IF(AND(NOT(ISERROR((AI54/$H54)*100)),((AI54/$H54)*100) &lt;&gt; 0), (AI54/$H54)*100, ""))</f>
        <v/>
      </c>
      <c r="AK54" s="33"/>
      <c r="AL54" s="36" t="str">
        <f>IF((ISERROR((AK54/$H54)*100)), "", IF(AND(NOT(ISERROR((AK54/$H54)*100)),((AK54/$H54)*100) &lt;&gt; 0), (AK54/$H54)*100, ""))</f>
        <v/>
      </c>
      <c r="AM54" s="33"/>
      <c r="AN54" s="36" t="str">
        <f>IF((ISERROR((AM54/$H54)*100)), "", IF(AND(NOT(ISERROR((AM54/$H54)*100)),((AM54/$H54)*100) &lt;&gt; 0), (AM54/$H54)*100, ""))</f>
        <v/>
      </c>
      <c r="AO54" s="33"/>
      <c r="AP54" s="36" t="str">
        <f>IF((ISERROR((AO54/$H54)*100)), "", IF(AND(NOT(ISERROR((AO54/$H54)*100)),((AO54/$H54)*100) &lt;&gt; 0), (AO54/$H54)*100, ""))</f>
        <v/>
      </c>
      <c r="AQ54" s="33"/>
      <c r="AR54" s="36" t="str">
        <f t="shared" si="15"/>
        <v/>
      </c>
      <c r="AS54" s="33"/>
      <c r="AT54" s="36" t="str">
        <f>IF((ISERROR((AS54/$H54)*100)), "", IF(AND(NOT(ISERROR((AS54/$H54)*100)),((AS54/$H54)*100) &lt;&gt; 0), (AS54/$H54)*100, ""))</f>
        <v/>
      </c>
      <c r="AU54" s="33"/>
      <c r="AV54" s="36" t="str">
        <f>IF((ISERROR((AU54/$H54)*100)), "", IF(AND(NOT(ISERROR((AU54/$H54)*100)),((AU54/$H54)*100) &lt;&gt; 0), (AU54/$H54)*100, ""))</f>
        <v/>
      </c>
      <c r="AW54" s="76"/>
      <c r="AX54" s="36" t="str">
        <f t="shared" si="18"/>
        <v/>
      </c>
      <c r="AY54" s="76"/>
      <c r="AZ54" s="36" t="str">
        <f t="shared" si="19"/>
        <v/>
      </c>
      <c r="BA54" s="23" t="s">
        <v>421</v>
      </c>
    </row>
    <row r="55" spans="1:53" ht="20" customHeight="1" x14ac:dyDescent="0.2">
      <c r="A55" s="61"/>
      <c r="B55" s="24"/>
      <c r="C55" s="50" t="s">
        <v>85</v>
      </c>
      <c r="D55" s="49" t="s">
        <v>357</v>
      </c>
      <c r="E55" s="49" t="s">
        <v>72</v>
      </c>
      <c r="F55" s="50">
        <v>2014</v>
      </c>
      <c r="G55" s="50">
        <v>23</v>
      </c>
      <c r="H55" s="89">
        <v>28</v>
      </c>
      <c r="I55" s="85" t="s">
        <v>186</v>
      </c>
      <c r="J55" s="86" t="s">
        <v>195</v>
      </c>
      <c r="K55" s="33"/>
      <c r="L55" s="36" t="str">
        <f>IF((ISERROR((K55/$H55)*100)), "", IF(AND(NOT(ISERROR((K55/$H55)*100)),((K55/$H55)*100) &lt;&gt; 0), (K55/$H55)*100, ""))</f>
        <v/>
      </c>
      <c r="M55" s="33"/>
      <c r="N55" s="36" t="str">
        <f>IF((ISERROR((M55/$H55)*100)), "", IF(AND(NOT(ISERROR((M55/$H55)*100)),((M55/$H55)*100) &lt;&gt; 0), (M55/$H55)*100, ""))</f>
        <v/>
      </c>
      <c r="O55" s="33"/>
      <c r="P55" s="36" t="str">
        <f>IF((ISERROR((O55/$H55)*100)), "", IF(AND(NOT(ISERROR((O55/$H55)*100)),((O55/$H55)*100) &lt;&gt; 0), (O55/$H55)*100, ""))</f>
        <v/>
      </c>
      <c r="Q55" s="33"/>
      <c r="R55" s="36" t="str">
        <f>IF((ISERROR((Q55/$H55)*100)), "", IF(AND(NOT(ISERROR((Q55/$H55)*100)),((Q55/$H55)*100) &lt;&gt; 0), (Q55/$H55)*100, ""))</f>
        <v/>
      </c>
      <c r="S55" s="33"/>
      <c r="T55" s="36" t="str">
        <f>IF((ISERROR((S55/$H55)*100)), "", IF(AND(NOT(ISERROR((S55/$H55)*100)),((S55/$H55)*100) &lt;&gt; 0), (S55/$H55)*100, ""))</f>
        <v/>
      </c>
      <c r="U55" s="33"/>
      <c r="V55" s="36" t="str">
        <f>IF((ISERROR((U55/$H55)*100)), "", IF(AND(NOT(ISERROR((U55/$H55)*100)),((U55/$H55)*100) &lt;&gt; 0), (U55/$H55)*100, ""))</f>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33"/>
      <c r="AF55" s="36" t="str">
        <f t="shared" si="27"/>
        <v/>
      </c>
      <c r="AG55" s="33"/>
      <c r="AH55" s="36" t="str">
        <f>IF((ISERROR((AG55/$H55)*100)), "", IF(AND(NOT(ISERROR((AG55/$H55)*100)),((AG55/$H55)*100) &lt;&gt; 0), (AG55/$H55)*100, ""))</f>
        <v/>
      </c>
      <c r="AI55" s="33"/>
      <c r="AJ55" s="36" t="str">
        <f>IF((ISERROR((AI55/$H55)*100)), "", IF(AND(NOT(ISERROR((AI55/$H55)*100)),((AI55/$H55)*100) &lt;&gt; 0), (AI55/$H55)*100, ""))</f>
        <v/>
      </c>
      <c r="AK55" s="33"/>
      <c r="AL55" s="36" t="str">
        <f>IF((ISERROR((AK55/$H55)*100)), "", IF(AND(NOT(ISERROR((AK55/$H55)*100)),((AK55/$H55)*100) &lt;&gt; 0), (AK55/$H55)*100, ""))</f>
        <v/>
      </c>
      <c r="AM55" s="33"/>
      <c r="AN55" s="36" t="str">
        <f>IF((ISERROR((AM55/$H55)*100)), "", IF(AND(NOT(ISERROR((AM55/$H55)*100)),((AM55/$H55)*100) &lt;&gt; 0), (AM55/$H55)*100, ""))</f>
        <v/>
      </c>
      <c r="AO55" s="33"/>
      <c r="AP55" s="36" t="str">
        <f>IF((ISERROR((AO55/$H55)*100)), "", IF(AND(NOT(ISERROR((AO55/$H55)*100)),((AO55/$H55)*100) &lt;&gt; 0), (AO55/$H55)*100, ""))</f>
        <v/>
      </c>
      <c r="AQ55" s="33"/>
      <c r="AR55" s="36" t="str">
        <f t="shared" si="15"/>
        <v/>
      </c>
      <c r="AS55" s="33"/>
      <c r="AT55" s="36" t="str">
        <f>IF((ISERROR((AS55/$H55)*100)), "", IF(AND(NOT(ISERROR((AS55/$H55)*100)),((AS55/$H55)*100) &lt;&gt; 0), (AS55/$H55)*100, ""))</f>
        <v/>
      </c>
      <c r="AU55" s="33"/>
      <c r="AV55" s="36" t="str">
        <f>IF((ISERROR((AU55/$H55)*100)), "", IF(AND(NOT(ISERROR((AU55/$H55)*100)),((AU55/$H55)*100) &lt;&gt; 0), (AU55/$H55)*100, ""))</f>
        <v/>
      </c>
      <c r="AW55" s="76"/>
      <c r="AX55" s="36" t="str">
        <f t="shared" si="18"/>
        <v/>
      </c>
      <c r="AY55" s="76"/>
      <c r="AZ55" s="36" t="str">
        <f t="shared" si="19"/>
        <v/>
      </c>
      <c r="BA55" s="23" t="s">
        <v>422</v>
      </c>
    </row>
    <row r="56" spans="1:53" ht="20" customHeight="1" x14ac:dyDescent="0.2">
      <c r="A56" s="60"/>
      <c r="B56" s="82"/>
      <c r="C56" s="24" t="s">
        <v>85</v>
      </c>
      <c r="D56" s="23" t="s">
        <v>286</v>
      </c>
      <c r="E56" s="23" t="s">
        <v>287</v>
      </c>
      <c r="F56" s="24">
        <v>2014</v>
      </c>
      <c r="H56" s="89">
        <v>28</v>
      </c>
      <c r="I56" s="85" t="s">
        <v>186</v>
      </c>
      <c r="J56" s="86" t="s">
        <v>195</v>
      </c>
      <c r="K56" s="33">
        <v>3</v>
      </c>
      <c r="L56" s="36">
        <f>IF((ISERROR((K56/$H56)*100)), "", IF(AND(NOT(ISERROR((K56/$H56)*100)),((K56/$H56)*100) &lt;&gt; 0), (K56/$H56)*100, ""))</f>
        <v>10.714285714285714</v>
      </c>
      <c r="M56" s="33"/>
      <c r="N56" s="36" t="str">
        <f>IF((ISERROR((M56/$H56)*100)), "", IF(AND(NOT(ISERROR((M56/$H56)*100)),((M56/$H56)*100) &lt;&gt; 0), (M56/$H56)*100, ""))</f>
        <v/>
      </c>
      <c r="O56" s="33"/>
      <c r="P56" s="36" t="str">
        <f>IF((ISERROR((O56/$H56)*100)), "", IF(AND(NOT(ISERROR((O56/$H56)*100)),((O56/$H56)*100) &lt;&gt; 0), (O56/$H56)*100, ""))</f>
        <v/>
      </c>
      <c r="Q56" s="33">
        <v>4</v>
      </c>
      <c r="R56" s="36">
        <f>IF((ISERROR((Q56/$H56)*100)), "", IF(AND(NOT(ISERROR((Q56/$H56)*100)),((Q56/$H56)*100) &lt;&gt; 0), (Q56/$H56)*100, ""))</f>
        <v>14.285714285714285</v>
      </c>
      <c r="S56" s="33"/>
      <c r="T56" s="36" t="str">
        <f>IF((ISERROR((S56/$H56)*100)), "", IF(AND(NOT(ISERROR((S56/$H56)*100)),((S56/$H56)*100) &lt;&gt; 0), (S56/$H56)*100, ""))</f>
        <v/>
      </c>
      <c r="U56" s="33"/>
      <c r="V56" s="36" t="str">
        <f>IF((ISERROR((U56/$H56)*100)), "", IF(AND(NOT(ISERROR((U56/$H56)*100)),((U56/$H56)*100) &lt;&gt; 0), (U56/$H56)*100, ""))</f>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33"/>
      <c r="AF56" s="36" t="str">
        <f t="shared" si="27"/>
        <v/>
      </c>
      <c r="AG56" s="33"/>
      <c r="AH56" s="36" t="str">
        <f>IF((ISERROR((AG56/$H56)*100)), "", IF(AND(NOT(ISERROR((AG56/$H56)*100)),((AG56/$H56)*100) &lt;&gt; 0), (AG56/$H56)*100, ""))</f>
        <v/>
      </c>
      <c r="AI56" s="33"/>
      <c r="AJ56" s="36" t="str">
        <f>IF((ISERROR((AI56/$H56)*100)), "", IF(AND(NOT(ISERROR((AI56/$H56)*100)),((AI56/$H56)*100) &lt;&gt; 0), (AI56/$H56)*100, ""))</f>
        <v/>
      </c>
      <c r="AK56" s="33"/>
      <c r="AL56" s="36" t="str">
        <f>IF((ISERROR((AK56/$H56)*100)), "", IF(AND(NOT(ISERROR((AK56/$H56)*100)),((AK56/$H56)*100) &lt;&gt; 0), (AK56/$H56)*100, ""))</f>
        <v/>
      </c>
      <c r="AM56" s="33"/>
      <c r="AN56" s="36" t="str">
        <f>IF((ISERROR((AM56/$H56)*100)), "", IF(AND(NOT(ISERROR((AM56/$H56)*100)),((AM56/$H56)*100) &lt;&gt; 0), (AM56/$H56)*100, ""))</f>
        <v/>
      </c>
      <c r="AO56" s="33"/>
      <c r="AP56" s="36" t="str">
        <f>IF((ISERROR((AO56/$H56)*100)), "", IF(AND(NOT(ISERROR((AO56/$H56)*100)),((AO56/$H56)*100) &lt;&gt; 0), (AO56/$H56)*100, ""))</f>
        <v/>
      </c>
      <c r="AQ56" s="33"/>
      <c r="AR56" s="36" t="str">
        <f t="shared" si="15"/>
        <v/>
      </c>
      <c r="AS56" s="33"/>
      <c r="AT56" s="36" t="str">
        <f>IF((ISERROR((AS56/$H56)*100)), "", IF(AND(NOT(ISERROR((AS56/$H56)*100)),((AS56/$H56)*100) &lt;&gt; 0), (AS56/$H56)*100, ""))</f>
        <v/>
      </c>
      <c r="AU56" s="33"/>
      <c r="AV56" s="36" t="str">
        <f>IF((ISERROR((AU56/$H56)*100)), "", IF(AND(NOT(ISERROR((AU56/$H56)*100)),((AU56/$H56)*100) &lt;&gt; 0), (AU56/$H56)*100, ""))</f>
        <v/>
      </c>
      <c r="AW56" s="76">
        <v>3</v>
      </c>
      <c r="AX56" s="36">
        <f t="shared" si="18"/>
        <v>10.714285714285714</v>
      </c>
      <c r="AY56" s="76">
        <v>5</v>
      </c>
      <c r="AZ56" s="36">
        <f t="shared" si="19"/>
        <v>17.857142857142858</v>
      </c>
      <c r="BA56" s="23" t="s">
        <v>358</v>
      </c>
    </row>
    <row r="57" spans="1:53" ht="20" customHeight="1" x14ac:dyDescent="0.2">
      <c r="A57" s="60"/>
      <c r="B57" s="24"/>
      <c r="C57" s="50" t="s">
        <v>35</v>
      </c>
      <c r="D57" s="49" t="s">
        <v>73</v>
      </c>
      <c r="E57" s="49" t="s">
        <v>74</v>
      </c>
      <c r="F57" s="50">
        <v>2015</v>
      </c>
      <c r="G57" s="50">
        <v>6</v>
      </c>
      <c r="H57" s="89"/>
      <c r="I57" s="85"/>
      <c r="J57" s="86"/>
      <c r="K57" s="33"/>
      <c r="L57" s="36" t="str">
        <f t="shared" si="20"/>
        <v/>
      </c>
      <c r="M57" s="33"/>
      <c r="N57" s="36" t="str">
        <f t="shared" si="4"/>
        <v/>
      </c>
      <c r="O57" s="33"/>
      <c r="P57" s="36" t="str">
        <f t="shared" si="4"/>
        <v/>
      </c>
      <c r="Q57" s="33"/>
      <c r="R57" s="36" t="str">
        <f t="shared" si="5"/>
        <v/>
      </c>
      <c r="S57" s="33"/>
      <c r="T57" s="36" t="str">
        <f t="shared" si="6"/>
        <v/>
      </c>
      <c r="U57" s="33"/>
      <c r="V57" s="36" t="str">
        <f t="shared" si="7"/>
        <v/>
      </c>
      <c r="W57" s="33"/>
      <c r="X57" s="36" t="str">
        <f t="shared" si="8"/>
        <v/>
      </c>
      <c r="Y57" s="33"/>
      <c r="Z57" s="36" t="str">
        <f t="shared" si="9"/>
        <v/>
      </c>
      <c r="AA57" s="33"/>
      <c r="AB57" s="36" t="str">
        <f t="shared" si="10"/>
        <v/>
      </c>
      <c r="AC57" s="33"/>
      <c r="AD57" s="36" t="str">
        <f t="shared" si="11"/>
        <v/>
      </c>
      <c r="AE57" s="33"/>
      <c r="AF57" s="36" t="str">
        <f t="shared" si="12"/>
        <v/>
      </c>
      <c r="AG57" s="33"/>
      <c r="AH57" s="36" t="str">
        <f t="shared" si="12"/>
        <v/>
      </c>
      <c r="AI57" s="33"/>
      <c r="AJ57" s="36" t="str">
        <f t="shared" si="12"/>
        <v/>
      </c>
      <c r="AK57" s="33"/>
      <c r="AL57" s="36" t="str">
        <f t="shared" si="12"/>
        <v/>
      </c>
      <c r="AM57" s="33"/>
      <c r="AN57" s="36" t="str">
        <f t="shared" si="13"/>
        <v/>
      </c>
      <c r="AO57" s="33"/>
      <c r="AP57" s="36" t="str">
        <f t="shared" si="14"/>
        <v/>
      </c>
      <c r="AQ57" s="33"/>
      <c r="AR57" s="36" t="str">
        <f t="shared" si="15"/>
        <v/>
      </c>
      <c r="AS57" s="33"/>
      <c r="AT57" s="36" t="str">
        <f t="shared" si="16"/>
        <v/>
      </c>
      <c r="AU57" s="33"/>
      <c r="AV57" s="36" t="str">
        <f t="shared" si="17"/>
        <v/>
      </c>
      <c r="AW57" s="30"/>
      <c r="AX57" s="36" t="str">
        <f t="shared" si="18"/>
        <v/>
      </c>
      <c r="AY57" s="59"/>
      <c r="AZ57" s="36" t="str">
        <f t="shared" si="19"/>
        <v/>
      </c>
    </row>
    <row r="58" spans="1:53" ht="20" customHeight="1" x14ac:dyDescent="0.2">
      <c r="A58" s="60"/>
      <c r="B58" s="24"/>
      <c r="C58" s="50" t="s">
        <v>30</v>
      </c>
      <c r="D58" s="49" t="s">
        <v>75</v>
      </c>
      <c r="E58" s="49" t="s">
        <v>76</v>
      </c>
      <c r="F58" s="50">
        <v>2002</v>
      </c>
      <c r="G58" s="50">
        <v>434</v>
      </c>
      <c r="H58" s="89"/>
      <c r="I58" s="85" t="s">
        <v>187</v>
      </c>
      <c r="J58" s="86"/>
      <c r="K58" s="33"/>
      <c r="L58" s="36" t="str">
        <f t="shared" si="20"/>
        <v/>
      </c>
      <c r="M58" s="33"/>
      <c r="N58" s="36" t="str">
        <f t="shared" si="4"/>
        <v/>
      </c>
      <c r="O58" s="33"/>
      <c r="P58" s="36" t="str">
        <f t="shared" si="4"/>
        <v/>
      </c>
      <c r="Q58" s="33"/>
      <c r="R58" s="36" t="str">
        <f t="shared" si="5"/>
        <v/>
      </c>
      <c r="S58" s="33"/>
      <c r="T58" s="36" t="str">
        <f t="shared" si="6"/>
        <v/>
      </c>
      <c r="U58" s="38"/>
      <c r="V58" s="39" t="str">
        <f t="shared" si="7"/>
        <v/>
      </c>
      <c r="W58" s="33"/>
      <c r="X58" s="36" t="str">
        <f t="shared" si="8"/>
        <v/>
      </c>
      <c r="Y58" s="33"/>
      <c r="Z58" s="36" t="str">
        <f t="shared" si="9"/>
        <v/>
      </c>
      <c r="AA58" s="33"/>
      <c r="AB58" s="36" t="str">
        <f t="shared" si="10"/>
        <v/>
      </c>
      <c r="AC58" s="33"/>
      <c r="AD58" s="36" t="str">
        <f t="shared" si="11"/>
        <v/>
      </c>
      <c r="AE58" s="33"/>
      <c r="AF58" s="36" t="str">
        <f t="shared" si="12"/>
        <v/>
      </c>
      <c r="AG58" s="33"/>
      <c r="AH58" s="36" t="str">
        <f t="shared" si="12"/>
        <v/>
      </c>
      <c r="AI58" s="33"/>
      <c r="AJ58" s="36" t="str">
        <f t="shared" si="12"/>
        <v/>
      </c>
      <c r="AK58" s="33"/>
      <c r="AL58" s="36" t="str">
        <f t="shared" si="12"/>
        <v/>
      </c>
      <c r="AM58" s="33"/>
      <c r="AN58" s="36" t="str">
        <f t="shared" si="13"/>
        <v/>
      </c>
      <c r="AO58" s="33"/>
      <c r="AP58" s="36" t="str">
        <f t="shared" si="14"/>
        <v/>
      </c>
      <c r="AQ58" s="33"/>
      <c r="AR58" s="36" t="str">
        <f t="shared" si="15"/>
        <v/>
      </c>
      <c r="AS58" s="33"/>
      <c r="AT58" s="36" t="str">
        <f t="shared" si="16"/>
        <v/>
      </c>
      <c r="AU58" s="33"/>
      <c r="AV58" s="36" t="str">
        <f t="shared" si="17"/>
        <v/>
      </c>
      <c r="AW58" s="30"/>
      <c r="AX58" s="36" t="str">
        <f t="shared" si="18"/>
        <v/>
      </c>
      <c r="AY58" s="59"/>
      <c r="AZ58" s="36" t="str">
        <f t="shared" si="19"/>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0"/>
        <v/>
      </c>
      <c r="M59" s="33"/>
      <c r="N59" s="36" t="str">
        <f t="shared" si="4"/>
        <v/>
      </c>
      <c r="O59" s="33"/>
      <c r="P59" s="36" t="str">
        <f t="shared" si="4"/>
        <v/>
      </c>
      <c r="Q59" s="33"/>
      <c r="R59" s="36" t="str">
        <f t="shared" si="5"/>
        <v/>
      </c>
      <c r="S59" s="33"/>
      <c r="T59" s="36" t="str">
        <f t="shared" si="6"/>
        <v/>
      </c>
      <c r="U59" s="33"/>
      <c r="V59" s="36" t="str">
        <f t="shared" si="7"/>
        <v/>
      </c>
      <c r="W59" s="33"/>
      <c r="X59" s="36" t="str">
        <f t="shared" si="8"/>
        <v/>
      </c>
      <c r="Y59" s="33"/>
      <c r="Z59" s="36" t="str">
        <f t="shared" si="9"/>
        <v/>
      </c>
      <c r="AA59" s="33"/>
      <c r="AB59" s="36" t="str">
        <f t="shared" si="10"/>
        <v/>
      </c>
      <c r="AC59" s="33"/>
      <c r="AD59" s="36" t="str">
        <f t="shared" si="11"/>
        <v/>
      </c>
      <c r="AE59" s="33"/>
      <c r="AF59" s="36" t="str">
        <f t="shared" si="12"/>
        <v/>
      </c>
      <c r="AG59" s="33"/>
      <c r="AH59" s="36" t="str">
        <f t="shared" si="12"/>
        <v/>
      </c>
      <c r="AI59" s="33"/>
      <c r="AJ59" s="36" t="str">
        <f t="shared" si="12"/>
        <v/>
      </c>
      <c r="AK59" s="33"/>
      <c r="AL59" s="36" t="str">
        <f t="shared" si="12"/>
        <v/>
      </c>
      <c r="AM59" s="33"/>
      <c r="AN59" s="36" t="str">
        <f t="shared" si="13"/>
        <v/>
      </c>
      <c r="AO59" s="33"/>
      <c r="AP59" s="36" t="str">
        <f t="shared" si="14"/>
        <v/>
      </c>
      <c r="AQ59" s="33"/>
      <c r="AR59" s="36" t="str">
        <f t="shared" si="15"/>
        <v/>
      </c>
      <c r="AS59" s="33"/>
      <c r="AT59" s="36" t="str">
        <f t="shared" si="16"/>
        <v/>
      </c>
      <c r="AU59" s="33"/>
      <c r="AV59" s="36" t="str">
        <f t="shared" si="17"/>
        <v/>
      </c>
      <c r="AW59" s="30"/>
      <c r="AX59" s="36" t="str">
        <f t="shared" si="18"/>
        <v/>
      </c>
      <c r="AY59" s="59"/>
      <c r="AZ59" s="36" t="str">
        <f t="shared" si="19"/>
        <v/>
      </c>
      <c r="BA59" s="23" t="s">
        <v>189</v>
      </c>
    </row>
    <row r="60" spans="1:53" ht="20" customHeight="1" x14ac:dyDescent="0.2">
      <c r="A60" s="60"/>
      <c r="B60" s="83"/>
      <c r="C60" s="24" t="s">
        <v>85</v>
      </c>
      <c r="D60" s="23" t="s">
        <v>288</v>
      </c>
      <c r="E60" s="23" t="s">
        <v>289</v>
      </c>
      <c r="F60" s="24">
        <v>2011</v>
      </c>
      <c r="H60" s="89">
        <v>4</v>
      </c>
      <c r="I60" s="85"/>
      <c r="J60" s="86"/>
      <c r="K60" s="33"/>
      <c r="L60" s="36" t="str">
        <f t="shared" si="20"/>
        <v/>
      </c>
      <c r="M60" s="33"/>
      <c r="N60" s="36" t="str">
        <f t="shared" si="4"/>
        <v/>
      </c>
      <c r="O60" s="33"/>
      <c r="P60" s="36" t="str">
        <f t="shared" si="4"/>
        <v/>
      </c>
      <c r="Q60" s="33"/>
      <c r="R60" s="36" t="str">
        <f t="shared" si="5"/>
        <v/>
      </c>
      <c r="S60" s="33"/>
      <c r="T60" s="36" t="str">
        <f t="shared" si="6"/>
        <v/>
      </c>
      <c r="U60" s="33"/>
      <c r="V60" s="36" t="str">
        <f t="shared" si="7"/>
        <v/>
      </c>
      <c r="W60" s="33"/>
      <c r="X60" s="36" t="str">
        <f t="shared" si="8"/>
        <v/>
      </c>
      <c r="Y60" s="33"/>
      <c r="Z60" s="36" t="str">
        <f t="shared" si="9"/>
        <v/>
      </c>
      <c r="AA60" s="33"/>
      <c r="AB60" s="36" t="str">
        <f t="shared" si="10"/>
        <v/>
      </c>
      <c r="AC60" s="33"/>
      <c r="AD60" s="36" t="str">
        <f t="shared" si="11"/>
        <v/>
      </c>
      <c r="AE60" s="33"/>
      <c r="AF60" s="36" t="str">
        <f t="shared" si="12"/>
        <v/>
      </c>
      <c r="AG60" s="33"/>
      <c r="AH60" s="36" t="str">
        <f t="shared" si="12"/>
        <v/>
      </c>
      <c r="AI60" s="33"/>
      <c r="AJ60" s="36" t="str">
        <f t="shared" si="12"/>
        <v/>
      </c>
      <c r="AK60" s="33"/>
      <c r="AL60" s="36" t="str">
        <f t="shared" si="12"/>
        <v/>
      </c>
      <c r="AM60" s="33"/>
      <c r="AN60" s="36" t="str">
        <f t="shared" si="13"/>
        <v/>
      </c>
      <c r="AO60" s="33"/>
      <c r="AP60" s="36" t="str">
        <f t="shared" si="14"/>
        <v/>
      </c>
      <c r="AQ60" s="33"/>
      <c r="AR60" s="36" t="str">
        <f t="shared" si="15"/>
        <v/>
      </c>
      <c r="AS60" s="33"/>
      <c r="AT60" s="36" t="str">
        <f t="shared" si="16"/>
        <v/>
      </c>
      <c r="AU60" s="33"/>
      <c r="AV60" s="36" t="str">
        <f t="shared" si="17"/>
        <v/>
      </c>
      <c r="AW60" s="31"/>
      <c r="AX60" s="36" t="str">
        <f t="shared" si="18"/>
        <v/>
      </c>
      <c r="AY60" s="59"/>
      <c r="AZ60" s="36" t="str">
        <f t="shared" si="19"/>
        <v/>
      </c>
    </row>
    <row r="61" spans="1:53" ht="20" customHeight="1" x14ac:dyDescent="0.2">
      <c r="A61" s="60"/>
      <c r="B61" s="83"/>
      <c r="C61" s="24" t="s">
        <v>85</v>
      </c>
      <c r="D61" s="23" t="s">
        <v>290</v>
      </c>
      <c r="E61" s="23" t="s">
        <v>291</v>
      </c>
      <c r="F61" s="24">
        <v>2015</v>
      </c>
      <c r="H61" s="89">
        <v>10</v>
      </c>
      <c r="I61" s="85" t="s">
        <v>348</v>
      </c>
      <c r="J61" s="86" t="s">
        <v>359</v>
      </c>
      <c r="K61" s="33"/>
      <c r="L61" s="36" t="str">
        <f>IF((ISERROR((K61/$H61)*100)), "", IF(AND(NOT(ISERROR((K61/$H61)*100)),((K61/$H61)*100) &lt;&gt; 0), (K61/$H61)*100, ""))</f>
        <v/>
      </c>
      <c r="M61" s="33"/>
      <c r="N61" s="36" t="str">
        <f>IF((ISERROR((M61/$H61)*100)), "", IF(AND(NOT(ISERROR((M61/$H61)*100)),((M61/$H61)*100) &lt;&gt; 0), (M61/$H61)*100, ""))</f>
        <v/>
      </c>
      <c r="O61" s="33"/>
      <c r="P61" s="36" t="str">
        <f>IF((ISERROR((O61/$H61)*100)), "", IF(AND(NOT(ISERROR((O61/$H61)*100)),((O61/$H61)*100) &lt;&gt; 0), (O61/$H61)*100, ""))</f>
        <v/>
      </c>
      <c r="Q61" s="33"/>
      <c r="R61" s="36" t="str">
        <f>IF((ISERROR((Q61/$H61)*100)), "", IF(AND(NOT(ISERROR((Q61/$H61)*100)),((Q61/$H61)*100) &lt;&gt; 0), (Q61/$H61)*100, ""))</f>
        <v/>
      </c>
      <c r="S61" s="33"/>
      <c r="T61" s="36" t="str">
        <f>IF((ISERROR((S61/$H61)*100)), "", IF(AND(NOT(ISERROR((S61/$H61)*100)),((S61/$H61)*100) &lt;&gt; 0), (S61/$H61)*100, ""))</f>
        <v/>
      </c>
      <c r="U61" s="33"/>
      <c r="V61" s="36" t="str">
        <f>IF((ISERROR((U61/$H61)*100)), "", IF(AND(NOT(ISERROR((U61/$H61)*100)),((U61/$H61)*100) &lt;&gt; 0), (U61/$H61)*100, ""))</f>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33"/>
      <c r="AF61" s="36" t="str">
        <f t="shared" ref="AF61:AF62" si="28">IF((ISERROR((AE61/$H61)*100)), "", IF(AND(NOT(ISERROR((AE61/$H61)*100)),((AE61/$H61)*100) &lt;&gt; 0), (AE61/$H61)*100, ""))</f>
        <v/>
      </c>
      <c r="AG61" s="33"/>
      <c r="AH61" s="36" t="str">
        <f>IF((ISERROR((AG61/$H61)*100)), "", IF(AND(NOT(ISERROR((AG61/$H61)*100)),((AG61/$H61)*100) &lt;&gt; 0), (AG61/$H61)*100, ""))</f>
        <v/>
      </c>
      <c r="AI61" s="33"/>
      <c r="AJ61" s="36" t="str">
        <f>IF((ISERROR((AI61/$H61)*100)), "", IF(AND(NOT(ISERROR((AI61/$H61)*100)),((AI61/$H61)*100) &lt;&gt; 0), (AI61/$H61)*100, ""))</f>
        <v/>
      </c>
      <c r="AK61" s="33"/>
      <c r="AL61" s="36" t="str">
        <f>IF((ISERROR((AK61/$H61)*100)), "", IF(AND(NOT(ISERROR((AK61/$H61)*100)),((AK61/$H61)*100) &lt;&gt; 0), (AK61/$H61)*100, ""))</f>
        <v/>
      </c>
      <c r="AM61" s="33"/>
      <c r="AN61" s="36" t="str">
        <f>IF((ISERROR((AM61/$H61)*100)), "", IF(AND(NOT(ISERROR((AM61/$H61)*100)),((AM61/$H61)*100) &lt;&gt; 0), (AM61/$H61)*100, ""))</f>
        <v/>
      </c>
      <c r="AO61" s="33"/>
      <c r="AP61" s="36" t="str">
        <f>IF((ISERROR((AO61/$H61)*100)), "", IF(AND(NOT(ISERROR((AO61/$H61)*100)),((AO61/$H61)*100) &lt;&gt; 0), (AO61/$H61)*100, ""))</f>
        <v/>
      </c>
      <c r="AQ61" s="33"/>
      <c r="AR61" s="36" t="str">
        <f t="shared" si="15"/>
        <v/>
      </c>
      <c r="AS61" s="33"/>
      <c r="AT61" s="36" t="str">
        <f>IF((ISERROR((AS61/$H61)*100)), "", IF(AND(NOT(ISERROR((AS61/$H61)*100)),((AS61/$H61)*100) &lt;&gt; 0), (AS61/$H61)*100, ""))</f>
        <v/>
      </c>
      <c r="AU61" s="33"/>
      <c r="AV61" s="36" t="str">
        <f>IF((ISERROR((AU61/$H61)*100)), "", IF(AND(NOT(ISERROR((AU61/$H61)*100)),((AU61/$H61)*100) &lt;&gt; 0), (AU61/$H61)*100, ""))</f>
        <v/>
      </c>
      <c r="AW61" s="76"/>
      <c r="AX61" s="36" t="str">
        <f t="shared" si="18"/>
        <v/>
      </c>
      <c r="AY61" s="76"/>
      <c r="AZ61" s="36" t="str">
        <f t="shared" si="19"/>
        <v/>
      </c>
    </row>
    <row r="62" spans="1:53" ht="20" customHeight="1" x14ac:dyDescent="0.2">
      <c r="A62" s="60"/>
      <c r="B62" s="82"/>
      <c r="C62" s="24" t="s">
        <v>85</v>
      </c>
      <c r="D62" s="23" t="s">
        <v>79</v>
      </c>
      <c r="E62" s="23" t="s">
        <v>80</v>
      </c>
      <c r="F62" s="24">
        <v>2015</v>
      </c>
      <c r="G62" s="24">
        <v>10</v>
      </c>
      <c r="H62" s="89">
        <v>11</v>
      </c>
      <c r="I62" s="85" t="s">
        <v>197</v>
      </c>
      <c r="J62" s="86" t="s">
        <v>169</v>
      </c>
      <c r="K62" s="38">
        <v>1</v>
      </c>
      <c r="L62" s="39">
        <f>IF((ISERROR((K62/$H62)*100)), "", IF(AND(NOT(ISERROR((K62/$H62)*100)),((K62/$H62)*100) &lt;&gt; 0), (K62/$H62)*100, ""))</f>
        <v>9.0909090909090917</v>
      </c>
      <c r="M62" s="33"/>
      <c r="N62" s="36" t="str">
        <f>IF((ISERROR((M62/$H62)*100)), "", IF(AND(NOT(ISERROR((M62/$H62)*100)),((M62/$H62)*100) &lt;&gt; 0), (M62/$H62)*100, ""))</f>
        <v/>
      </c>
      <c r="O62" s="33"/>
      <c r="P62" s="36" t="str">
        <f>IF((ISERROR((O62/$H62)*100)), "", IF(AND(NOT(ISERROR((O62/$H62)*100)),((O62/$H62)*100) &lt;&gt; 0), (O62/$H62)*100, ""))</f>
        <v/>
      </c>
      <c r="Q62" s="33"/>
      <c r="R62" s="36" t="str">
        <f>IF((ISERROR((Q62/$H62)*100)), "", IF(AND(NOT(ISERROR((Q62/$H62)*100)),((Q62/$H62)*100) &lt;&gt; 0), (Q62/$H62)*100, ""))</f>
        <v/>
      </c>
      <c r="S62" s="33"/>
      <c r="T62" s="36" t="str">
        <f>IF((ISERROR((S62/$H62)*100)), "", IF(AND(NOT(ISERROR((S62/$H62)*100)),((S62/$H62)*100) &lt;&gt; 0), (S62/$H62)*100, ""))</f>
        <v/>
      </c>
      <c r="U62" s="33"/>
      <c r="V62" s="36" t="str">
        <f>IF((ISERROR((U62/$H62)*100)), "", IF(AND(NOT(ISERROR((U62/$H62)*100)),((U62/$H62)*100) &lt;&gt; 0), (U62/$H62)*100, ""))</f>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33"/>
      <c r="AF62" s="36" t="str">
        <f t="shared" si="28"/>
        <v/>
      </c>
      <c r="AG62" s="33"/>
      <c r="AH62" s="36" t="str">
        <f>IF((ISERROR((AG62/$H62)*100)), "", IF(AND(NOT(ISERROR((AG62/$H62)*100)),((AG62/$H62)*100) &lt;&gt; 0), (AG62/$H62)*100, ""))</f>
        <v/>
      </c>
      <c r="AI62" s="33"/>
      <c r="AJ62" s="36" t="str">
        <f>IF((ISERROR((AI62/$H62)*100)), "", IF(AND(NOT(ISERROR((AI62/$H62)*100)),((AI62/$H62)*100) &lt;&gt; 0), (AI62/$H62)*100, ""))</f>
        <v/>
      </c>
      <c r="AK62" s="33"/>
      <c r="AL62" s="36" t="str">
        <f>IF((ISERROR((AK62/$H62)*100)), "", IF(AND(NOT(ISERROR((AK62/$H62)*100)),((AK62/$H62)*100) &lt;&gt; 0), (AK62/$H62)*100, ""))</f>
        <v/>
      </c>
      <c r="AM62" s="33"/>
      <c r="AN62" s="36" t="str">
        <f>IF((ISERROR((AM62/$H62)*100)), "", IF(AND(NOT(ISERROR((AM62/$H62)*100)),((AM62/$H62)*100) &lt;&gt; 0), (AM62/$H62)*100, ""))</f>
        <v/>
      </c>
      <c r="AO62" s="33"/>
      <c r="AP62" s="36" t="str">
        <f>IF((ISERROR((AO62/$H62)*100)), "", IF(AND(NOT(ISERROR((AO62/$H62)*100)),((AO62/$H62)*100) &lt;&gt; 0), (AO62/$H62)*100, ""))</f>
        <v/>
      </c>
      <c r="AQ62" s="33"/>
      <c r="AR62" s="36" t="str">
        <f t="shared" si="15"/>
        <v/>
      </c>
      <c r="AS62" s="33"/>
      <c r="AT62" s="36" t="str">
        <f>IF((ISERROR((AS62/$H62)*100)), "", IF(AND(NOT(ISERROR((AS62/$H62)*100)),((AS62/$H62)*100) &lt;&gt; 0), (AS62/$H62)*100, ""))</f>
        <v/>
      </c>
      <c r="AU62" s="33"/>
      <c r="AV62" s="36" t="str">
        <f>IF((ISERROR((AU62/$H62)*100)), "", IF(AND(NOT(ISERROR((AU62/$H62)*100)),((AU62/$H62)*100) &lt;&gt; 0), (AU62/$H62)*100, ""))</f>
        <v/>
      </c>
      <c r="AW62" s="76"/>
      <c r="AX62" s="36" t="str">
        <f t="shared" si="18"/>
        <v/>
      </c>
      <c r="AY62" s="76">
        <v>3</v>
      </c>
      <c r="AZ62" s="36">
        <f t="shared" si="19"/>
        <v>27.27272727272727</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0"/>
        <v/>
      </c>
      <c r="M63" s="33"/>
      <c r="N63" s="36" t="str">
        <f t="shared" si="4"/>
        <v/>
      </c>
      <c r="O63" s="33"/>
      <c r="P63" s="36" t="str">
        <f t="shared" si="4"/>
        <v/>
      </c>
      <c r="Q63" s="33"/>
      <c r="R63" s="36" t="str">
        <f t="shared" si="5"/>
        <v/>
      </c>
      <c r="S63" s="33"/>
      <c r="T63" s="36" t="str">
        <f t="shared" si="6"/>
        <v/>
      </c>
      <c r="U63" s="33"/>
      <c r="V63" s="36" t="str">
        <f t="shared" si="7"/>
        <v/>
      </c>
      <c r="W63" s="33"/>
      <c r="X63" s="36" t="str">
        <f t="shared" si="8"/>
        <v/>
      </c>
      <c r="Y63" s="33"/>
      <c r="Z63" s="36" t="str">
        <f t="shared" si="9"/>
        <v/>
      </c>
      <c r="AA63" s="33"/>
      <c r="AB63" s="36" t="str">
        <f t="shared" si="10"/>
        <v/>
      </c>
      <c r="AC63" s="33"/>
      <c r="AD63" s="36" t="str">
        <f t="shared" si="11"/>
        <v/>
      </c>
      <c r="AE63" s="33"/>
      <c r="AF63" s="36" t="str">
        <f t="shared" si="12"/>
        <v/>
      </c>
      <c r="AG63" s="33"/>
      <c r="AH63" s="36" t="str">
        <f t="shared" si="12"/>
        <v/>
      </c>
      <c r="AI63" s="33"/>
      <c r="AJ63" s="36" t="str">
        <f t="shared" si="12"/>
        <v/>
      </c>
      <c r="AK63" s="33"/>
      <c r="AL63" s="36" t="str">
        <f t="shared" si="12"/>
        <v/>
      </c>
      <c r="AM63" s="33"/>
      <c r="AN63" s="36" t="str">
        <f t="shared" si="13"/>
        <v/>
      </c>
      <c r="AO63" s="33"/>
      <c r="AP63" s="36" t="str">
        <f t="shared" si="14"/>
        <v/>
      </c>
      <c r="AQ63" s="33"/>
      <c r="AR63" s="36" t="str">
        <f t="shared" si="15"/>
        <v/>
      </c>
      <c r="AS63" s="33"/>
      <c r="AT63" s="36" t="str">
        <f t="shared" si="16"/>
        <v/>
      </c>
      <c r="AU63" s="33"/>
      <c r="AV63" s="36" t="str">
        <f t="shared" si="17"/>
        <v/>
      </c>
      <c r="AW63" s="30"/>
      <c r="AX63" s="36" t="str">
        <f t="shared" si="18"/>
        <v/>
      </c>
      <c r="AY63" s="59"/>
      <c r="AZ63" s="36" t="str">
        <f t="shared" si="19"/>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0"/>
        <v/>
      </c>
      <c r="M64" s="33"/>
      <c r="N64" s="36" t="str">
        <f t="shared" si="4"/>
        <v/>
      </c>
      <c r="O64" s="33"/>
      <c r="P64" s="36" t="str">
        <f t="shared" si="4"/>
        <v/>
      </c>
      <c r="Q64" s="33"/>
      <c r="R64" s="36" t="str">
        <f t="shared" si="5"/>
        <v/>
      </c>
      <c r="S64" s="33"/>
      <c r="T64" s="36" t="str">
        <f t="shared" si="6"/>
        <v/>
      </c>
      <c r="U64" s="33"/>
      <c r="V64" s="36" t="str">
        <f t="shared" si="7"/>
        <v/>
      </c>
      <c r="W64" s="33"/>
      <c r="X64" s="36" t="str">
        <f t="shared" si="8"/>
        <v/>
      </c>
      <c r="Y64" s="33"/>
      <c r="Z64" s="36" t="str">
        <f t="shared" si="9"/>
        <v/>
      </c>
      <c r="AA64" s="33"/>
      <c r="AB64" s="36" t="str">
        <f t="shared" si="10"/>
        <v/>
      </c>
      <c r="AC64" s="33"/>
      <c r="AD64" s="36" t="str">
        <f t="shared" si="11"/>
        <v/>
      </c>
      <c r="AE64" s="33"/>
      <c r="AF64" s="36" t="str">
        <f t="shared" si="12"/>
        <v/>
      </c>
      <c r="AG64" s="33"/>
      <c r="AH64" s="36" t="str">
        <f t="shared" si="12"/>
        <v/>
      </c>
      <c r="AI64" s="33"/>
      <c r="AJ64" s="36" t="str">
        <f t="shared" si="12"/>
        <v/>
      </c>
      <c r="AK64" s="33"/>
      <c r="AL64" s="36" t="str">
        <f t="shared" si="12"/>
        <v/>
      </c>
      <c r="AM64" s="33"/>
      <c r="AN64" s="36" t="str">
        <f t="shared" si="13"/>
        <v/>
      </c>
      <c r="AO64" s="33"/>
      <c r="AP64" s="36" t="str">
        <f t="shared" si="14"/>
        <v/>
      </c>
      <c r="AQ64" s="33"/>
      <c r="AR64" s="36" t="str">
        <f t="shared" si="15"/>
        <v/>
      </c>
      <c r="AS64" s="33"/>
      <c r="AT64" s="36" t="str">
        <f t="shared" si="16"/>
        <v/>
      </c>
      <c r="AU64" s="33"/>
      <c r="AV64" s="36" t="str">
        <f t="shared" si="17"/>
        <v/>
      </c>
      <c r="AW64" s="30"/>
      <c r="AX64" s="36" t="str">
        <f t="shared" si="18"/>
        <v/>
      </c>
      <c r="AY64" s="59"/>
      <c r="AZ64" s="36" t="str">
        <f t="shared" si="19"/>
        <v/>
      </c>
    </row>
    <row r="65" spans="1:53" ht="20" customHeight="1" x14ac:dyDescent="0.2">
      <c r="A65" s="61"/>
      <c r="B65" s="83"/>
      <c r="C65" s="50" t="s">
        <v>35</v>
      </c>
      <c r="D65" s="49" t="s">
        <v>87</v>
      </c>
      <c r="E65" s="49" t="s">
        <v>88</v>
      </c>
      <c r="F65" s="50">
        <v>1996</v>
      </c>
      <c r="G65" s="50">
        <v>187</v>
      </c>
      <c r="H65" s="89">
        <v>100</v>
      </c>
      <c r="I65" s="85" t="s">
        <v>200</v>
      </c>
      <c r="J65" s="86"/>
      <c r="K65" s="33"/>
      <c r="L65" s="36" t="str">
        <f t="shared" si="20"/>
        <v/>
      </c>
      <c r="M65" s="33"/>
      <c r="N65" s="36" t="str">
        <f t="shared" si="4"/>
        <v/>
      </c>
      <c r="O65" s="33"/>
      <c r="P65" s="36" t="str">
        <f t="shared" si="4"/>
        <v/>
      </c>
      <c r="Q65" s="33"/>
      <c r="R65" s="36" t="str">
        <f t="shared" si="5"/>
        <v/>
      </c>
      <c r="S65" s="33"/>
      <c r="T65" s="36" t="str">
        <f t="shared" si="6"/>
        <v/>
      </c>
      <c r="U65" s="33"/>
      <c r="V65" s="36" t="str">
        <f t="shared" si="7"/>
        <v/>
      </c>
      <c r="W65" s="33"/>
      <c r="X65" s="36" t="str">
        <f t="shared" si="8"/>
        <v/>
      </c>
      <c r="Y65" s="33"/>
      <c r="Z65" s="36" t="str">
        <f t="shared" si="9"/>
        <v/>
      </c>
      <c r="AA65" s="33"/>
      <c r="AB65" s="36" t="str">
        <f t="shared" si="10"/>
        <v/>
      </c>
      <c r="AC65" s="33"/>
      <c r="AD65" s="36" t="str">
        <f t="shared" si="11"/>
        <v/>
      </c>
      <c r="AE65" s="33"/>
      <c r="AF65" s="36" t="str">
        <f t="shared" si="12"/>
        <v/>
      </c>
      <c r="AG65" s="33"/>
      <c r="AH65" s="36" t="str">
        <f t="shared" si="12"/>
        <v/>
      </c>
      <c r="AI65" s="33"/>
      <c r="AJ65" s="36" t="str">
        <f t="shared" si="12"/>
        <v/>
      </c>
      <c r="AK65" s="33"/>
      <c r="AL65" s="36" t="str">
        <f t="shared" si="12"/>
        <v/>
      </c>
      <c r="AM65" s="33"/>
      <c r="AN65" s="36" t="str">
        <f t="shared" si="13"/>
        <v/>
      </c>
      <c r="AO65" s="33"/>
      <c r="AP65" s="36" t="str">
        <f t="shared" si="14"/>
        <v/>
      </c>
      <c r="AQ65" s="33"/>
      <c r="AR65" s="36" t="str">
        <f t="shared" si="15"/>
        <v/>
      </c>
      <c r="AS65" s="33"/>
      <c r="AT65" s="36" t="str">
        <f t="shared" si="16"/>
        <v/>
      </c>
      <c r="AU65" s="33"/>
      <c r="AV65" s="36" t="str">
        <f t="shared" si="17"/>
        <v/>
      </c>
      <c r="AW65" s="30"/>
      <c r="AX65" s="36" t="str">
        <f t="shared" si="18"/>
        <v/>
      </c>
      <c r="AY65" s="59"/>
      <c r="AZ65" s="36" t="str">
        <f t="shared" si="19"/>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0"/>
        <v/>
      </c>
      <c r="M66" s="33"/>
      <c r="N66" s="36" t="str">
        <f t="shared" si="4"/>
        <v/>
      </c>
      <c r="O66" s="33"/>
      <c r="P66" s="36" t="str">
        <f t="shared" si="4"/>
        <v/>
      </c>
      <c r="Q66" s="33"/>
      <c r="R66" s="36" t="str">
        <f t="shared" si="5"/>
        <v/>
      </c>
      <c r="S66" s="33"/>
      <c r="T66" s="36" t="str">
        <f t="shared" si="6"/>
        <v/>
      </c>
      <c r="U66" s="33"/>
      <c r="V66" s="36" t="str">
        <f t="shared" si="7"/>
        <v/>
      </c>
      <c r="W66" s="33"/>
      <c r="X66" s="36" t="str">
        <f t="shared" si="8"/>
        <v/>
      </c>
      <c r="Y66" s="33"/>
      <c r="Z66" s="36" t="str">
        <f t="shared" si="9"/>
        <v/>
      </c>
      <c r="AA66" s="33"/>
      <c r="AB66" s="36" t="str">
        <f t="shared" si="10"/>
        <v/>
      </c>
      <c r="AC66" s="33"/>
      <c r="AD66" s="36" t="str">
        <f t="shared" si="11"/>
        <v/>
      </c>
      <c r="AE66" s="33"/>
      <c r="AF66" s="36" t="str">
        <f t="shared" si="12"/>
        <v/>
      </c>
      <c r="AG66" s="33"/>
      <c r="AH66" s="36" t="str">
        <f t="shared" si="12"/>
        <v/>
      </c>
      <c r="AI66" s="33"/>
      <c r="AJ66" s="36" t="str">
        <f t="shared" si="12"/>
        <v/>
      </c>
      <c r="AK66" s="33"/>
      <c r="AL66" s="36" t="str">
        <f t="shared" si="12"/>
        <v/>
      </c>
      <c r="AM66" s="33"/>
      <c r="AN66" s="36" t="str">
        <f t="shared" si="13"/>
        <v/>
      </c>
      <c r="AO66" s="33"/>
      <c r="AP66" s="36" t="str">
        <f t="shared" si="14"/>
        <v/>
      </c>
      <c r="AQ66" s="33"/>
      <c r="AR66" s="36" t="str">
        <f t="shared" si="15"/>
        <v/>
      </c>
      <c r="AS66" s="33"/>
      <c r="AT66" s="36" t="str">
        <f t="shared" si="16"/>
        <v/>
      </c>
      <c r="AU66" s="33"/>
      <c r="AV66" s="36" t="str">
        <f t="shared" si="17"/>
        <v/>
      </c>
      <c r="AW66" s="30"/>
      <c r="AX66" s="36" t="str">
        <f t="shared" si="18"/>
        <v/>
      </c>
      <c r="AY66" s="59"/>
      <c r="AZ66" s="36" t="str">
        <f t="shared" si="19"/>
        <v/>
      </c>
      <c r="BA66" s="23" t="s">
        <v>202</v>
      </c>
    </row>
    <row r="67" spans="1:53" ht="20" customHeight="1" x14ac:dyDescent="0.2">
      <c r="A67" s="60"/>
      <c r="B67" s="82"/>
      <c r="D67" s="23" t="s">
        <v>292</v>
      </c>
      <c r="E67" s="23" t="s">
        <v>293</v>
      </c>
      <c r="F67" s="24">
        <v>2005</v>
      </c>
      <c r="H67" s="89">
        <v>13</v>
      </c>
      <c r="I67" s="85" t="s">
        <v>361</v>
      </c>
      <c r="J67" s="86"/>
      <c r="K67" s="33"/>
      <c r="L67" s="36" t="str">
        <f t="shared" si="20"/>
        <v/>
      </c>
      <c r="M67" s="33"/>
      <c r="N67" s="36" t="str">
        <f t="shared" si="4"/>
        <v/>
      </c>
      <c r="O67" s="33"/>
      <c r="P67" s="36" t="str">
        <f t="shared" si="4"/>
        <v/>
      </c>
      <c r="Q67" s="33"/>
      <c r="R67" s="36" t="str">
        <f t="shared" si="5"/>
        <v/>
      </c>
      <c r="S67" s="33"/>
      <c r="T67" s="36" t="str">
        <f t="shared" si="6"/>
        <v/>
      </c>
      <c r="U67" s="33"/>
      <c r="V67" s="36" t="str">
        <f t="shared" si="7"/>
        <v/>
      </c>
      <c r="W67" s="33"/>
      <c r="X67" s="36" t="str">
        <f t="shared" si="8"/>
        <v/>
      </c>
      <c r="Y67" s="33"/>
      <c r="Z67" s="36" t="str">
        <f t="shared" si="9"/>
        <v/>
      </c>
      <c r="AA67" s="33"/>
      <c r="AB67" s="36" t="str">
        <f t="shared" si="10"/>
        <v/>
      </c>
      <c r="AC67" s="33"/>
      <c r="AD67" s="36" t="str">
        <f t="shared" si="11"/>
        <v/>
      </c>
      <c r="AE67" s="33"/>
      <c r="AF67" s="36" t="str">
        <f t="shared" si="12"/>
        <v/>
      </c>
      <c r="AG67" s="33"/>
      <c r="AH67" s="36" t="str">
        <f t="shared" si="12"/>
        <v/>
      </c>
      <c r="AI67" s="33"/>
      <c r="AJ67" s="36" t="str">
        <f t="shared" si="12"/>
        <v/>
      </c>
      <c r="AK67" s="33"/>
      <c r="AL67" s="36" t="str">
        <f t="shared" si="12"/>
        <v/>
      </c>
      <c r="AM67" s="33"/>
      <c r="AN67" s="36" t="str">
        <f t="shared" si="13"/>
        <v/>
      </c>
      <c r="AO67" s="33"/>
      <c r="AP67" s="36" t="str">
        <f t="shared" si="14"/>
        <v/>
      </c>
      <c r="AQ67" s="33"/>
      <c r="AR67" s="36" t="str">
        <f t="shared" si="15"/>
        <v/>
      </c>
      <c r="AS67" s="33">
        <v>3</v>
      </c>
      <c r="AT67" s="36">
        <f t="shared" si="16"/>
        <v>23.076923076923077</v>
      </c>
      <c r="AU67" s="33"/>
      <c r="AV67" s="36" t="str">
        <f t="shared" si="17"/>
        <v/>
      </c>
      <c r="AW67" s="31">
        <v>1</v>
      </c>
      <c r="AX67" s="36">
        <f t="shared" si="18"/>
        <v>7.6923076923076925</v>
      </c>
      <c r="AY67" s="59"/>
      <c r="AZ67" s="36" t="str">
        <f t="shared" si="19"/>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IF((ISERROR((K68/$H68)*100)), "", IF(AND(NOT(ISERROR((K68/$H68)*100)),((K68/$H68)*100) &lt;&gt; 0), (K68/$H68)*100, ""))</f>
        <v/>
      </c>
      <c r="M68" s="33"/>
      <c r="N68" s="36" t="str">
        <f>IF((ISERROR((M68/$H68)*100)), "", IF(AND(NOT(ISERROR((M68/$H68)*100)),((M68/$H68)*100) &lt;&gt; 0), (M68/$H68)*100, ""))</f>
        <v/>
      </c>
      <c r="O68" s="33"/>
      <c r="P68" s="36" t="str">
        <f>IF((ISERROR((O68/$H68)*100)), "", IF(AND(NOT(ISERROR((O68/$H68)*100)),((O68/$H68)*100) &lt;&gt; 0), (O68/$H68)*100, ""))</f>
        <v/>
      </c>
      <c r="Q68" s="33"/>
      <c r="R68" s="36" t="str">
        <f>IF((ISERROR((Q68/$H68)*100)), "", IF(AND(NOT(ISERROR((Q68/$H68)*100)),((Q68/$H68)*100) &lt;&gt; 0), (Q68/$H68)*100, ""))</f>
        <v/>
      </c>
      <c r="S68" s="33"/>
      <c r="T68" s="36" t="str">
        <f>IF((ISERROR((S68/$H68)*100)), "", IF(AND(NOT(ISERROR((S68/$H68)*100)),((S68/$H68)*100) &lt;&gt; 0), (S68/$H68)*100, ""))</f>
        <v/>
      </c>
      <c r="U68" s="33"/>
      <c r="V68" s="36" t="str">
        <f>IF((ISERROR((U68/$H68)*100)), "", IF(AND(NOT(ISERROR((U68/$H68)*100)),((U68/$H68)*100) &lt;&gt; 0), (U68/$H68)*100, ""))</f>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33"/>
      <c r="AF68" s="36" t="str">
        <f t="shared" ref="AF68:AF71" si="29">IF((ISERROR((AE68/$H68)*100)), "", IF(AND(NOT(ISERROR((AE68/$H68)*100)),((AE68/$H68)*100) &lt;&gt; 0), (AE68/$H68)*100, ""))</f>
        <v/>
      </c>
      <c r="AG68" s="33"/>
      <c r="AH68" s="36" t="str">
        <f>IF((ISERROR((AG68/$H68)*100)), "", IF(AND(NOT(ISERROR((AG68/$H68)*100)),((AG68/$H68)*100) &lt;&gt; 0), (AG68/$H68)*100, ""))</f>
        <v/>
      </c>
      <c r="AI68" s="33"/>
      <c r="AJ68" s="36" t="str">
        <f>IF((ISERROR((AI68/$H68)*100)), "", IF(AND(NOT(ISERROR((AI68/$H68)*100)),((AI68/$H68)*100) &lt;&gt; 0), (AI68/$H68)*100, ""))</f>
        <v/>
      </c>
      <c r="AK68" s="33"/>
      <c r="AL68" s="36" t="str">
        <f>IF((ISERROR((AK68/$H68)*100)), "", IF(AND(NOT(ISERROR((AK68/$H68)*100)),((AK68/$H68)*100) &lt;&gt; 0), (AK68/$H68)*100, ""))</f>
        <v/>
      </c>
      <c r="AM68" s="33"/>
      <c r="AN68" s="36" t="str">
        <f>IF((ISERROR((AM68/$H68)*100)), "", IF(AND(NOT(ISERROR((AM68/$H68)*100)),((AM68/$H68)*100) &lt;&gt; 0), (AM68/$H68)*100, ""))</f>
        <v/>
      </c>
      <c r="AO68" s="33"/>
      <c r="AP68" s="36" t="str">
        <f>IF((ISERROR((AO68/$H68)*100)), "", IF(AND(NOT(ISERROR((AO68/$H68)*100)),((AO68/$H68)*100) &lt;&gt; 0), (AO68/$H68)*100, ""))</f>
        <v/>
      </c>
      <c r="AQ68" s="33"/>
      <c r="AR68" s="36" t="str">
        <f t="shared" si="15"/>
        <v/>
      </c>
      <c r="AS68" s="33"/>
      <c r="AT68" s="36" t="str">
        <f>IF((ISERROR((AS68/$H68)*100)), "", IF(AND(NOT(ISERROR((AS68/$H68)*100)),((AS68/$H68)*100) &lt;&gt; 0), (AS68/$H68)*100, ""))</f>
        <v/>
      </c>
      <c r="AU68" s="33"/>
      <c r="AV68" s="36" t="str">
        <f>IF((ISERROR((AU68/$H68)*100)), "", IF(AND(NOT(ISERROR((AU68/$H68)*100)),((AU68/$H68)*100) &lt;&gt; 0), (AU68/$H68)*100, ""))</f>
        <v/>
      </c>
      <c r="AW68" s="76"/>
      <c r="AX68" s="36" t="str">
        <f t="shared" si="18"/>
        <v/>
      </c>
      <c r="AY68" s="76"/>
      <c r="AZ68" s="36" t="str">
        <f t="shared" si="19"/>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IF((ISERROR((K69/$H69)*100)), "", IF(AND(NOT(ISERROR((K69/$H69)*100)),((K69/$H69)*100) &lt;&gt; 0), (K69/$H69)*100, ""))</f>
        <v/>
      </c>
      <c r="M69" s="33"/>
      <c r="N69" s="36" t="str">
        <f>IF((ISERROR((M69/$H69)*100)), "", IF(AND(NOT(ISERROR((M69/$H69)*100)),((M69/$H69)*100) &lt;&gt; 0), (M69/$H69)*100, ""))</f>
        <v/>
      </c>
      <c r="O69" s="33"/>
      <c r="P69" s="36" t="str">
        <f>IF((ISERROR((O69/$H69)*100)), "", IF(AND(NOT(ISERROR((O69/$H69)*100)),((O69/$H69)*100) &lt;&gt; 0), (O69/$H69)*100, ""))</f>
        <v/>
      </c>
      <c r="Q69" s="33"/>
      <c r="R69" s="36" t="str">
        <f>IF((ISERROR((Q69/$H69)*100)), "", IF(AND(NOT(ISERROR((Q69/$H69)*100)),((Q69/$H69)*100) &lt;&gt; 0), (Q69/$H69)*100, ""))</f>
        <v/>
      </c>
      <c r="S69" s="33"/>
      <c r="T69" s="36" t="str">
        <f>IF((ISERROR((S69/$H69)*100)), "", IF(AND(NOT(ISERROR((S69/$H69)*100)),((S69/$H69)*100) &lt;&gt; 0), (S69/$H69)*100, ""))</f>
        <v/>
      </c>
      <c r="U69" s="33"/>
      <c r="V69" s="36" t="str">
        <f>IF((ISERROR((U69/$H69)*100)), "", IF(AND(NOT(ISERROR((U69/$H69)*100)),((U69/$H69)*100) &lt;&gt; 0), (U69/$H69)*100, ""))</f>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33"/>
      <c r="AF69" s="36" t="str">
        <f t="shared" si="29"/>
        <v/>
      </c>
      <c r="AG69" s="33"/>
      <c r="AH69" s="36" t="str">
        <f>IF((ISERROR((AG69/$H69)*100)), "", IF(AND(NOT(ISERROR((AG69/$H69)*100)),((AG69/$H69)*100) &lt;&gt; 0), (AG69/$H69)*100, ""))</f>
        <v/>
      </c>
      <c r="AI69" s="33"/>
      <c r="AJ69" s="36" t="str">
        <f>IF((ISERROR((AI69/$H69)*100)), "", IF(AND(NOT(ISERROR((AI69/$H69)*100)),((AI69/$H69)*100) &lt;&gt; 0), (AI69/$H69)*100, ""))</f>
        <v/>
      </c>
      <c r="AK69" s="33"/>
      <c r="AL69" s="36" t="str">
        <f>IF((ISERROR((AK69/$H69)*100)), "", IF(AND(NOT(ISERROR((AK69/$H69)*100)),((AK69/$H69)*100) &lt;&gt; 0), (AK69/$H69)*100, ""))</f>
        <v/>
      </c>
      <c r="AM69" s="33"/>
      <c r="AN69" s="36" t="str">
        <f>IF((ISERROR((AM69/$H69)*100)), "", IF(AND(NOT(ISERROR((AM69/$H69)*100)),((AM69/$H69)*100) &lt;&gt; 0), (AM69/$H69)*100, ""))</f>
        <v/>
      </c>
      <c r="AO69" s="33"/>
      <c r="AP69" s="36" t="str">
        <f>IF((ISERROR((AO69/$H69)*100)), "", IF(AND(NOT(ISERROR((AO69/$H69)*100)),((AO69/$H69)*100) &lt;&gt; 0), (AO69/$H69)*100, ""))</f>
        <v/>
      </c>
      <c r="AQ69" s="33"/>
      <c r="AR69" s="36" t="str">
        <f t="shared" si="15"/>
        <v/>
      </c>
      <c r="AS69" s="33"/>
      <c r="AT69" s="36" t="str">
        <f>IF((ISERROR((AS69/$H69)*100)), "", IF(AND(NOT(ISERROR((AS69/$H69)*100)),((AS69/$H69)*100) &lt;&gt; 0), (AS69/$H69)*100, ""))</f>
        <v/>
      </c>
      <c r="AU69" s="33"/>
      <c r="AV69" s="36" t="str">
        <f>IF((ISERROR((AU69/$H69)*100)), "", IF(AND(NOT(ISERROR((AU69/$H69)*100)),((AU69/$H69)*100) &lt;&gt; 0), (AU69/$H69)*100, ""))</f>
        <v/>
      </c>
      <c r="AW69" s="76"/>
      <c r="AX69" s="36" t="str">
        <f t="shared" si="18"/>
        <v/>
      </c>
      <c r="AY69" s="76"/>
      <c r="AZ69" s="36" t="str">
        <f t="shared" si="19"/>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IF((ISERROR((K70/$H70)*100)), "", IF(AND(NOT(ISERROR((K70/$H70)*100)),((K70/$H70)*100) &lt;&gt; 0), (K70/$H70)*100, ""))</f>
        <v/>
      </c>
      <c r="M70" s="33"/>
      <c r="N70" s="36" t="str">
        <f>IF((ISERROR((M70/$H70)*100)), "", IF(AND(NOT(ISERROR((M70/$H70)*100)),((M70/$H70)*100) &lt;&gt; 0), (M70/$H70)*100, ""))</f>
        <v/>
      </c>
      <c r="O70" s="33"/>
      <c r="P70" s="36" t="str">
        <f>IF((ISERROR((O70/$H70)*100)), "", IF(AND(NOT(ISERROR((O70/$H70)*100)),((O70/$H70)*100) &lt;&gt; 0), (O70/$H70)*100, ""))</f>
        <v/>
      </c>
      <c r="Q70" s="33"/>
      <c r="R70" s="36" t="str">
        <f>IF((ISERROR((Q70/$H70)*100)), "", IF(AND(NOT(ISERROR((Q70/$H70)*100)),((Q70/$H70)*100) &lt;&gt; 0), (Q70/$H70)*100, ""))</f>
        <v/>
      </c>
      <c r="S70" s="33"/>
      <c r="T70" s="36" t="str">
        <f>IF((ISERROR((S70/$H70)*100)), "", IF(AND(NOT(ISERROR((S70/$H70)*100)),((S70/$H70)*100) &lt;&gt; 0), (S70/$H70)*100, ""))</f>
        <v/>
      </c>
      <c r="U70" s="38"/>
      <c r="V70" s="39" t="str">
        <f>IF((ISERROR((U70/$H70)*100)), "", IF(AND(NOT(ISERROR((U70/$H70)*100)),((U70/$H70)*100) &lt;&gt; 0), (U70/$H70)*100, ""))</f>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33"/>
      <c r="AF70" s="36" t="str">
        <f t="shared" si="29"/>
        <v/>
      </c>
      <c r="AG70" s="33"/>
      <c r="AH70" s="36" t="str">
        <f>IF((ISERROR((AG70/$H70)*100)), "", IF(AND(NOT(ISERROR((AG70/$H70)*100)),((AG70/$H70)*100) &lt;&gt; 0), (AG70/$H70)*100, ""))</f>
        <v/>
      </c>
      <c r="AI70" s="33"/>
      <c r="AJ70" s="36" t="str">
        <f>IF((ISERROR((AI70/$H70)*100)), "", IF(AND(NOT(ISERROR((AI70/$H70)*100)),((AI70/$H70)*100) &lt;&gt; 0), (AI70/$H70)*100, ""))</f>
        <v/>
      </c>
      <c r="AK70" s="33"/>
      <c r="AL70" s="36" t="str">
        <f>IF((ISERROR((AK70/$H70)*100)), "", IF(AND(NOT(ISERROR((AK70/$H70)*100)),((AK70/$H70)*100) &lt;&gt; 0), (AK70/$H70)*100, ""))</f>
        <v/>
      </c>
      <c r="AM70" s="33"/>
      <c r="AN70" s="36" t="str">
        <f>IF((ISERROR((AM70/$H70)*100)), "", IF(AND(NOT(ISERROR((AM70/$H70)*100)),((AM70/$H70)*100) &lt;&gt; 0), (AM70/$H70)*100, ""))</f>
        <v/>
      </c>
      <c r="AO70" s="33"/>
      <c r="AP70" s="36" t="str">
        <f>IF((ISERROR((AO70/$H70)*100)), "", IF(AND(NOT(ISERROR((AO70/$H70)*100)),((AO70/$H70)*100) &lt;&gt; 0), (AO70/$H70)*100, ""))</f>
        <v/>
      </c>
      <c r="AQ70" s="33"/>
      <c r="AR70" s="36" t="str">
        <f t="shared" si="15"/>
        <v/>
      </c>
      <c r="AS70" s="33"/>
      <c r="AT70" s="36" t="str">
        <f>IF((ISERROR((AS70/$H70)*100)), "", IF(AND(NOT(ISERROR((AS70/$H70)*100)),((AS70/$H70)*100) &lt;&gt; 0), (AS70/$H70)*100, ""))</f>
        <v/>
      </c>
      <c r="AU70" s="33"/>
      <c r="AV70" s="36" t="str">
        <f>IF((ISERROR((AU70/$H70)*100)), "", IF(AND(NOT(ISERROR((AU70/$H70)*100)),((AU70/$H70)*100) &lt;&gt; 0), (AU70/$H70)*100, ""))</f>
        <v/>
      </c>
      <c r="AW70" s="76"/>
      <c r="AX70" s="36" t="str">
        <f t="shared" si="18"/>
        <v/>
      </c>
      <c r="AY70" s="76"/>
      <c r="AZ70" s="36" t="str">
        <f t="shared" si="19"/>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IF((ISERROR((K71/$H71)*100)), "", IF(AND(NOT(ISERROR((K71/$H71)*100)),((K71/$H71)*100) &lt;&gt; 0), (K71/$H71)*100, ""))</f>
        <v/>
      </c>
      <c r="M71" s="33"/>
      <c r="N71" s="36" t="str">
        <f>IF((ISERROR((M71/$H71)*100)), "", IF(AND(NOT(ISERROR((M71/$H71)*100)),((M71/$H71)*100) &lt;&gt; 0), (M71/$H71)*100, ""))</f>
        <v/>
      </c>
      <c r="O71" s="33"/>
      <c r="P71" s="36" t="str">
        <f>IF((ISERROR((O71/$H71)*100)), "", IF(AND(NOT(ISERROR((O71/$H71)*100)),((O71/$H71)*100) &lt;&gt; 0), (O71/$H71)*100, ""))</f>
        <v/>
      </c>
      <c r="Q71" s="33"/>
      <c r="R71" s="36" t="str">
        <f>IF((ISERROR((Q71/$H71)*100)), "", IF(AND(NOT(ISERROR((Q71/$H71)*100)),((Q71/$H71)*100) &lt;&gt; 0), (Q71/$H71)*100, ""))</f>
        <v/>
      </c>
      <c r="S71" s="33"/>
      <c r="T71" s="36" t="str">
        <f>IF((ISERROR((S71/$H71)*100)), "", IF(AND(NOT(ISERROR((S71/$H71)*100)),((S71/$H71)*100) &lt;&gt; 0), (S71/$H71)*100, ""))</f>
        <v/>
      </c>
      <c r="U71" s="33"/>
      <c r="V71" s="36" t="str">
        <f>IF((ISERROR((U71/$H71)*100)), "", IF(AND(NOT(ISERROR((U71/$H71)*100)),((U71/$H71)*100) &lt;&gt; 0), (U71/$H71)*100, ""))</f>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33"/>
      <c r="AF71" s="36" t="str">
        <f t="shared" si="29"/>
        <v/>
      </c>
      <c r="AG71" s="33"/>
      <c r="AH71" s="36" t="str">
        <f>IF((ISERROR((AG71/$H71)*100)), "", IF(AND(NOT(ISERROR((AG71/$H71)*100)),((AG71/$H71)*100) &lt;&gt; 0), (AG71/$H71)*100, ""))</f>
        <v/>
      </c>
      <c r="AI71" s="33"/>
      <c r="AJ71" s="36" t="str">
        <f>IF((ISERROR((AI71/$H71)*100)), "", IF(AND(NOT(ISERROR((AI71/$H71)*100)),((AI71/$H71)*100) &lt;&gt; 0), (AI71/$H71)*100, ""))</f>
        <v/>
      </c>
      <c r="AK71" s="33"/>
      <c r="AL71" s="36" t="str">
        <f>IF((ISERROR((AK71/$H71)*100)), "", IF(AND(NOT(ISERROR((AK71/$H71)*100)),((AK71/$H71)*100) &lt;&gt; 0), (AK71/$H71)*100, ""))</f>
        <v/>
      </c>
      <c r="AM71" s="33"/>
      <c r="AN71" s="36" t="str">
        <f>IF((ISERROR((AM71/$H71)*100)), "", IF(AND(NOT(ISERROR((AM71/$H71)*100)),((AM71/$H71)*100) &lt;&gt; 0), (AM71/$H71)*100, ""))</f>
        <v/>
      </c>
      <c r="AO71" s="33"/>
      <c r="AP71" s="36" t="str">
        <f>IF((ISERROR((AO71/$H71)*100)), "", IF(AND(NOT(ISERROR((AO71/$H71)*100)),((AO71/$H71)*100) &lt;&gt; 0), (AO71/$H71)*100, ""))</f>
        <v/>
      </c>
      <c r="AQ71" s="33"/>
      <c r="AR71" s="36" t="str">
        <f t="shared" si="15"/>
        <v/>
      </c>
      <c r="AS71" s="33"/>
      <c r="AT71" s="36" t="str">
        <f>IF((ISERROR((AS71/$H71)*100)), "", IF(AND(NOT(ISERROR((AS71/$H71)*100)),((AS71/$H71)*100) &lt;&gt; 0), (AS71/$H71)*100, ""))</f>
        <v/>
      </c>
      <c r="AU71" s="33"/>
      <c r="AV71" s="36" t="str">
        <f>IF((ISERROR((AU71/$H71)*100)), "", IF(AND(NOT(ISERROR((AU71/$H71)*100)),((AU71/$H71)*100) &lt;&gt; 0), (AU71/$H71)*100, ""))</f>
        <v/>
      </c>
      <c r="AW71" s="76"/>
      <c r="AX71" s="36" t="str">
        <f t="shared" si="18"/>
        <v/>
      </c>
      <c r="AY71" s="76"/>
      <c r="AZ71" s="36" t="str">
        <f t="shared" si="19"/>
        <v/>
      </c>
    </row>
    <row r="72" spans="1:53" ht="20" customHeight="1" x14ac:dyDescent="0.2">
      <c r="A72" s="60"/>
      <c r="B72" s="82"/>
      <c r="C72" s="24" t="s">
        <v>85</v>
      </c>
      <c r="D72" s="23" t="s">
        <v>298</v>
      </c>
      <c r="E72" s="23" t="s">
        <v>299</v>
      </c>
      <c r="F72" s="24">
        <v>2011</v>
      </c>
      <c r="H72" s="89">
        <v>244</v>
      </c>
      <c r="I72" s="85" t="s">
        <v>213</v>
      </c>
      <c r="J72" s="86" t="s">
        <v>192</v>
      </c>
      <c r="K72" s="33">
        <v>3</v>
      </c>
      <c r="L72" s="36">
        <f t="shared" si="20"/>
        <v>1.2295081967213115</v>
      </c>
      <c r="M72" s="33"/>
      <c r="N72" s="36" t="str">
        <f t="shared" si="4"/>
        <v/>
      </c>
      <c r="O72" s="33"/>
      <c r="P72" s="36" t="str">
        <f t="shared" si="4"/>
        <v/>
      </c>
      <c r="Q72" s="33">
        <v>4</v>
      </c>
      <c r="R72" s="36">
        <f t="shared" si="5"/>
        <v>1.639344262295082</v>
      </c>
      <c r="S72" s="33"/>
      <c r="T72" s="36" t="str">
        <f t="shared" si="6"/>
        <v/>
      </c>
      <c r="U72" s="33"/>
      <c r="V72" s="36" t="str">
        <f t="shared" si="7"/>
        <v/>
      </c>
      <c r="W72" s="33"/>
      <c r="X72" s="36" t="str">
        <f t="shared" si="8"/>
        <v/>
      </c>
      <c r="Y72" s="33"/>
      <c r="Z72" s="36" t="str">
        <f t="shared" si="9"/>
        <v/>
      </c>
      <c r="AA72" s="33"/>
      <c r="AB72" s="36" t="str">
        <f t="shared" si="10"/>
        <v/>
      </c>
      <c r="AC72" s="33"/>
      <c r="AD72" s="36" t="str">
        <f t="shared" si="11"/>
        <v/>
      </c>
      <c r="AE72" s="33"/>
      <c r="AF72" s="36" t="str">
        <f t="shared" si="12"/>
        <v/>
      </c>
      <c r="AG72" s="33"/>
      <c r="AH72" s="36" t="str">
        <f t="shared" si="12"/>
        <v/>
      </c>
      <c r="AI72" s="33"/>
      <c r="AJ72" s="36" t="str">
        <f t="shared" si="12"/>
        <v/>
      </c>
      <c r="AK72" s="33"/>
      <c r="AL72" s="36" t="str">
        <f t="shared" si="12"/>
        <v/>
      </c>
      <c r="AM72" s="33"/>
      <c r="AN72" s="36" t="str">
        <f t="shared" si="13"/>
        <v/>
      </c>
      <c r="AO72" s="33"/>
      <c r="AP72" s="36" t="str">
        <f t="shared" si="14"/>
        <v/>
      </c>
      <c r="AQ72" s="33"/>
      <c r="AR72" s="36" t="str">
        <f t="shared" si="15"/>
        <v/>
      </c>
      <c r="AS72" s="33"/>
      <c r="AT72" s="36" t="str">
        <f t="shared" si="16"/>
        <v/>
      </c>
      <c r="AU72" s="33"/>
      <c r="AV72" s="36" t="str">
        <f t="shared" si="17"/>
        <v/>
      </c>
      <c r="AW72" s="31"/>
      <c r="AX72" s="36" t="str">
        <f t="shared" si="18"/>
        <v/>
      </c>
      <c r="AY72" s="59"/>
      <c r="AZ72" s="36" t="str">
        <f t="shared" si="19"/>
        <v/>
      </c>
    </row>
    <row r="73" spans="1:53" ht="20" customHeight="1" x14ac:dyDescent="0.2">
      <c r="A73" s="61"/>
      <c r="B73" s="24"/>
      <c r="C73" s="50" t="s">
        <v>49</v>
      </c>
      <c r="D73" s="49" t="s">
        <v>93</v>
      </c>
      <c r="E73" s="49" t="s">
        <v>94</v>
      </c>
      <c r="F73" s="50">
        <v>2015</v>
      </c>
      <c r="G73" s="50">
        <v>22</v>
      </c>
      <c r="H73" s="89"/>
      <c r="I73" s="85"/>
      <c r="J73" s="86"/>
      <c r="K73" s="33"/>
      <c r="L73" s="36" t="str">
        <f t="shared" si="20"/>
        <v/>
      </c>
      <c r="M73" s="33"/>
      <c r="N73" s="36" t="str">
        <f t="shared" si="4"/>
        <v/>
      </c>
      <c r="O73" s="33"/>
      <c r="P73" s="36" t="str">
        <f t="shared" si="4"/>
        <v/>
      </c>
      <c r="Q73" s="33"/>
      <c r="R73" s="36" t="str">
        <f t="shared" si="5"/>
        <v/>
      </c>
      <c r="S73" s="33"/>
      <c r="T73" s="36" t="str">
        <f t="shared" si="6"/>
        <v/>
      </c>
      <c r="U73" s="33"/>
      <c r="V73" s="36" t="str">
        <f t="shared" si="7"/>
        <v/>
      </c>
      <c r="W73" s="33"/>
      <c r="X73" s="36" t="str">
        <f t="shared" si="8"/>
        <v/>
      </c>
      <c r="Y73" s="33"/>
      <c r="Z73" s="36" t="str">
        <f t="shared" si="9"/>
        <v/>
      </c>
      <c r="AA73" s="33"/>
      <c r="AB73" s="36" t="str">
        <f t="shared" si="10"/>
        <v/>
      </c>
      <c r="AC73" s="33"/>
      <c r="AD73" s="36" t="str">
        <f t="shared" si="11"/>
        <v/>
      </c>
      <c r="AE73" s="33"/>
      <c r="AF73" s="36" t="str">
        <f t="shared" si="12"/>
        <v/>
      </c>
      <c r="AG73" s="33"/>
      <c r="AH73" s="36" t="str">
        <f t="shared" si="12"/>
        <v/>
      </c>
      <c r="AI73" s="33"/>
      <c r="AJ73" s="36" t="str">
        <f t="shared" si="12"/>
        <v/>
      </c>
      <c r="AK73" s="33"/>
      <c r="AL73" s="36" t="str">
        <f t="shared" si="12"/>
        <v/>
      </c>
      <c r="AM73" s="33"/>
      <c r="AN73" s="36" t="str">
        <f t="shared" si="13"/>
        <v/>
      </c>
      <c r="AO73" s="33"/>
      <c r="AP73" s="36" t="str">
        <f t="shared" si="14"/>
        <v/>
      </c>
      <c r="AQ73" s="33"/>
      <c r="AR73" s="36" t="str">
        <f t="shared" si="15"/>
        <v/>
      </c>
      <c r="AS73" s="33"/>
      <c r="AT73" s="36" t="str">
        <f t="shared" si="16"/>
        <v/>
      </c>
      <c r="AU73" s="33"/>
      <c r="AV73" s="36" t="str">
        <f t="shared" si="17"/>
        <v/>
      </c>
      <c r="AW73" s="30"/>
      <c r="AX73" s="36" t="str">
        <f t="shared" si="18"/>
        <v/>
      </c>
      <c r="AY73" s="59"/>
      <c r="AZ73" s="36" t="str">
        <f t="shared" si="19"/>
        <v/>
      </c>
    </row>
    <row r="74" spans="1:53" ht="20" customHeight="1" x14ac:dyDescent="0.2">
      <c r="A74" s="61"/>
      <c r="B74" s="24"/>
      <c r="C74" s="50" t="s">
        <v>49</v>
      </c>
      <c r="D74" s="49" t="s">
        <v>95</v>
      </c>
      <c r="E74" s="49" t="s">
        <v>96</v>
      </c>
      <c r="F74" s="50">
        <v>1996</v>
      </c>
      <c r="G74" s="50">
        <v>71</v>
      </c>
      <c r="H74" s="89"/>
      <c r="I74" s="85"/>
      <c r="J74" s="86"/>
      <c r="K74" s="33"/>
      <c r="L74" s="36" t="str">
        <f t="shared" si="20"/>
        <v/>
      </c>
      <c r="M74" s="33"/>
      <c r="N74" s="36" t="str">
        <f t="shared" si="4"/>
        <v/>
      </c>
      <c r="O74" s="33"/>
      <c r="P74" s="36" t="str">
        <f t="shared" si="4"/>
        <v/>
      </c>
      <c r="Q74" s="33"/>
      <c r="R74" s="36" t="str">
        <f t="shared" si="5"/>
        <v/>
      </c>
      <c r="S74" s="33"/>
      <c r="T74" s="36" t="str">
        <f t="shared" si="6"/>
        <v/>
      </c>
      <c r="U74" s="33"/>
      <c r="V74" s="36" t="str">
        <f t="shared" si="7"/>
        <v/>
      </c>
      <c r="W74" s="33"/>
      <c r="X74" s="36" t="str">
        <f t="shared" si="8"/>
        <v/>
      </c>
      <c r="Y74" s="33"/>
      <c r="Z74" s="36" t="str">
        <f t="shared" si="9"/>
        <v/>
      </c>
      <c r="AA74" s="33"/>
      <c r="AB74" s="36" t="str">
        <f t="shared" si="10"/>
        <v/>
      </c>
      <c r="AC74" s="33"/>
      <c r="AD74" s="36" t="str">
        <f t="shared" si="11"/>
        <v/>
      </c>
      <c r="AE74" s="33"/>
      <c r="AF74" s="36" t="str">
        <f t="shared" si="12"/>
        <v/>
      </c>
      <c r="AG74" s="33"/>
      <c r="AH74" s="36" t="str">
        <f t="shared" si="12"/>
        <v/>
      </c>
      <c r="AI74" s="33"/>
      <c r="AJ74" s="36" t="str">
        <f t="shared" si="12"/>
        <v/>
      </c>
      <c r="AK74" s="33"/>
      <c r="AL74" s="36" t="str">
        <f t="shared" si="12"/>
        <v/>
      </c>
      <c r="AM74" s="33"/>
      <c r="AN74" s="36" t="str">
        <f t="shared" si="13"/>
        <v/>
      </c>
      <c r="AO74" s="33"/>
      <c r="AP74" s="36" t="str">
        <f t="shared" si="14"/>
        <v/>
      </c>
      <c r="AQ74" s="33"/>
      <c r="AR74" s="36" t="str">
        <f t="shared" si="15"/>
        <v/>
      </c>
      <c r="AS74" s="33"/>
      <c r="AT74" s="36" t="str">
        <f t="shared" si="16"/>
        <v/>
      </c>
      <c r="AU74" s="33"/>
      <c r="AV74" s="36" t="str">
        <f t="shared" si="17"/>
        <v/>
      </c>
      <c r="AW74" s="30"/>
      <c r="AX74" s="36" t="str">
        <f t="shared" si="18"/>
        <v/>
      </c>
      <c r="AY74" s="59"/>
      <c r="AZ74" s="36" t="str">
        <f t="shared" si="19"/>
        <v/>
      </c>
    </row>
    <row r="75" spans="1:53" ht="20" customHeight="1" x14ac:dyDescent="0.2">
      <c r="A75" s="60"/>
      <c r="B75" s="83"/>
      <c r="C75" s="50" t="s">
        <v>30</v>
      </c>
      <c r="D75" s="49" t="s">
        <v>97</v>
      </c>
      <c r="E75" s="49" t="s">
        <v>98</v>
      </c>
      <c r="F75" s="50">
        <v>2011</v>
      </c>
      <c r="G75" s="50">
        <v>74</v>
      </c>
      <c r="H75" s="89">
        <v>221</v>
      </c>
      <c r="I75" s="85"/>
      <c r="J75" s="86"/>
      <c r="K75" s="33"/>
      <c r="L75" s="36" t="str">
        <f t="shared" si="20"/>
        <v/>
      </c>
      <c r="M75" s="33"/>
      <c r="N75" s="36" t="str">
        <f t="shared" si="4"/>
        <v/>
      </c>
      <c r="O75" s="33"/>
      <c r="P75" s="36" t="str">
        <f t="shared" si="4"/>
        <v/>
      </c>
      <c r="Q75" s="33"/>
      <c r="R75" s="36" t="str">
        <f t="shared" si="5"/>
        <v/>
      </c>
      <c r="S75" s="33"/>
      <c r="T75" s="36" t="str">
        <f t="shared" si="6"/>
        <v/>
      </c>
      <c r="U75" s="33"/>
      <c r="V75" s="36" t="str">
        <f t="shared" si="7"/>
        <v/>
      </c>
      <c r="W75" s="33"/>
      <c r="X75" s="36" t="str">
        <f t="shared" si="8"/>
        <v/>
      </c>
      <c r="Y75" s="33"/>
      <c r="Z75" s="36" t="str">
        <f t="shared" si="9"/>
        <v/>
      </c>
      <c r="AA75" s="33"/>
      <c r="AB75" s="36" t="str">
        <f t="shared" si="10"/>
        <v/>
      </c>
      <c r="AC75" s="33"/>
      <c r="AD75" s="36" t="str">
        <f t="shared" si="11"/>
        <v/>
      </c>
      <c r="AE75" s="33"/>
      <c r="AF75" s="36" t="str">
        <f t="shared" si="12"/>
        <v/>
      </c>
      <c r="AG75" s="33"/>
      <c r="AH75" s="36" t="str">
        <f t="shared" si="12"/>
        <v/>
      </c>
      <c r="AI75" s="33"/>
      <c r="AJ75" s="36" t="str">
        <f t="shared" si="12"/>
        <v/>
      </c>
      <c r="AK75" s="33"/>
      <c r="AL75" s="36" t="str">
        <f t="shared" ref="AL75:AL112" si="30">IF((ISERROR((AK75/$H75)*100)), "", IF(AND(NOT(ISERROR((AK75/$H75)*100)),((AK75/$H75)*100) &lt;&gt; 0), (AK75/$H75)*100, ""))</f>
        <v/>
      </c>
      <c r="AM75" s="33"/>
      <c r="AN75" s="36" t="str">
        <f t="shared" si="13"/>
        <v/>
      </c>
      <c r="AO75" s="33"/>
      <c r="AP75" s="36" t="str">
        <f t="shared" si="14"/>
        <v/>
      </c>
      <c r="AQ75" s="33"/>
      <c r="AR75" s="36" t="str">
        <f t="shared" si="15"/>
        <v/>
      </c>
      <c r="AS75" s="33"/>
      <c r="AT75" s="36" t="str">
        <f t="shared" si="16"/>
        <v/>
      </c>
      <c r="AU75" s="33"/>
      <c r="AV75" s="36" t="str">
        <f t="shared" si="17"/>
        <v/>
      </c>
      <c r="AW75" s="30"/>
      <c r="AX75" s="36" t="str">
        <f t="shared" si="18"/>
        <v/>
      </c>
      <c r="AY75" s="59"/>
      <c r="AZ75" s="36" t="str">
        <f t="shared" si="19"/>
        <v/>
      </c>
      <c r="BA75" s="23" t="s">
        <v>388</v>
      </c>
    </row>
    <row r="76" spans="1:53" ht="20" customHeight="1" x14ac:dyDescent="0.2">
      <c r="A76" s="60"/>
      <c r="B76" s="82"/>
      <c r="C76" s="24" t="s">
        <v>85</v>
      </c>
      <c r="D76" s="23" t="s">
        <v>99</v>
      </c>
      <c r="E76" s="23" t="s">
        <v>100</v>
      </c>
      <c r="F76" s="24">
        <v>2002</v>
      </c>
      <c r="G76" s="24">
        <v>103</v>
      </c>
      <c r="H76" s="89">
        <v>8</v>
      </c>
      <c r="I76" s="85"/>
      <c r="J76" s="86"/>
      <c r="K76" s="33"/>
      <c r="L76" s="36" t="str">
        <f>IF((ISERROR((K76/$H76)*100)), "", IF(AND(NOT(ISERROR((K76/$H76)*100)),((K76/$H76)*100) &lt;&gt; 0), (K76/$H76)*100, ""))</f>
        <v/>
      </c>
      <c r="M76" s="33"/>
      <c r="N76" s="36" t="str">
        <f>IF((ISERROR((M76/$H76)*100)), "", IF(AND(NOT(ISERROR((M76/$H76)*100)),((M76/$H76)*100) &lt;&gt; 0), (M76/$H76)*100, ""))</f>
        <v/>
      </c>
      <c r="O76" s="33"/>
      <c r="P76" s="36" t="str">
        <f>IF((ISERROR((O76/$H76)*100)), "", IF(AND(NOT(ISERROR((O76/$H76)*100)),((O76/$H76)*100) &lt;&gt; 0), (O76/$H76)*100, ""))</f>
        <v/>
      </c>
      <c r="Q76" s="33"/>
      <c r="R76" s="36" t="str">
        <f>IF((ISERROR((Q76/$H76)*100)), "", IF(AND(NOT(ISERROR((Q76/$H76)*100)),((Q76/$H76)*100) &lt;&gt; 0), (Q76/$H76)*100, ""))</f>
        <v/>
      </c>
      <c r="S76" s="33"/>
      <c r="T76" s="36" t="str">
        <f>IF((ISERROR((S76/$H76)*100)), "", IF(AND(NOT(ISERROR((S76/$H76)*100)),((S76/$H76)*100) &lt;&gt; 0), (S76/$H76)*100, ""))</f>
        <v/>
      </c>
      <c r="U76" s="33"/>
      <c r="V76" s="36" t="str">
        <f>IF((ISERROR((U76/$H76)*100)), "", IF(AND(NOT(ISERROR((U76/$H76)*100)),((U76/$H76)*100) &lt;&gt; 0), (U76/$H76)*100, ""))</f>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33"/>
      <c r="AF76" s="36" t="str">
        <f t="shared" ref="AF76" si="31">IF((ISERROR((AE76/$H76)*100)), "", IF(AND(NOT(ISERROR((AE76/$H76)*100)),((AE76/$H76)*100) &lt;&gt; 0), (AE76/$H76)*100, ""))</f>
        <v/>
      </c>
      <c r="AG76" s="33"/>
      <c r="AH76" s="36" t="str">
        <f>IF((ISERROR((AG76/$H76)*100)), "", IF(AND(NOT(ISERROR((AG76/$H76)*100)),((AG76/$H76)*100) &lt;&gt; 0), (AG76/$H76)*100, ""))</f>
        <v/>
      </c>
      <c r="AI76" s="33"/>
      <c r="AJ76" s="36" t="str">
        <f>IF((ISERROR((AI76/$H76)*100)), "", IF(AND(NOT(ISERROR((AI76/$H76)*100)),((AI76/$H76)*100) &lt;&gt; 0), (AI76/$H76)*100, ""))</f>
        <v/>
      </c>
      <c r="AK76" s="33"/>
      <c r="AL76" s="36" t="str">
        <f>IF((ISERROR((AK76/$H76)*100)), "", IF(AND(NOT(ISERROR((AK76/$H76)*100)),((AK76/$H76)*100) &lt;&gt; 0), (AK76/$H76)*100, ""))</f>
        <v/>
      </c>
      <c r="AM76" s="33"/>
      <c r="AN76" s="36" t="str">
        <f>IF((ISERROR((AM76/$H76)*100)), "", IF(AND(NOT(ISERROR((AM76/$H76)*100)),((AM76/$H76)*100) &lt;&gt; 0), (AM76/$H76)*100, ""))</f>
        <v/>
      </c>
      <c r="AO76" s="33"/>
      <c r="AP76" s="36" t="str">
        <f>IF((ISERROR((AO76/$H76)*100)), "", IF(AND(NOT(ISERROR((AO76/$H76)*100)),((AO76/$H76)*100) &lt;&gt; 0), (AO76/$H76)*100, ""))</f>
        <v/>
      </c>
      <c r="AQ76" s="33"/>
      <c r="AR76" s="36" t="str">
        <f t="shared" ref="AR76" si="32">IF((ISERROR((AQ76/$H76)*100)), "", IF(AND(NOT(ISERROR((AQ76/$H76)*100)),((AQ76/$H76)*100) &lt;&gt; 0), (AQ76/$H76)*100, ""))</f>
        <v/>
      </c>
      <c r="AS76" s="33"/>
      <c r="AT76" s="36" t="str">
        <f>IF((ISERROR((AS76/$H76)*100)), "", IF(AND(NOT(ISERROR((AS76/$H76)*100)),((AS76/$H76)*100) &lt;&gt; 0), (AS76/$H76)*100, ""))</f>
        <v/>
      </c>
      <c r="AU76" s="33"/>
      <c r="AV76" s="36" t="str">
        <f>IF((ISERROR((AU76/$H76)*100)), "", IF(AND(NOT(ISERROR((AU76/$H76)*100)),((AU76/$H76)*100) &lt;&gt; 0), (AU76/$H76)*100, ""))</f>
        <v/>
      </c>
      <c r="AW76" s="76">
        <v>2</v>
      </c>
      <c r="AX76" s="36">
        <f t="shared" ref="AX76" si="33">IF((ISERROR((AW76/$H76)*100)), "", IF(AND(NOT(ISERROR((AW76/$H76)*100)),((AW76/$H76)*100) &lt;&gt; 0), (AW76/$H76)*100, ""))</f>
        <v>25</v>
      </c>
      <c r="AY76" s="76"/>
      <c r="AZ76" s="36" t="str">
        <f t="shared" ref="AZ76" si="34">IF((ISERROR((AY76/$H76)*100)), "", IF(AND(NOT(ISERROR((AY76/$H76)*100)),((AY76/$H76)*100) &lt;&gt; 0), (AY76/$H76)*100, ""))</f>
        <v/>
      </c>
      <c r="BA76" s="23" t="s">
        <v>203</v>
      </c>
    </row>
    <row r="77" spans="1:53" ht="20" customHeight="1" x14ac:dyDescent="0.2">
      <c r="A77" s="60"/>
      <c r="B77" s="83"/>
      <c r="C77" s="50" t="s">
        <v>30</v>
      </c>
      <c r="D77" s="49" t="s">
        <v>101</v>
      </c>
      <c r="E77" s="49" t="s">
        <v>102</v>
      </c>
      <c r="F77" s="50">
        <v>2014</v>
      </c>
      <c r="G77" s="50">
        <v>30</v>
      </c>
      <c r="H77" s="89"/>
      <c r="I77" s="85"/>
      <c r="J77" s="86"/>
      <c r="K77" s="33">
        <v>2</v>
      </c>
      <c r="L77" s="36" t="str">
        <f t="shared" si="20"/>
        <v/>
      </c>
      <c r="M77" s="33"/>
      <c r="N77" s="36" t="str">
        <f t="shared" si="4"/>
        <v/>
      </c>
      <c r="O77" s="33"/>
      <c r="P77" s="36" t="str">
        <f t="shared" si="4"/>
        <v/>
      </c>
      <c r="Q77" s="38"/>
      <c r="R77" s="39" t="str">
        <f t="shared" ref="R77:R112" si="35">IF((ISERROR((Q77/$H77)*100)), "", IF(AND(NOT(ISERROR((Q77/$H77)*100)),((Q77/$H77)*100) &lt;&gt; 0), (Q77/$H77)*100, ""))</f>
        <v/>
      </c>
      <c r="S77" s="38"/>
      <c r="T77" s="39" t="str">
        <f t="shared" ref="T77:T112" si="36">IF((ISERROR((S77/$H77)*100)), "", IF(AND(NOT(ISERROR((S77/$H77)*100)),((S77/$H77)*100) &lt;&gt; 0), (S77/$H77)*100, ""))</f>
        <v/>
      </c>
      <c r="U77" s="33">
        <v>2</v>
      </c>
      <c r="V77" s="36" t="str">
        <f t="shared" ref="V77:V112" si="37">IF((ISERROR((U77/$H77)*100)), "", IF(AND(NOT(ISERROR((U77/$H77)*100)),((U77/$H77)*100) &lt;&gt; 0), (U77/$H77)*100, ""))</f>
        <v/>
      </c>
      <c r="W77" s="33"/>
      <c r="X77" s="36" t="str">
        <f t="shared" ref="X77:X112" si="38">IF((ISERROR((W77/$H77)*100)), "", IF(AND(NOT(ISERROR((W77/$H77)*100)),((W77/$H77)*100) &lt;&gt; 0), (W77/$H77)*100, ""))</f>
        <v/>
      </c>
      <c r="Y77" s="33"/>
      <c r="Z77" s="36" t="str">
        <f t="shared" ref="Z77:Z112" si="39">IF((ISERROR((Y77/$H77)*100)), "", IF(AND(NOT(ISERROR((Y77/$H77)*100)),((Y77/$H77)*100) &lt;&gt; 0), (Y77/$H77)*100, ""))</f>
        <v/>
      </c>
      <c r="AA77" s="33">
        <v>1</v>
      </c>
      <c r="AB77" s="36" t="str">
        <f t="shared" ref="AB77:AB112" si="40">IF((ISERROR((AA77/$H77)*100)), "", IF(AND(NOT(ISERROR((AA77/$H77)*100)),((AA77/$H77)*100) &lt;&gt; 0), (AA77/$H77)*100, ""))</f>
        <v/>
      </c>
      <c r="AC77" s="33"/>
      <c r="AD77" s="36" t="str">
        <f t="shared" ref="AD77:AD112" si="41">IF((ISERROR((AC77/$H77)*100)), "", IF(AND(NOT(ISERROR((AC77/$H77)*100)),((AC77/$H77)*100) &lt;&gt; 0), (AC77/$H77)*100, ""))</f>
        <v/>
      </c>
      <c r="AE77" s="33"/>
      <c r="AF77" s="36" t="str">
        <f t="shared" ref="AF77:AF114" si="42">IF((ISERROR((AE77/$H77)*100)), "", IF(AND(NOT(ISERROR((AE77/$H77)*100)),((AE77/$H77)*100) &lt;&gt; 0), (AE77/$H77)*100, ""))</f>
        <v/>
      </c>
      <c r="AG77" s="33"/>
      <c r="AH77" s="36" t="str">
        <f t="shared" ref="AH77:AH112" si="43">IF((ISERROR((AG77/$H77)*100)), "", IF(AND(NOT(ISERROR((AG77/$H77)*100)),((AG77/$H77)*100) &lt;&gt; 0), (AG77/$H77)*100, ""))</f>
        <v/>
      </c>
      <c r="AI77" s="33"/>
      <c r="AJ77" s="36" t="str">
        <f t="shared" ref="AJ77:AJ112" si="44">IF((ISERROR((AI77/$H77)*100)), "", IF(AND(NOT(ISERROR((AI77/$H77)*100)),((AI77/$H77)*100) &lt;&gt; 0), (AI77/$H77)*100, ""))</f>
        <v/>
      </c>
      <c r="AK77" s="33"/>
      <c r="AL77" s="36" t="str">
        <f t="shared" si="30"/>
        <v/>
      </c>
      <c r="AM77" s="33"/>
      <c r="AN77" s="36" t="str">
        <f t="shared" ref="AN77:AN112" si="45">IF((ISERROR((AM77/$H77)*100)), "", IF(AND(NOT(ISERROR((AM77/$H77)*100)),((AM77/$H77)*100) &lt;&gt; 0), (AM77/$H77)*100, ""))</f>
        <v/>
      </c>
      <c r="AO77" s="33"/>
      <c r="AP77" s="36" t="str">
        <f t="shared" ref="AP77:AP112" si="46">IF((ISERROR((AO77/$H77)*100)), "", IF(AND(NOT(ISERROR((AO77/$H77)*100)),((AO77/$H77)*100) &lt;&gt; 0), (AO77/$H77)*100, ""))</f>
        <v/>
      </c>
      <c r="AQ77" s="33"/>
      <c r="AR77" s="36" t="str">
        <f t="shared" ref="AR77:AR114" si="47">IF((ISERROR((AQ77/$H77)*100)), "", IF(AND(NOT(ISERROR((AQ77/$H77)*100)),((AQ77/$H77)*100) &lt;&gt; 0), (AQ77/$H77)*100, ""))</f>
        <v/>
      </c>
      <c r="AS77" s="33"/>
      <c r="AT77" s="36" t="str">
        <f t="shared" ref="AT77:AT112" si="48">IF((ISERROR((AS77/$H77)*100)), "", IF(AND(NOT(ISERROR((AS77/$H77)*100)),((AS77/$H77)*100) &lt;&gt; 0), (AS77/$H77)*100, ""))</f>
        <v/>
      </c>
      <c r="AU77" s="33"/>
      <c r="AV77" s="36" t="str">
        <f t="shared" ref="AV77:AV112" si="49">IF((ISERROR((AU77/$H77)*100)), "", IF(AND(NOT(ISERROR((AU77/$H77)*100)),((AU77/$H77)*100) &lt;&gt; 0), (AU77/$H77)*100, ""))</f>
        <v/>
      </c>
      <c r="AW77" s="30"/>
      <c r="AX77" s="36" t="str">
        <f t="shared" ref="AX77:AX114" si="50">IF((ISERROR((AW77/$H77)*100)), "", IF(AND(NOT(ISERROR((AW77/$H77)*100)),((AW77/$H77)*100) &lt;&gt; 0), (AW77/$H77)*100, ""))</f>
        <v/>
      </c>
      <c r="AY77" s="59"/>
      <c r="AZ77" s="36" t="str">
        <f t="shared" ref="AZ77:AZ114" si="51">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ref="L78:L112" si="52">IF((ISERROR((K78/$H78)*100)), "", IF(AND(NOT(ISERROR((K78/$H78)*100)),((K78/$H78)*100) &lt;&gt; 0), (K78/$H78)*100, ""))</f>
        <v/>
      </c>
      <c r="M78" s="33"/>
      <c r="N78" s="36" t="str">
        <f t="shared" si="4"/>
        <v/>
      </c>
      <c r="O78" s="33"/>
      <c r="P78" s="36" t="str">
        <f t="shared" si="4"/>
        <v/>
      </c>
      <c r="Q78" s="33"/>
      <c r="R78" s="36" t="str">
        <f t="shared" si="35"/>
        <v/>
      </c>
      <c r="S78" s="33"/>
      <c r="T78" s="36" t="str">
        <f t="shared" si="36"/>
        <v/>
      </c>
      <c r="U78" s="33"/>
      <c r="V78" s="36" t="str">
        <f t="shared" si="37"/>
        <v/>
      </c>
      <c r="W78" s="33"/>
      <c r="X78" s="36" t="str">
        <f t="shared" si="38"/>
        <v/>
      </c>
      <c r="Y78" s="33"/>
      <c r="Z78" s="36" t="str">
        <f t="shared" si="39"/>
        <v/>
      </c>
      <c r="AA78" s="33"/>
      <c r="AB78" s="36" t="str">
        <f t="shared" si="40"/>
        <v/>
      </c>
      <c r="AC78" s="33"/>
      <c r="AD78" s="36" t="str">
        <f t="shared" si="41"/>
        <v/>
      </c>
      <c r="AE78" s="33"/>
      <c r="AF78" s="36" t="str">
        <f t="shared" si="42"/>
        <v/>
      </c>
      <c r="AG78" s="33"/>
      <c r="AH78" s="36" t="str">
        <f t="shared" si="43"/>
        <v/>
      </c>
      <c r="AI78" s="33"/>
      <c r="AJ78" s="36" t="str">
        <f t="shared" si="44"/>
        <v/>
      </c>
      <c r="AK78" s="33"/>
      <c r="AL78" s="36" t="str">
        <f t="shared" si="30"/>
        <v/>
      </c>
      <c r="AM78" s="33"/>
      <c r="AN78" s="36" t="str">
        <f t="shared" si="45"/>
        <v/>
      </c>
      <c r="AO78" s="33"/>
      <c r="AP78" s="36" t="str">
        <f t="shared" si="46"/>
        <v/>
      </c>
      <c r="AQ78" s="33"/>
      <c r="AR78" s="36" t="str">
        <f t="shared" si="47"/>
        <v/>
      </c>
      <c r="AS78" s="33"/>
      <c r="AT78" s="36" t="str">
        <f t="shared" si="48"/>
        <v/>
      </c>
      <c r="AU78" s="33"/>
      <c r="AV78" s="36" t="str">
        <f t="shared" si="49"/>
        <v/>
      </c>
      <c r="AW78" s="31"/>
      <c r="AX78" s="36" t="str">
        <f t="shared" si="50"/>
        <v/>
      </c>
      <c r="AY78" s="59"/>
      <c r="AZ78" s="36" t="str">
        <f t="shared" si="51"/>
        <v/>
      </c>
      <c r="BA78" s="23" t="s">
        <v>366</v>
      </c>
    </row>
    <row r="79" spans="1:53" ht="20" customHeight="1" x14ac:dyDescent="0.2">
      <c r="A79" s="60"/>
      <c r="B79" s="83"/>
      <c r="C79" s="24" t="s">
        <v>85</v>
      </c>
      <c r="D79" s="23" t="s">
        <v>304</v>
      </c>
      <c r="E79" s="23" t="s">
        <v>305</v>
      </c>
      <c r="F79" s="24">
        <v>2015</v>
      </c>
      <c r="H79" s="89">
        <v>41</v>
      </c>
      <c r="I79" s="85" t="s">
        <v>186</v>
      </c>
      <c r="J79" s="86"/>
      <c r="K79" s="33"/>
      <c r="L79" s="36" t="str">
        <f>IF((ISERROR((K79/$H79)*100)), "", IF(AND(NOT(ISERROR((K79/$H79)*100)),((K79/$H79)*100) &lt;&gt; 0), (K79/$H79)*100, ""))</f>
        <v/>
      </c>
      <c r="M79" s="33"/>
      <c r="N79" s="36" t="str">
        <f>IF((ISERROR((M79/$H79)*100)), "", IF(AND(NOT(ISERROR((M79/$H79)*100)),((M79/$H79)*100) &lt;&gt; 0), (M79/$H79)*100, ""))</f>
        <v/>
      </c>
      <c r="O79" s="33"/>
      <c r="P79" s="36" t="str">
        <f>IF((ISERROR((O79/$H79)*100)), "", IF(AND(NOT(ISERROR((O79/$H79)*100)),((O79/$H79)*100) &lt;&gt; 0), (O79/$H79)*100, ""))</f>
        <v/>
      </c>
      <c r="Q79" s="33"/>
      <c r="R79" s="36" t="str">
        <f>IF((ISERROR((Q79/$H79)*100)), "", IF(AND(NOT(ISERROR((Q79/$H79)*100)),((Q79/$H79)*100) &lt;&gt; 0), (Q79/$H79)*100, ""))</f>
        <v/>
      </c>
      <c r="S79" s="33"/>
      <c r="T79" s="36" t="str">
        <f>IF((ISERROR((S79/$H79)*100)), "", IF(AND(NOT(ISERROR((S79/$H79)*100)),((S79/$H79)*100) &lt;&gt; 0), (S79/$H79)*100, ""))</f>
        <v/>
      </c>
      <c r="U79" s="33"/>
      <c r="V79" s="36" t="str">
        <f>IF((ISERROR((U79/$H79)*100)), "", IF(AND(NOT(ISERROR((U79/$H79)*100)),((U79/$H79)*100) &lt;&gt; 0), (U79/$H79)*100, ""))</f>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33"/>
      <c r="AF79" s="36" t="str">
        <f t="shared" si="42"/>
        <v/>
      </c>
      <c r="AG79" s="33"/>
      <c r="AH79" s="36" t="str">
        <f>IF((ISERROR((AG79/$H79)*100)), "", IF(AND(NOT(ISERROR((AG79/$H79)*100)),((AG79/$H79)*100) &lt;&gt; 0), (AG79/$H79)*100, ""))</f>
        <v/>
      </c>
      <c r="AI79" s="33"/>
      <c r="AJ79" s="36" t="str">
        <f>IF((ISERROR((AI79/$H79)*100)), "", IF(AND(NOT(ISERROR((AI79/$H79)*100)),((AI79/$H79)*100) &lt;&gt; 0), (AI79/$H79)*100, ""))</f>
        <v/>
      </c>
      <c r="AK79" s="33"/>
      <c r="AL79" s="36" t="str">
        <f>IF((ISERROR((AK79/$H79)*100)), "", IF(AND(NOT(ISERROR((AK79/$H79)*100)),((AK79/$H79)*100) &lt;&gt; 0), (AK79/$H79)*100, ""))</f>
        <v/>
      </c>
      <c r="AM79" s="33"/>
      <c r="AN79" s="36" t="str">
        <f>IF((ISERROR((AM79/$H79)*100)), "", IF(AND(NOT(ISERROR((AM79/$H79)*100)),((AM79/$H79)*100) &lt;&gt; 0), (AM79/$H79)*100, ""))</f>
        <v/>
      </c>
      <c r="AO79" s="33"/>
      <c r="AP79" s="36" t="str">
        <f>IF((ISERROR((AO79/$H79)*100)), "", IF(AND(NOT(ISERROR((AO79/$H79)*100)),((AO79/$H79)*100) &lt;&gt; 0), (AO79/$H79)*100, ""))</f>
        <v/>
      </c>
      <c r="AQ79" s="33"/>
      <c r="AR79" s="36" t="str">
        <f t="shared" si="47"/>
        <v/>
      </c>
      <c r="AS79" s="33"/>
      <c r="AT79" s="36" t="str">
        <f>IF((ISERROR((AS79/$H79)*100)), "", IF(AND(NOT(ISERROR((AS79/$H79)*100)),((AS79/$H79)*100) &lt;&gt; 0), (AS79/$H79)*100, ""))</f>
        <v/>
      </c>
      <c r="AU79" s="33"/>
      <c r="AV79" s="36" t="str">
        <f>IF((ISERROR((AU79/$H79)*100)), "", IF(AND(NOT(ISERROR((AU79/$H79)*100)),((AU79/$H79)*100) &lt;&gt; 0), (AU79/$H79)*100, ""))</f>
        <v/>
      </c>
      <c r="AW79" s="76"/>
      <c r="AX79" s="36" t="str">
        <f t="shared" si="50"/>
        <v/>
      </c>
      <c r="AY79" s="76"/>
      <c r="AZ79" s="36" t="str">
        <f t="shared" si="51"/>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v>3</v>
      </c>
      <c r="L80" s="36">
        <f t="shared" si="52"/>
        <v>3.0927835051546393</v>
      </c>
      <c r="M80" s="33">
        <v>6</v>
      </c>
      <c r="N80" s="36">
        <f t="shared" si="4"/>
        <v>6.1855670103092786</v>
      </c>
      <c r="O80" s="33"/>
      <c r="P80" s="36" t="str">
        <f t="shared" si="4"/>
        <v/>
      </c>
      <c r="Q80" s="33">
        <v>4</v>
      </c>
      <c r="R80" s="36">
        <f t="shared" si="35"/>
        <v>4.1237113402061851</v>
      </c>
      <c r="S80" s="33"/>
      <c r="T80" s="36" t="str">
        <f t="shared" si="36"/>
        <v/>
      </c>
      <c r="U80" s="33"/>
      <c r="V80" s="36" t="str">
        <f t="shared" si="37"/>
        <v/>
      </c>
      <c r="W80" s="33"/>
      <c r="X80" s="36" t="str">
        <f t="shared" si="38"/>
        <v/>
      </c>
      <c r="Y80" s="33"/>
      <c r="Z80" s="36" t="str">
        <f t="shared" si="39"/>
        <v/>
      </c>
      <c r="AA80" s="33"/>
      <c r="AB80" s="36" t="str">
        <f t="shared" si="40"/>
        <v/>
      </c>
      <c r="AC80" s="33">
        <v>1</v>
      </c>
      <c r="AD80" s="36">
        <f t="shared" si="41"/>
        <v>1.0309278350515463</v>
      </c>
      <c r="AE80" s="33"/>
      <c r="AF80" s="36" t="str">
        <f t="shared" si="42"/>
        <v/>
      </c>
      <c r="AG80" s="33"/>
      <c r="AH80" s="36" t="str">
        <f t="shared" si="43"/>
        <v/>
      </c>
      <c r="AI80" s="33">
        <v>1</v>
      </c>
      <c r="AJ80" s="36">
        <f t="shared" si="44"/>
        <v>1.0309278350515463</v>
      </c>
      <c r="AK80" s="33"/>
      <c r="AL80" s="36" t="str">
        <f t="shared" si="30"/>
        <v/>
      </c>
      <c r="AM80" s="33"/>
      <c r="AN80" s="36" t="str">
        <f t="shared" si="45"/>
        <v/>
      </c>
      <c r="AO80" s="33"/>
      <c r="AP80" s="36" t="str">
        <f t="shared" si="46"/>
        <v/>
      </c>
      <c r="AQ80" s="33"/>
      <c r="AR80" s="36" t="str">
        <f t="shared" si="47"/>
        <v/>
      </c>
      <c r="AS80" s="33"/>
      <c r="AT80" s="36" t="str">
        <f t="shared" si="48"/>
        <v/>
      </c>
      <c r="AU80" s="33"/>
      <c r="AV80" s="36" t="str">
        <f t="shared" si="49"/>
        <v/>
      </c>
      <c r="AW80" s="30">
        <v>16</v>
      </c>
      <c r="AX80" s="36">
        <f t="shared" si="50"/>
        <v>16.494845360824741</v>
      </c>
      <c r="AY80" s="59"/>
      <c r="AZ80" s="36" t="str">
        <f t="shared" si="51"/>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IF((ISERROR((K81/$H81)*100)), "", IF(AND(NOT(ISERROR((K81/$H81)*100)),((K81/$H81)*100) &lt;&gt; 0), (K81/$H81)*100, ""))</f>
        <v/>
      </c>
      <c r="M81" s="33"/>
      <c r="N81" s="36" t="str">
        <f>IF((ISERROR((M81/$H81)*100)), "", IF(AND(NOT(ISERROR((M81/$H81)*100)),((M81/$H81)*100) &lt;&gt; 0), (M81/$H81)*100, ""))</f>
        <v/>
      </c>
      <c r="O81" s="33"/>
      <c r="P81" s="36" t="str">
        <f>IF((ISERROR((O81/$H81)*100)), "", IF(AND(NOT(ISERROR((O81/$H81)*100)),((O81/$H81)*100) &lt;&gt; 0), (O81/$H81)*100, ""))</f>
        <v/>
      </c>
      <c r="Q81" s="33"/>
      <c r="R81" s="36" t="str">
        <f>IF((ISERROR((Q81/$H81)*100)), "", IF(AND(NOT(ISERROR((Q81/$H81)*100)),((Q81/$H81)*100) &lt;&gt; 0), (Q81/$H81)*100, ""))</f>
        <v/>
      </c>
      <c r="S81" s="33"/>
      <c r="T81" s="36" t="str">
        <f>IF((ISERROR((S81/$H81)*100)), "", IF(AND(NOT(ISERROR((S81/$H81)*100)),((S81/$H81)*100) &lt;&gt; 0), (S81/$H81)*100, ""))</f>
        <v/>
      </c>
      <c r="U81" s="33"/>
      <c r="V81" s="36" t="str">
        <f>IF((ISERROR((U81/$H81)*100)), "", IF(AND(NOT(ISERROR((U81/$H81)*100)),((U81/$H81)*100) &lt;&gt; 0), (U81/$H81)*100, ""))</f>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33"/>
      <c r="AF81" s="36" t="str">
        <f t="shared" si="42"/>
        <v/>
      </c>
      <c r="AG81" s="33"/>
      <c r="AH81" s="36" t="str">
        <f>IF((ISERROR((AG81/$H81)*100)), "", IF(AND(NOT(ISERROR((AG81/$H81)*100)),((AG81/$H81)*100) &lt;&gt; 0), (AG81/$H81)*100, ""))</f>
        <v/>
      </c>
      <c r="AI81" s="33"/>
      <c r="AJ81" s="36" t="str">
        <f>IF((ISERROR((AI81/$H81)*100)), "", IF(AND(NOT(ISERROR((AI81/$H81)*100)),((AI81/$H81)*100) &lt;&gt; 0), (AI81/$H81)*100, ""))</f>
        <v/>
      </c>
      <c r="AK81" s="33"/>
      <c r="AL81" s="36" t="str">
        <f>IF((ISERROR((AK81/$H81)*100)), "", IF(AND(NOT(ISERROR((AK81/$H81)*100)),((AK81/$H81)*100) &lt;&gt; 0), (AK81/$H81)*100, ""))</f>
        <v/>
      </c>
      <c r="AM81" s="33"/>
      <c r="AN81" s="36" t="str">
        <f>IF((ISERROR((AM81/$H81)*100)), "", IF(AND(NOT(ISERROR((AM81/$H81)*100)),((AM81/$H81)*100) &lt;&gt; 0), (AM81/$H81)*100, ""))</f>
        <v/>
      </c>
      <c r="AO81" s="33"/>
      <c r="AP81" s="36" t="str">
        <f>IF((ISERROR((AO81/$H81)*100)), "", IF(AND(NOT(ISERROR((AO81/$H81)*100)),((AO81/$H81)*100) &lt;&gt; 0), (AO81/$H81)*100, ""))</f>
        <v/>
      </c>
      <c r="AQ81" s="33"/>
      <c r="AR81" s="36" t="str">
        <f t="shared" si="47"/>
        <v/>
      </c>
      <c r="AS81" s="33"/>
      <c r="AT81" s="36" t="str">
        <f>IF((ISERROR((AS81/$H81)*100)), "", IF(AND(NOT(ISERROR((AS81/$H81)*100)),((AS81/$H81)*100) &lt;&gt; 0), (AS81/$H81)*100, ""))</f>
        <v/>
      </c>
      <c r="AU81" s="33"/>
      <c r="AV81" s="36" t="str">
        <f>IF((ISERROR((AU81/$H81)*100)), "", IF(AND(NOT(ISERROR((AU81/$H81)*100)),((AU81/$H81)*100) &lt;&gt; 0), (AU81/$H81)*100, ""))</f>
        <v/>
      </c>
      <c r="AW81" s="76"/>
      <c r="AX81" s="36"/>
      <c r="AY81" s="76"/>
      <c r="AZ81" s="36" t="str">
        <f t="shared" si="51"/>
        <v/>
      </c>
      <c r="BA81" s="23" t="s">
        <v>423</v>
      </c>
    </row>
    <row r="82" spans="1:53" ht="20" customHeight="1" x14ac:dyDescent="0.2">
      <c r="A82" s="61"/>
      <c r="B82" s="24"/>
      <c r="C82" s="24" t="s">
        <v>85</v>
      </c>
      <c r="D82" s="23" t="s">
        <v>105</v>
      </c>
      <c r="E82" s="23" t="s">
        <v>106</v>
      </c>
      <c r="F82" s="24">
        <v>1989</v>
      </c>
      <c r="G82" s="24">
        <v>27</v>
      </c>
      <c r="H82" s="89"/>
      <c r="I82" s="85" t="s">
        <v>211</v>
      </c>
      <c r="J82" s="86" t="s">
        <v>179</v>
      </c>
      <c r="K82" s="33"/>
      <c r="L82" s="36" t="str">
        <f>IF((ISERROR((K82/$H82)*100)), "", IF(AND(NOT(ISERROR((K82/$H82)*100)),((K82/$H82)*100) &lt;&gt; 0), (K82/$H82)*100, ""))</f>
        <v/>
      </c>
      <c r="M82" s="33"/>
      <c r="N82" s="36" t="str">
        <f>IF((ISERROR((M82/$H82)*100)), "", IF(AND(NOT(ISERROR((M82/$H82)*100)),((M82/$H82)*100) &lt;&gt; 0), (M82/$H82)*100, ""))</f>
        <v/>
      </c>
      <c r="O82" s="33"/>
      <c r="P82" s="36" t="str">
        <f>IF((ISERROR((O82/$H82)*100)), "", IF(AND(NOT(ISERROR((O82/$H82)*100)),((O82/$H82)*100) &lt;&gt; 0), (O82/$H82)*100, ""))</f>
        <v/>
      </c>
      <c r="Q82" s="33"/>
      <c r="R82" s="36" t="str">
        <f>IF((ISERROR((Q82/$H82)*100)), "", IF(AND(NOT(ISERROR((Q82/$H82)*100)),((Q82/$H82)*100) &lt;&gt; 0), (Q82/$H82)*100, ""))</f>
        <v/>
      </c>
      <c r="S82" s="33"/>
      <c r="T82" s="36" t="str">
        <f>IF((ISERROR((S82/$H82)*100)), "", IF(AND(NOT(ISERROR((S82/$H82)*100)),((S82/$H82)*100) &lt;&gt; 0), (S82/$H82)*100, ""))</f>
        <v/>
      </c>
      <c r="U82" s="33"/>
      <c r="V82" s="36" t="str">
        <f>IF((ISERROR((U82/$H82)*100)), "", IF(AND(NOT(ISERROR((U82/$H82)*100)),((U82/$H82)*100) &lt;&gt; 0), (U82/$H82)*100, ""))</f>
        <v/>
      </c>
      <c r="W82" s="33"/>
      <c r="X82" s="36" t="str">
        <f>IF((ISERROR((W82/$H82)*100)), "", IF(AND(NOT(ISERROR((W82/$H82)*100)),((W82/$H82)*100) &lt;&gt; 0), (W82/$H82)*100, ""))</f>
        <v/>
      </c>
      <c r="Y82" s="38"/>
      <c r="Z82" s="39"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33"/>
      <c r="AF82" s="36" t="str">
        <f t="shared" si="42"/>
        <v/>
      </c>
      <c r="AG82" s="33"/>
      <c r="AH82" s="36" t="str">
        <f>IF((ISERROR((AG82/$H82)*100)), "", IF(AND(NOT(ISERROR((AG82/$H82)*100)),((AG82/$H82)*100) &lt;&gt; 0), (AG82/$H82)*100, ""))</f>
        <v/>
      </c>
      <c r="AI82" s="33"/>
      <c r="AJ82" s="36" t="str">
        <f>IF((ISERROR((AI82/$H82)*100)), "", IF(AND(NOT(ISERROR((AI82/$H82)*100)),((AI82/$H82)*100) &lt;&gt; 0), (AI82/$H82)*100, ""))</f>
        <v/>
      </c>
      <c r="AK82" s="33"/>
      <c r="AL82" s="36" t="str">
        <f>IF((ISERROR((AK82/$H82)*100)), "", IF(AND(NOT(ISERROR((AK82/$H82)*100)),((AK82/$H82)*100) &lt;&gt; 0), (AK82/$H82)*100, ""))</f>
        <v/>
      </c>
      <c r="AM82" s="33"/>
      <c r="AN82" s="36" t="str">
        <f>IF((ISERROR((AM82/$H82)*100)), "", IF(AND(NOT(ISERROR((AM82/$H82)*100)),((AM82/$H82)*100) &lt;&gt; 0), (AM82/$H82)*100, ""))</f>
        <v/>
      </c>
      <c r="AO82" s="33"/>
      <c r="AP82" s="36" t="str">
        <f>IF((ISERROR((AO82/$H82)*100)), "", IF(AND(NOT(ISERROR((AO82/$H82)*100)),((AO82/$H82)*100) &lt;&gt; 0), (AO82/$H82)*100, ""))</f>
        <v/>
      </c>
      <c r="AQ82" s="33"/>
      <c r="AR82" s="36" t="str">
        <f t="shared" si="47"/>
        <v/>
      </c>
      <c r="AS82" s="33"/>
      <c r="AT82" s="36" t="str">
        <f>IF((ISERROR((AS82/$H82)*100)), "", IF(AND(NOT(ISERROR((AS82/$H82)*100)),((AS82/$H82)*100) &lt;&gt; 0), (AS82/$H82)*100, ""))</f>
        <v/>
      </c>
      <c r="AU82" s="33"/>
      <c r="AV82" s="36" t="str">
        <f>IF((ISERROR((AU82/$H82)*100)), "", IF(AND(NOT(ISERROR((AU82/$H82)*100)),((AU82/$H82)*100) &lt;&gt; 0), (AU82/$H82)*100, ""))</f>
        <v/>
      </c>
      <c r="AW82" s="76"/>
      <c r="AX82" s="36" t="str">
        <f t="shared" ref="AX82:AX83" si="53">IF((ISERROR((AW82/$H82)*100)), "", IF(AND(NOT(ISERROR((AW82/$H82)*100)),((AW82/$H82)*100) &lt;&gt; 0), (AW82/$H82)*100, ""))</f>
        <v/>
      </c>
      <c r="AY82" s="76"/>
      <c r="AZ82" s="36" t="str">
        <f t="shared" si="51"/>
        <v/>
      </c>
    </row>
    <row r="83" spans="1:53" ht="20" customHeight="1" x14ac:dyDescent="0.2">
      <c r="A83" s="61"/>
      <c r="B83" s="83"/>
      <c r="C83" s="24" t="s">
        <v>85</v>
      </c>
      <c r="D83" s="23" t="s">
        <v>308</v>
      </c>
      <c r="E83" s="23" t="s">
        <v>309</v>
      </c>
      <c r="F83" s="24">
        <v>2011</v>
      </c>
      <c r="H83" s="89"/>
      <c r="I83" s="85"/>
      <c r="J83" s="86"/>
      <c r="K83" s="33"/>
      <c r="L83" s="36" t="str">
        <f>IF((ISERROR((K83/$H83)*100)), "", IF(AND(NOT(ISERROR((K83/$H83)*100)),((K83/$H83)*100) &lt;&gt; 0), (K83/$H83)*100, ""))</f>
        <v/>
      </c>
      <c r="M83" s="33"/>
      <c r="N83" s="36" t="str">
        <f>IF((ISERROR((M83/$H83)*100)), "", IF(AND(NOT(ISERROR((M83/$H83)*100)),((M83/$H83)*100) &lt;&gt; 0), (M83/$H83)*100, ""))</f>
        <v/>
      </c>
      <c r="O83" s="33"/>
      <c r="P83" s="36" t="str">
        <f>IF((ISERROR((O83/$H83)*100)), "", IF(AND(NOT(ISERROR((O83/$H83)*100)),((O83/$H83)*100) &lt;&gt; 0), (O83/$H83)*100, ""))</f>
        <v/>
      </c>
      <c r="Q83" s="33"/>
      <c r="R83" s="36" t="str">
        <f>IF((ISERROR((Q83/$H83)*100)), "", IF(AND(NOT(ISERROR((Q83/$H83)*100)),((Q83/$H83)*100) &lt;&gt; 0), (Q83/$H83)*100, ""))</f>
        <v/>
      </c>
      <c r="S83" s="33"/>
      <c r="T83" s="36" t="str">
        <f>IF((ISERROR((S83/$H83)*100)), "", IF(AND(NOT(ISERROR((S83/$H83)*100)),((S83/$H83)*100) &lt;&gt; 0), (S83/$H83)*100, ""))</f>
        <v/>
      </c>
      <c r="U83" s="33"/>
      <c r="V83" s="36" t="str">
        <f>IF((ISERROR((U83/$H83)*100)), "", IF(AND(NOT(ISERROR((U83/$H83)*100)),((U83/$H83)*100) &lt;&gt; 0), (U83/$H83)*100, ""))</f>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33"/>
      <c r="AF83" s="36" t="str">
        <f t="shared" si="42"/>
        <v/>
      </c>
      <c r="AG83" s="33"/>
      <c r="AH83" s="36" t="str">
        <f>IF((ISERROR((AG83/$H83)*100)), "", IF(AND(NOT(ISERROR((AG83/$H83)*100)),((AG83/$H83)*100) &lt;&gt; 0), (AG83/$H83)*100, ""))</f>
        <v/>
      </c>
      <c r="AI83" s="33"/>
      <c r="AJ83" s="36" t="str">
        <f>IF((ISERROR((AI83/$H83)*100)), "", IF(AND(NOT(ISERROR((AI83/$H83)*100)),((AI83/$H83)*100) &lt;&gt; 0), (AI83/$H83)*100, ""))</f>
        <v/>
      </c>
      <c r="AK83" s="33"/>
      <c r="AL83" s="36" t="str">
        <f>IF((ISERROR((AK83/$H83)*100)), "", IF(AND(NOT(ISERROR((AK83/$H83)*100)),((AK83/$H83)*100) &lt;&gt; 0), (AK83/$H83)*100, ""))</f>
        <v/>
      </c>
      <c r="AM83" s="33"/>
      <c r="AN83" s="36" t="str">
        <f>IF((ISERROR((AM83/$H83)*100)), "", IF(AND(NOT(ISERROR((AM83/$H83)*100)),((AM83/$H83)*100) &lt;&gt; 0), (AM83/$H83)*100, ""))</f>
        <v/>
      </c>
      <c r="AO83" s="33"/>
      <c r="AP83" s="36" t="str">
        <f>IF((ISERROR((AO83/$H83)*100)), "", IF(AND(NOT(ISERROR((AO83/$H83)*100)),((AO83/$H83)*100) &lt;&gt; 0), (AO83/$H83)*100, ""))</f>
        <v/>
      </c>
      <c r="AQ83" s="33"/>
      <c r="AR83" s="36" t="str">
        <f t="shared" si="47"/>
        <v/>
      </c>
      <c r="AS83" s="33"/>
      <c r="AT83" s="36" t="str">
        <f>IF((ISERROR((AS83/$H83)*100)), "", IF(AND(NOT(ISERROR((AS83/$H83)*100)),((AS83/$H83)*100) &lt;&gt; 0), (AS83/$H83)*100, ""))</f>
        <v/>
      </c>
      <c r="AU83" s="33"/>
      <c r="AV83" s="36" t="str">
        <f>IF((ISERROR((AU83/$H83)*100)), "", IF(AND(NOT(ISERROR((AU83/$H83)*100)),((AU83/$H83)*100) &lt;&gt; 0), (AU83/$H83)*100, ""))</f>
        <v/>
      </c>
      <c r="AW83" s="76"/>
      <c r="AX83" s="36" t="str">
        <f t="shared" si="53"/>
        <v/>
      </c>
      <c r="AY83" s="76"/>
      <c r="AZ83" s="36" t="str">
        <f t="shared" si="51"/>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52"/>
        <v/>
      </c>
      <c r="M84" s="33"/>
      <c r="N84" s="36" t="str">
        <f t="shared" si="4"/>
        <v/>
      </c>
      <c r="O84" s="33"/>
      <c r="P84" s="36" t="str">
        <f t="shared" si="4"/>
        <v/>
      </c>
      <c r="Q84" s="33"/>
      <c r="R84" s="36" t="str">
        <f t="shared" si="35"/>
        <v/>
      </c>
      <c r="S84" s="33"/>
      <c r="T84" s="36" t="str">
        <f t="shared" si="36"/>
        <v/>
      </c>
      <c r="U84" s="33">
        <v>5</v>
      </c>
      <c r="V84" s="36">
        <f t="shared" si="37"/>
        <v>100</v>
      </c>
      <c r="W84" s="33"/>
      <c r="X84" s="36" t="str">
        <f t="shared" si="38"/>
        <v/>
      </c>
      <c r="Y84" s="33"/>
      <c r="Z84" s="36" t="str">
        <f t="shared" si="39"/>
        <v/>
      </c>
      <c r="AA84" s="33"/>
      <c r="AB84" s="36" t="str">
        <f t="shared" si="40"/>
        <v/>
      </c>
      <c r="AC84" s="33"/>
      <c r="AD84" s="36" t="str">
        <f t="shared" si="41"/>
        <v/>
      </c>
      <c r="AE84" s="33"/>
      <c r="AF84" s="36" t="str">
        <f t="shared" si="42"/>
        <v/>
      </c>
      <c r="AG84" s="33"/>
      <c r="AH84" s="36" t="str">
        <f t="shared" si="43"/>
        <v/>
      </c>
      <c r="AI84" s="33"/>
      <c r="AJ84" s="36" t="str">
        <f t="shared" si="44"/>
        <v/>
      </c>
      <c r="AK84" s="33"/>
      <c r="AL84" s="36" t="str">
        <f t="shared" si="30"/>
        <v/>
      </c>
      <c r="AM84" s="33"/>
      <c r="AN84" s="36" t="str">
        <f t="shared" si="45"/>
        <v/>
      </c>
      <c r="AO84" s="33"/>
      <c r="AP84" s="36" t="str">
        <f t="shared" si="46"/>
        <v/>
      </c>
      <c r="AQ84" s="33"/>
      <c r="AR84" s="36" t="str">
        <f t="shared" si="47"/>
        <v/>
      </c>
      <c r="AS84" s="33"/>
      <c r="AT84" s="36" t="str">
        <f t="shared" si="48"/>
        <v/>
      </c>
      <c r="AU84" s="33"/>
      <c r="AV84" s="36" t="str">
        <f t="shared" si="49"/>
        <v/>
      </c>
      <c r="AW84" s="31"/>
      <c r="AX84" s="36" t="str">
        <f t="shared" si="50"/>
        <v/>
      </c>
      <c r="AY84" s="59"/>
      <c r="AZ84" s="36" t="str">
        <f t="shared" si="51"/>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v>1</v>
      </c>
      <c r="L85" s="36">
        <f>IF((ISERROR((K85/$H85)*100)), "", IF(AND(NOT(ISERROR((K85/$H85)*100)),((K85/$H85)*100) &lt;&gt; 0), (K85/$H85)*100, ""))</f>
        <v>8.3333333333333321</v>
      </c>
      <c r="M85" s="33"/>
      <c r="N85" s="36" t="str">
        <f>IF((ISERROR((M85/$H85)*100)), "", IF(AND(NOT(ISERROR((M85/$H85)*100)),((M85/$H85)*100) &lt;&gt; 0), (M85/$H85)*100, ""))</f>
        <v/>
      </c>
      <c r="O85" s="33"/>
      <c r="P85" s="36" t="str">
        <f>IF((ISERROR((O85/$H85)*100)), "", IF(AND(NOT(ISERROR((O85/$H85)*100)),((O85/$H85)*100) &lt;&gt; 0), (O85/$H85)*100, ""))</f>
        <v/>
      </c>
      <c r="Q85" s="33"/>
      <c r="R85" s="36" t="str">
        <f>IF((ISERROR((Q85/$H85)*100)), "", IF(AND(NOT(ISERROR((Q85/$H85)*100)),((Q85/$H85)*100) &lt;&gt; 0), (Q85/$H85)*100, ""))</f>
        <v/>
      </c>
      <c r="S85" s="33"/>
      <c r="T85" s="36" t="str">
        <f>IF((ISERROR((S85/$H85)*100)), "", IF(AND(NOT(ISERROR((S85/$H85)*100)),((S85/$H85)*100) &lt;&gt; 0), (S85/$H85)*100, ""))</f>
        <v/>
      </c>
      <c r="U85" s="33"/>
      <c r="V85" s="36" t="str">
        <f>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33"/>
      <c r="AF85" s="36" t="str">
        <f t="shared" si="42"/>
        <v/>
      </c>
      <c r="AG85" s="33"/>
      <c r="AH85" s="36" t="str">
        <f>IF((ISERROR((AG85/$H85)*100)), "", IF(AND(NOT(ISERROR((AG85/$H85)*100)),((AG85/$H85)*100) &lt;&gt; 0), (AG85/$H85)*100, ""))</f>
        <v/>
      </c>
      <c r="AI85" s="33"/>
      <c r="AJ85" s="36" t="str">
        <f>IF((ISERROR((AI85/$H85)*100)), "", IF(AND(NOT(ISERROR((AI85/$H85)*100)),((AI85/$H85)*100) &lt;&gt; 0), (AI85/$H85)*100, ""))</f>
        <v/>
      </c>
      <c r="AK85" s="33"/>
      <c r="AL85" s="36" t="str">
        <f>IF((ISERROR((AK85/$H85)*100)), "", IF(AND(NOT(ISERROR((AK85/$H85)*100)),((AK85/$H85)*100) &lt;&gt; 0), (AK85/$H85)*100, ""))</f>
        <v/>
      </c>
      <c r="AM85" s="33">
        <v>1</v>
      </c>
      <c r="AN85" s="36">
        <f>IF((ISERROR((AM85/$H85)*100)), "", IF(AND(NOT(ISERROR((AM85/$H85)*100)),((AM85/$H85)*100) &lt;&gt; 0), (AM85/$H85)*100, ""))</f>
        <v>8.3333333333333321</v>
      </c>
      <c r="AO85" s="33"/>
      <c r="AP85" s="36" t="str">
        <f>IF((ISERROR((AO85/$H85)*100)), "", IF(AND(NOT(ISERROR((AO85/$H85)*100)),((AO85/$H85)*100) &lt;&gt; 0), (AO85/$H85)*100, ""))</f>
        <v/>
      </c>
      <c r="AQ85" s="33"/>
      <c r="AR85" s="36" t="str">
        <f t="shared" si="47"/>
        <v/>
      </c>
      <c r="AS85" s="33"/>
      <c r="AT85" s="36" t="str">
        <f>IF((ISERROR((AS85/$H85)*100)), "", IF(AND(NOT(ISERROR((AS85/$H85)*100)),((AS85/$H85)*100) &lt;&gt; 0), (AS85/$H85)*100, ""))</f>
        <v/>
      </c>
      <c r="AU85" s="33"/>
      <c r="AV85" s="36" t="str">
        <f>IF((ISERROR((AU85/$H85)*100)), "", IF(AND(NOT(ISERROR((AU85/$H85)*100)),((AU85/$H85)*100) &lt;&gt; 0), (AU85/$H85)*100, ""))</f>
        <v/>
      </c>
      <c r="AW85" s="76"/>
      <c r="AX85" s="36" t="str">
        <f t="shared" si="50"/>
        <v/>
      </c>
      <c r="AY85" s="76"/>
      <c r="AZ85" s="36" t="str">
        <f t="shared" si="51"/>
        <v/>
      </c>
      <c r="BA85" s="23" t="s">
        <v>424</v>
      </c>
    </row>
    <row r="86" spans="1:53" ht="20" customHeight="1" x14ac:dyDescent="0.2">
      <c r="A86" s="60"/>
      <c r="B86" s="83"/>
      <c r="C86" s="24" t="s">
        <v>85</v>
      </c>
      <c r="D86" s="23" t="s">
        <v>109</v>
      </c>
      <c r="E86" s="23" t="s">
        <v>110</v>
      </c>
      <c r="F86" s="24">
        <v>1999</v>
      </c>
      <c r="G86" s="24">
        <v>76</v>
      </c>
      <c r="H86" s="89">
        <v>7</v>
      </c>
      <c r="I86" s="85" t="s">
        <v>177</v>
      </c>
      <c r="J86" s="86" t="s">
        <v>194</v>
      </c>
      <c r="K86" s="33"/>
      <c r="L86" s="36" t="str">
        <f>IF((ISERROR((K86/$H86)*100)), "", IF(AND(NOT(ISERROR((K86/$H86)*100)),((K86/$H86)*100) &lt;&gt; 0), (K86/$H86)*100, ""))</f>
        <v/>
      </c>
      <c r="M86" s="33"/>
      <c r="N86" s="36" t="str">
        <f>IF((ISERROR((M86/$H86)*100)), "", IF(AND(NOT(ISERROR((M86/$H86)*100)),((M86/$H86)*100) &lt;&gt; 0), (M86/$H86)*100, ""))</f>
        <v/>
      </c>
      <c r="O86" s="33"/>
      <c r="P86" s="36" t="str">
        <f>IF((ISERROR((O86/$H86)*100)), "", IF(AND(NOT(ISERROR((O86/$H86)*100)),((O86/$H86)*100) &lt;&gt; 0), (O86/$H86)*100, ""))</f>
        <v/>
      </c>
      <c r="Q86" s="33"/>
      <c r="R86" s="36" t="str">
        <f>IF((ISERROR((Q86/$H86)*100)), "", IF(AND(NOT(ISERROR((Q86/$H86)*100)),((Q86/$H86)*100) &lt;&gt; 0), (Q86/$H86)*100, ""))</f>
        <v/>
      </c>
      <c r="S86" s="33"/>
      <c r="T86" s="36" t="str">
        <f>IF((ISERROR((S86/$H86)*100)), "", IF(AND(NOT(ISERROR((S86/$H86)*100)),((S86/$H86)*100) &lt;&gt; 0), (S86/$H86)*100, ""))</f>
        <v/>
      </c>
      <c r="U86" s="33"/>
      <c r="V86" s="36" t="str">
        <f>IF((ISERROR((U86/$H86)*100)), "", IF(AND(NOT(ISERROR((U86/$H86)*100)),((U86/$H86)*100) &lt;&gt; 0), (U86/$H86)*100, ""))</f>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33"/>
      <c r="AF86" s="36" t="str">
        <f t="shared" si="42"/>
        <v/>
      </c>
      <c r="AG86" s="33"/>
      <c r="AH86" s="36" t="str">
        <f>IF((ISERROR((AG86/$H86)*100)), "", IF(AND(NOT(ISERROR((AG86/$H86)*100)),((AG86/$H86)*100) &lt;&gt; 0), (AG86/$H86)*100, ""))</f>
        <v/>
      </c>
      <c r="AI86" s="33"/>
      <c r="AJ86" s="36" t="str">
        <f>IF((ISERROR((AI86/$H86)*100)), "", IF(AND(NOT(ISERROR((AI86/$H86)*100)),((AI86/$H86)*100) &lt;&gt; 0), (AI86/$H86)*100, ""))</f>
        <v/>
      </c>
      <c r="AK86" s="33"/>
      <c r="AL86" s="36" t="str">
        <f>IF((ISERROR((AK86/$H86)*100)), "", IF(AND(NOT(ISERROR((AK86/$H86)*100)),((AK86/$H86)*100) &lt;&gt; 0), (AK86/$H86)*100, ""))</f>
        <v/>
      </c>
      <c r="AM86" s="33"/>
      <c r="AN86" s="36" t="str">
        <f>IF((ISERROR((AM86/$H86)*100)), "", IF(AND(NOT(ISERROR((AM86/$H86)*100)),((AM86/$H86)*100) &lt;&gt; 0), (AM86/$H86)*100, ""))</f>
        <v/>
      </c>
      <c r="AO86" s="33"/>
      <c r="AP86" s="36" t="str">
        <f>IF((ISERROR((AO86/$H86)*100)), "", IF(AND(NOT(ISERROR((AO86/$H86)*100)),((AO86/$H86)*100) &lt;&gt; 0), (AO86/$H86)*100, ""))</f>
        <v/>
      </c>
      <c r="AQ86" s="33"/>
      <c r="AR86" s="36" t="str">
        <f t="shared" si="47"/>
        <v/>
      </c>
      <c r="AS86" s="33"/>
      <c r="AT86" s="36" t="str">
        <f>IF((ISERROR((AS86/$H86)*100)), "", IF(AND(NOT(ISERROR((AS86/$H86)*100)),((AS86/$H86)*100) &lt;&gt; 0), (AS86/$H86)*100, ""))</f>
        <v/>
      </c>
      <c r="AU86" s="33"/>
      <c r="AV86" s="36" t="str">
        <f>IF((ISERROR((AU86/$H86)*100)), "", IF(AND(NOT(ISERROR((AU86/$H86)*100)),((AU86/$H86)*100) &lt;&gt; 0), (AU86/$H86)*100, ""))</f>
        <v/>
      </c>
      <c r="AW86" s="76"/>
      <c r="AX86" s="36" t="str">
        <f t="shared" si="50"/>
        <v/>
      </c>
      <c r="AY86" s="76"/>
      <c r="AZ86" s="36" t="str">
        <f t="shared" si="51"/>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IF((ISERROR((K87/$H87)*100)), "", IF(AND(NOT(ISERROR((K87/$H87)*100)),((K87/$H87)*100) &lt;&gt; 0), (K87/$H87)*100, ""))</f>
        <v/>
      </c>
      <c r="M87" s="33"/>
      <c r="N87" s="36" t="str">
        <f>IF((ISERROR((M87/$H87)*100)), "", IF(AND(NOT(ISERROR((M87/$H87)*100)),((M87/$H87)*100) &lt;&gt; 0), (M87/$H87)*100, ""))</f>
        <v/>
      </c>
      <c r="O87" s="33"/>
      <c r="P87" s="36" t="str">
        <f>IF((ISERROR((O87/$H87)*100)), "", IF(AND(NOT(ISERROR((O87/$H87)*100)),((O87/$H87)*100) &lt;&gt; 0), (O87/$H87)*100, ""))</f>
        <v/>
      </c>
      <c r="Q87" s="33"/>
      <c r="R87" s="36" t="str">
        <f>IF((ISERROR((Q87/$H87)*100)), "", IF(AND(NOT(ISERROR((Q87/$H87)*100)),((Q87/$H87)*100) &lt;&gt; 0), (Q87/$H87)*100, ""))</f>
        <v/>
      </c>
      <c r="S87" s="33"/>
      <c r="T87" s="36" t="str">
        <f>IF((ISERROR((S87/$H87)*100)), "", IF(AND(NOT(ISERROR((S87/$H87)*100)),((S87/$H87)*100) &lt;&gt; 0), (S87/$H87)*100, ""))</f>
        <v/>
      </c>
      <c r="U87" s="33"/>
      <c r="V87" s="36" t="str">
        <f>IF((ISERROR((U87/$H87)*100)), "", IF(AND(NOT(ISERROR((U87/$H87)*100)),((U87/$H87)*100) &lt;&gt; 0), (U87/$H87)*100, ""))</f>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33"/>
      <c r="AF87" s="36" t="str">
        <f t="shared" si="42"/>
        <v/>
      </c>
      <c r="AG87" s="33"/>
      <c r="AH87" s="36" t="str">
        <f>IF((ISERROR((AG87/$H87)*100)), "", IF(AND(NOT(ISERROR((AG87/$H87)*100)),((AG87/$H87)*100) &lt;&gt; 0), (AG87/$H87)*100, ""))</f>
        <v/>
      </c>
      <c r="AI87" s="33"/>
      <c r="AJ87" s="36" t="str">
        <f>IF((ISERROR((AI87/$H87)*100)), "", IF(AND(NOT(ISERROR((AI87/$H87)*100)),((AI87/$H87)*100) &lt;&gt; 0), (AI87/$H87)*100, ""))</f>
        <v/>
      </c>
      <c r="AK87" s="33"/>
      <c r="AL87" s="36" t="str">
        <f>IF((ISERROR((AK87/$H87)*100)), "", IF(AND(NOT(ISERROR((AK87/$H87)*100)),((AK87/$H87)*100) &lt;&gt; 0), (AK87/$H87)*100, ""))</f>
        <v/>
      </c>
      <c r="AM87" s="33"/>
      <c r="AN87" s="36" t="str">
        <f>IF((ISERROR((AM87/$H87)*100)), "", IF(AND(NOT(ISERROR((AM87/$H87)*100)),((AM87/$H87)*100) &lt;&gt; 0), (AM87/$H87)*100, ""))</f>
        <v/>
      </c>
      <c r="AO87" s="33"/>
      <c r="AP87" s="36" t="str">
        <f>IF((ISERROR((AO87/$H87)*100)), "", IF(AND(NOT(ISERROR((AO87/$H87)*100)),((AO87/$H87)*100) &lt;&gt; 0), (AO87/$H87)*100, ""))</f>
        <v/>
      </c>
      <c r="AQ87" s="33"/>
      <c r="AR87" s="36" t="str">
        <f t="shared" si="47"/>
        <v/>
      </c>
      <c r="AS87" s="33"/>
      <c r="AT87" s="36" t="str">
        <f>IF((ISERROR((AS87/$H87)*100)), "", IF(AND(NOT(ISERROR((AS87/$H87)*100)),((AS87/$H87)*100) &lt;&gt; 0), (AS87/$H87)*100, ""))</f>
        <v/>
      </c>
      <c r="AU87" s="33"/>
      <c r="AV87" s="36" t="str">
        <f>IF((ISERROR((AU87/$H87)*100)), "", IF(AND(NOT(ISERROR((AU87/$H87)*100)),((AU87/$H87)*100) &lt;&gt; 0), (AU87/$H87)*100, ""))</f>
        <v/>
      </c>
      <c r="AW87" s="76"/>
      <c r="AX87" s="36" t="str">
        <f t="shared" si="50"/>
        <v/>
      </c>
      <c r="AY87" s="76"/>
      <c r="AZ87" s="36" t="str">
        <f t="shared" si="51"/>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52"/>
        <v/>
      </c>
      <c r="M88" s="33"/>
      <c r="N88" s="36" t="str">
        <f t="shared" si="4"/>
        <v/>
      </c>
      <c r="O88" s="33"/>
      <c r="P88" s="36" t="str">
        <f t="shared" si="4"/>
        <v/>
      </c>
      <c r="Q88" s="33"/>
      <c r="R88" s="36" t="str">
        <f t="shared" si="35"/>
        <v/>
      </c>
      <c r="S88" s="33"/>
      <c r="T88" s="36" t="str">
        <f t="shared" si="36"/>
        <v/>
      </c>
      <c r="U88" s="33"/>
      <c r="V88" s="36" t="str">
        <f t="shared" si="37"/>
        <v/>
      </c>
      <c r="W88" s="33"/>
      <c r="X88" s="36" t="str">
        <f t="shared" si="38"/>
        <v/>
      </c>
      <c r="Y88" s="33"/>
      <c r="Z88" s="36" t="str">
        <f t="shared" si="39"/>
        <v/>
      </c>
      <c r="AA88" s="33"/>
      <c r="AB88" s="36" t="str">
        <f t="shared" si="40"/>
        <v/>
      </c>
      <c r="AC88" s="33"/>
      <c r="AD88" s="36" t="str">
        <f t="shared" si="41"/>
        <v/>
      </c>
      <c r="AE88" s="33"/>
      <c r="AF88" s="36" t="str">
        <f t="shared" si="42"/>
        <v/>
      </c>
      <c r="AG88" s="33"/>
      <c r="AH88" s="36" t="str">
        <f t="shared" si="43"/>
        <v/>
      </c>
      <c r="AI88" s="33"/>
      <c r="AJ88" s="36" t="str">
        <f t="shared" si="44"/>
        <v/>
      </c>
      <c r="AK88" s="33"/>
      <c r="AL88" s="36" t="str">
        <f t="shared" si="30"/>
        <v/>
      </c>
      <c r="AM88" s="33"/>
      <c r="AN88" s="36" t="str">
        <f t="shared" si="45"/>
        <v/>
      </c>
      <c r="AO88" s="33"/>
      <c r="AP88" s="36" t="str">
        <f t="shared" si="46"/>
        <v/>
      </c>
      <c r="AQ88" s="33"/>
      <c r="AR88" s="36" t="str">
        <f t="shared" si="47"/>
        <v/>
      </c>
      <c r="AS88" s="33"/>
      <c r="AT88" s="36" t="str">
        <f t="shared" si="48"/>
        <v/>
      </c>
      <c r="AU88" s="33">
        <v>1</v>
      </c>
      <c r="AV88" s="36">
        <f t="shared" si="49"/>
        <v>12.5</v>
      </c>
      <c r="AW88" s="30">
        <v>1</v>
      </c>
      <c r="AX88" s="36">
        <f t="shared" si="50"/>
        <v>12.5</v>
      </c>
      <c r="AY88" s="59"/>
      <c r="AZ88" s="36" t="str">
        <f t="shared" si="51"/>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52"/>
        <v/>
      </c>
      <c r="M89" s="33"/>
      <c r="N89" s="36" t="str">
        <f t="shared" si="4"/>
        <v/>
      </c>
      <c r="O89" s="33"/>
      <c r="P89" s="36" t="str">
        <f t="shared" si="4"/>
        <v/>
      </c>
      <c r="Q89" s="33"/>
      <c r="R89" s="36" t="str">
        <f t="shared" si="35"/>
        <v/>
      </c>
      <c r="S89" s="33"/>
      <c r="T89" s="36" t="str">
        <f t="shared" si="36"/>
        <v/>
      </c>
      <c r="U89" s="33"/>
      <c r="V89" s="36" t="str">
        <f t="shared" si="37"/>
        <v/>
      </c>
      <c r="W89" s="33"/>
      <c r="X89" s="36" t="str">
        <f t="shared" si="38"/>
        <v/>
      </c>
      <c r="Y89" s="33"/>
      <c r="Z89" s="36" t="str">
        <f t="shared" si="39"/>
        <v/>
      </c>
      <c r="AA89" s="33"/>
      <c r="AB89" s="36" t="str">
        <f t="shared" si="40"/>
        <v/>
      </c>
      <c r="AC89" s="33"/>
      <c r="AD89" s="36" t="str">
        <f t="shared" si="41"/>
        <v/>
      </c>
      <c r="AE89" s="33"/>
      <c r="AF89" s="36" t="str">
        <f t="shared" si="42"/>
        <v/>
      </c>
      <c r="AG89" s="33"/>
      <c r="AH89" s="36" t="str">
        <f t="shared" si="43"/>
        <v/>
      </c>
      <c r="AI89" s="33"/>
      <c r="AJ89" s="36" t="str">
        <f t="shared" si="44"/>
        <v/>
      </c>
      <c r="AK89" s="33"/>
      <c r="AL89" s="36" t="str">
        <f t="shared" si="30"/>
        <v/>
      </c>
      <c r="AM89" s="33"/>
      <c r="AN89" s="36" t="str">
        <f t="shared" si="45"/>
        <v/>
      </c>
      <c r="AO89" s="33"/>
      <c r="AP89" s="36" t="str">
        <f t="shared" si="46"/>
        <v/>
      </c>
      <c r="AQ89" s="33"/>
      <c r="AR89" s="36" t="str">
        <f t="shared" si="47"/>
        <v/>
      </c>
      <c r="AS89" s="33"/>
      <c r="AT89" s="36" t="str">
        <f t="shared" si="48"/>
        <v/>
      </c>
      <c r="AU89" s="33"/>
      <c r="AV89" s="36" t="str">
        <f t="shared" si="49"/>
        <v/>
      </c>
      <c r="AW89" s="30"/>
      <c r="AX89" s="36" t="str">
        <f t="shared" si="50"/>
        <v/>
      </c>
      <c r="AY89" s="59"/>
      <c r="AZ89" s="36" t="str">
        <f t="shared" si="51"/>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52"/>
        <v/>
      </c>
      <c r="M90" s="33"/>
      <c r="N90" s="36" t="str">
        <f t="shared" si="4"/>
        <v/>
      </c>
      <c r="O90" s="33"/>
      <c r="P90" s="36" t="str">
        <f t="shared" si="4"/>
        <v/>
      </c>
      <c r="Q90" s="33"/>
      <c r="R90" s="36" t="str">
        <f t="shared" si="35"/>
        <v/>
      </c>
      <c r="S90" s="33"/>
      <c r="T90" s="36" t="str">
        <f t="shared" si="36"/>
        <v/>
      </c>
      <c r="U90" s="33"/>
      <c r="V90" s="36" t="str">
        <f t="shared" si="37"/>
        <v/>
      </c>
      <c r="W90" s="33"/>
      <c r="X90" s="36" t="str">
        <f t="shared" si="38"/>
        <v/>
      </c>
      <c r="Y90" s="33"/>
      <c r="Z90" s="36" t="str">
        <f t="shared" si="39"/>
        <v/>
      </c>
      <c r="AA90" s="33"/>
      <c r="AB90" s="36" t="str">
        <f t="shared" si="40"/>
        <v/>
      </c>
      <c r="AC90" s="33"/>
      <c r="AD90" s="36" t="str">
        <f t="shared" si="41"/>
        <v/>
      </c>
      <c r="AE90" s="33"/>
      <c r="AF90" s="36" t="str">
        <f t="shared" si="42"/>
        <v/>
      </c>
      <c r="AG90" s="33"/>
      <c r="AH90" s="36" t="str">
        <f t="shared" si="43"/>
        <v/>
      </c>
      <c r="AI90" s="33"/>
      <c r="AJ90" s="36" t="str">
        <f t="shared" si="44"/>
        <v/>
      </c>
      <c r="AK90" s="33"/>
      <c r="AL90" s="36" t="str">
        <f t="shared" si="30"/>
        <v/>
      </c>
      <c r="AM90" s="33"/>
      <c r="AN90" s="36" t="str">
        <f t="shared" si="45"/>
        <v/>
      </c>
      <c r="AO90" s="33"/>
      <c r="AP90" s="36" t="str">
        <f t="shared" si="46"/>
        <v/>
      </c>
      <c r="AQ90" s="33"/>
      <c r="AR90" s="36" t="str">
        <f t="shared" si="47"/>
        <v/>
      </c>
      <c r="AS90" s="33"/>
      <c r="AT90" s="36" t="str">
        <f t="shared" si="48"/>
        <v/>
      </c>
      <c r="AU90" s="33"/>
      <c r="AV90" s="36" t="str">
        <f t="shared" si="49"/>
        <v/>
      </c>
      <c r="AW90" s="30">
        <v>1</v>
      </c>
      <c r="AX90" s="36" t="str">
        <f t="shared" si="50"/>
        <v/>
      </c>
      <c r="AY90" s="59"/>
      <c r="AZ90" s="36" t="str">
        <f t="shared" si="51"/>
        <v/>
      </c>
      <c r="BA90" s="23" t="s">
        <v>393</v>
      </c>
    </row>
    <row r="91" spans="1:53" ht="20" customHeight="1" x14ac:dyDescent="0.2">
      <c r="A91" s="60"/>
      <c r="B91" s="82"/>
      <c r="C91" s="24" t="s">
        <v>85</v>
      </c>
      <c r="D91" s="23" t="s">
        <v>119</v>
      </c>
      <c r="E91" s="23" t="s">
        <v>120</v>
      </c>
      <c r="F91" s="24">
        <v>2003</v>
      </c>
      <c r="G91" s="24">
        <v>45</v>
      </c>
      <c r="H91" s="89">
        <v>16</v>
      </c>
      <c r="I91" s="85" t="s">
        <v>177</v>
      </c>
      <c r="J91" s="86" t="s">
        <v>425</v>
      </c>
      <c r="K91" s="33"/>
      <c r="L91" s="36" t="str">
        <f>IF((ISERROR((K91/$H91)*100)), "", IF(AND(NOT(ISERROR((K91/$H91)*100)),((K91/$H91)*100) &lt;&gt; 0), (K91/$H91)*100, ""))</f>
        <v/>
      </c>
      <c r="M91" s="33"/>
      <c r="N91" s="36" t="str">
        <f>IF((ISERROR((M91/$H91)*100)), "", IF(AND(NOT(ISERROR((M91/$H91)*100)),((M91/$H91)*100) &lt;&gt; 0), (M91/$H91)*100, ""))</f>
        <v/>
      </c>
      <c r="O91" s="33"/>
      <c r="P91" s="36" t="str">
        <f>IF((ISERROR((O91/$H91)*100)), "", IF(AND(NOT(ISERROR((O91/$H91)*100)),((O91/$H91)*100) &lt;&gt; 0), (O91/$H91)*100, ""))</f>
        <v/>
      </c>
      <c r="Q91" s="33"/>
      <c r="R91" s="36" t="str">
        <f>IF((ISERROR((Q91/$H91)*100)), "", IF(AND(NOT(ISERROR((Q91/$H91)*100)),((Q91/$H91)*100) &lt;&gt; 0), (Q91/$H91)*100, ""))</f>
        <v/>
      </c>
      <c r="S91" s="33"/>
      <c r="T91" s="36" t="str">
        <f>IF((ISERROR((S91/$H91)*100)), "", IF(AND(NOT(ISERROR((S91/$H91)*100)),((S91/$H91)*100) &lt;&gt; 0), (S91/$H91)*100, ""))</f>
        <v/>
      </c>
      <c r="U91" s="38"/>
      <c r="V91" s="39" t="str">
        <f>IF((ISERROR((U91/$H91)*100)), "", IF(AND(NOT(ISERROR((U91/$H91)*100)),((U91/$H91)*100) &lt;&gt; 0), (U91/$H91)*100, ""))</f>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33"/>
      <c r="AF91" s="36" t="str">
        <f t="shared" si="42"/>
        <v/>
      </c>
      <c r="AG91" s="33"/>
      <c r="AH91" s="36" t="str">
        <f>IF((ISERROR((AG91/$H91)*100)), "", IF(AND(NOT(ISERROR((AG91/$H91)*100)),((AG91/$H91)*100) &lt;&gt; 0), (AG91/$H91)*100, ""))</f>
        <v/>
      </c>
      <c r="AI91" s="33"/>
      <c r="AJ91" s="36" t="str">
        <f>IF((ISERROR((AI91/$H91)*100)), "", IF(AND(NOT(ISERROR((AI91/$H91)*100)),((AI91/$H91)*100) &lt;&gt; 0), (AI91/$H91)*100, ""))</f>
        <v/>
      </c>
      <c r="AK91" s="33"/>
      <c r="AL91" s="36" t="str">
        <f>IF((ISERROR((AK91/$H91)*100)), "", IF(AND(NOT(ISERROR((AK91/$H91)*100)),((AK91/$H91)*100) &lt;&gt; 0), (AK91/$H91)*100, ""))</f>
        <v/>
      </c>
      <c r="AM91" s="33"/>
      <c r="AN91" s="36" t="str">
        <f>IF((ISERROR((AM91/$H91)*100)), "", IF(AND(NOT(ISERROR((AM91/$H91)*100)),((AM91/$H91)*100) &lt;&gt; 0), (AM91/$H91)*100, ""))</f>
        <v/>
      </c>
      <c r="AO91" s="33"/>
      <c r="AP91" s="36" t="str">
        <f>IF((ISERROR((AO91/$H91)*100)), "", IF(AND(NOT(ISERROR((AO91/$H91)*100)),((AO91/$H91)*100) &lt;&gt; 0), (AO91/$H91)*100, ""))</f>
        <v/>
      </c>
      <c r="AQ91" s="33"/>
      <c r="AR91" s="36" t="str">
        <f t="shared" si="47"/>
        <v/>
      </c>
      <c r="AS91" s="33"/>
      <c r="AT91" s="36" t="str">
        <f>IF((ISERROR((AS91/$H91)*100)), "", IF(AND(NOT(ISERROR((AS91/$H91)*100)),((AS91/$H91)*100) &lt;&gt; 0), (AS91/$H91)*100, ""))</f>
        <v/>
      </c>
      <c r="AU91" s="33"/>
      <c r="AV91" s="36" t="str">
        <f>IF((ISERROR((AU91/$H91)*100)), "", IF(AND(NOT(ISERROR((AU91/$H91)*100)),((AU91/$H91)*100) &lt;&gt; 0), (AU91/$H91)*100, ""))</f>
        <v/>
      </c>
      <c r="AW91" s="38"/>
      <c r="AX91" s="39" t="str">
        <f t="shared" si="50"/>
        <v/>
      </c>
      <c r="AY91" s="76"/>
      <c r="AZ91" s="36" t="str">
        <f t="shared" si="51"/>
        <v/>
      </c>
      <c r="BA91" s="23" t="s">
        <v>413</v>
      </c>
    </row>
    <row r="92" spans="1:53" ht="20" customHeight="1" x14ac:dyDescent="0.2">
      <c r="A92" s="60"/>
      <c r="B92" s="83"/>
      <c r="C92" s="24" t="s">
        <v>85</v>
      </c>
      <c r="D92" s="23" t="s">
        <v>121</v>
      </c>
      <c r="E92" s="23" t="s">
        <v>122</v>
      </c>
      <c r="F92" s="24">
        <v>2002</v>
      </c>
      <c r="G92" s="24">
        <v>73</v>
      </c>
      <c r="H92" s="89">
        <v>49</v>
      </c>
      <c r="I92" s="85" t="s">
        <v>200</v>
      </c>
      <c r="J92" s="86"/>
      <c r="K92" s="33"/>
      <c r="L92" s="36" t="str">
        <f t="shared" si="52"/>
        <v/>
      </c>
      <c r="M92" s="33"/>
      <c r="N92" s="36" t="str">
        <f t="shared" si="4"/>
        <v/>
      </c>
      <c r="O92" s="33"/>
      <c r="P92" s="36" t="str">
        <f t="shared" si="4"/>
        <v/>
      </c>
      <c r="Q92" s="33"/>
      <c r="R92" s="36" t="str">
        <f t="shared" si="35"/>
        <v/>
      </c>
      <c r="S92" s="33"/>
      <c r="T92" s="36" t="str">
        <f t="shared" si="36"/>
        <v/>
      </c>
      <c r="U92" s="33"/>
      <c r="V92" s="36" t="str">
        <f t="shared" si="37"/>
        <v/>
      </c>
      <c r="W92" s="33"/>
      <c r="X92" s="36" t="str">
        <f t="shared" si="38"/>
        <v/>
      </c>
      <c r="Y92" s="33"/>
      <c r="Z92" s="36" t="str">
        <f t="shared" si="39"/>
        <v/>
      </c>
      <c r="AA92" s="33"/>
      <c r="AB92" s="36" t="str">
        <f t="shared" si="40"/>
        <v/>
      </c>
      <c r="AC92" s="33"/>
      <c r="AD92" s="36" t="str">
        <f t="shared" si="41"/>
        <v/>
      </c>
      <c r="AE92" s="33"/>
      <c r="AF92" s="36" t="str">
        <f t="shared" si="42"/>
        <v/>
      </c>
      <c r="AG92" s="33"/>
      <c r="AH92" s="36" t="str">
        <f t="shared" si="43"/>
        <v/>
      </c>
      <c r="AI92" s="33"/>
      <c r="AJ92" s="36" t="str">
        <f t="shared" si="44"/>
        <v/>
      </c>
      <c r="AK92" s="33"/>
      <c r="AL92" s="36" t="str">
        <f t="shared" si="30"/>
        <v/>
      </c>
      <c r="AM92" s="33"/>
      <c r="AN92" s="36" t="str">
        <f t="shared" si="45"/>
        <v/>
      </c>
      <c r="AO92" s="33"/>
      <c r="AP92" s="36" t="str">
        <f t="shared" si="46"/>
        <v/>
      </c>
      <c r="AQ92" s="33"/>
      <c r="AR92" s="36" t="str">
        <f t="shared" si="47"/>
        <v/>
      </c>
      <c r="AS92" s="33"/>
      <c r="AT92" s="36" t="str">
        <f t="shared" si="48"/>
        <v/>
      </c>
      <c r="AU92" s="33"/>
      <c r="AV92" s="36" t="str">
        <f t="shared" si="49"/>
        <v/>
      </c>
      <c r="AW92" s="30"/>
      <c r="AX92" s="36" t="str">
        <f t="shared" si="50"/>
        <v/>
      </c>
      <c r="AY92" s="59"/>
      <c r="AZ92" s="36" t="str">
        <f t="shared" si="51"/>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IF((ISERROR((K93/$H93)*100)), "", IF(AND(NOT(ISERROR((K93/$H93)*100)),((K93/$H93)*100) &lt;&gt; 0), (K93/$H93)*100, ""))</f>
        <v/>
      </c>
      <c r="M93" s="33"/>
      <c r="N93" s="36" t="str">
        <f>IF((ISERROR((M93/$H93)*100)), "", IF(AND(NOT(ISERROR((M93/$H93)*100)),((M93/$H93)*100) &lt;&gt; 0), (M93/$H93)*100, ""))</f>
        <v/>
      </c>
      <c r="O93" s="33"/>
      <c r="P93" s="36" t="str">
        <f>IF((ISERROR((O93/$H93)*100)), "", IF(AND(NOT(ISERROR((O93/$H93)*100)),((O93/$H93)*100) &lt;&gt; 0), (O93/$H93)*100, ""))</f>
        <v/>
      </c>
      <c r="Q93" s="33"/>
      <c r="R93" s="36" t="str">
        <f>IF((ISERROR((Q93/$H93)*100)), "", IF(AND(NOT(ISERROR((Q93/$H93)*100)),((Q93/$H93)*100) &lt;&gt; 0), (Q93/$H93)*100, ""))</f>
        <v/>
      </c>
      <c r="S93" s="33"/>
      <c r="T93" s="36" t="str">
        <f>IF((ISERROR((S93/$H93)*100)), "", IF(AND(NOT(ISERROR((S93/$H93)*100)),((S93/$H93)*100) &lt;&gt; 0), (S93/$H93)*100, ""))</f>
        <v/>
      </c>
      <c r="U93" s="33"/>
      <c r="V93" s="36" t="str">
        <f>IF((ISERROR((U93/$H93)*100)), "", IF(AND(NOT(ISERROR((U93/$H93)*100)),((U93/$H93)*100) &lt;&gt; 0), (U93/$H93)*100, ""))</f>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33"/>
      <c r="AF93" s="36" t="str">
        <f t="shared" si="42"/>
        <v/>
      </c>
      <c r="AG93" s="33"/>
      <c r="AH93" s="36" t="str">
        <f>IF((ISERROR((AG93/$H93)*100)), "", IF(AND(NOT(ISERROR((AG93/$H93)*100)),((AG93/$H93)*100) &lt;&gt; 0), (AG93/$H93)*100, ""))</f>
        <v/>
      </c>
      <c r="AI93" s="33"/>
      <c r="AJ93" s="36" t="str">
        <f>IF((ISERROR((AI93/$H93)*100)), "", IF(AND(NOT(ISERROR((AI93/$H93)*100)),((AI93/$H93)*100) &lt;&gt; 0), (AI93/$H93)*100, ""))</f>
        <v/>
      </c>
      <c r="AK93" s="33"/>
      <c r="AL93" s="36" t="str">
        <f>IF((ISERROR((AK93/$H93)*100)), "", IF(AND(NOT(ISERROR((AK93/$H93)*100)),((AK93/$H93)*100) &lt;&gt; 0), (AK93/$H93)*100, ""))</f>
        <v/>
      </c>
      <c r="AM93" s="33"/>
      <c r="AN93" s="36" t="str">
        <f>IF((ISERROR((AM93/$H93)*100)), "", IF(AND(NOT(ISERROR((AM93/$H93)*100)),((AM93/$H93)*100) &lt;&gt; 0), (AM93/$H93)*100, ""))</f>
        <v/>
      </c>
      <c r="AO93" s="33"/>
      <c r="AP93" s="36" t="str">
        <f>IF((ISERROR((AO93/$H93)*100)), "", IF(AND(NOT(ISERROR((AO93/$H93)*100)),((AO93/$H93)*100) &lt;&gt; 0), (AO93/$H93)*100, ""))</f>
        <v/>
      </c>
      <c r="AQ93" s="33"/>
      <c r="AR93" s="36" t="str">
        <f t="shared" si="47"/>
        <v/>
      </c>
      <c r="AS93" s="33"/>
      <c r="AT93" s="36" t="str">
        <f>IF((ISERROR((AS93/$H93)*100)), "", IF(AND(NOT(ISERROR((AS93/$H93)*100)),((AS93/$H93)*100) &lt;&gt; 0), (AS93/$H93)*100, ""))</f>
        <v/>
      </c>
      <c r="AU93" s="33"/>
      <c r="AV93" s="36" t="str">
        <f>IF((ISERROR((AU93/$H93)*100)), "", IF(AND(NOT(ISERROR((AU93/$H93)*100)),((AU93/$H93)*100) &lt;&gt; 0), (AU93/$H93)*100, ""))</f>
        <v/>
      </c>
      <c r="AW93" s="76"/>
      <c r="AX93" s="36" t="str">
        <f t="shared" si="50"/>
        <v/>
      </c>
      <c r="AY93" s="76">
        <v>1</v>
      </c>
      <c r="AZ93" s="36">
        <f t="shared" si="51"/>
        <v>20</v>
      </c>
      <c r="BA93" s="23" t="s">
        <v>426</v>
      </c>
    </row>
    <row r="94" spans="1:53" ht="20" customHeight="1" x14ac:dyDescent="0.2">
      <c r="A94" s="60"/>
      <c r="B94" s="83"/>
      <c r="C94" s="24" t="s">
        <v>85</v>
      </c>
      <c r="D94" s="23" t="s">
        <v>314</v>
      </c>
      <c r="E94" s="23" t="s">
        <v>315</v>
      </c>
      <c r="F94" s="24">
        <v>2008</v>
      </c>
      <c r="H94" s="89">
        <v>86</v>
      </c>
      <c r="I94" s="85" t="s">
        <v>177</v>
      </c>
      <c r="J94" s="86"/>
      <c r="K94" s="33"/>
      <c r="L94" s="36" t="str">
        <f>IF((ISERROR((K94/$H94)*100)), "", IF(AND(NOT(ISERROR((K94/$H94)*100)),((K94/$H94)*100) &lt;&gt; 0), (K94/$H94)*100, ""))</f>
        <v/>
      </c>
      <c r="M94" s="33"/>
      <c r="N94" s="36" t="str">
        <f>IF((ISERROR((M94/$H94)*100)), "", IF(AND(NOT(ISERROR((M94/$H94)*100)),((M94/$H94)*100) &lt;&gt; 0), (M94/$H94)*100, ""))</f>
        <v/>
      </c>
      <c r="O94" s="33"/>
      <c r="P94" s="36" t="str">
        <f>IF((ISERROR((O94/$H94)*100)), "", IF(AND(NOT(ISERROR((O94/$H94)*100)),((O94/$H94)*100) &lt;&gt; 0), (O94/$H94)*100, ""))</f>
        <v/>
      </c>
      <c r="Q94" s="33"/>
      <c r="R94" s="36" t="str">
        <f>IF((ISERROR((Q94/$H94)*100)), "", IF(AND(NOT(ISERROR((Q94/$H94)*100)),((Q94/$H94)*100) &lt;&gt; 0), (Q94/$H94)*100, ""))</f>
        <v/>
      </c>
      <c r="S94" s="33"/>
      <c r="T94" s="36" t="str">
        <f>IF((ISERROR((S94/$H94)*100)), "", IF(AND(NOT(ISERROR((S94/$H94)*100)),((S94/$H94)*100) &lt;&gt; 0), (S94/$H94)*100, ""))</f>
        <v/>
      </c>
      <c r="U94" s="33"/>
      <c r="V94" s="36" t="str">
        <f>IF((ISERROR((U94/$H94)*100)), "", IF(AND(NOT(ISERROR((U94/$H94)*100)),((U94/$H94)*100) &lt;&gt; 0), (U94/$H94)*100, ""))</f>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33"/>
      <c r="AF94" s="36" t="str">
        <f t="shared" si="42"/>
        <v/>
      </c>
      <c r="AG94" s="33"/>
      <c r="AH94" s="36" t="str">
        <f>IF((ISERROR((AG94/$H94)*100)), "", IF(AND(NOT(ISERROR((AG94/$H94)*100)),((AG94/$H94)*100) &lt;&gt; 0), (AG94/$H94)*100, ""))</f>
        <v/>
      </c>
      <c r="AI94" s="33"/>
      <c r="AJ94" s="36" t="str">
        <f>IF((ISERROR((AI94/$H94)*100)), "", IF(AND(NOT(ISERROR((AI94/$H94)*100)),((AI94/$H94)*100) &lt;&gt; 0), (AI94/$H94)*100, ""))</f>
        <v/>
      </c>
      <c r="AK94" s="33"/>
      <c r="AL94" s="36" t="str">
        <f>IF((ISERROR((AK94/$H94)*100)), "", IF(AND(NOT(ISERROR((AK94/$H94)*100)),((AK94/$H94)*100) &lt;&gt; 0), (AK94/$H94)*100, ""))</f>
        <v/>
      </c>
      <c r="AM94" s="33"/>
      <c r="AN94" s="36" t="str">
        <f>IF((ISERROR((AM94/$H94)*100)), "", IF(AND(NOT(ISERROR((AM94/$H94)*100)),((AM94/$H94)*100) &lt;&gt; 0), (AM94/$H94)*100, ""))</f>
        <v/>
      </c>
      <c r="AO94" s="33"/>
      <c r="AP94" s="36" t="str">
        <f>IF((ISERROR((AO94/$H94)*100)), "", IF(AND(NOT(ISERROR((AO94/$H94)*100)),((AO94/$H94)*100) &lt;&gt; 0), (AO94/$H94)*100, ""))</f>
        <v/>
      </c>
      <c r="AQ94" s="33"/>
      <c r="AR94" s="36" t="str">
        <f t="shared" si="47"/>
        <v/>
      </c>
      <c r="AS94" s="33"/>
      <c r="AT94" s="36" t="str">
        <f>IF((ISERROR((AS94/$H94)*100)), "", IF(AND(NOT(ISERROR((AS94/$H94)*100)),((AS94/$H94)*100) &lt;&gt; 0), (AS94/$H94)*100, ""))</f>
        <v/>
      </c>
      <c r="AU94" s="33"/>
      <c r="AV94" s="36" t="str">
        <f>IF((ISERROR((AU94/$H94)*100)), "", IF(AND(NOT(ISERROR((AU94/$H94)*100)),((AU94/$H94)*100) &lt;&gt; 0), (AU94/$H94)*100, ""))</f>
        <v/>
      </c>
      <c r="AW94" s="76"/>
      <c r="AX94" s="36" t="str">
        <f t="shared" si="50"/>
        <v/>
      </c>
      <c r="AY94" s="76"/>
      <c r="AZ94" s="36" t="str">
        <f t="shared" si="51"/>
        <v/>
      </c>
      <c r="BA94" s="23" t="s">
        <v>372</v>
      </c>
    </row>
    <row r="95" spans="1:53" ht="20" customHeight="1" x14ac:dyDescent="0.2">
      <c r="A95" s="60"/>
      <c r="B95" s="83"/>
      <c r="C95" s="24" t="s">
        <v>85</v>
      </c>
      <c r="D95" s="23" t="s">
        <v>316</v>
      </c>
      <c r="E95" s="23" t="s">
        <v>317</v>
      </c>
      <c r="F95" s="24">
        <v>2012</v>
      </c>
      <c r="H95" s="89"/>
      <c r="I95" s="85" t="s">
        <v>373</v>
      </c>
      <c r="J95" s="86" t="s">
        <v>212</v>
      </c>
      <c r="K95" s="33"/>
      <c r="L95" s="36" t="str">
        <f>IF((ISERROR((K95/$H95)*100)), "", IF(AND(NOT(ISERROR((K95/$H95)*100)),((K95/$H95)*100) &lt;&gt; 0), (K95/$H95)*100, ""))</f>
        <v/>
      </c>
      <c r="M95" s="33"/>
      <c r="N95" s="36" t="str">
        <f>IF((ISERROR((M95/$H95)*100)), "", IF(AND(NOT(ISERROR((M95/$H95)*100)),((M95/$H95)*100) &lt;&gt; 0), (M95/$H95)*100, ""))</f>
        <v/>
      </c>
      <c r="O95" s="33"/>
      <c r="P95" s="36" t="str">
        <f>IF((ISERROR((O95/$H95)*100)), "", IF(AND(NOT(ISERROR((O95/$H95)*100)),((O95/$H95)*100) &lt;&gt; 0), (O95/$H95)*100, ""))</f>
        <v/>
      </c>
      <c r="Q95" s="33"/>
      <c r="R95" s="36" t="str">
        <f>IF((ISERROR((Q95/$H95)*100)), "", IF(AND(NOT(ISERROR((Q95/$H95)*100)),((Q95/$H95)*100) &lt;&gt; 0), (Q95/$H95)*100, ""))</f>
        <v/>
      </c>
      <c r="S95" s="33"/>
      <c r="T95" s="36" t="str">
        <f>IF((ISERROR((S95/$H95)*100)), "", IF(AND(NOT(ISERROR((S95/$H95)*100)),((S95/$H95)*100) &lt;&gt; 0), (S95/$H95)*100, ""))</f>
        <v/>
      </c>
      <c r="U95" s="33"/>
      <c r="V95" s="36" t="str">
        <f>IF((ISERROR((U95/$H95)*100)), "", IF(AND(NOT(ISERROR((U95/$H95)*100)),((U95/$H95)*100) &lt;&gt; 0), (U95/$H95)*100, ""))</f>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33"/>
      <c r="AF95" s="36" t="str">
        <f t="shared" si="42"/>
        <v/>
      </c>
      <c r="AG95" s="33"/>
      <c r="AH95" s="36" t="str">
        <f>IF((ISERROR((AG95/$H95)*100)), "", IF(AND(NOT(ISERROR((AG95/$H95)*100)),((AG95/$H95)*100) &lt;&gt; 0), (AG95/$H95)*100, ""))</f>
        <v/>
      </c>
      <c r="AI95" s="33"/>
      <c r="AJ95" s="36" t="str">
        <f>IF((ISERROR((AI95/$H95)*100)), "", IF(AND(NOT(ISERROR((AI95/$H95)*100)),((AI95/$H95)*100) &lt;&gt; 0), (AI95/$H95)*100, ""))</f>
        <v/>
      </c>
      <c r="AK95" s="33"/>
      <c r="AL95" s="36" t="str">
        <f>IF((ISERROR((AK95/$H95)*100)), "", IF(AND(NOT(ISERROR((AK95/$H95)*100)),((AK95/$H95)*100) &lt;&gt; 0), (AK95/$H95)*100, ""))</f>
        <v/>
      </c>
      <c r="AM95" s="33"/>
      <c r="AN95" s="36" t="str">
        <f>IF((ISERROR((AM95/$H95)*100)), "", IF(AND(NOT(ISERROR((AM95/$H95)*100)),((AM95/$H95)*100) &lt;&gt; 0), (AM95/$H95)*100, ""))</f>
        <v/>
      </c>
      <c r="AO95" s="33"/>
      <c r="AP95" s="36" t="str">
        <f>IF((ISERROR((AO95/$H95)*100)), "", IF(AND(NOT(ISERROR((AO95/$H95)*100)),((AO95/$H95)*100) &lt;&gt; 0), (AO95/$H95)*100, ""))</f>
        <v/>
      </c>
      <c r="AQ95" s="33"/>
      <c r="AR95" s="36" t="str">
        <f t="shared" si="47"/>
        <v/>
      </c>
      <c r="AS95" s="33"/>
      <c r="AT95" s="36" t="str">
        <f>IF((ISERROR((AS95/$H95)*100)), "", IF(AND(NOT(ISERROR((AS95/$H95)*100)),((AS95/$H95)*100) &lt;&gt; 0), (AS95/$H95)*100, ""))</f>
        <v/>
      </c>
      <c r="AU95" s="33"/>
      <c r="AV95" s="36" t="str">
        <f>IF((ISERROR((AU95/$H95)*100)), "", IF(AND(NOT(ISERROR((AU95/$H95)*100)),((AU95/$H95)*100) &lt;&gt; 0), (AU95/$H95)*100, ""))</f>
        <v/>
      </c>
      <c r="AW95" s="76"/>
      <c r="AX95" s="36" t="str">
        <f t="shared" si="50"/>
        <v/>
      </c>
      <c r="AY95" s="76"/>
      <c r="AZ95" s="36" t="str">
        <f t="shared" si="51"/>
        <v/>
      </c>
    </row>
    <row r="96" spans="1:53" ht="20" customHeight="1" x14ac:dyDescent="0.2">
      <c r="A96" s="61"/>
      <c r="B96" s="24"/>
      <c r="C96" s="50" t="s">
        <v>35</v>
      </c>
      <c r="D96" s="49" t="s">
        <v>123</v>
      </c>
      <c r="E96" s="49" t="s">
        <v>124</v>
      </c>
      <c r="F96" s="50">
        <v>2007</v>
      </c>
      <c r="G96" s="50">
        <v>60</v>
      </c>
      <c r="H96" s="89"/>
      <c r="I96" s="85"/>
      <c r="J96" s="86"/>
      <c r="K96" s="33"/>
      <c r="L96" s="36" t="str">
        <f t="shared" si="52"/>
        <v/>
      </c>
      <c r="M96" s="33"/>
      <c r="N96" s="36" t="str">
        <f t="shared" si="4"/>
        <v/>
      </c>
      <c r="O96" s="33"/>
      <c r="P96" s="36" t="str">
        <f t="shared" si="4"/>
        <v/>
      </c>
      <c r="Q96" s="33"/>
      <c r="R96" s="36" t="str">
        <f t="shared" si="35"/>
        <v/>
      </c>
      <c r="S96" s="33"/>
      <c r="T96" s="36" t="str">
        <f t="shared" si="36"/>
        <v/>
      </c>
      <c r="U96" s="33"/>
      <c r="V96" s="36" t="str">
        <f t="shared" si="37"/>
        <v/>
      </c>
      <c r="W96" s="33"/>
      <c r="X96" s="36" t="str">
        <f t="shared" si="38"/>
        <v/>
      </c>
      <c r="Y96" s="33"/>
      <c r="Z96" s="36" t="str">
        <f t="shared" si="39"/>
        <v/>
      </c>
      <c r="AA96" s="33"/>
      <c r="AB96" s="36" t="str">
        <f t="shared" si="40"/>
        <v/>
      </c>
      <c r="AC96" s="33"/>
      <c r="AD96" s="36" t="str">
        <f t="shared" si="41"/>
        <v/>
      </c>
      <c r="AE96" s="33"/>
      <c r="AF96" s="36" t="str">
        <f t="shared" si="42"/>
        <v/>
      </c>
      <c r="AG96" s="33"/>
      <c r="AH96" s="36" t="str">
        <f t="shared" si="43"/>
        <v/>
      </c>
      <c r="AI96" s="33"/>
      <c r="AJ96" s="36" t="str">
        <f t="shared" si="44"/>
        <v/>
      </c>
      <c r="AK96" s="33"/>
      <c r="AL96" s="36" t="str">
        <f t="shared" si="30"/>
        <v/>
      </c>
      <c r="AM96" s="33"/>
      <c r="AN96" s="36" t="str">
        <f t="shared" si="45"/>
        <v/>
      </c>
      <c r="AO96" s="33"/>
      <c r="AP96" s="36" t="str">
        <f t="shared" si="46"/>
        <v/>
      </c>
      <c r="AQ96" s="33"/>
      <c r="AR96" s="36" t="str">
        <f t="shared" si="47"/>
        <v/>
      </c>
      <c r="AS96" s="33"/>
      <c r="AT96" s="36" t="str">
        <f t="shared" si="48"/>
        <v/>
      </c>
      <c r="AU96" s="33"/>
      <c r="AV96" s="36" t="str">
        <f t="shared" si="49"/>
        <v/>
      </c>
      <c r="AW96" s="30"/>
      <c r="AX96" s="36" t="str">
        <f t="shared" si="50"/>
        <v/>
      </c>
      <c r="AY96" s="59"/>
      <c r="AZ96" s="36" t="str">
        <f t="shared" si="51"/>
        <v/>
      </c>
      <c r="BA96" s="23" t="s">
        <v>394</v>
      </c>
    </row>
    <row r="97" spans="1:53" ht="20" customHeight="1" x14ac:dyDescent="0.2">
      <c r="A97" s="61"/>
      <c r="B97" s="24"/>
      <c r="C97" s="50" t="s">
        <v>30</v>
      </c>
      <c r="D97" s="49" t="s">
        <v>125</v>
      </c>
      <c r="E97" s="49" t="s">
        <v>126</v>
      </c>
      <c r="F97" s="50">
        <v>2014</v>
      </c>
      <c r="G97" s="50"/>
      <c r="H97" s="89"/>
      <c r="I97" s="85"/>
      <c r="J97" s="86"/>
      <c r="K97" s="33"/>
      <c r="L97" s="36" t="str">
        <f t="shared" si="52"/>
        <v/>
      </c>
      <c r="M97" s="33"/>
      <c r="N97" s="36" t="str">
        <f t="shared" si="4"/>
        <v/>
      </c>
      <c r="O97" s="33"/>
      <c r="P97" s="36" t="str">
        <f t="shared" si="4"/>
        <v/>
      </c>
      <c r="Q97" s="33"/>
      <c r="R97" s="36" t="str">
        <f t="shared" si="35"/>
        <v/>
      </c>
      <c r="S97" s="33"/>
      <c r="T97" s="36" t="str">
        <f t="shared" si="36"/>
        <v/>
      </c>
      <c r="U97" s="33"/>
      <c r="V97" s="36" t="str">
        <f t="shared" si="37"/>
        <v/>
      </c>
      <c r="W97" s="33"/>
      <c r="X97" s="36" t="str">
        <f t="shared" si="38"/>
        <v/>
      </c>
      <c r="Y97" s="33"/>
      <c r="Z97" s="36" t="str">
        <f t="shared" si="39"/>
        <v/>
      </c>
      <c r="AA97" s="33"/>
      <c r="AB97" s="36" t="str">
        <f t="shared" si="40"/>
        <v/>
      </c>
      <c r="AC97" s="33"/>
      <c r="AD97" s="36" t="str">
        <f t="shared" si="41"/>
        <v/>
      </c>
      <c r="AE97" s="33"/>
      <c r="AF97" s="36" t="str">
        <f t="shared" si="42"/>
        <v/>
      </c>
      <c r="AG97" s="33"/>
      <c r="AH97" s="36" t="str">
        <f t="shared" si="43"/>
        <v/>
      </c>
      <c r="AI97" s="33"/>
      <c r="AJ97" s="36" t="str">
        <f t="shared" si="44"/>
        <v/>
      </c>
      <c r="AK97" s="33"/>
      <c r="AL97" s="36" t="str">
        <f t="shared" si="30"/>
        <v/>
      </c>
      <c r="AM97" s="33"/>
      <c r="AN97" s="36" t="str">
        <f t="shared" si="45"/>
        <v/>
      </c>
      <c r="AO97" s="33"/>
      <c r="AP97" s="36" t="str">
        <f t="shared" si="46"/>
        <v/>
      </c>
      <c r="AQ97" s="33"/>
      <c r="AR97" s="36" t="str">
        <f t="shared" si="47"/>
        <v/>
      </c>
      <c r="AS97" s="33"/>
      <c r="AT97" s="36" t="str">
        <f t="shared" si="48"/>
        <v/>
      </c>
      <c r="AU97" s="33"/>
      <c r="AV97" s="36" t="str">
        <f t="shared" si="49"/>
        <v/>
      </c>
      <c r="AW97" s="30"/>
      <c r="AX97" s="36" t="str">
        <f t="shared" si="50"/>
        <v/>
      </c>
      <c r="AY97" s="59"/>
      <c r="AZ97" s="36" t="str">
        <f t="shared" si="51"/>
        <v/>
      </c>
    </row>
    <row r="98" spans="1:53" ht="20" customHeight="1" x14ac:dyDescent="0.2">
      <c r="A98" s="61"/>
      <c r="B98" s="24"/>
      <c r="C98" s="24" t="s">
        <v>85</v>
      </c>
      <c r="D98" s="23" t="s">
        <v>127</v>
      </c>
      <c r="E98" s="23" t="s">
        <v>128</v>
      </c>
      <c r="F98" s="24">
        <v>2000</v>
      </c>
      <c r="G98" s="24">
        <v>252</v>
      </c>
      <c r="H98" s="89">
        <v>30</v>
      </c>
      <c r="I98" s="85" t="s">
        <v>220</v>
      </c>
      <c r="J98" s="86" t="s">
        <v>169</v>
      </c>
      <c r="K98" s="33"/>
      <c r="L98" s="36" t="str">
        <f>IF((ISERROR((K98/$H98)*100)), "", IF(AND(NOT(ISERROR((K98/$H98)*100)),((K98/$H98)*100) &lt;&gt; 0), (K98/$H98)*100, ""))</f>
        <v/>
      </c>
      <c r="M98" s="33"/>
      <c r="N98" s="36" t="str">
        <f>IF((ISERROR((M98/$H98)*100)), "", IF(AND(NOT(ISERROR((M98/$H98)*100)),((M98/$H98)*100) &lt;&gt; 0), (M98/$H98)*100, ""))</f>
        <v/>
      </c>
      <c r="O98" s="33"/>
      <c r="P98" s="36" t="str">
        <f>IF((ISERROR((O98/$H98)*100)), "", IF(AND(NOT(ISERROR((O98/$H98)*100)),((O98/$H98)*100) &lt;&gt; 0), (O98/$H98)*100, ""))</f>
        <v/>
      </c>
      <c r="Q98" s="33"/>
      <c r="R98" s="36" t="str">
        <f>IF((ISERROR((Q98/$H98)*100)), "", IF(AND(NOT(ISERROR((Q98/$H98)*100)),((Q98/$H98)*100) &lt;&gt; 0), (Q98/$H98)*100, ""))</f>
        <v/>
      </c>
      <c r="S98" s="33"/>
      <c r="T98" s="36" t="str">
        <f>IF((ISERROR((S98/$H98)*100)), "", IF(AND(NOT(ISERROR((S98/$H98)*100)),((S98/$H98)*100) &lt;&gt; 0), (S98/$H98)*100, ""))</f>
        <v/>
      </c>
      <c r="U98" s="33"/>
      <c r="V98" s="36" t="str">
        <f>IF((ISERROR((U98/$H98)*100)), "", IF(AND(NOT(ISERROR((U98/$H98)*100)),((U98/$H98)*100) &lt;&gt; 0), (U98/$H98)*100, ""))</f>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33"/>
      <c r="AF98" s="36" t="str">
        <f t="shared" si="42"/>
        <v/>
      </c>
      <c r="AG98" s="33"/>
      <c r="AH98" s="36" t="str">
        <f>IF((ISERROR((AG98/$H98)*100)), "", IF(AND(NOT(ISERROR((AG98/$H98)*100)),((AG98/$H98)*100) &lt;&gt; 0), (AG98/$H98)*100, ""))</f>
        <v/>
      </c>
      <c r="AI98" s="33"/>
      <c r="AJ98" s="36" t="str">
        <f>IF((ISERROR((AI98/$H98)*100)), "", IF(AND(NOT(ISERROR((AI98/$H98)*100)),((AI98/$H98)*100) &lt;&gt; 0), (AI98/$H98)*100, ""))</f>
        <v/>
      </c>
      <c r="AK98" s="33"/>
      <c r="AL98" s="36" t="str">
        <f>IF((ISERROR((AK98/$H98)*100)), "", IF(AND(NOT(ISERROR((AK98/$H98)*100)),((AK98/$H98)*100) &lt;&gt; 0), (AK98/$H98)*100, ""))</f>
        <v/>
      </c>
      <c r="AM98" s="33"/>
      <c r="AN98" s="36" t="str">
        <f>IF((ISERROR((AM98/$H98)*100)), "", IF(AND(NOT(ISERROR((AM98/$H98)*100)),((AM98/$H98)*100) &lt;&gt; 0), (AM98/$H98)*100, ""))</f>
        <v/>
      </c>
      <c r="AO98" s="33"/>
      <c r="AP98" s="36" t="str">
        <f>IF((ISERROR((AO98/$H98)*100)), "", IF(AND(NOT(ISERROR((AO98/$H98)*100)),((AO98/$H98)*100) &lt;&gt; 0), (AO98/$H98)*100, ""))</f>
        <v/>
      </c>
      <c r="AQ98" s="33"/>
      <c r="AR98" s="36" t="str">
        <f t="shared" si="47"/>
        <v/>
      </c>
      <c r="AS98" s="33"/>
      <c r="AT98" s="36" t="str">
        <f>IF((ISERROR((AS98/$H98)*100)), "", IF(AND(NOT(ISERROR((AS98/$H98)*100)),((AS98/$H98)*100) &lt;&gt; 0), (AS98/$H98)*100, ""))</f>
        <v/>
      </c>
      <c r="AU98" s="33"/>
      <c r="AV98" s="36" t="str">
        <f>IF((ISERROR((AU98/$H98)*100)), "", IF(AND(NOT(ISERROR((AU98/$H98)*100)),((AU98/$H98)*100) &lt;&gt; 0), (AU98/$H98)*100, ""))</f>
        <v/>
      </c>
      <c r="AW98" s="76"/>
      <c r="AX98" s="36" t="str">
        <f t="shared" si="50"/>
        <v/>
      </c>
      <c r="AY98" s="76"/>
      <c r="AZ98" s="36" t="str">
        <f t="shared" si="51"/>
        <v/>
      </c>
      <c r="BA98" s="23" t="s">
        <v>427</v>
      </c>
    </row>
    <row r="99" spans="1:53" ht="20" customHeight="1" x14ac:dyDescent="0.2">
      <c r="A99" s="60"/>
      <c r="B99" s="24"/>
      <c r="C99" s="50" t="s">
        <v>30</v>
      </c>
      <c r="D99" s="49" t="s">
        <v>129</v>
      </c>
      <c r="E99" s="49" t="s">
        <v>130</v>
      </c>
      <c r="F99" s="50">
        <v>2009</v>
      </c>
      <c r="G99" s="50">
        <v>13</v>
      </c>
      <c r="H99" s="89"/>
      <c r="I99" s="85"/>
      <c r="J99" s="86"/>
      <c r="K99" s="33"/>
      <c r="L99" s="36" t="str">
        <f t="shared" si="52"/>
        <v/>
      </c>
      <c r="M99" s="33"/>
      <c r="N99" s="36" t="str">
        <f t="shared" si="4"/>
        <v/>
      </c>
      <c r="O99" s="33"/>
      <c r="P99" s="36" t="str">
        <f t="shared" si="4"/>
        <v/>
      </c>
      <c r="Q99" s="33"/>
      <c r="R99" s="36" t="str">
        <f t="shared" si="35"/>
        <v/>
      </c>
      <c r="S99" s="33"/>
      <c r="T99" s="36" t="str">
        <f t="shared" si="36"/>
        <v/>
      </c>
      <c r="U99" s="33"/>
      <c r="V99" s="36" t="str">
        <f t="shared" si="37"/>
        <v/>
      </c>
      <c r="W99" s="33"/>
      <c r="X99" s="36" t="str">
        <f t="shared" si="38"/>
        <v/>
      </c>
      <c r="Y99" s="33"/>
      <c r="Z99" s="36" t="str">
        <f t="shared" si="39"/>
        <v/>
      </c>
      <c r="AA99" s="33"/>
      <c r="AB99" s="36" t="str">
        <f t="shared" si="40"/>
        <v/>
      </c>
      <c r="AC99" s="33"/>
      <c r="AD99" s="36" t="str">
        <f t="shared" si="41"/>
        <v/>
      </c>
      <c r="AE99" s="33"/>
      <c r="AF99" s="36" t="str">
        <f t="shared" si="42"/>
        <v/>
      </c>
      <c r="AG99" s="33"/>
      <c r="AH99" s="36" t="str">
        <f t="shared" si="43"/>
        <v/>
      </c>
      <c r="AI99" s="33"/>
      <c r="AJ99" s="36" t="str">
        <f t="shared" si="44"/>
        <v/>
      </c>
      <c r="AK99" s="33"/>
      <c r="AL99" s="36" t="str">
        <f t="shared" si="30"/>
        <v/>
      </c>
      <c r="AM99" s="33"/>
      <c r="AN99" s="36" t="str">
        <f t="shared" si="45"/>
        <v/>
      </c>
      <c r="AO99" s="33"/>
      <c r="AP99" s="36" t="str">
        <f t="shared" si="46"/>
        <v/>
      </c>
      <c r="AQ99" s="33"/>
      <c r="AR99" s="36" t="str">
        <f t="shared" si="47"/>
        <v/>
      </c>
      <c r="AS99" s="33"/>
      <c r="AT99" s="36" t="str">
        <f t="shared" si="48"/>
        <v/>
      </c>
      <c r="AU99" s="33"/>
      <c r="AV99" s="36" t="str">
        <f t="shared" si="49"/>
        <v/>
      </c>
      <c r="AW99" s="30"/>
      <c r="AX99" s="36" t="str">
        <f t="shared" si="50"/>
        <v/>
      </c>
      <c r="AY99" s="59"/>
      <c r="AZ99" s="36" t="str">
        <f t="shared" si="51"/>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52"/>
        <v/>
      </c>
      <c r="M100" s="33"/>
      <c r="N100" s="36" t="str">
        <f t="shared" si="4"/>
        <v/>
      </c>
      <c r="O100" s="33"/>
      <c r="P100" s="36" t="str">
        <f t="shared" si="4"/>
        <v/>
      </c>
      <c r="Q100" s="33"/>
      <c r="R100" s="36" t="str">
        <f t="shared" si="35"/>
        <v/>
      </c>
      <c r="S100" s="33"/>
      <c r="T100" s="36" t="str">
        <f t="shared" si="36"/>
        <v/>
      </c>
      <c r="U100" s="33"/>
      <c r="V100" s="36" t="str">
        <f t="shared" si="37"/>
        <v/>
      </c>
      <c r="W100" s="33"/>
      <c r="X100" s="36" t="str">
        <f t="shared" si="38"/>
        <v/>
      </c>
      <c r="Y100" s="33"/>
      <c r="Z100" s="36" t="str">
        <f t="shared" si="39"/>
        <v/>
      </c>
      <c r="AA100" s="33"/>
      <c r="AB100" s="36" t="str">
        <f t="shared" si="40"/>
        <v/>
      </c>
      <c r="AC100" s="33"/>
      <c r="AD100" s="36" t="str">
        <f t="shared" si="41"/>
        <v/>
      </c>
      <c r="AE100" s="33"/>
      <c r="AF100" s="36" t="str">
        <f t="shared" si="42"/>
        <v/>
      </c>
      <c r="AG100" s="33"/>
      <c r="AH100" s="36" t="str">
        <f t="shared" si="43"/>
        <v/>
      </c>
      <c r="AI100" s="33"/>
      <c r="AJ100" s="36" t="str">
        <f t="shared" si="44"/>
        <v/>
      </c>
      <c r="AK100" s="33"/>
      <c r="AL100" s="36" t="str">
        <f t="shared" si="30"/>
        <v/>
      </c>
      <c r="AM100" s="33"/>
      <c r="AN100" s="36" t="str">
        <f t="shared" si="45"/>
        <v/>
      </c>
      <c r="AO100" s="33"/>
      <c r="AP100" s="36" t="str">
        <f t="shared" si="46"/>
        <v/>
      </c>
      <c r="AQ100" s="33"/>
      <c r="AR100" s="36" t="str">
        <f t="shared" si="47"/>
        <v/>
      </c>
      <c r="AS100" s="38">
        <v>4</v>
      </c>
      <c r="AT100" s="39">
        <f t="shared" si="48"/>
        <v>66.666666666666657</v>
      </c>
      <c r="AU100" s="33"/>
      <c r="AV100" s="36" t="str">
        <f t="shared" si="49"/>
        <v/>
      </c>
      <c r="AW100" s="30"/>
      <c r="AX100" s="36" t="str">
        <f t="shared" si="50"/>
        <v/>
      </c>
      <c r="AY100" s="59"/>
      <c r="AZ100" s="36" t="str">
        <f t="shared" si="51"/>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v>2</v>
      </c>
      <c r="L101" s="36" t="str">
        <f>IF((ISERROR((K101/$H101)*100)), "", IF(AND(NOT(ISERROR((K101/$H101)*100)),((K101/$H101)*100) &lt;&gt; 0), (K101/$H101)*100, ""))</f>
        <v/>
      </c>
      <c r="M101" s="33"/>
      <c r="N101" s="36" t="str">
        <f>IF((ISERROR((M101/$H101)*100)), "", IF(AND(NOT(ISERROR((M101/$H101)*100)),((M101/$H101)*100) &lt;&gt; 0), (M101/$H101)*100, ""))</f>
        <v/>
      </c>
      <c r="O101" s="33"/>
      <c r="P101" s="36" t="str">
        <f>IF((ISERROR((O101/$H101)*100)), "", IF(AND(NOT(ISERROR((O101/$H101)*100)),((O101/$H101)*100) &lt;&gt; 0), (O101/$H101)*100, ""))</f>
        <v/>
      </c>
      <c r="Q101" s="33"/>
      <c r="R101" s="36" t="str">
        <f>IF((ISERROR((Q101/$H101)*100)), "", IF(AND(NOT(ISERROR((Q101/$H101)*100)),((Q101/$H101)*100) &lt;&gt; 0), (Q101/$H101)*100, ""))</f>
        <v/>
      </c>
      <c r="S101" s="33"/>
      <c r="T101" s="36" t="str">
        <f>IF((ISERROR((S101/$H101)*100)), "", IF(AND(NOT(ISERROR((S101/$H101)*100)),((S101/$H101)*100) &lt;&gt; 0), (S101/$H101)*100, ""))</f>
        <v/>
      </c>
      <c r="U101" s="33"/>
      <c r="V101" s="36" t="str">
        <f>IF((ISERROR((U101/$H101)*100)), "", IF(AND(NOT(ISERROR((U101/$H101)*100)),((U101/$H101)*100) &lt;&gt; 0), (U101/$H101)*100, ""))</f>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33"/>
      <c r="AF101" s="36" t="str">
        <f t="shared" si="42"/>
        <v/>
      </c>
      <c r="AG101" s="33"/>
      <c r="AH101" s="36" t="str">
        <f>IF((ISERROR((AG101/$H101)*100)), "", IF(AND(NOT(ISERROR((AG101/$H101)*100)),((AG101/$H101)*100) &lt;&gt; 0), (AG101/$H101)*100, ""))</f>
        <v/>
      </c>
      <c r="AI101" s="33"/>
      <c r="AJ101" s="36" t="str">
        <f>IF((ISERROR((AI101/$H101)*100)), "", IF(AND(NOT(ISERROR((AI101/$H101)*100)),((AI101/$H101)*100) &lt;&gt; 0), (AI101/$H101)*100, ""))</f>
        <v/>
      </c>
      <c r="AK101" s="33"/>
      <c r="AL101" s="36" t="str">
        <f>IF((ISERROR((AK101/$H101)*100)), "", IF(AND(NOT(ISERROR((AK101/$H101)*100)),((AK101/$H101)*100) &lt;&gt; 0), (AK101/$H101)*100, ""))</f>
        <v/>
      </c>
      <c r="AM101" s="33"/>
      <c r="AN101" s="36" t="str">
        <f>IF((ISERROR((AM101/$H101)*100)), "", IF(AND(NOT(ISERROR((AM101/$H101)*100)),((AM101/$H101)*100) &lt;&gt; 0), (AM101/$H101)*100, ""))</f>
        <v/>
      </c>
      <c r="AO101" s="33"/>
      <c r="AP101" s="36" t="str">
        <f>IF((ISERROR((AO101/$H101)*100)), "", IF(AND(NOT(ISERROR((AO101/$H101)*100)),((AO101/$H101)*100) &lt;&gt; 0), (AO101/$H101)*100, ""))</f>
        <v/>
      </c>
      <c r="AQ101" s="33"/>
      <c r="AR101" s="36" t="str">
        <f t="shared" si="47"/>
        <v/>
      </c>
      <c r="AS101" s="38">
        <v>1</v>
      </c>
      <c r="AT101" s="39" t="str">
        <f>IF((ISERROR((AS101/$H101)*100)), "", IF(AND(NOT(ISERROR((AS101/$H101)*100)),((AS101/$H101)*100) &lt;&gt; 0), (AS101/$H101)*100, ""))</f>
        <v/>
      </c>
      <c r="AU101" s="33"/>
      <c r="AV101" s="36" t="str">
        <f>IF((ISERROR((AU101/$H101)*100)), "", IF(AND(NOT(ISERROR((AU101/$H101)*100)),((AU101/$H101)*100) &lt;&gt; 0), (AU101/$H101)*100, ""))</f>
        <v/>
      </c>
      <c r="AW101" s="76"/>
      <c r="AX101" s="36" t="str">
        <f t="shared" si="50"/>
        <v/>
      </c>
      <c r="AY101" s="76"/>
      <c r="AZ101" s="36" t="str">
        <f t="shared" si="51"/>
        <v/>
      </c>
      <c r="BA101" s="23" t="s">
        <v>395</v>
      </c>
    </row>
    <row r="102" spans="1:53" ht="20" customHeight="1" x14ac:dyDescent="0.2">
      <c r="A102" s="60"/>
      <c r="B102" s="83"/>
      <c r="C102" s="24" t="s">
        <v>85</v>
      </c>
      <c r="D102" s="23" t="s">
        <v>151</v>
      </c>
      <c r="E102" s="23" t="s">
        <v>150</v>
      </c>
      <c r="F102" s="24">
        <v>1999</v>
      </c>
      <c r="H102" s="89">
        <v>30</v>
      </c>
      <c r="I102" s="85" t="s">
        <v>429</v>
      </c>
      <c r="J102" s="86" t="s">
        <v>222</v>
      </c>
      <c r="K102" s="33"/>
      <c r="L102" s="36"/>
      <c r="M102" s="33"/>
      <c r="N102" s="36"/>
      <c r="O102" s="33"/>
      <c r="P102" s="36"/>
      <c r="Q102" s="33"/>
      <c r="R102" s="36"/>
      <c r="S102" s="33"/>
      <c r="T102" s="36"/>
      <c r="U102" s="33"/>
      <c r="V102" s="36"/>
      <c r="W102" s="33"/>
      <c r="X102" s="36"/>
      <c r="Y102" s="33"/>
      <c r="Z102" s="36"/>
      <c r="AA102" s="33"/>
      <c r="AB102" s="36"/>
      <c r="AC102" s="33"/>
      <c r="AD102" s="36"/>
      <c r="AE102" s="33"/>
      <c r="AF102" s="36"/>
      <c r="AG102" s="33"/>
      <c r="AH102" s="36"/>
      <c r="AI102" s="33"/>
      <c r="AJ102" s="36"/>
      <c r="AK102" s="33"/>
      <c r="AL102" s="36"/>
      <c r="AM102" s="33"/>
      <c r="AN102" s="36"/>
      <c r="AO102" s="33"/>
      <c r="AP102" s="36"/>
      <c r="AQ102" s="33"/>
      <c r="AR102" s="36"/>
      <c r="AS102" s="33"/>
      <c r="AT102" s="36"/>
      <c r="AU102" s="33"/>
      <c r="AV102" s="36"/>
      <c r="AW102" s="76"/>
      <c r="AX102" s="36"/>
      <c r="AY102" s="76"/>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IF((ISERROR((K103/$H103)*100)), "", IF(AND(NOT(ISERROR((K103/$H103)*100)),((K103/$H103)*100) &lt;&gt; 0), (K103/$H103)*100, ""))</f>
        <v/>
      </c>
      <c r="M103" s="33"/>
      <c r="N103" s="36" t="str">
        <f>IF((ISERROR((M103/$H103)*100)), "", IF(AND(NOT(ISERROR((M103/$H103)*100)),((M103/$H103)*100) &lt;&gt; 0), (M103/$H103)*100, ""))</f>
        <v/>
      </c>
      <c r="O103" s="33"/>
      <c r="P103" s="36" t="str">
        <f>IF((ISERROR((O103/$H103)*100)), "", IF(AND(NOT(ISERROR((O103/$H103)*100)),((O103/$H103)*100) &lt;&gt; 0), (O103/$H103)*100, ""))</f>
        <v/>
      </c>
      <c r="Q103" s="33"/>
      <c r="R103" s="36" t="str">
        <f>IF((ISERROR((Q103/$H103)*100)), "", IF(AND(NOT(ISERROR((Q103/$H103)*100)),((Q103/$H103)*100) &lt;&gt; 0), (Q103/$H103)*100, ""))</f>
        <v/>
      </c>
      <c r="S103" s="33"/>
      <c r="T103" s="36" t="str">
        <f>IF((ISERROR((S103/$H103)*100)), "", IF(AND(NOT(ISERROR((S103/$H103)*100)),((S103/$H103)*100) &lt;&gt; 0), (S103/$H103)*100, ""))</f>
        <v/>
      </c>
      <c r="U103" s="33"/>
      <c r="V103" s="36" t="str">
        <f>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33"/>
      <c r="AF103" s="36" t="str">
        <f t="shared" si="42"/>
        <v/>
      </c>
      <c r="AG103" s="33"/>
      <c r="AH103" s="36" t="str">
        <f>IF((ISERROR((AG103/$H103)*100)), "", IF(AND(NOT(ISERROR((AG103/$H103)*100)),((AG103/$H103)*100) &lt;&gt; 0), (AG103/$H103)*100, ""))</f>
        <v/>
      </c>
      <c r="AI103" s="33"/>
      <c r="AJ103" s="36" t="str">
        <f>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IF((ISERROR((AO103/$H103)*100)), "", IF(AND(NOT(ISERROR((AO103/$H103)*100)),((AO103/$H103)*100) &lt;&gt; 0), (AO103/$H103)*100, ""))</f>
        <v/>
      </c>
      <c r="AQ103" s="33"/>
      <c r="AR103" s="36" t="str">
        <f t="shared" si="47"/>
        <v/>
      </c>
      <c r="AS103" s="33"/>
      <c r="AT103" s="36" t="str">
        <f>IF((ISERROR((AS103/$H103)*100)), "", IF(AND(NOT(ISERROR((AS103/$H103)*100)),((AS103/$H103)*100) &lt;&gt; 0), (AS103/$H103)*100, ""))</f>
        <v/>
      </c>
      <c r="AU103" s="33"/>
      <c r="AV103" s="36" t="str">
        <f>IF((ISERROR((AU103/$H103)*100)), "", IF(AND(NOT(ISERROR((AU103/$H103)*100)),((AU103/$H103)*100) &lt;&gt; 0), (AU103/$H103)*100, ""))</f>
        <v/>
      </c>
      <c r="AW103" s="76"/>
      <c r="AX103" s="36" t="str">
        <f t="shared" si="50"/>
        <v/>
      </c>
      <c r="AY103" s="76"/>
      <c r="AZ103" s="36" t="str">
        <f t="shared" si="51"/>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8">
        <v>21</v>
      </c>
      <c r="L104" s="39">
        <f t="shared" si="52"/>
        <v>41.17647058823529</v>
      </c>
      <c r="M104" s="33"/>
      <c r="N104" s="36" t="str">
        <f t="shared" si="4"/>
        <v/>
      </c>
      <c r="O104" s="38">
        <v>1</v>
      </c>
      <c r="P104" s="39">
        <f t="shared" ref="P104:P112" si="54">IF((ISERROR((O104/$H104)*100)), "", IF(AND(NOT(ISERROR((O104/$H104)*100)),((O104/$H104)*100) &lt;&gt; 0), (O104/$H104)*100, ""))</f>
        <v>1.9607843137254901</v>
      </c>
      <c r="Q104" s="33"/>
      <c r="R104" s="36" t="str">
        <f t="shared" si="35"/>
        <v/>
      </c>
      <c r="S104" s="33"/>
      <c r="T104" s="36" t="str">
        <f t="shared" si="36"/>
        <v/>
      </c>
      <c r="U104" s="33"/>
      <c r="V104" s="36" t="str">
        <f t="shared" si="37"/>
        <v/>
      </c>
      <c r="W104" s="33"/>
      <c r="X104" s="36" t="str">
        <f t="shared" si="38"/>
        <v/>
      </c>
      <c r="Y104" s="33"/>
      <c r="Z104" s="36" t="str">
        <f t="shared" si="39"/>
        <v/>
      </c>
      <c r="AA104" s="33"/>
      <c r="AB104" s="36" t="str">
        <f t="shared" si="40"/>
        <v/>
      </c>
      <c r="AC104" s="33"/>
      <c r="AD104" s="36" t="str">
        <f t="shared" si="41"/>
        <v/>
      </c>
      <c r="AE104" s="33"/>
      <c r="AF104" s="36" t="str">
        <f t="shared" si="42"/>
        <v/>
      </c>
      <c r="AG104" s="33"/>
      <c r="AH104" s="36" t="str">
        <f t="shared" si="43"/>
        <v/>
      </c>
      <c r="AI104" s="33"/>
      <c r="AJ104" s="36" t="str">
        <f t="shared" si="44"/>
        <v/>
      </c>
      <c r="AK104" s="33"/>
      <c r="AL104" s="36" t="str">
        <f t="shared" si="30"/>
        <v/>
      </c>
      <c r="AM104" s="33"/>
      <c r="AN104" s="36" t="str">
        <f t="shared" si="45"/>
        <v/>
      </c>
      <c r="AO104" s="33"/>
      <c r="AP104" s="36" t="str">
        <f t="shared" si="46"/>
        <v/>
      </c>
      <c r="AQ104" s="33"/>
      <c r="AR104" s="36" t="str">
        <f t="shared" si="47"/>
        <v/>
      </c>
      <c r="AS104" s="33"/>
      <c r="AT104" s="36" t="str">
        <f t="shared" si="48"/>
        <v/>
      </c>
      <c r="AU104" s="38" t="s">
        <v>227</v>
      </c>
      <c r="AV104" s="39" t="str">
        <f t="shared" si="49"/>
        <v/>
      </c>
      <c r="AW104" s="40">
        <v>4</v>
      </c>
      <c r="AX104" s="39">
        <f t="shared" si="50"/>
        <v>7.8431372549019605</v>
      </c>
      <c r="AY104" s="59"/>
      <c r="AZ104" s="36" t="str">
        <f t="shared" si="51"/>
        <v/>
      </c>
      <c r="BA104" s="23" t="s">
        <v>397</v>
      </c>
    </row>
    <row r="105" spans="1:53" ht="20" customHeight="1" x14ac:dyDescent="0.2">
      <c r="A105" s="60"/>
      <c r="B105" s="82"/>
      <c r="C105" s="24" t="s">
        <v>85</v>
      </c>
      <c r="D105" s="23" t="s">
        <v>318</v>
      </c>
      <c r="E105" s="23" t="s">
        <v>319</v>
      </c>
      <c r="F105" s="24">
        <v>2010</v>
      </c>
      <c r="H105" s="89">
        <v>53</v>
      </c>
      <c r="I105" s="112" t="s">
        <v>374</v>
      </c>
      <c r="J105" s="86" t="s">
        <v>414</v>
      </c>
      <c r="K105" s="33">
        <v>2</v>
      </c>
      <c r="L105" s="36">
        <f>IF((ISERROR((K105/$H105)*100)), "", IF(AND(NOT(ISERROR((K105/$H105)*100)),((K105/$H105)*100) &lt;&gt; 0), (K105/$H105)*100, ""))</f>
        <v>3.7735849056603774</v>
      </c>
      <c r="M105" s="33"/>
      <c r="N105" s="36" t="str">
        <f>IF((ISERROR((M105/$H105)*100)), "", IF(AND(NOT(ISERROR((M105/$H105)*100)),((M105/$H105)*100) &lt;&gt; 0), (M105/$H105)*100, ""))</f>
        <v/>
      </c>
      <c r="O105" s="33">
        <v>2</v>
      </c>
      <c r="P105" s="36">
        <f>IF((ISERROR((O105/$H105)*100)), "", IF(AND(NOT(ISERROR((O105/$H105)*100)),((O105/$H105)*100) &lt;&gt; 0), (O105/$H105)*100, ""))</f>
        <v>3.7735849056603774</v>
      </c>
      <c r="Q105" s="33">
        <v>9</v>
      </c>
      <c r="R105" s="36">
        <f>IF((ISERROR((Q105/$H105)*100)), "", IF(AND(NOT(ISERROR((Q105/$H105)*100)),((Q105/$H105)*100) &lt;&gt; 0), (Q105/$H105)*100, ""))</f>
        <v>16.981132075471699</v>
      </c>
      <c r="S105" s="33"/>
      <c r="T105" s="36" t="str">
        <f>IF((ISERROR((S105/$H105)*100)), "", IF(AND(NOT(ISERROR((S105/$H105)*100)),((S105/$H105)*100) &lt;&gt; 0), (S105/$H105)*100, ""))</f>
        <v/>
      </c>
      <c r="U105" s="33">
        <v>15</v>
      </c>
      <c r="V105" s="36">
        <f>IF((ISERROR((U105/$H105)*100)), "", IF(AND(NOT(ISERROR((U105/$H105)*100)),((U105/$H105)*100) &lt;&gt; 0), (U105/$H105)*100, ""))</f>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33"/>
      <c r="AF105" s="36" t="str">
        <f t="shared" si="42"/>
        <v/>
      </c>
      <c r="AG105" s="33"/>
      <c r="AH105" s="36" t="str">
        <f>IF((ISERROR((AG105/$H105)*100)), "", IF(AND(NOT(ISERROR((AG105/$H105)*100)),((AG105/$H105)*100) &lt;&gt; 0), (AG105/$H105)*100, ""))</f>
        <v/>
      </c>
      <c r="AI105" s="33"/>
      <c r="AJ105" s="36" t="str">
        <f>IF((ISERROR((AI105/$H105)*100)), "", IF(AND(NOT(ISERROR((AI105/$H105)*100)),((AI105/$H105)*100) &lt;&gt; 0), (AI105/$H105)*100, ""))</f>
        <v/>
      </c>
      <c r="AK105" s="33">
        <v>3</v>
      </c>
      <c r="AL105" s="36">
        <f>IF((ISERROR((AK105/$H105)*100)), "", IF(AND(NOT(ISERROR((AK105/$H105)*100)),((AK105/$H105)*100) &lt;&gt; 0), (AK105/$H105)*100, ""))</f>
        <v>5.6603773584905666</v>
      </c>
      <c r="AM105" s="33"/>
      <c r="AN105" s="36" t="str">
        <f>IF((ISERROR((AM105/$H105)*100)), "", IF(AND(NOT(ISERROR((AM105/$H105)*100)),((AM105/$H105)*100) &lt;&gt; 0), (AM105/$H105)*100, ""))</f>
        <v/>
      </c>
      <c r="AO105" s="33"/>
      <c r="AP105" s="36" t="str">
        <f>IF((ISERROR((AO105/$H105)*100)), "", IF(AND(NOT(ISERROR((AO105/$H105)*100)),((AO105/$H105)*100) &lt;&gt; 0), (AO105/$H105)*100, ""))</f>
        <v/>
      </c>
      <c r="AQ105" s="33"/>
      <c r="AR105" s="36" t="str">
        <f t="shared" si="47"/>
        <v/>
      </c>
      <c r="AS105" s="33"/>
      <c r="AT105" s="36" t="str">
        <f>IF((ISERROR((AS105/$H105)*100)), "", IF(AND(NOT(ISERROR((AS105/$H105)*100)),((AS105/$H105)*100) &lt;&gt; 0), (AS105/$H105)*100, ""))</f>
        <v/>
      </c>
      <c r="AU105" s="33"/>
      <c r="AV105" s="36" t="str">
        <f>IF((ISERROR((AU105/$H105)*100)), "", IF(AND(NOT(ISERROR((AU105/$H105)*100)),((AU105/$H105)*100) &lt;&gt; 0), (AU105/$H105)*100, ""))</f>
        <v/>
      </c>
      <c r="AW105" s="76">
        <v>15</v>
      </c>
      <c r="AX105" s="36">
        <f t="shared" si="50"/>
        <v>28.30188679245283</v>
      </c>
      <c r="AY105" s="76"/>
      <c r="AZ105" s="36" t="str">
        <f t="shared" si="51"/>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IF((ISERROR((K106/$H106)*100)), "", IF(AND(NOT(ISERROR((K106/$H106)*100)),((K106/$H106)*100) &lt;&gt; 0), (K106/$H106)*100, ""))</f>
        <v/>
      </c>
      <c r="M106" s="33"/>
      <c r="N106" s="36" t="str">
        <f>IF((ISERROR((M106/$H106)*100)), "", IF(AND(NOT(ISERROR((M106/$H106)*100)),((M106/$H106)*100) &lt;&gt; 0), (M106/$H106)*100, ""))</f>
        <v/>
      </c>
      <c r="O106" s="33"/>
      <c r="P106" s="36" t="str">
        <f>IF((ISERROR((O106/$H106)*100)), "", IF(AND(NOT(ISERROR((O106/$H106)*100)),((O106/$H106)*100) &lt;&gt; 0), (O106/$H106)*100, ""))</f>
        <v/>
      </c>
      <c r="Q106" s="33"/>
      <c r="R106" s="36" t="str">
        <f>IF((ISERROR((Q106/$H106)*100)), "", IF(AND(NOT(ISERROR((Q106/$H106)*100)),((Q106/$H106)*100) &lt;&gt; 0), (Q106/$H106)*100, ""))</f>
        <v/>
      </c>
      <c r="S106" s="33"/>
      <c r="T106" s="36" t="str">
        <f>IF((ISERROR((S106/$H106)*100)), "", IF(AND(NOT(ISERROR((S106/$H106)*100)),((S106/$H106)*100) &lt;&gt; 0), (S106/$H106)*100, ""))</f>
        <v/>
      </c>
      <c r="U106" s="33">
        <v>1</v>
      </c>
      <c r="V106" s="36">
        <f>IF((ISERROR((U106/$H106)*100)), "", IF(AND(NOT(ISERROR((U106/$H106)*100)),((U106/$H106)*100) &lt;&gt; 0), (U106/$H106)*100, ""))</f>
        <v>2.5641025641025639</v>
      </c>
      <c r="W106" s="33"/>
      <c r="X106" s="36" t="str">
        <f>IF((ISERROR((W106/$H106)*100)), "", IF(AND(NOT(ISERROR((W106/$H106)*100)),((W106/$H106)*100) &lt;&gt; 0), (W106/$H106)*100, ""))</f>
        <v/>
      </c>
      <c r="Y106" s="33">
        <v>2</v>
      </c>
      <c r="Z106" s="36">
        <f>IF((ISERROR((Y106/$H106)*100)), "", IF(AND(NOT(ISERROR((Y106/$H106)*100)),((Y106/$H106)*100) &lt;&gt; 0), (Y106/$H106)*100, ""))</f>
        <v>5.1282051282051277</v>
      </c>
      <c r="AA106" s="33">
        <v>1</v>
      </c>
      <c r="AB106" s="36">
        <f>IF((ISERROR((AA106/$H106)*100)), "", IF(AND(NOT(ISERROR((AA106/$H106)*100)),((AA106/$H106)*100) &lt;&gt; 0), (AA106/$H106)*100, ""))</f>
        <v>2.5641025641025639</v>
      </c>
      <c r="AC106" s="33"/>
      <c r="AD106" s="36" t="str">
        <f>IF((ISERROR((AC106/$H106)*100)), "", IF(AND(NOT(ISERROR((AC106/$H106)*100)),((AC106/$H106)*100) &lt;&gt; 0), (AC106/$H106)*100, ""))</f>
        <v/>
      </c>
      <c r="AE106" s="33"/>
      <c r="AF106" s="36" t="str">
        <f t="shared" si="42"/>
        <v/>
      </c>
      <c r="AG106" s="33"/>
      <c r="AH106" s="36" t="str">
        <f>IF((ISERROR((AG106/$H106)*100)), "", IF(AND(NOT(ISERROR((AG106/$H106)*100)),((AG106/$H106)*100) &lt;&gt; 0), (AG106/$H106)*100, ""))</f>
        <v/>
      </c>
      <c r="AI106" s="33"/>
      <c r="AJ106" s="36" t="str">
        <f>IF((ISERROR((AI106/$H106)*100)), "", IF(AND(NOT(ISERROR((AI106/$H106)*100)),((AI106/$H106)*100) &lt;&gt; 0), (AI106/$H106)*100, ""))</f>
        <v/>
      </c>
      <c r="AK106" s="33"/>
      <c r="AL106" s="36" t="str">
        <f>IF((ISERROR((AK106/$H106)*100)), "", IF(AND(NOT(ISERROR((AK106/$H106)*100)),((AK106/$H106)*100) &lt;&gt; 0), (AK106/$H106)*100, ""))</f>
        <v/>
      </c>
      <c r="AM106" s="33"/>
      <c r="AN106" s="36" t="str">
        <f>IF((ISERROR((AM106/$H106)*100)), "", IF(AND(NOT(ISERROR((AM106/$H106)*100)),((AM106/$H106)*100) &lt;&gt; 0), (AM106/$H106)*100, ""))</f>
        <v/>
      </c>
      <c r="AO106" s="33"/>
      <c r="AP106" s="36"/>
      <c r="AQ106" s="33"/>
      <c r="AR106" s="36" t="str">
        <f t="shared" si="47"/>
        <v/>
      </c>
      <c r="AS106" s="33"/>
      <c r="AT106" s="36" t="str">
        <f>IF((ISERROR((AS106/$H106)*100)), "", IF(AND(NOT(ISERROR((AS106/$H106)*100)),((AS106/$H106)*100) &lt;&gt; 0), (AS106/$H106)*100, ""))</f>
        <v/>
      </c>
      <c r="AU106" s="33"/>
      <c r="AV106" s="36" t="str">
        <f>IF((ISERROR((AU106/$H106)*100)), "", IF(AND(NOT(ISERROR((AU106/$H106)*100)),((AU106/$H106)*100) &lt;&gt; 0), (AU106/$H106)*100, ""))</f>
        <v/>
      </c>
      <c r="AW106" s="76">
        <v>6</v>
      </c>
      <c r="AX106" s="36">
        <f t="shared" si="50"/>
        <v>15.384615384615385</v>
      </c>
      <c r="AY106" s="76"/>
      <c r="AZ106" s="36" t="str">
        <f t="shared" si="51"/>
        <v/>
      </c>
      <c r="BA106" s="23" t="s">
        <v>415</v>
      </c>
    </row>
    <row r="107" spans="1:53" ht="20" customHeight="1" x14ac:dyDescent="0.2">
      <c r="A107" s="60"/>
      <c r="B107" s="82"/>
      <c r="C107" s="24" t="s">
        <v>85</v>
      </c>
      <c r="D107" s="23" t="s">
        <v>322</v>
      </c>
      <c r="E107" s="23" t="s">
        <v>323</v>
      </c>
      <c r="F107" s="24">
        <v>2010</v>
      </c>
      <c r="H107" s="89">
        <v>789</v>
      </c>
      <c r="I107" s="85" t="s">
        <v>213</v>
      </c>
      <c r="J107" s="86" t="s">
        <v>378</v>
      </c>
      <c r="K107" s="33"/>
      <c r="L107" s="36" t="str">
        <f>IF((ISERROR((K107/$H107)*100)), "", IF(AND(NOT(ISERROR((K107/$H107)*100)),((K107/$H107)*100) &lt;&gt; 0), (K107/$H107)*100, ""))</f>
        <v/>
      </c>
      <c r="M107" s="33"/>
      <c r="N107" s="36" t="str">
        <f>IF((ISERROR((M107/$H107)*100)), "", IF(AND(NOT(ISERROR((M107/$H107)*100)),((M107/$H107)*100) &lt;&gt; 0), (M107/$H107)*100, ""))</f>
        <v/>
      </c>
      <c r="O107" s="33"/>
      <c r="P107" s="36" t="str">
        <f>IF((ISERROR((O107/$H107)*100)), "", IF(AND(NOT(ISERROR((O107/$H107)*100)),((O107/$H107)*100) &lt;&gt; 0), (O107/$H107)*100, ""))</f>
        <v/>
      </c>
      <c r="Q107" s="33"/>
      <c r="R107" s="36" t="str">
        <f>IF((ISERROR((Q107/$H107)*100)), "", IF(AND(NOT(ISERROR((Q107/$H107)*100)),((Q107/$H107)*100) &lt;&gt; 0), (Q107/$H107)*100, ""))</f>
        <v/>
      </c>
      <c r="S107" s="33"/>
      <c r="T107" s="36" t="str">
        <f>IF((ISERROR((S107/$H107)*100)), "", IF(AND(NOT(ISERROR((S107/$H107)*100)),((S107/$H107)*100) &lt;&gt; 0), (S107/$H107)*100, ""))</f>
        <v/>
      </c>
      <c r="U107" s="33"/>
      <c r="V107" s="36" t="str">
        <f>IF((ISERROR((U107/$H107)*100)), "", IF(AND(NOT(ISERROR((U107/$H107)*100)),((U107/$H107)*100) &lt;&gt; 0), (U107/$H107)*100, ""))</f>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33"/>
      <c r="AF107" s="36" t="str">
        <f t="shared" si="42"/>
        <v/>
      </c>
      <c r="AG107" s="33"/>
      <c r="AH107" s="36" t="str">
        <f>IF((ISERROR((AG107/$H107)*100)), "", IF(AND(NOT(ISERROR((AG107/$H107)*100)),((AG107/$H107)*100) &lt;&gt; 0), (AG107/$H107)*100, ""))</f>
        <v/>
      </c>
      <c r="AI107" s="33"/>
      <c r="AJ107" s="36" t="str">
        <f>IF((ISERROR((AI107/$H107)*100)), "", IF(AND(NOT(ISERROR((AI107/$H107)*100)),((AI107/$H107)*100) &lt;&gt; 0), (AI107/$H107)*100, ""))</f>
        <v/>
      </c>
      <c r="AK107" s="33"/>
      <c r="AL107" s="36" t="str">
        <f>IF((ISERROR((AK107/$H107)*100)), "", IF(AND(NOT(ISERROR((AK107/$H107)*100)),((AK107/$H107)*100) &lt;&gt; 0), (AK107/$H107)*100, ""))</f>
        <v/>
      </c>
      <c r="AM107" s="33"/>
      <c r="AN107" s="36" t="str">
        <f>IF((ISERROR((AM107/$H107)*100)), "", IF(AND(NOT(ISERROR((AM107/$H107)*100)),((AM107/$H107)*100) &lt;&gt; 0), (AM107/$H107)*100, ""))</f>
        <v/>
      </c>
      <c r="AO107" s="33"/>
      <c r="AP107" s="36" t="str">
        <f>IF((ISERROR((AO107/$H107)*100)), "", IF(AND(NOT(ISERROR((AO107/$H107)*100)),((AO107/$H107)*100) &lt;&gt; 0), (AO107/$H107)*100, ""))</f>
        <v/>
      </c>
      <c r="AQ107" s="33"/>
      <c r="AR107" s="36" t="str">
        <f t="shared" si="47"/>
        <v/>
      </c>
      <c r="AS107" s="33"/>
      <c r="AT107" s="36" t="str">
        <f>IF((ISERROR((AS107/$H107)*100)), "", IF(AND(NOT(ISERROR((AS107/$H107)*100)),((AS107/$H107)*100) &lt;&gt; 0), (AS107/$H107)*100, ""))</f>
        <v/>
      </c>
      <c r="AU107" s="33"/>
      <c r="AV107" s="36" t="str">
        <f>IF((ISERROR((AU107/$H107)*100)), "", IF(AND(NOT(ISERROR((AU107/$H107)*100)),((AU107/$H107)*100) &lt;&gt; 0), (AU107/$H107)*100, ""))</f>
        <v/>
      </c>
      <c r="AW107" s="76"/>
      <c r="AX107" s="36" t="str">
        <f t="shared" si="50"/>
        <v/>
      </c>
      <c r="AY107" s="76">
        <v>43</v>
      </c>
      <c r="AZ107" s="36">
        <f t="shared" si="51"/>
        <v>5.4499366286438535</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52"/>
        <v/>
      </c>
      <c r="M108" s="33"/>
      <c r="N108" s="36" t="str">
        <f t="shared" si="4"/>
        <v/>
      </c>
      <c r="O108" s="33"/>
      <c r="P108" s="36" t="str">
        <f t="shared" si="54"/>
        <v/>
      </c>
      <c r="Q108" s="33"/>
      <c r="R108" s="36" t="str">
        <f t="shared" si="35"/>
        <v/>
      </c>
      <c r="S108" s="33"/>
      <c r="T108" s="36" t="str">
        <f t="shared" si="36"/>
        <v/>
      </c>
      <c r="U108" s="33"/>
      <c r="V108" s="36" t="str">
        <f t="shared" si="37"/>
        <v/>
      </c>
      <c r="W108" s="33"/>
      <c r="X108" s="36" t="str">
        <f t="shared" si="38"/>
        <v/>
      </c>
      <c r="Y108" s="33"/>
      <c r="Z108" s="36" t="str">
        <f t="shared" si="39"/>
        <v/>
      </c>
      <c r="AA108" s="33"/>
      <c r="AB108" s="36" t="str">
        <f t="shared" si="40"/>
        <v/>
      </c>
      <c r="AC108" s="33"/>
      <c r="AD108" s="36" t="str">
        <f t="shared" si="41"/>
        <v/>
      </c>
      <c r="AE108" s="33"/>
      <c r="AF108" s="36" t="str">
        <f t="shared" si="42"/>
        <v/>
      </c>
      <c r="AG108" s="33"/>
      <c r="AH108" s="36" t="str">
        <f t="shared" si="43"/>
        <v/>
      </c>
      <c r="AI108" s="33"/>
      <c r="AJ108" s="36" t="str">
        <f t="shared" si="44"/>
        <v/>
      </c>
      <c r="AK108" s="33"/>
      <c r="AL108" s="36" t="str">
        <f t="shared" si="30"/>
        <v/>
      </c>
      <c r="AM108" s="33"/>
      <c r="AN108" s="36" t="str">
        <f t="shared" si="45"/>
        <v/>
      </c>
      <c r="AO108" s="33"/>
      <c r="AP108" s="36" t="str">
        <f t="shared" si="46"/>
        <v/>
      </c>
      <c r="AQ108" s="33"/>
      <c r="AR108" s="36" t="str">
        <f t="shared" si="47"/>
        <v/>
      </c>
      <c r="AS108" s="33"/>
      <c r="AT108" s="36" t="str">
        <f t="shared" si="48"/>
        <v/>
      </c>
      <c r="AU108" s="33"/>
      <c r="AV108" s="36" t="str">
        <f t="shared" si="49"/>
        <v/>
      </c>
      <c r="AW108" s="31"/>
      <c r="AX108" s="36" t="str">
        <f t="shared" si="50"/>
        <v/>
      </c>
      <c r="AY108" s="59"/>
      <c r="AZ108" s="36" t="str">
        <f t="shared" si="51"/>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52"/>
        <v/>
      </c>
      <c r="M109" s="33"/>
      <c r="N109" s="36" t="str">
        <f t="shared" si="4"/>
        <v/>
      </c>
      <c r="O109" s="33"/>
      <c r="P109" s="36" t="str">
        <f t="shared" si="54"/>
        <v/>
      </c>
      <c r="Q109" s="33"/>
      <c r="R109" s="36" t="str">
        <f t="shared" si="35"/>
        <v/>
      </c>
      <c r="S109" s="33"/>
      <c r="T109" s="36" t="str">
        <f t="shared" si="36"/>
        <v/>
      </c>
      <c r="U109" s="33"/>
      <c r="V109" s="36" t="str">
        <f t="shared" si="37"/>
        <v/>
      </c>
      <c r="W109" s="33"/>
      <c r="X109" s="36" t="str">
        <f t="shared" si="38"/>
        <v/>
      </c>
      <c r="Y109" s="33"/>
      <c r="Z109" s="36" t="str">
        <f t="shared" si="39"/>
        <v/>
      </c>
      <c r="AA109" s="33"/>
      <c r="AB109" s="36" t="str">
        <f t="shared" si="40"/>
        <v/>
      </c>
      <c r="AC109" s="33"/>
      <c r="AD109" s="36" t="str">
        <f t="shared" si="41"/>
        <v/>
      </c>
      <c r="AE109" s="33"/>
      <c r="AF109" s="36" t="str">
        <f t="shared" si="42"/>
        <v/>
      </c>
      <c r="AG109" s="33"/>
      <c r="AH109" s="36" t="str">
        <f t="shared" si="43"/>
        <v/>
      </c>
      <c r="AI109" s="38">
        <v>5</v>
      </c>
      <c r="AJ109" s="39" t="str">
        <f t="shared" si="44"/>
        <v/>
      </c>
      <c r="AK109" s="33"/>
      <c r="AL109" s="36" t="str">
        <f t="shared" si="30"/>
        <v/>
      </c>
      <c r="AM109" s="33"/>
      <c r="AN109" s="36" t="str">
        <f t="shared" si="45"/>
        <v/>
      </c>
      <c r="AO109" s="33"/>
      <c r="AP109" s="36" t="str">
        <f t="shared" si="46"/>
        <v/>
      </c>
      <c r="AQ109" s="33"/>
      <c r="AR109" s="36" t="str">
        <f t="shared" si="47"/>
        <v/>
      </c>
      <c r="AS109" s="38">
        <v>5</v>
      </c>
      <c r="AT109" s="39" t="str">
        <f t="shared" si="48"/>
        <v/>
      </c>
      <c r="AU109" s="33"/>
      <c r="AV109" s="36" t="str">
        <f t="shared" si="49"/>
        <v/>
      </c>
      <c r="AW109" s="40">
        <v>16</v>
      </c>
      <c r="AX109" s="39" t="str">
        <f t="shared" si="50"/>
        <v/>
      </c>
      <c r="AY109" s="59"/>
      <c r="AZ109" s="36" t="str">
        <f t="shared" si="51"/>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52"/>
        <v/>
      </c>
      <c r="M110" s="33"/>
      <c r="N110" s="36" t="str">
        <f t="shared" si="4"/>
        <v/>
      </c>
      <c r="O110" s="33"/>
      <c r="P110" s="36" t="str">
        <f t="shared" si="54"/>
        <v/>
      </c>
      <c r="Q110" s="33"/>
      <c r="R110" s="36" t="str">
        <f t="shared" si="35"/>
        <v/>
      </c>
      <c r="S110" s="33"/>
      <c r="T110" s="36" t="str">
        <f t="shared" si="36"/>
        <v/>
      </c>
      <c r="U110" s="33"/>
      <c r="V110" s="36" t="str">
        <f t="shared" si="37"/>
        <v/>
      </c>
      <c r="W110" s="33"/>
      <c r="X110" s="36" t="str">
        <f t="shared" si="38"/>
        <v/>
      </c>
      <c r="Y110" s="33"/>
      <c r="Z110" s="36" t="str">
        <f t="shared" si="39"/>
        <v/>
      </c>
      <c r="AA110" s="33"/>
      <c r="AB110" s="36" t="str">
        <f t="shared" si="40"/>
        <v/>
      </c>
      <c r="AC110" s="33"/>
      <c r="AD110" s="36" t="str">
        <f t="shared" si="41"/>
        <v/>
      </c>
      <c r="AE110" s="33"/>
      <c r="AF110" s="36" t="str">
        <f t="shared" si="42"/>
        <v/>
      </c>
      <c r="AG110" s="33"/>
      <c r="AH110" s="36" t="str">
        <f t="shared" si="43"/>
        <v/>
      </c>
      <c r="AI110" s="33"/>
      <c r="AJ110" s="36" t="str">
        <f t="shared" si="44"/>
        <v/>
      </c>
      <c r="AK110" s="33"/>
      <c r="AL110" s="36" t="str">
        <f t="shared" si="30"/>
        <v/>
      </c>
      <c r="AM110" s="33"/>
      <c r="AN110" s="36" t="str">
        <f t="shared" si="45"/>
        <v/>
      </c>
      <c r="AO110" s="33"/>
      <c r="AP110" s="36" t="str">
        <f t="shared" si="46"/>
        <v/>
      </c>
      <c r="AQ110" s="33"/>
      <c r="AR110" s="36" t="str">
        <f t="shared" si="47"/>
        <v/>
      </c>
      <c r="AS110" s="33"/>
      <c r="AT110" s="36" t="str">
        <f t="shared" si="48"/>
        <v/>
      </c>
      <c r="AU110" s="33"/>
      <c r="AV110" s="36" t="str">
        <f t="shared" si="49"/>
        <v/>
      </c>
      <c r="AW110" s="30"/>
      <c r="AX110" s="36" t="str">
        <f t="shared" si="50"/>
        <v/>
      </c>
      <c r="AY110" s="59"/>
      <c r="AZ110" s="36" t="str">
        <f t="shared" si="51"/>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IF((ISERROR((K111/$H111)*100)), "", IF(AND(NOT(ISERROR((K111/$H111)*100)),((K111/$H111)*100) &lt;&gt; 0), (K111/$H111)*100, ""))</f>
        <v/>
      </c>
      <c r="M111" s="33"/>
      <c r="N111" s="36" t="str">
        <f>IF((ISERROR((M111/$H111)*100)), "", IF(AND(NOT(ISERROR((M111/$H111)*100)),((M111/$H111)*100) &lt;&gt; 0), (M111/$H111)*100, ""))</f>
        <v/>
      </c>
      <c r="O111" s="33"/>
      <c r="P111" s="36" t="str">
        <f>IF((ISERROR((O111/$H111)*100)), "", IF(AND(NOT(ISERROR((O111/$H111)*100)),((O111/$H111)*100) &lt;&gt; 0), (O111/$H111)*100, ""))</f>
        <v/>
      </c>
      <c r="Q111" s="33"/>
      <c r="R111" s="36" t="str">
        <f>IF((ISERROR((Q111/$H111)*100)), "", IF(AND(NOT(ISERROR((Q111/$H111)*100)),((Q111/$H111)*100) &lt;&gt; 0), (Q111/$H111)*100, ""))</f>
        <v/>
      </c>
      <c r="S111" s="33"/>
      <c r="T111" s="36" t="str">
        <f>IF((ISERROR((S111/$H111)*100)), "", IF(AND(NOT(ISERROR((S111/$H111)*100)),((S111/$H111)*100) &lt;&gt; 0), (S111/$H111)*100, ""))</f>
        <v/>
      </c>
      <c r="U111" s="33"/>
      <c r="V111" s="36" t="str">
        <f>IF((ISERROR((U111/$H111)*100)), "", IF(AND(NOT(ISERROR((U111/$H111)*100)),((U111/$H111)*100) &lt;&gt; 0), (U111/$H111)*100, ""))</f>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33"/>
      <c r="AF111" s="36" t="str">
        <f t="shared" si="42"/>
        <v/>
      </c>
      <c r="AG111" s="33"/>
      <c r="AH111" s="36" t="str">
        <f>IF((ISERROR((AG111/$H111)*100)), "", IF(AND(NOT(ISERROR((AG111/$H111)*100)),((AG111/$H111)*100) &lt;&gt; 0), (AG111/$H111)*100, ""))</f>
        <v/>
      </c>
      <c r="AI111" s="33"/>
      <c r="AJ111" s="36" t="str">
        <f>IF((ISERROR((AI111/$H111)*100)), "", IF(AND(NOT(ISERROR((AI111/$H111)*100)),((AI111/$H111)*100) &lt;&gt; 0), (AI111/$H111)*100, ""))</f>
        <v/>
      </c>
      <c r="AK111" s="33"/>
      <c r="AL111" s="36" t="str">
        <f>IF((ISERROR((AK111/$H111)*100)), "", IF(AND(NOT(ISERROR((AK111/$H111)*100)),((AK111/$H111)*100) &lt;&gt; 0), (AK111/$H111)*100, ""))</f>
        <v/>
      </c>
      <c r="AM111" s="33"/>
      <c r="AN111" s="36" t="str">
        <f>IF((ISERROR((AM111/$H111)*100)), "", IF(AND(NOT(ISERROR((AM111/$H111)*100)),((AM111/$H111)*100) &lt;&gt; 0), (AM111/$H111)*100, ""))</f>
        <v/>
      </c>
      <c r="AO111" s="33"/>
      <c r="AP111" s="36" t="str">
        <f>IF((ISERROR((AO111/$H111)*100)), "", IF(AND(NOT(ISERROR((AO111/$H111)*100)),((AO111/$H111)*100) &lt;&gt; 0), (AO111/$H111)*100, ""))</f>
        <v/>
      </c>
      <c r="AQ111" s="33"/>
      <c r="AR111" s="36" t="str">
        <f t="shared" si="47"/>
        <v/>
      </c>
      <c r="AS111" s="33"/>
      <c r="AT111" s="36" t="str">
        <f>IF((ISERROR((AS111/$H111)*100)), "", IF(AND(NOT(ISERROR((AS111/$H111)*100)),((AS111/$H111)*100) &lt;&gt; 0), (AS111/$H111)*100, ""))</f>
        <v/>
      </c>
      <c r="AU111" s="33"/>
      <c r="AV111" s="36" t="str">
        <f>IF((ISERROR((AU111/$H111)*100)), "", IF(AND(NOT(ISERROR((AU111/$H111)*100)),((AU111/$H111)*100) &lt;&gt; 0), (AU111/$H111)*100, ""))</f>
        <v/>
      </c>
      <c r="AW111" s="76"/>
      <c r="AX111" s="36" t="str">
        <f t="shared" si="50"/>
        <v/>
      </c>
      <c r="AY111" s="76"/>
      <c r="AZ111" s="36" t="str">
        <f t="shared" si="51"/>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52"/>
        <v/>
      </c>
      <c r="M112" s="33"/>
      <c r="N112" s="36" t="str">
        <f t="shared" si="4"/>
        <v/>
      </c>
      <c r="O112" s="33"/>
      <c r="P112" s="36" t="str">
        <f t="shared" si="54"/>
        <v/>
      </c>
      <c r="Q112" s="33"/>
      <c r="R112" s="36" t="str">
        <f t="shared" si="35"/>
        <v/>
      </c>
      <c r="S112" s="33"/>
      <c r="T112" s="36" t="str">
        <f t="shared" si="36"/>
        <v/>
      </c>
      <c r="U112" s="33"/>
      <c r="V112" s="36" t="str">
        <f t="shared" si="37"/>
        <v/>
      </c>
      <c r="W112" s="33"/>
      <c r="X112" s="36" t="str">
        <f t="shared" si="38"/>
        <v/>
      </c>
      <c r="Y112" s="33"/>
      <c r="Z112" s="36" t="str">
        <f t="shared" si="39"/>
        <v/>
      </c>
      <c r="AA112" s="33"/>
      <c r="AB112" s="36" t="str">
        <f t="shared" si="40"/>
        <v/>
      </c>
      <c r="AC112" s="33"/>
      <c r="AD112" s="36" t="str">
        <f t="shared" si="41"/>
        <v/>
      </c>
      <c r="AE112" s="33"/>
      <c r="AF112" s="36" t="str">
        <f t="shared" si="42"/>
        <v/>
      </c>
      <c r="AG112" s="33"/>
      <c r="AH112" s="36" t="str">
        <f t="shared" si="43"/>
        <v/>
      </c>
      <c r="AI112" s="33"/>
      <c r="AJ112" s="36" t="str">
        <f t="shared" si="44"/>
        <v/>
      </c>
      <c r="AK112" s="33"/>
      <c r="AL112" s="36" t="str">
        <f t="shared" si="30"/>
        <v/>
      </c>
      <c r="AM112" s="33"/>
      <c r="AN112" s="36" t="str">
        <f t="shared" si="45"/>
        <v/>
      </c>
      <c r="AO112" s="33"/>
      <c r="AP112" s="36" t="str">
        <f t="shared" si="46"/>
        <v/>
      </c>
      <c r="AQ112" s="33"/>
      <c r="AR112" s="36" t="str">
        <f t="shared" si="47"/>
        <v/>
      </c>
      <c r="AS112" s="33"/>
      <c r="AT112" s="36" t="str">
        <f t="shared" si="48"/>
        <v/>
      </c>
      <c r="AU112" s="33"/>
      <c r="AV112" s="36" t="str">
        <f t="shared" si="49"/>
        <v/>
      </c>
      <c r="AW112" s="30"/>
      <c r="AX112" s="36" t="str">
        <f t="shared" si="50"/>
        <v/>
      </c>
      <c r="AY112" s="59"/>
      <c r="AZ112" s="36" t="str">
        <f t="shared" si="51"/>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IF((ISERROR((K113/$H113)*100)), "", IF(AND(NOT(ISERROR((K113/$H113)*100)),((K113/$H113)*100) &lt;&gt; 0), (K113/$H113)*100, ""))</f>
        <v/>
      </c>
      <c r="M113" s="73"/>
      <c r="N113" s="74" t="str">
        <f>IF((ISERROR((M113/$H113)*100)), "", IF(AND(NOT(ISERROR((M113/$H113)*100)),((M113/$H113)*100) &lt;&gt; 0), (M113/$H113)*100, ""))</f>
        <v/>
      </c>
      <c r="O113" s="73"/>
      <c r="P113" s="74" t="str">
        <f>IF((ISERROR((O113/$H113)*100)), "", IF(AND(NOT(ISERROR((O113/$H113)*100)),((O113/$H113)*100) &lt;&gt; 0), (O113/$H113)*100, ""))</f>
        <v/>
      </c>
      <c r="Q113" s="73"/>
      <c r="R113" s="74" t="str">
        <f>IF((ISERROR((Q113/$H113)*100)), "", IF(AND(NOT(ISERROR((Q113/$H113)*100)),((Q113/$H113)*100) &lt;&gt; 0), (Q113/$H113)*100, ""))</f>
        <v/>
      </c>
      <c r="S113" s="73"/>
      <c r="T113" s="74" t="str">
        <f>IF((ISERROR((S113/$H113)*100)), "", IF(AND(NOT(ISERROR((S113/$H113)*100)),((S113/$H113)*100) &lt;&gt; 0), (S113/$H113)*100, ""))</f>
        <v/>
      </c>
      <c r="U113" s="73"/>
      <c r="V113" s="74" t="str">
        <f>IF((ISERROR((U113/$H113)*100)), "", IF(AND(NOT(ISERROR((U113/$H113)*100)),((U113/$H113)*100) &lt;&gt; 0), (U113/$H113)*100, ""))</f>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3"/>
      <c r="AF113" s="74" t="str">
        <f t="shared" si="42"/>
        <v/>
      </c>
      <c r="AG113" s="73"/>
      <c r="AH113" s="74" t="str">
        <f>IF((ISERROR((AG113/$H113)*100)), "", IF(AND(NOT(ISERROR((AG113/$H113)*100)),((AG113/$H113)*100) &lt;&gt; 0), (AG113/$H113)*100, ""))</f>
        <v/>
      </c>
      <c r="AI113" s="73"/>
      <c r="AJ113" s="74" t="str">
        <f>IF((ISERROR((AI113/$H113)*100)), "", IF(AND(NOT(ISERROR((AI113/$H113)*100)),((AI113/$H113)*100) &lt;&gt; 0), (AI113/$H113)*100, ""))</f>
        <v/>
      </c>
      <c r="AK113" s="73"/>
      <c r="AL113" s="74" t="str">
        <f>IF((ISERROR((AK113/$H113)*100)), "", IF(AND(NOT(ISERROR((AK113/$H113)*100)),((AK113/$H113)*100) &lt;&gt; 0), (AK113/$H113)*100, ""))</f>
        <v/>
      </c>
      <c r="AM113" s="73"/>
      <c r="AN113" s="74" t="str">
        <f>IF((ISERROR((AM113/$H113)*100)), "", IF(AND(NOT(ISERROR((AM113/$H113)*100)),((AM113/$H113)*100) &lt;&gt; 0), (AM113/$H113)*100, ""))</f>
        <v/>
      </c>
      <c r="AO113" s="73"/>
      <c r="AP113" s="74" t="str">
        <f>IF((ISERROR((AO113/$H113)*100)), "", IF(AND(NOT(ISERROR((AO113/$H113)*100)),((AO113/$H113)*100) &lt;&gt; 0), (AO113/$H113)*100, ""))</f>
        <v/>
      </c>
      <c r="AQ113" s="73"/>
      <c r="AR113" s="74" t="str">
        <f t="shared" si="47"/>
        <v/>
      </c>
      <c r="AS113" s="73"/>
      <c r="AT113" s="74" t="str">
        <f>IF((ISERROR((AS113/$H113)*100)), "", IF(AND(NOT(ISERROR((AS113/$H113)*100)),((AS113/$H113)*100) &lt;&gt; 0), (AS113/$H113)*100, ""))</f>
        <v/>
      </c>
      <c r="AU113" s="73"/>
      <c r="AV113" s="74" t="str">
        <f>IF((ISERROR((AU113/$H113)*100)), "", IF(AND(NOT(ISERROR((AU113/$H113)*100)),((AU113/$H113)*100) &lt;&gt; 0), (AU113/$H113)*100, ""))</f>
        <v/>
      </c>
      <c r="AW113" s="75"/>
      <c r="AX113" s="74" t="str">
        <f t="shared" si="50"/>
        <v/>
      </c>
      <c r="AY113" s="75"/>
      <c r="AZ113" s="74" t="str">
        <f t="shared" si="51"/>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IF((ISERROR((K114/$H114)*100)), "", IF(AND(NOT(ISERROR((K114/$H114)*100)),((K114/$H114)*100) &lt;&gt; 0), (K114/$H114)*100, ""))</f>
        <v/>
      </c>
      <c r="M114" s="34"/>
      <c r="N114" s="37" t="str">
        <f>IF((ISERROR((M114/$H114)*100)), "", IF(AND(NOT(ISERROR((M114/$H114)*100)),((M114/$H114)*100) &lt;&gt; 0), (M114/$H114)*100, ""))</f>
        <v/>
      </c>
      <c r="O114" s="34"/>
      <c r="P114" s="37" t="str">
        <f>IF((ISERROR((O114/$H114)*100)), "", IF(AND(NOT(ISERROR((O114/$H114)*100)),((O114/$H114)*100) &lt;&gt; 0), (O114/$H114)*100, ""))</f>
        <v/>
      </c>
      <c r="Q114" s="34"/>
      <c r="R114" s="37" t="str">
        <f>IF((ISERROR((Q114/$H114)*100)), "", IF(AND(NOT(ISERROR((Q114/$H114)*100)),((Q114/$H114)*100) &lt;&gt; 0), (Q114/$H114)*100, ""))</f>
        <v/>
      </c>
      <c r="S114" s="34"/>
      <c r="T114" s="37" t="str">
        <f>IF((ISERROR((S114/$H114)*100)), "", IF(AND(NOT(ISERROR((S114/$H114)*100)),((S114/$H114)*100) &lt;&gt; 0), (S114/$H114)*100, ""))</f>
        <v/>
      </c>
      <c r="U114" s="34"/>
      <c r="V114" s="37" t="str">
        <f>IF((ISERROR((U114/$H114)*100)), "", IF(AND(NOT(ISERROR((U114/$H114)*100)),((U114/$H114)*100) &lt;&gt; 0), (U114/$H114)*100, ""))</f>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4"/>
      <c r="AF114" s="37" t="str">
        <f t="shared" si="42"/>
        <v/>
      </c>
      <c r="AG114" s="34"/>
      <c r="AH114" s="37" t="str">
        <f>IF((ISERROR((AG114/$H114)*100)), "", IF(AND(NOT(ISERROR((AG114/$H114)*100)),((AG114/$H114)*100) &lt;&gt; 0), (AG114/$H114)*100, ""))</f>
        <v/>
      </c>
      <c r="AI114" s="34"/>
      <c r="AJ114" s="37" t="str">
        <f>IF((ISERROR((AI114/$H114)*100)), "", IF(AND(NOT(ISERROR((AI114/$H114)*100)),((AI114/$H114)*100) &lt;&gt; 0), (AI114/$H114)*100, ""))</f>
        <v/>
      </c>
      <c r="AK114" s="34"/>
      <c r="AL114" s="37" t="str">
        <f>IF((ISERROR((AK114/$H114)*100)), "", IF(AND(NOT(ISERROR((AK114/$H114)*100)),((AK114/$H114)*100) &lt;&gt; 0), (AK114/$H114)*100, ""))</f>
        <v/>
      </c>
      <c r="AM114" s="34"/>
      <c r="AN114" s="37" t="str">
        <f>IF((ISERROR((AM114/$H114)*100)), "", IF(AND(NOT(ISERROR((AM114/$H114)*100)),((AM114/$H114)*100) &lt;&gt; 0), (AM114/$H114)*100, ""))</f>
        <v/>
      </c>
      <c r="AO114" s="34"/>
      <c r="AP114" s="37" t="str">
        <f>IF((ISERROR((AO114/$H114)*100)), "", IF(AND(NOT(ISERROR((AO114/$H114)*100)),((AO114/$H114)*100) &lt;&gt; 0), (AO114/$H114)*100, ""))</f>
        <v/>
      </c>
      <c r="AQ114" s="34"/>
      <c r="AR114" s="37" t="str">
        <f t="shared" si="47"/>
        <v/>
      </c>
      <c r="AS114" s="34"/>
      <c r="AT114" s="37" t="str">
        <f>IF((ISERROR((AS114/$H114)*100)), "", IF(AND(NOT(ISERROR((AS114/$H114)*100)),((AS114/$H114)*100) &lt;&gt; 0), (AS114/$H114)*100, ""))</f>
        <v/>
      </c>
      <c r="AU114" s="34"/>
      <c r="AV114" s="37" t="str">
        <f>IF((ISERROR((AU114/$H114)*100)), "", IF(AND(NOT(ISERROR((AU114/$H114)*100)),((AU114/$H114)*100) &lt;&gt; 0), (AU114/$H114)*100, ""))</f>
        <v/>
      </c>
      <c r="AW114" s="35"/>
      <c r="AX114" s="37" t="str">
        <f t="shared" si="50"/>
        <v/>
      </c>
      <c r="AY114" s="35"/>
      <c r="AZ114" s="37" t="str">
        <f t="shared" si="51"/>
        <v/>
      </c>
      <c r="BA114" s="23" t="s">
        <v>233</v>
      </c>
    </row>
    <row r="116" spans="1:53" ht="17" thickBot="1" x14ac:dyDescent="0.25"/>
    <row r="117" spans="1:53" s="22" customFormat="1" x14ac:dyDescent="0.2">
      <c r="C117" s="41"/>
      <c r="F117" s="24"/>
      <c r="G117" s="43" t="s">
        <v>246</v>
      </c>
      <c r="H117" s="44">
        <f>SUM(H11:H114)</f>
        <v>3437</v>
      </c>
      <c r="I117" s="45" t="s">
        <v>244</v>
      </c>
      <c r="J117" s="46" t="s">
        <v>243</v>
      </c>
      <c r="K117" s="51">
        <f>IF((SUM(K11:K114)&lt;&gt;0), SUMIF($H11:$H114, "&gt;0", K11:K114), "")</f>
        <v>55</v>
      </c>
      <c r="L117" s="52">
        <f>IF(ISERROR((K117/$H117)*100), "", IF(((K117/$H117)*100) &lt;&gt; 0, (K117/$H117)*100, ""))</f>
        <v>1.6002327611288916</v>
      </c>
      <c r="M117" s="51">
        <f>IF((SUM(M11:M114)&lt;&gt;0), SUMIF($H11:$H114, "&gt;0", M11:M114), "")</f>
        <v>6</v>
      </c>
      <c r="N117" s="52">
        <f>IF(ISERROR((M117/$H117)*100), "", IF(((M117/$H117)*100) &lt;&gt; 0, (M117/$H117)*100, ""))</f>
        <v>0.17457084666860634</v>
      </c>
      <c r="O117" s="51">
        <f>IF((SUM(O11:O114)&lt;&gt;0), SUMIF($H11:$H114, "&gt;0", O11:O114), "")</f>
        <v>9</v>
      </c>
      <c r="P117" s="52">
        <f>IF(ISERROR((O117/$H117)*100), "", IF(((O117/$H117)*100) &lt;&gt; 0, (O117/$H117)*100, ""))</f>
        <v>0.26185627000290951</v>
      </c>
      <c r="Q117" s="51">
        <f>IF((SUM(Q11:Q114)&lt;&gt;0), SUMIF($H11:$H114, "&gt;0", Q11:Q114), "")</f>
        <v>30</v>
      </c>
      <c r="R117" s="52">
        <f>IF(ISERROR((Q117/$H117)*100), "", IF(((Q117/$H117)*100) &lt;&gt; 0, (Q117/$H117)*100, ""))</f>
        <v>0.87285423334303169</v>
      </c>
      <c r="S117" s="51" t="str">
        <f>IF((SUM(S11:S114)&lt;&gt;0), SUMIF($H11:$H114, "&gt;0", S11:S114), "")</f>
        <v/>
      </c>
      <c r="T117" s="52" t="str">
        <f>IF(ISERROR((S117/$H117)*100), "", IF(((S117/$H117)*100) &lt;&gt; 0, (S117/$H117)*100, ""))</f>
        <v/>
      </c>
      <c r="U117" s="51">
        <f>IF((SUM(U11:U114)&lt;&gt;0), SUMIF($H11:$H114, "&gt;0", U11:U114), "")</f>
        <v>58</v>
      </c>
      <c r="V117" s="52">
        <f>IF(ISERROR((U117/$H117)*100), "", IF(((U117/$H117)*100) &lt;&gt; 0, (U117/$H117)*100, ""))</f>
        <v>1.6875181844631948</v>
      </c>
      <c r="W117" s="51">
        <f>IF((SUM(W11:W114)&lt;&gt;0), SUMIF($H11:$H114, "&gt;0", W11:W114), "")</f>
        <v>25</v>
      </c>
      <c r="X117" s="52">
        <f>IF(ISERROR((W117/$H117)*100), "", IF(((W117/$H117)*100) &lt;&gt; 0, (W117/$H117)*100, ""))</f>
        <v>0.72737852778585976</v>
      </c>
      <c r="Y117" s="51">
        <f>IF((SUM(Y11:Y114)&lt;&gt;0), SUMIF($H11:$H114, "&gt;0", Y11:Y114), "")</f>
        <v>34</v>
      </c>
      <c r="Z117" s="52">
        <f>IF(ISERROR((Y117/$H117)*100), "", IF(((Y117/$H117)*100) &lt;&gt; 0, (Y117/$H117)*100, ""))</f>
        <v>0.98923479778876922</v>
      </c>
      <c r="AA117" s="51">
        <f>IF((SUM(AA11:AA114)&lt;&gt;0), SUMIF($H11:$H114, "&gt;0", AA11:AA114), "")</f>
        <v>3</v>
      </c>
      <c r="AB117" s="52">
        <f>IF(ISERROR((AA117/$H117)*100), "", IF(((AA117/$H117)*100) &lt;&gt; 0, (AA117/$H117)*100, ""))</f>
        <v>8.7285423334303169E-2</v>
      </c>
      <c r="AC117" s="51">
        <f>IF((SUM(AC11:AC114)&lt;&gt;0), SUMIF($H11:$H114, "&gt;0", AC11:AC114), "")</f>
        <v>1</v>
      </c>
      <c r="AD117" s="52">
        <f>IF(ISERROR((AC117/$H117)*100), "", IF(((AC117/$H117)*100) &lt;&gt; 0, (AC117/$H117)*100, ""))</f>
        <v>2.9095141111434391E-2</v>
      </c>
      <c r="AE117" s="51">
        <f>IF((SUM(AE11:AE114)&lt;&gt;0), SUMIF($H11:$H114, "&gt;0", AE11:AE114), "")</f>
        <v>6</v>
      </c>
      <c r="AF117" s="52">
        <f>IF(ISERROR((AE117/$H117)*100), "", IF(((AE117/$H117)*100) &lt;&gt; 0, (AE117/$H117)*100, ""))</f>
        <v>0.17457084666860634</v>
      </c>
      <c r="AG117" s="51">
        <f>IF((SUM(AG11:AG114)&lt;&gt;0), SUMIF($H11:$H114, "&gt;0", AG11:AG114), "")</f>
        <v>1</v>
      </c>
      <c r="AH117" s="52">
        <f>IF(ISERROR((AG117/$H117)*100), "", IF(((AG117/$H117)*100) &lt;&gt; 0, (AG117/$H117)*100, ""))</f>
        <v>2.9095141111434391E-2</v>
      </c>
      <c r="AI117" s="51">
        <f>IF((SUM(AI11:AI114)&lt;&gt;0), SUMIF($H11:$H114, "&gt;0", AI11:AI114), "")</f>
        <v>1</v>
      </c>
      <c r="AJ117" s="52">
        <f>IF(ISERROR((AI117/$H117)*100), "", IF(((AI117/$H117)*100) &lt;&gt; 0, (AI117/$H117)*100, ""))</f>
        <v>2.9095141111434391E-2</v>
      </c>
      <c r="AK117" s="51">
        <f>IF((SUM(AK11:AK114)&lt;&gt;0), SUMIF($H11:$H114, "&gt;0", AK11:AK114), "")</f>
        <v>4</v>
      </c>
      <c r="AL117" s="52">
        <f>IF(ISERROR((AK117/$H117)*100), "", IF(((AK117/$H117)*100) &lt;&gt; 0, (AK117/$H117)*100, ""))</f>
        <v>0.11638056444573756</v>
      </c>
      <c r="AM117" s="51">
        <f>IF((SUM(AM11:AM114)&lt;&gt;0), SUMIF($H11:$H114, "&gt;0", AM11:AM114), "")</f>
        <v>2</v>
      </c>
      <c r="AN117" s="52">
        <f>IF(ISERROR((AM117/$H117)*100), "", IF(((AM117/$H117)*100) &lt;&gt; 0, (AM117/$H117)*100, ""))</f>
        <v>5.8190282222868782E-2</v>
      </c>
      <c r="AO117" s="51">
        <f>IF((SUM(AO11:AO114)&lt;&gt;0), SUMIF($H11:$H114, "&gt;0", AO11:AO114), "")</f>
        <v>1</v>
      </c>
      <c r="AP117" s="52">
        <f>IF(ISERROR((AO117/$H117)*100), "", IF(((AO117/$H117)*100) &lt;&gt; 0, (AO117/$H117)*100, ""))</f>
        <v>2.9095141111434391E-2</v>
      </c>
      <c r="AQ117" s="51">
        <f>IF((SUM(AQ11:AQ114)&lt;&gt;0), SUMIF($H11:$H114, "&gt;0", AQ11:AQ114), "")</f>
        <v>2</v>
      </c>
      <c r="AR117" s="52">
        <f>IF(ISERROR((AQ117/$H117)*100), "", IF(((AQ117/$H117)*100) &lt;&gt; 0, (AQ117/$H117)*100, ""))</f>
        <v>5.8190282222868782E-2</v>
      </c>
      <c r="AS117" s="51">
        <f>IF((SUM(AS11:AS114)&lt;&gt;0), SUMIF($H11:$H114, "&gt;0", AS11:AS114), "")</f>
        <v>7</v>
      </c>
      <c r="AT117" s="52">
        <f>IF(ISERROR((AS117/$H117)*100), "", IF(((AS117/$H117)*100) &lt;&gt; 0, (AS117/$H117)*100, ""))</f>
        <v>0.20366598778004072</v>
      </c>
      <c r="AU117" s="51">
        <f>IF((SUM(AU11:AU114)&lt;&gt;0), SUMIF($H11:$H114, "&gt;0", AU11:AU114), "")</f>
        <v>1</v>
      </c>
      <c r="AV117" s="52">
        <f>IF(ISERROR((AU117/$H117)*100), "", IF(((AU117/$H117)*100) &lt;&gt; 0, (AU117/$H117)*100, ""))</f>
        <v>2.9095141111434391E-2</v>
      </c>
      <c r="AW117" s="51">
        <f>IF((SUM(AW11:AW114)&lt;&gt;0), SUMIF($H11:$H114, "&gt;0", AW11:AW114), "")</f>
        <v>95</v>
      </c>
      <c r="AX117" s="52">
        <f>IF(ISERROR((AW117/$H117)*100), "", IF(((AW117/$H117)*100) &lt;&gt; 0, (AW117/$H117)*100, ""))</f>
        <v>2.7640384055862675</v>
      </c>
      <c r="AY117" s="51">
        <f>IF((SUM(AY11:AY114)&lt;&gt;0), SUMIF($H11:$H114, "&gt;0", AY11:AY114), "")</f>
        <v>90</v>
      </c>
      <c r="AZ117" s="52">
        <f>IF(ISERROR((AY117/$H117)*100), "", IF(((AY117/$H117)*100) &lt;&gt; 0, (AY117/$H117)*100, ""))</f>
        <v>2.618562700029095</v>
      </c>
    </row>
    <row r="118" spans="1:53" s="22" customFormat="1" ht="18" customHeight="1" x14ac:dyDescent="0.2">
      <c r="C118" s="41"/>
      <c r="F118" s="24"/>
      <c r="G118" s="43" t="s">
        <v>247</v>
      </c>
      <c r="H118" s="42" t="s">
        <v>245</v>
      </c>
      <c r="I118" s="47" t="s">
        <v>244</v>
      </c>
      <c r="J118" s="48" t="s">
        <v>243</v>
      </c>
      <c r="K118" s="53">
        <f>IF(SUMIF(K11:K114, "&gt; 0", $H11:$H114) &gt; 0, SUMIF(K11:K114, "&gt; 0", $H11:$H114), "")</f>
        <v>620</v>
      </c>
      <c r="L118" s="54">
        <f>IF(AND(NOT(ISERROR((K117/K118)*100)), K117/K118 &lt;&gt; 0), (K117/K118)*100, "")</f>
        <v>8.870967741935484</v>
      </c>
      <c r="M118" s="53">
        <f>IF(SUMIF(M11:M114, "&gt; 0", $H11:$H114) &gt; 0, SUMIF(M11:M114, "&gt; 0", $H11:$H114), "")</f>
        <v>97</v>
      </c>
      <c r="N118" s="54">
        <f>IF(AND(NOT(ISERROR((M117/M118)*100)), M117/M118 &lt;&gt; 0), (M117/M118)*100, "")</f>
        <v>6.1855670103092786</v>
      </c>
      <c r="O118" s="53">
        <f>IF(SUMIF(O11:O114, "&gt; 0", $H11:$H114) &gt; 0, SUMIF(O11:O114, "&gt; 0", $H11:$H114), "")</f>
        <v>213</v>
      </c>
      <c r="P118" s="54">
        <f>IF(AND(NOT(ISERROR((O117/O118)*100)), O117/O118 &lt;&gt; 0), (O117/O118)*100, "")</f>
        <v>4.225352112676056</v>
      </c>
      <c r="Q118" s="53">
        <f>IF(SUMIF(Q11:Q114, "&gt; 0", $H11:$H114) &gt; 0, SUMIF(Q11:Q114, "&gt; 0", $H11:$H114), "")</f>
        <v>531</v>
      </c>
      <c r="R118" s="54">
        <f>IF(AND(NOT(ISERROR((Q117/Q118)*100)), Q117/Q118 &lt;&gt; 0), (Q117/Q118)*100, "")</f>
        <v>5.6497175141242941</v>
      </c>
      <c r="S118" s="53" t="str">
        <f>IF(SUMIF(S11:S114, "&gt; 0", $H11:$H114) &gt; 0, SUMIF(S11:S114, "&gt; 0", $H11:$H114), "")</f>
        <v/>
      </c>
      <c r="T118" s="54"/>
      <c r="U118" s="53">
        <f>IF(SUMIF(U11:U114, "&gt; 0", $H11:$H114) &gt; 0, SUMIF(U11:U114, "&gt; 0", $H11:$H114), "")</f>
        <v>245</v>
      </c>
      <c r="V118" s="54">
        <f>IF(AND(NOT(ISERROR((U117/U118)*100)), U117/U118 &lt;&gt; 0), (U117/U118)*100, "")</f>
        <v>23.673469387755102</v>
      </c>
      <c r="W118" s="53">
        <f>IF(SUMIF(W11:W114, "&gt; 0", $H11:$H114) &gt; 0, SUMIF(W11:W114, "&gt; 0", $H11:$H114), "")</f>
        <v>62</v>
      </c>
      <c r="X118" s="54">
        <f>IF(AND(NOT(ISERROR((W117/W118)*100)), W117/W118 &lt;&gt; 0), (W117/W118)*100, "")</f>
        <v>40.322580645161288</v>
      </c>
      <c r="Y118" s="53">
        <f>IF(SUMIF(Y11:Y114, "&gt; 0", $H11:$H114) &gt; 0, SUMIF(Y11:Y114, "&gt; 0", $H11:$H114), "")</f>
        <v>156</v>
      </c>
      <c r="Z118" s="54">
        <f>IF(AND(NOT(ISERROR((Y117/Y118)*100)), Y117/Y118 &lt;&gt; 0), (Y117/Y118)*100, "")</f>
        <v>21.794871794871796</v>
      </c>
      <c r="AA118" s="53">
        <f>IF(SUMIF(AA11:AA114, "&gt; 0", $H11:$H114) &gt; 0, SUMIF(AA11:AA114, "&gt; 0", $H11:$H114), "")</f>
        <v>61</v>
      </c>
      <c r="AB118" s="54">
        <f>IF(AND(NOT(ISERROR((AA117/AA118)*100)), AA117/AA118 &lt;&gt; 0), (AA117/AA118)*100, "")</f>
        <v>4.918032786885246</v>
      </c>
      <c r="AC118" s="53">
        <f>IF(SUMIF(AC11:AC114, "&gt; 0", $H11:$H114) &gt; 0, SUMIF(AC11:AC114, "&gt; 0", $H11:$H114), "")</f>
        <v>97</v>
      </c>
      <c r="AD118" s="54">
        <f>IF(AND(NOT(ISERROR((AC117/AC118)*100)), AC117/AC118 &lt;&gt; 0), (AC117/AC118)*100, "")</f>
        <v>1.0309278350515463</v>
      </c>
      <c r="AE118" s="53">
        <f>IF(SUMIF(AE11:AE114, "&gt; 0", $H11:$H114) &gt; 0, SUMIF(AE11:AE114, "&gt; 0", $H11:$H114), "")</f>
        <v>17</v>
      </c>
      <c r="AF118" s="54">
        <f>IF(AND(NOT(ISERROR((AE117/AE118)*100)), AE117/AE118 &lt;&gt; 0), (AE117/AE118)*100, "")</f>
        <v>35.294117647058826</v>
      </c>
      <c r="AG118" s="53">
        <f>IF(SUMIF(AG11:AG114, "&gt; 0", $H11:$H114) &gt; 0, SUMIF(AG11:AG114, "&gt; 0", $H11:$H114), "")</f>
        <v>8</v>
      </c>
      <c r="AH118" s="54">
        <f>IF(AND(NOT(ISERROR((AG117/AG118)*100)), AG117/AG118 &lt;&gt; 0), (AG117/AG118)*100, "")</f>
        <v>12.5</v>
      </c>
      <c r="AI118" s="53">
        <f>IF(SUMIF(AI11:AI114, "&gt; 0", $H11:$H114) &gt; 0, SUMIF(AI11:AI114, "&gt; 0", $H11:$H114), "")</f>
        <v>97</v>
      </c>
      <c r="AJ118" s="54">
        <f>IF(AND(NOT(ISERROR((AI117/AI118)*100)), AI117/AI118 &lt;&gt; 0), (AI117/AI118)*100, "")</f>
        <v>1.0309278350515463</v>
      </c>
      <c r="AK118" s="53">
        <f>IF(SUMIF(AK11:AK114, "&gt; 0", $H11:$H114) &gt; 0, SUMIF(AK11:AK114, "&gt; 0", $H11:$H114), "")</f>
        <v>61</v>
      </c>
      <c r="AL118" s="54">
        <f>IF(AND(NOT(ISERROR((AK117/AK118)*100)), AK117/AK118 &lt;&gt; 0), (AK117/AK118)*100, "")</f>
        <v>6.557377049180328</v>
      </c>
      <c r="AM118" s="53">
        <f>IF(SUMIF(AM11:AM114, "&gt; 0", $H11:$H114) &gt; 0, SUMIF(AM11:AM114, "&gt; 0", $H11:$H114), "")</f>
        <v>27</v>
      </c>
      <c r="AN118" s="54">
        <f>IF(AND(NOT(ISERROR((AM117/AM118)*100)), AM117/AM118 &lt;&gt; 0), (AM117/AM118)*100, "")</f>
        <v>7.4074074074074066</v>
      </c>
      <c r="AO118" s="53">
        <f>IF(SUMIF(AO11:AO114, "&gt; 0", $H11:$H114) &gt; 0, SUMIF(AO11:AO114, "&gt; 0", $H11:$H114), "")</f>
        <v>8</v>
      </c>
      <c r="AP118" s="54">
        <f>IF(AND(NOT(ISERROR((AO117/AO118)*100)), AO117/AO118 &lt;&gt; 0), (AO117/AO118)*100, "")</f>
        <v>12.5</v>
      </c>
      <c r="AQ118" s="53">
        <f>IF(SUMIF(AQ11:AQ114, "&gt; 0", $H11:$H114) &gt; 0, SUMIF(AQ11:AQ114, "&gt; 0", $H11:$H114), "")</f>
        <v>8</v>
      </c>
      <c r="AR118" s="54">
        <f>IF(AND(NOT(ISERROR((AQ117/AQ118)*100)), AQ117/AQ118 &lt;&gt; 0), (AQ117/AQ118)*100, "")</f>
        <v>25</v>
      </c>
      <c r="AS118" s="53">
        <f>IF(SUMIF(AS11:AS114, "&gt; 0", $H11:$H114) &gt; 0, SUMIF(AS11:AS114, "&gt; 0", $H11:$H114), "")</f>
        <v>19</v>
      </c>
      <c r="AT118" s="54">
        <f>IF(AND(NOT(ISERROR((AS117/AS118)*100)), AS117/AS118 &lt;&gt; 0), (AS117/AS118)*100, "")</f>
        <v>36.84210526315789</v>
      </c>
      <c r="AU118" s="53">
        <f>IF(SUMIF(AU11:AU114, "&gt; 0", $H11:$H114) &gt; 0, SUMIF(AU11:AU114, "&gt; 0", $H11:$H114), "")</f>
        <v>8</v>
      </c>
      <c r="AV118" s="54">
        <f>IF(AND(NOT(ISERROR((AU117/AU118)*100)), AU117/AU118 &lt;&gt; 0), (AU117/AU118)*100, "")</f>
        <v>12.5</v>
      </c>
      <c r="AW118" s="53">
        <f>IF(SUMIF(AW11:AW114, "&gt; 0", $H11:$H114) &gt; 0, SUMIF(AW11:AW114, "&gt; 0", $H11:$H114), "")</f>
        <v>414</v>
      </c>
      <c r="AX118" s="54">
        <f>IF(AND(NOT(ISERROR((AW117/AW118)*100)), AW117/AW118 &lt;&gt; 0), (AW117/AW118)*100, "")</f>
        <v>22.946859903381643</v>
      </c>
      <c r="AY118" s="53">
        <f>IF(SUMIF(AY11:AY114, "&gt; 0", $H11:$H114) &gt; 0, SUMIF(AY11:AY114, "&gt; 0", $H11:$H114), "")</f>
        <v>941</v>
      </c>
      <c r="AZ118" s="54">
        <f>IF(AND(NOT(ISERROR((AY117/AY118)*100)), AY117/AY118 &lt;&gt; 0), (AY117/AY118)*100, "")</f>
        <v>9.5642933049946866</v>
      </c>
    </row>
    <row r="119" spans="1:53" ht="18" customHeight="1" thickBot="1" x14ac:dyDescent="0.25">
      <c r="H119" s="228" t="s">
        <v>244</v>
      </c>
      <c r="I119" s="231"/>
      <c r="J119" s="232"/>
      <c r="K119" s="211" t="s">
        <v>242</v>
      </c>
      <c r="L119" s="210" t="s">
        <v>243</v>
      </c>
      <c r="M119" s="207" t="s">
        <v>242</v>
      </c>
      <c r="N119" s="209" t="s">
        <v>243</v>
      </c>
      <c r="O119" s="207" t="s">
        <v>242</v>
      </c>
      <c r="P119" s="209" t="s">
        <v>243</v>
      </c>
      <c r="Q119" s="207" t="s">
        <v>242</v>
      </c>
      <c r="R119" s="209" t="s">
        <v>243</v>
      </c>
      <c r="S119" s="207" t="s">
        <v>242</v>
      </c>
      <c r="T119" s="209" t="s">
        <v>243</v>
      </c>
      <c r="U119" s="207" t="s">
        <v>242</v>
      </c>
      <c r="V119" s="209" t="s">
        <v>243</v>
      </c>
      <c r="W119" s="207" t="s">
        <v>242</v>
      </c>
      <c r="X119" s="209" t="s">
        <v>243</v>
      </c>
      <c r="Y119" s="207" t="s">
        <v>242</v>
      </c>
      <c r="Z119" s="209" t="s">
        <v>243</v>
      </c>
      <c r="AA119" s="207" t="s">
        <v>242</v>
      </c>
      <c r="AB119" s="209" t="s">
        <v>243</v>
      </c>
      <c r="AC119" s="207" t="s">
        <v>242</v>
      </c>
      <c r="AD119" s="209" t="s">
        <v>243</v>
      </c>
      <c r="AE119" s="207" t="s">
        <v>242</v>
      </c>
      <c r="AF119" s="209" t="s">
        <v>243</v>
      </c>
      <c r="AG119" s="207" t="s">
        <v>242</v>
      </c>
      <c r="AH119" s="209" t="s">
        <v>243</v>
      </c>
      <c r="AI119" s="207" t="s">
        <v>242</v>
      </c>
      <c r="AJ119" s="209" t="s">
        <v>243</v>
      </c>
      <c r="AK119" s="207" t="s">
        <v>242</v>
      </c>
      <c r="AL119" s="209" t="s">
        <v>243</v>
      </c>
      <c r="AM119" s="207" t="s">
        <v>242</v>
      </c>
      <c r="AN119" s="209" t="s">
        <v>243</v>
      </c>
      <c r="AO119" s="207" t="s">
        <v>242</v>
      </c>
      <c r="AP119" s="209" t="s">
        <v>243</v>
      </c>
      <c r="AQ119" s="207" t="s">
        <v>242</v>
      </c>
      <c r="AR119" s="209" t="s">
        <v>243</v>
      </c>
      <c r="AS119" s="207" t="s">
        <v>242</v>
      </c>
      <c r="AT119" s="209" t="s">
        <v>243</v>
      </c>
      <c r="AU119" s="207" t="s">
        <v>242</v>
      </c>
      <c r="AV119" s="209" t="s">
        <v>243</v>
      </c>
      <c r="AW119" s="207" t="s">
        <v>242</v>
      </c>
      <c r="AX119" s="209" t="s">
        <v>243</v>
      </c>
      <c r="AY119" s="207" t="s">
        <v>242</v>
      </c>
      <c r="AZ119" s="209" t="s">
        <v>243</v>
      </c>
    </row>
    <row r="120" spans="1:53" ht="18" customHeight="1" x14ac:dyDescent="0.2">
      <c r="E120" s="55" t="s">
        <v>249</v>
      </c>
      <c r="F120" s="58">
        <v>1</v>
      </c>
      <c r="H120" s="229"/>
      <c r="I120" s="233"/>
      <c r="J120" s="234"/>
      <c r="K120" s="207"/>
      <c r="L120" s="210"/>
      <c r="M120" s="207"/>
      <c r="N120" s="210"/>
      <c r="O120" s="207"/>
      <c r="P120" s="210"/>
      <c r="Q120" s="207"/>
      <c r="R120" s="210"/>
      <c r="S120" s="207"/>
      <c r="T120" s="210"/>
      <c r="U120" s="207"/>
      <c r="V120" s="210"/>
      <c r="W120" s="207"/>
      <c r="X120" s="210"/>
      <c r="Y120" s="207"/>
      <c r="Z120" s="210"/>
      <c r="AA120" s="207"/>
      <c r="AB120" s="210"/>
      <c r="AC120" s="207"/>
      <c r="AD120" s="210"/>
      <c r="AE120" s="207"/>
      <c r="AF120" s="210"/>
      <c r="AG120" s="207"/>
      <c r="AH120" s="210"/>
      <c r="AI120" s="207"/>
      <c r="AJ120" s="210"/>
      <c r="AK120" s="207"/>
      <c r="AL120" s="210"/>
      <c r="AM120" s="207"/>
      <c r="AN120" s="210"/>
      <c r="AO120" s="207"/>
      <c r="AP120" s="210"/>
      <c r="AQ120" s="207"/>
      <c r="AR120" s="210"/>
      <c r="AS120" s="207"/>
      <c r="AT120" s="210"/>
      <c r="AU120" s="207"/>
      <c r="AV120" s="210"/>
      <c r="AW120" s="207"/>
      <c r="AX120" s="210"/>
      <c r="AY120" s="207"/>
      <c r="AZ120" s="210"/>
    </row>
    <row r="121" spans="1:53" ht="18" customHeight="1" x14ac:dyDescent="0.2">
      <c r="E121" s="56"/>
      <c r="F121" s="57"/>
      <c r="H121" s="229"/>
      <c r="I121" s="233"/>
      <c r="J121" s="234"/>
      <c r="K121" s="207"/>
      <c r="L121" s="210"/>
      <c r="M121" s="207"/>
      <c r="N121" s="210"/>
      <c r="O121" s="207"/>
      <c r="P121" s="210"/>
      <c r="Q121" s="207"/>
      <c r="R121" s="210"/>
      <c r="S121" s="207"/>
      <c r="T121" s="210"/>
      <c r="U121" s="207"/>
      <c r="V121" s="210"/>
      <c r="W121" s="207"/>
      <c r="X121" s="210"/>
      <c r="Y121" s="207"/>
      <c r="Z121" s="210"/>
      <c r="AA121" s="207"/>
      <c r="AB121" s="210"/>
      <c r="AC121" s="207"/>
      <c r="AD121" s="210"/>
      <c r="AE121" s="207"/>
      <c r="AF121" s="210"/>
      <c r="AG121" s="207"/>
      <c r="AH121" s="210"/>
      <c r="AI121" s="207"/>
      <c r="AJ121" s="210"/>
      <c r="AK121" s="207"/>
      <c r="AL121" s="210"/>
      <c r="AM121" s="207"/>
      <c r="AN121" s="210"/>
      <c r="AO121" s="207"/>
      <c r="AP121" s="210"/>
      <c r="AQ121" s="207"/>
      <c r="AR121" s="210"/>
      <c r="AS121" s="207"/>
      <c r="AT121" s="210"/>
      <c r="AU121" s="207"/>
      <c r="AV121" s="210"/>
      <c r="AW121" s="207"/>
      <c r="AX121" s="210"/>
      <c r="AY121" s="207"/>
      <c r="AZ121" s="210"/>
    </row>
    <row r="122" spans="1:53" ht="18" customHeight="1" x14ac:dyDescent="0.2">
      <c r="E122" s="242" t="s">
        <v>250</v>
      </c>
      <c r="F122" s="243"/>
      <c r="H122" s="229"/>
      <c r="I122" s="233"/>
      <c r="J122" s="234"/>
      <c r="K122" s="207"/>
      <c r="L122" s="210"/>
      <c r="M122" s="207"/>
      <c r="N122" s="210"/>
      <c r="O122" s="207"/>
      <c r="P122" s="210"/>
      <c r="Q122" s="207"/>
      <c r="R122" s="210"/>
      <c r="S122" s="207"/>
      <c r="T122" s="210"/>
      <c r="U122" s="207"/>
      <c r="V122" s="210"/>
      <c r="W122" s="207"/>
      <c r="X122" s="210"/>
      <c r="Y122" s="207"/>
      <c r="Z122" s="210"/>
      <c r="AA122" s="207"/>
      <c r="AB122" s="210"/>
      <c r="AC122" s="207"/>
      <c r="AD122" s="210"/>
      <c r="AE122" s="207"/>
      <c r="AF122" s="210"/>
      <c r="AG122" s="207"/>
      <c r="AH122" s="210"/>
      <c r="AI122" s="207"/>
      <c r="AJ122" s="210"/>
      <c r="AK122" s="207"/>
      <c r="AL122" s="210"/>
      <c r="AM122" s="207"/>
      <c r="AN122" s="210"/>
      <c r="AO122" s="207"/>
      <c r="AP122" s="210"/>
      <c r="AQ122" s="207"/>
      <c r="AR122" s="210"/>
      <c r="AS122" s="207"/>
      <c r="AT122" s="210"/>
      <c r="AU122" s="207"/>
      <c r="AV122" s="210"/>
      <c r="AW122" s="207"/>
      <c r="AX122" s="210"/>
      <c r="AY122" s="207"/>
      <c r="AZ122" s="210"/>
    </row>
    <row r="123" spans="1:53" ht="18" customHeight="1" x14ac:dyDescent="0.2">
      <c r="E123" s="242"/>
      <c r="F123" s="243"/>
      <c r="H123" s="229"/>
      <c r="I123" s="233"/>
      <c r="J123" s="234"/>
      <c r="K123" s="208"/>
      <c r="L123" s="210"/>
      <c r="M123" s="208"/>
      <c r="N123" s="210"/>
      <c r="O123" s="208"/>
      <c r="P123" s="210"/>
      <c r="Q123" s="208"/>
      <c r="R123" s="210"/>
      <c r="S123" s="208"/>
      <c r="T123" s="210"/>
      <c r="U123" s="208"/>
      <c r="V123" s="210"/>
      <c r="W123" s="208"/>
      <c r="X123" s="210"/>
      <c r="Y123" s="208"/>
      <c r="Z123" s="210"/>
      <c r="AA123" s="208"/>
      <c r="AB123" s="210"/>
      <c r="AC123" s="208"/>
      <c r="AD123" s="210"/>
      <c r="AE123" s="208"/>
      <c r="AF123" s="210"/>
      <c r="AG123" s="208"/>
      <c r="AH123" s="210"/>
      <c r="AI123" s="208"/>
      <c r="AJ123" s="210"/>
      <c r="AK123" s="208"/>
      <c r="AL123" s="210"/>
      <c r="AM123" s="208"/>
      <c r="AN123" s="210"/>
      <c r="AO123" s="208"/>
      <c r="AP123" s="210"/>
      <c r="AQ123" s="208"/>
      <c r="AR123" s="210"/>
      <c r="AS123" s="208"/>
      <c r="AT123" s="210"/>
      <c r="AU123" s="208"/>
      <c r="AV123" s="210"/>
      <c r="AW123" s="208"/>
      <c r="AX123" s="210"/>
      <c r="AY123" s="208"/>
      <c r="AZ123" s="210"/>
    </row>
    <row r="124" spans="1:53" ht="18" customHeight="1" x14ac:dyDescent="0.2">
      <c r="E124" s="242"/>
      <c r="F124" s="243"/>
      <c r="H124" s="229"/>
      <c r="I124" s="233"/>
      <c r="J124" s="234"/>
      <c r="K124" s="237" t="s">
        <v>157</v>
      </c>
      <c r="L124" s="238"/>
      <c r="M124" s="237" t="s">
        <v>209</v>
      </c>
      <c r="N124" s="238"/>
      <c r="O124" s="237" t="s">
        <v>159</v>
      </c>
      <c r="P124" s="238"/>
      <c r="Q124" s="237" t="s">
        <v>158</v>
      </c>
      <c r="R124" s="238"/>
      <c r="S124" s="237" t="s">
        <v>204</v>
      </c>
      <c r="T124" s="238"/>
      <c r="U124" s="237" t="s">
        <v>164</v>
      </c>
      <c r="V124" s="238"/>
      <c r="W124" s="241" t="s">
        <v>239</v>
      </c>
      <c r="X124" s="238"/>
      <c r="Y124" s="237" t="s">
        <v>174</v>
      </c>
      <c r="Z124" s="238"/>
      <c r="AA124" s="241" t="s">
        <v>240</v>
      </c>
      <c r="AB124" s="238"/>
      <c r="AC124" s="237" t="s">
        <v>208</v>
      </c>
      <c r="AD124" s="238"/>
      <c r="AE124" s="241" t="s">
        <v>241</v>
      </c>
      <c r="AF124" s="238"/>
      <c r="AG124" s="237" t="s">
        <v>172</v>
      </c>
      <c r="AH124" s="238"/>
      <c r="AI124" s="237" t="s">
        <v>207</v>
      </c>
      <c r="AJ124" s="238"/>
      <c r="AK124" s="237" t="s">
        <v>163</v>
      </c>
      <c r="AL124" s="238"/>
      <c r="AM124" s="241" t="s">
        <v>238</v>
      </c>
      <c r="AN124" s="238"/>
      <c r="AO124" s="237" t="s">
        <v>175</v>
      </c>
      <c r="AP124" s="238"/>
      <c r="AQ124" s="237" t="s">
        <v>173</v>
      </c>
      <c r="AR124" s="238"/>
      <c r="AS124" s="237" t="s">
        <v>160</v>
      </c>
      <c r="AT124" s="238"/>
      <c r="AU124" s="237" t="s">
        <v>161</v>
      </c>
      <c r="AV124" s="238"/>
      <c r="AW124" s="257" t="s">
        <v>210</v>
      </c>
      <c r="AX124" s="238"/>
      <c r="AY124" s="257" t="s">
        <v>379</v>
      </c>
      <c r="AZ124" s="238"/>
    </row>
    <row r="125" spans="1:53" ht="18" customHeight="1" x14ac:dyDescent="0.2">
      <c r="E125" s="242"/>
      <c r="F125" s="243"/>
      <c r="H125" s="229"/>
      <c r="I125" s="233"/>
      <c r="J125" s="234"/>
      <c r="K125" s="214"/>
      <c r="L125" s="215"/>
      <c r="M125" s="214"/>
      <c r="N125" s="215"/>
      <c r="O125" s="214"/>
      <c r="P125" s="215"/>
      <c r="Q125" s="214"/>
      <c r="R125" s="215"/>
      <c r="S125" s="214"/>
      <c r="T125" s="215"/>
      <c r="U125" s="214"/>
      <c r="V125" s="215"/>
      <c r="W125" s="214"/>
      <c r="X125" s="215"/>
      <c r="Y125" s="214"/>
      <c r="Z125" s="215"/>
      <c r="AA125" s="214"/>
      <c r="AB125" s="215"/>
      <c r="AC125" s="214"/>
      <c r="AD125" s="215"/>
      <c r="AE125" s="214"/>
      <c r="AF125" s="215"/>
      <c r="AG125" s="214"/>
      <c r="AH125" s="215"/>
      <c r="AI125" s="214"/>
      <c r="AJ125" s="215"/>
      <c r="AK125" s="214"/>
      <c r="AL125" s="215"/>
      <c r="AM125" s="214"/>
      <c r="AN125" s="215"/>
      <c r="AO125" s="214"/>
      <c r="AP125" s="215"/>
      <c r="AQ125" s="214"/>
      <c r="AR125" s="215"/>
      <c r="AS125" s="214"/>
      <c r="AT125" s="215"/>
      <c r="AU125" s="214"/>
      <c r="AV125" s="215"/>
      <c r="AW125" s="258"/>
      <c r="AX125" s="215"/>
      <c r="AY125" s="258"/>
      <c r="AZ125" s="215"/>
    </row>
    <row r="126" spans="1:53" ht="18" customHeight="1" thickBot="1" x14ac:dyDescent="0.25">
      <c r="E126" s="242"/>
      <c r="F126" s="243"/>
      <c r="H126" s="229"/>
      <c r="I126" s="233"/>
      <c r="J126" s="234"/>
      <c r="K126" s="239"/>
      <c r="L126" s="240"/>
      <c r="M126" s="239"/>
      <c r="N126" s="240"/>
      <c r="O126" s="239"/>
      <c r="P126" s="240"/>
      <c r="Q126" s="239"/>
      <c r="R126" s="240"/>
      <c r="S126" s="239"/>
      <c r="T126" s="240"/>
      <c r="U126" s="239"/>
      <c r="V126" s="240"/>
      <c r="W126" s="239"/>
      <c r="X126" s="240"/>
      <c r="Y126" s="239"/>
      <c r="Z126" s="240"/>
      <c r="AA126" s="239"/>
      <c r="AB126" s="240"/>
      <c r="AC126" s="239"/>
      <c r="AD126" s="240"/>
      <c r="AE126" s="239"/>
      <c r="AF126" s="240"/>
      <c r="AG126" s="239"/>
      <c r="AH126" s="240"/>
      <c r="AI126" s="239"/>
      <c r="AJ126" s="240"/>
      <c r="AK126" s="239"/>
      <c r="AL126" s="240"/>
      <c r="AM126" s="239"/>
      <c r="AN126" s="240"/>
      <c r="AO126" s="239"/>
      <c r="AP126" s="240"/>
      <c r="AQ126" s="239"/>
      <c r="AR126" s="240"/>
      <c r="AS126" s="239"/>
      <c r="AT126" s="240"/>
      <c r="AU126" s="239"/>
      <c r="AV126" s="240"/>
      <c r="AW126" s="259"/>
      <c r="AX126" s="240"/>
      <c r="AY126" s="259"/>
      <c r="AZ126" s="240"/>
    </row>
    <row r="127" spans="1:53" ht="20" customHeight="1" thickBot="1" x14ac:dyDescent="0.3">
      <c r="E127" s="244"/>
      <c r="F127" s="245"/>
      <c r="H127" s="230"/>
      <c r="I127" s="235"/>
      <c r="J127" s="236"/>
      <c r="K127" s="249" t="s">
        <v>162</v>
      </c>
      <c r="L127" s="250"/>
      <c r="M127" s="250"/>
      <c r="N127" s="250"/>
      <c r="O127" s="250"/>
      <c r="P127" s="250"/>
      <c r="Q127" s="250"/>
      <c r="R127" s="250"/>
      <c r="S127" s="250"/>
      <c r="T127" s="250"/>
      <c r="U127" s="250"/>
      <c r="V127" s="250"/>
      <c r="W127" s="250"/>
      <c r="X127" s="250"/>
      <c r="Y127" s="250"/>
      <c r="Z127" s="250"/>
      <c r="AA127" s="250"/>
      <c r="AB127" s="250"/>
      <c r="AC127" s="250"/>
      <c r="AD127" s="250"/>
      <c r="AE127" s="250"/>
      <c r="AF127" s="250"/>
      <c r="AG127" s="250"/>
      <c r="AH127" s="250"/>
      <c r="AI127" s="250"/>
      <c r="AJ127" s="250"/>
      <c r="AK127" s="250"/>
      <c r="AL127" s="250"/>
      <c r="AM127" s="250"/>
      <c r="AN127" s="250"/>
      <c r="AO127" s="250"/>
      <c r="AP127" s="250"/>
      <c r="AQ127" s="250"/>
      <c r="AR127" s="250"/>
      <c r="AS127" s="250"/>
      <c r="AT127" s="250"/>
      <c r="AU127" s="250"/>
      <c r="AV127" s="250"/>
      <c r="AW127" s="250"/>
      <c r="AX127" s="250"/>
      <c r="AY127" s="250"/>
      <c r="AZ127" s="251"/>
    </row>
  </sheetData>
  <mergeCells count="139">
    <mergeCell ref="K2:AZ2"/>
    <mergeCell ref="K127:AZ127"/>
    <mergeCell ref="AY3:AZ5"/>
    <mergeCell ref="AY6:AY10"/>
    <mergeCell ref="AZ6:AZ10"/>
    <mergeCell ref="AY119:AY123"/>
    <mergeCell ref="AZ119:AZ123"/>
    <mergeCell ref="AY124:AZ126"/>
    <mergeCell ref="AW124:AX126"/>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2:F127"/>
    <mergeCell ref="AI124:AJ126"/>
    <mergeCell ref="AK124:AL126"/>
    <mergeCell ref="AM124:AN126"/>
    <mergeCell ref="AO124:AP126"/>
    <mergeCell ref="AQ124:AR126"/>
    <mergeCell ref="AS124:AT126"/>
    <mergeCell ref="AQ3:AR5"/>
    <mergeCell ref="AS3:AT5"/>
    <mergeCell ref="Q124:R126"/>
    <mergeCell ref="S124:T126"/>
    <mergeCell ref="U124:V126"/>
    <mergeCell ref="W124:X126"/>
    <mergeCell ref="Y124:Z126"/>
    <mergeCell ref="AA124:AB126"/>
    <mergeCell ref="W3:X5"/>
    <mergeCell ref="Y3:Z5"/>
    <mergeCell ref="AA3:AB5"/>
    <mergeCell ref="AC3:AD5"/>
    <mergeCell ref="AE3:AF5"/>
    <mergeCell ref="AG3:AH5"/>
    <mergeCell ref="K3:L5"/>
    <mergeCell ref="M3:N5"/>
    <mergeCell ref="O3:P5"/>
    <mergeCell ref="H119:H127"/>
    <mergeCell ref="I119:J127"/>
    <mergeCell ref="AU124:AV126"/>
    <mergeCell ref="AC124:AD126"/>
    <mergeCell ref="AE124:AF126"/>
    <mergeCell ref="AG124:AH126"/>
    <mergeCell ref="AT119:AT123"/>
    <mergeCell ref="AV119:AV123"/>
    <mergeCell ref="AX119:AX123"/>
    <mergeCell ref="K124:L126"/>
    <mergeCell ref="M124:N126"/>
    <mergeCell ref="O124:P126"/>
    <mergeCell ref="AH119:AH123"/>
    <mergeCell ref="AJ119:AJ123"/>
    <mergeCell ref="AL119:AL123"/>
    <mergeCell ref="AN119:AN123"/>
    <mergeCell ref="AP119:AP123"/>
    <mergeCell ref="AR119:AR123"/>
    <mergeCell ref="T119:T123"/>
    <mergeCell ref="V119:V123"/>
    <mergeCell ref="X119:X123"/>
    <mergeCell ref="Z119:Z123"/>
    <mergeCell ref="AB119:AB123"/>
    <mergeCell ref="AD119:AD123"/>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19:AU123"/>
    <mergeCell ref="AW119:AW123"/>
    <mergeCell ref="AI119:AI123"/>
    <mergeCell ref="AK119:AK123"/>
    <mergeCell ref="AM119:AM123"/>
    <mergeCell ref="AO119:AO123"/>
    <mergeCell ref="AQ119:AQ123"/>
    <mergeCell ref="AS119:AS123"/>
    <mergeCell ref="AO6:AO10"/>
    <mergeCell ref="AQ6:AQ10"/>
    <mergeCell ref="AS6:AS10"/>
    <mergeCell ref="AI6:AI10"/>
    <mergeCell ref="AK6:AK10"/>
    <mergeCell ref="AM6:AM10"/>
    <mergeCell ref="AJ6:AJ10"/>
    <mergeCell ref="AL6:AL10"/>
    <mergeCell ref="W119:W123"/>
    <mergeCell ref="Y119:Y123"/>
    <mergeCell ref="AA119:AA123"/>
    <mergeCell ref="AC119:AC123"/>
    <mergeCell ref="AE119:AE123"/>
    <mergeCell ref="AG119:AG123"/>
    <mergeCell ref="AF119:AF123"/>
    <mergeCell ref="K119:K123"/>
    <mergeCell ref="M119:M123"/>
    <mergeCell ref="O119:O123"/>
    <mergeCell ref="Q119:Q123"/>
    <mergeCell ref="S119:S123"/>
    <mergeCell ref="U119:U123"/>
    <mergeCell ref="L119:L123"/>
    <mergeCell ref="N119:N123"/>
    <mergeCell ref="P119:P123"/>
    <mergeCell ref="R119:R123"/>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1:I114" numberStoredAsText="1"/>
    <ignoredError sqref="L117:AZ118"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7"/>
  <sheetViews>
    <sheetView showRuler="0" topLeftCell="D6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46" t="s">
        <v>162</v>
      </c>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8"/>
    </row>
    <row r="3" spans="1:53" ht="16" customHeight="1" x14ac:dyDescent="0.2">
      <c r="D3" s="190" t="s">
        <v>234</v>
      </c>
      <c r="K3" s="218" t="s">
        <v>241</v>
      </c>
      <c r="L3" s="277"/>
      <c r="M3" s="218" t="s">
        <v>239</v>
      </c>
      <c r="N3" s="277"/>
      <c r="O3" s="212" t="s">
        <v>210</v>
      </c>
      <c r="P3" s="260"/>
      <c r="Q3" s="212" t="s">
        <v>173</v>
      </c>
      <c r="R3" s="260"/>
      <c r="S3" s="212" t="s">
        <v>164</v>
      </c>
      <c r="T3" s="260"/>
      <c r="U3" s="212" t="s">
        <v>174</v>
      </c>
      <c r="V3" s="260"/>
      <c r="W3" s="212" t="s">
        <v>172</v>
      </c>
      <c r="X3" s="260"/>
      <c r="Y3" s="212" t="s">
        <v>175</v>
      </c>
      <c r="Z3" s="260"/>
      <c r="AA3" s="212" t="s">
        <v>157</v>
      </c>
      <c r="AB3" s="260"/>
      <c r="AC3" s="212" t="s">
        <v>158</v>
      </c>
      <c r="AD3" s="260"/>
      <c r="AE3" s="218" t="s">
        <v>379</v>
      </c>
      <c r="AF3" s="277"/>
      <c r="AG3" s="218" t="s">
        <v>238</v>
      </c>
      <c r="AH3" s="277"/>
      <c r="AI3" s="212" t="s">
        <v>163</v>
      </c>
      <c r="AJ3" s="260"/>
      <c r="AK3" s="212" t="s">
        <v>159</v>
      </c>
      <c r="AL3" s="213"/>
      <c r="AM3" s="218" t="s">
        <v>240</v>
      </c>
      <c r="AN3" s="277"/>
      <c r="AO3" s="212" t="s">
        <v>160</v>
      </c>
      <c r="AP3" s="260"/>
      <c r="AQ3" s="212" t="s">
        <v>161</v>
      </c>
      <c r="AR3" s="260"/>
      <c r="AS3" s="212" t="s">
        <v>209</v>
      </c>
      <c r="AT3" s="260"/>
      <c r="AU3" s="212" t="s">
        <v>208</v>
      </c>
      <c r="AV3" s="260"/>
      <c r="AW3" s="212" t="s">
        <v>207</v>
      </c>
      <c r="AX3" s="260"/>
      <c r="AY3" s="212" t="s">
        <v>204</v>
      </c>
      <c r="AZ3" s="213"/>
    </row>
    <row r="4" spans="1:53" ht="20" customHeight="1" x14ac:dyDescent="0.2">
      <c r="B4" s="84"/>
      <c r="D4" s="191"/>
      <c r="K4" s="253"/>
      <c r="L4" s="272"/>
      <c r="M4" s="253"/>
      <c r="N4" s="272"/>
      <c r="O4" s="214"/>
      <c r="P4" s="258"/>
      <c r="Q4" s="214"/>
      <c r="R4" s="258"/>
      <c r="S4" s="214"/>
      <c r="T4" s="258"/>
      <c r="U4" s="214"/>
      <c r="V4" s="258"/>
      <c r="W4" s="214"/>
      <c r="X4" s="258"/>
      <c r="Y4" s="214"/>
      <c r="Z4" s="258"/>
      <c r="AA4" s="214"/>
      <c r="AB4" s="258"/>
      <c r="AC4" s="214"/>
      <c r="AD4" s="258"/>
      <c r="AE4" s="253"/>
      <c r="AF4" s="272"/>
      <c r="AG4" s="253"/>
      <c r="AH4" s="272"/>
      <c r="AI4" s="214"/>
      <c r="AJ4" s="258"/>
      <c r="AK4" s="214"/>
      <c r="AL4" s="215"/>
      <c r="AM4" s="253"/>
      <c r="AN4" s="272"/>
      <c r="AO4" s="214"/>
      <c r="AP4" s="258"/>
      <c r="AQ4" s="214"/>
      <c r="AR4" s="258"/>
      <c r="AS4" s="214"/>
      <c r="AT4" s="258"/>
      <c r="AU4" s="214"/>
      <c r="AV4" s="258"/>
      <c r="AW4" s="214"/>
      <c r="AX4" s="258"/>
      <c r="AY4" s="214"/>
      <c r="AZ4" s="215"/>
    </row>
    <row r="5" spans="1:53" ht="20" customHeight="1" thickBot="1" x14ac:dyDescent="0.25">
      <c r="A5" s="61"/>
      <c r="B5" s="83"/>
      <c r="D5" s="188" t="s">
        <v>248</v>
      </c>
      <c r="I5" s="24"/>
      <c r="J5" s="24"/>
      <c r="K5" s="255"/>
      <c r="L5" s="278"/>
      <c r="M5" s="255"/>
      <c r="N5" s="278"/>
      <c r="O5" s="216"/>
      <c r="P5" s="261"/>
      <c r="Q5" s="216"/>
      <c r="R5" s="261"/>
      <c r="S5" s="216"/>
      <c r="T5" s="261"/>
      <c r="U5" s="216"/>
      <c r="V5" s="261"/>
      <c r="W5" s="216"/>
      <c r="X5" s="261"/>
      <c r="Y5" s="216"/>
      <c r="Z5" s="261"/>
      <c r="AA5" s="216"/>
      <c r="AB5" s="261"/>
      <c r="AC5" s="216"/>
      <c r="AD5" s="261"/>
      <c r="AE5" s="255"/>
      <c r="AF5" s="278"/>
      <c r="AG5" s="255"/>
      <c r="AH5" s="278"/>
      <c r="AI5" s="216"/>
      <c r="AJ5" s="261"/>
      <c r="AK5" s="216"/>
      <c r="AL5" s="217"/>
      <c r="AM5" s="255"/>
      <c r="AN5" s="278"/>
      <c r="AO5" s="216"/>
      <c r="AP5" s="261"/>
      <c r="AQ5" s="216"/>
      <c r="AR5" s="261"/>
      <c r="AS5" s="216"/>
      <c r="AT5" s="261"/>
      <c r="AU5" s="216"/>
      <c r="AV5" s="261"/>
      <c r="AW5" s="216"/>
      <c r="AX5" s="261"/>
      <c r="AY5" s="216"/>
      <c r="AZ5" s="217"/>
    </row>
    <row r="6" spans="1:53" ht="20" customHeight="1" x14ac:dyDescent="0.2">
      <c r="A6" s="60"/>
      <c r="B6" s="82"/>
      <c r="D6" s="188"/>
      <c r="G6" s="184" t="s">
        <v>24</v>
      </c>
      <c r="H6" s="195" t="s">
        <v>330</v>
      </c>
      <c r="I6" s="198" t="s">
        <v>328</v>
      </c>
      <c r="J6" s="201" t="s">
        <v>329</v>
      </c>
      <c r="K6" s="192" t="s">
        <v>242</v>
      </c>
      <c r="L6" s="220" t="s">
        <v>243</v>
      </c>
      <c r="M6" s="219" t="s">
        <v>242</v>
      </c>
      <c r="N6" s="220" t="s">
        <v>243</v>
      </c>
      <c r="O6" s="222" t="s">
        <v>242</v>
      </c>
      <c r="P6" s="220" t="s">
        <v>243</v>
      </c>
      <c r="Q6" s="192" t="s">
        <v>242</v>
      </c>
      <c r="R6" s="220" t="s">
        <v>243</v>
      </c>
      <c r="S6" s="192" t="s">
        <v>242</v>
      </c>
      <c r="T6" s="220" t="s">
        <v>243</v>
      </c>
      <c r="U6" s="225" t="s">
        <v>242</v>
      </c>
      <c r="V6" s="220" t="s">
        <v>243</v>
      </c>
      <c r="W6" s="192" t="s">
        <v>242</v>
      </c>
      <c r="X6" s="220" t="s">
        <v>243</v>
      </c>
      <c r="Y6" s="192" t="s">
        <v>242</v>
      </c>
      <c r="Z6" s="220" t="s">
        <v>243</v>
      </c>
      <c r="AA6" s="204" t="s">
        <v>242</v>
      </c>
      <c r="AB6" s="262" t="s">
        <v>243</v>
      </c>
      <c r="AC6" s="192" t="s">
        <v>242</v>
      </c>
      <c r="AD6" s="220" t="s">
        <v>243</v>
      </c>
      <c r="AE6" s="222" t="s">
        <v>242</v>
      </c>
      <c r="AF6" s="220" t="s">
        <v>243</v>
      </c>
      <c r="AG6" s="219" t="s">
        <v>242</v>
      </c>
      <c r="AH6" s="220" t="s">
        <v>243</v>
      </c>
      <c r="AI6" s="192" t="s">
        <v>242</v>
      </c>
      <c r="AJ6" s="220" t="s">
        <v>243</v>
      </c>
      <c r="AK6" s="204" t="s">
        <v>242</v>
      </c>
      <c r="AL6" s="262" t="s">
        <v>243</v>
      </c>
      <c r="AM6" s="219" t="s">
        <v>242</v>
      </c>
      <c r="AN6" s="220" t="s">
        <v>243</v>
      </c>
      <c r="AO6" s="192" t="s">
        <v>242</v>
      </c>
      <c r="AP6" s="220" t="s">
        <v>243</v>
      </c>
      <c r="AQ6" s="204" t="s">
        <v>242</v>
      </c>
      <c r="AR6" s="220" t="s">
        <v>243</v>
      </c>
      <c r="AS6" s="192" t="s">
        <v>242</v>
      </c>
      <c r="AT6" s="220" t="s">
        <v>243</v>
      </c>
      <c r="AU6" s="192" t="s">
        <v>242</v>
      </c>
      <c r="AV6" s="220" t="s">
        <v>243</v>
      </c>
      <c r="AW6" s="192" t="s">
        <v>242</v>
      </c>
      <c r="AX6" s="220" t="s">
        <v>243</v>
      </c>
      <c r="AY6" s="192" t="s">
        <v>242</v>
      </c>
      <c r="AZ6" s="220" t="s">
        <v>243</v>
      </c>
    </row>
    <row r="7" spans="1:53" ht="20" customHeight="1" thickBot="1" x14ac:dyDescent="0.25">
      <c r="A7" s="184" t="s">
        <v>251</v>
      </c>
      <c r="B7" s="186" t="s">
        <v>334</v>
      </c>
      <c r="D7" s="189"/>
      <c r="G7" s="184"/>
      <c r="H7" s="196"/>
      <c r="I7" s="199"/>
      <c r="J7" s="202"/>
      <c r="K7" s="192"/>
      <c r="L7" s="220"/>
      <c r="M7" s="219"/>
      <c r="N7" s="220"/>
      <c r="O7" s="222"/>
      <c r="P7" s="220"/>
      <c r="Q7" s="192"/>
      <c r="R7" s="220"/>
      <c r="S7" s="192"/>
      <c r="T7" s="220"/>
      <c r="U7" s="226"/>
      <c r="V7" s="220"/>
      <c r="W7" s="192"/>
      <c r="X7" s="220"/>
      <c r="Y7" s="192"/>
      <c r="Z7" s="220"/>
      <c r="AA7" s="205"/>
      <c r="AB7" s="263"/>
      <c r="AC7" s="192"/>
      <c r="AD7" s="220"/>
      <c r="AE7" s="222"/>
      <c r="AF7" s="220"/>
      <c r="AG7" s="192"/>
      <c r="AH7" s="220"/>
      <c r="AI7" s="192"/>
      <c r="AJ7" s="220"/>
      <c r="AK7" s="205"/>
      <c r="AL7" s="263"/>
      <c r="AM7" s="219"/>
      <c r="AN7" s="220"/>
      <c r="AO7" s="192"/>
      <c r="AP7" s="220"/>
      <c r="AQ7" s="205"/>
      <c r="AR7" s="220"/>
      <c r="AS7" s="192"/>
      <c r="AT7" s="220"/>
      <c r="AU7" s="192"/>
      <c r="AV7" s="220"/>
      <c r="AW7" s="192"/>
      <c r="AX7" s="220"/>
      <c r="AY7" s="192"/>
      <c r="AZ7" s="220"/>
    </row>
    <row r="8" spans="1:53" ht="20" customHeight="1" x14ac:dyDescent="0.2">
      <c r="A8" s="184"/>
      <c r="B8" s="186"/>
      <c r="G8" s="184"/>
      <c r="H8" s="196"/>
      <c r="I8" s="199"/>
      <c r="J8" s="202"/>
      <c r="K8" s="192"/>
      <c r="L8" s="220"/>
      <c r="M8" s="219"/>
      <c r="N8" s="220"/>
      <c r="O8" s="222"/>
      <c r="P8" s="220"/>
      <c r="Q8" s="192"/>
      <c r="R8" s="220"/>
      <c r="S8" s="192"/>
      <c r="T8" s="220"/>
      <c r="U8" s="226"/>
      <c r="V8" s="220"/>
      <c r="W8" s="192"/>
      <c r="X8" s="220"/>
      <c r="Y8" s="192"/>
      <c r="Z8" s="220"/>
      <c r="AA8" s="205"/>
      <c r="AB8" s="263"/>
      <c r="AC8" s="192"/>
      <c r="AD8" s="220"/>
      <c r="AE8" s="222"/>
      <c r="AF8" s="220"/>
      <c r="AG8" s="192"/>
      <c r="AH8" s="220"/>
      <c r="AI8" s="192"/>
      <c r="AJ8" s="220"/>
      <c r="AK8" s="205"/>
      <c r="AL8" s="263"/>
      <c r="AM8" s="219"/>
      <c r="AN8" s="220"/>
      <c r="AO8" s="192"/>
      <c r="AP8" s="220"/>
      <c r="AQ8" s="205"/>
      <c r="AR8" s="220"/>
      <c r="AS8" s="192"/>
      <c r="AT8" s="220"/>
      <c r="AU8" s="192"/>
      <c r="AV8" s="220"/>
      <c r="AW8" s="192"/>
      <c r="AX8" s="220"/>
      <c r="AY8" s="192"/>
      <c r="AZ8" s="220"/>
    </row>
    <row r="9" spans="1:53" ht="20" customHeight="1" x14ac:dyDescent="0.2">
      <c r="A9" s="184"/>
      <c r="B9" s="186"/>
      <c r="G9" s="184"/>
      <c r="H9" s="196"/>
      <c r="I9" s="199"/>
      <c r="J9" s="202"/>
      <c r="K9" s="192"/>
      <c r="L9" s="220"/>
      <c r="M9" s="219"/>
      <c r="N9" s="220"/>
      <c r="O9" s="222"/>
      <c r="P9" s="220"/>
      <c r="Q9" s="192"/>
      <c r="R9" s="220"/>
      <c r="S9" s="192"/>
      <c r="T9" s="220"/>
      <c r="U9" s="226"/>
      <c r="V9" s="220"/>
      <c r="W9" s="192"/>
      <c r="X9" s="220"/>
      <c r="Y9" s="192"/>
      <c r="Z9" s="220"/>
      <c r="AA9" s="205"/>
      <c r="AB9" s="263"/>
      <c r="AC9" s="192"/>
      <c r="AD9" s="220"/>
      <c r="AE9" s="222"/>
      <c r="AF9" s="220"/>
      <c r="AG9" s="192"/>
      <c r="AH9" s="220"/>
      <c r="AI9" s="192"/>
      <c r="AJ9" s="220"/>
      <c r="AK9" s="205"/>
      <c r="AL9" s="263"/>
      <c r="AM9" s="219"/>
      <c r="AN9" s="220"/>
      <c r="AO9" s="192"/>
      <c r="AP9" s="220"/>
      <c r="AQ9" s="205"/>
      <c r="AR9" s="220"/>
      <c r="AS9" s="192"/>
      <c r="AT9" s="220"/>
      <c r="AU9" s="192"/>
      <c r="AV9" s="220"/>
      <c r="AW9" s="192"/>
      <c r="AX9" s="220"/>
      <c r="AY9" s="192"/>
      <c r="AZ9" s="220"/>
    </row>
    <row r="10" spans="1:53" s="22" customFormat="1" ht="20" customHeight="1" thickBot="1" x14ac:dyDescent="0.25">
      <c r="A10" s="185"/>
      <c r="B10" s="187"/>
      <c r="C10" s="21" t="s">
        <v>20</v>
      </c>
      <c r="D10" s="20" t="s">
        <v>21</v>
      </c>
      <c r="E10" s="20" t="s">
        <v>22</v>
      </c>
      <c r="F10" s="21" t="s">
        <v>23</v>
      </c>
      <c r="G10" s="194"/>
      <c r="H10" s="197"/>
      <c r="I10" s="200"/>
      <c r="J10" s="203"/>
      <c r="K10" s="193"/>
      <c r="L10" s="221"/>
      <c r="M10" s="224"/>
      <c r="N10" s="221"/>
      <c r="O10" s="223"/>
      <c r="P10" s="221"/>
      <c r="Q10" s="193"/>
      <c r="R10" s="221"/>
      <c r="S10" s="193"/>
      <c r="T10" s="221"/>
      <c r="U10" s="227"/>
      <c r="V10" s="221"/>
      <c r="W10" s="193"/>
      <c r="X10" s="221"/>
      <c r="Y10" s="193"/>
      <c r="Z10" s="221"/>
      <c r="AA10" s="206"/>
      <c r="AB10" s="264"/>
      <c r="AC10" s="193"/>
      <c r="AD10" s="221"/>
      <c r="AE10" s="223"/>
      <c r="AF10" s="221"/>
      <c r="AG10" s="193"/>
      <c r="AH10" s="221"/>
      <c r="AI10" s="193"/>
      <c r="AJ10" s="221"/>
      <c r="AK10" s="206"/>
      <c r="AL10" s="264"/>
      <c r="AM10" s="224"/>
      <c r="AN10" s="221"/>
      <c r="AO10" s="193"/>
      <c r="AP10" s="221"/>
      <c r="AQ10" s="206"/>
      <c r="AR10" s="221"/>
      <c r="AS10" s="193"/>
      <c r="AT10" s="221"/>
      <c r="AU10" s="193"/>
      <c r="AV10" s="221"/>
      <c r="AW10" s="193"/>
      <c r="AX10" s="221"/>
      <c r="AY10" s="193"/>
      <c r="AZ10" s="221"/>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56" si="0">IF((ISERROR((K11/$H11)*100)), "", IF(AND(NOT(ISERROR((K11/$H11)*100)),((K11/$H11)*100) &lt;&gt; 0), (K11/$H11)*100, ""))</f>
        <v/>
      </c>
      <c r="M11" s="71"/>
      <c r="N11" s="77" t="str">
        <f t="shared" ref="N11:N56" si="1">IF((ISERROR((M11/$H11)*100)), "", IF(AND(NOT(ISERROR((M11/$H11)*100)),((M11/$H11)*100) &lt;&gt; 0), (M11/$H11)*100, ""))</f>
        <v/>
      </c>
      <c r="O11" s="72"/>
      <c r="P11" s="78" t="str">
        <f t="shared" ref="P11:P44" si="2">IF((ISERROR((O11/$H11)*100)), "", IF(AND(NOT(ISERROR((O11/$H11)*100)),((O11/$H11)*100) &lt;&gt; 0), (O11/$H11)*100, ""))</f>
        <v/>
      </c>
      <c r="Q11" s="70"/>
      <c r="R11" s="77" t="str">
        <f t="shared" ref="R11:R56" si="3">IF((ISERROR((Q11/$H11)*100)), "", IF(AND(NOT(ISERROR((Q11/$H11)*100)),((Q11/$H11)*100) &lt;&gt; 0), (Q11/$H11)*100, ""))</f>
        <v/>
      </c>
      <c r="S11" s="70"/>
      <c r="T11" s="77" t="str">
        <f t="shared" ref="T11:T56" si="4">IF((ISERROR((S11/$H11)*100)), "", IF(AND(NOT(ISERROR((S11/$H11)*100)),((S11/$H11)*100) &lt;&gt; 0), (S11/$H11)*100, ""))</f>
        <v/>
      </c>
      <c r="U11" s="71"/>
      <c r="V11" s="77" t="str">
        <f t="shared" ref="V11:V56" si="5">IF((ISERROR((U11/$H11)*100)), "", IF(AND(NOT(ISERROR((U11/$H11)*100)),((U11/$H11)*100) &lt;&gt; 0), (U11/$H11)*100, ""))</f>
        <v/>
      </c>
      <c r="W11" s="70"/>
      <c r="X11" s="77" t="str">
        <f t="shared" ref="X11:X56" si="6">IF((ISERROR((W11/$H11)*100)), "", IF(AND(NOT(ISERROR((W11/$H11)*100)),((W11/$H11)*100) &lt;&gt; 0), (W11/$H11)*100, ""))</f>
        <v/>
      </c>
      <c r="Y11" s="70"/>
      <c r="Z11" s="77" t="str">
        <f t="shared" ref="Z11:Z56" si="7">IF((ISERROR((Y11/$H11)*100)), "", IF(AND(NOT(ISERROR((Y11/$H11)*100)),((Y11/$H11)*100) &lt;&gt; 0), (Y11/$H11)*100, ""))</f>
        <v/>
      </c>
      <c r="AA11" s="70"/>
      <c r="AB11" s="77" t="str">
        <f t="shared" ref="AB11:AB56" si="8">IF((ISERROR((AA11/$H11)*100)), "", IF(AND(NOT(ISERROR((AA11/$H11)*100)),((AA11/$H11)*100) &lt;&gt; 0), (AA11/$H11)*100, ""))</f>
        <v/>
      </c>
      <c r="AC11" s="70"/>
      <c r="AD11" s="77" t="str">
        <f t="shared" ref="AD11:AD56" si="9">IF((ISERROR((AC11/$H11)*100)), "", IF(AND(NOT(ISERROR((AC11/$H11)*100)),((AC11/$H11)*100) &lt;&gt; 0), (AC11/$H11)*100, ""))</f>
        <v/>
      </c>
      <c r="AE11" s="72"/>
      <c r="AF11" s="78" t="str">
        <f t="shared" ref="AF11:AF56" si="10">IF((ISERROR((AE11/$H11)*100)), "", IF(AND(NOT(ISERROR((AE11/$H11)*100)),((AE11/$H11)*100) &lt;&gt; 0), (AE11/$H11)*100, ""))</f>
        <v/>
      </c>
      <c r="AG11" s="70"/>
      <c r="AH11" s="77" t="str">
        <f t="shared" ref="AH11:AH56" si="11">IF((ISERROR((AG11/$H11)*100)), "", IF(AND(NOT(ISERROR((AG11/$H11)*100)),((AG11/$H11)*100) &lt;&gt; 0), (AG11/$H11)*100, ""))</f>
        <v/>
      </c>
      <c r="AI11" s="70"/>
      <c r="AJ11" s="77" t="str">
        <f t="shared" ref="AJ11:AJ56" si="12">IF((ISERROR((AI11/$H11)*100)), "", IF(AND(NOT(ISERROR((AI11/$H11)*100)),((AI11/$H11)*100) &lt;&gt; 0), (AI11/$H11)*100, ""))</f>
        <v/>
      </c>
      <c r="AK11" s="70"/>
      <c r="AL11" s="77" t="str">
        <f t="shared" ref="AL11:AL56" si="13">IF((ISERROR((AK11/$H11)*100)), "", IF(AND(NOT(ISERROR((AK11/$H11)*100)),((AK11/$H11)*100) &lt;&gt; 0), (AK11/$H11)*100, ""))</f>
        <v/>
      </c>
      <c r="AM11" s="71"/>
      <c r="AN11" s="77" t="str">
        <f t="shared" ref="AN11:AN56" si="14">IF((ISERROR((AM11/$H11)*100)), "", IF(AND(NOT(ISERROR((AM11/$H11)*100)),((AM11/$H11)*100) &lt;&gt; 0), (AM11/$H11)*100, ""))</f>
        <v/>
      </c>
      <c r="AO11" s="70"/>
      <c r="AP11" s="77" t="str">
        <f t="shared" ref="AP11:AP56" si="15">IF((ISERROR((AO11/$H11)*100)), "", IF(AND(NOT(ISERROR((AO11/$H11)*100)),((AO11/$H11)*100) &lt;&gt; 0), (AO11/$H11)*100, ""))</f>
        <v/>
      </c>
      <c r="AQ11" s="70"/>
      <c r="AR11" s="77" t="str">
        <f t="shared" ref="AR11:AR56" si="16">IF((ISERROR((AQ11/$H11)*100)), "", IF(AND(NOT(ISERROR((AQ11/$H11)*100)),((AQ11/$H11)*100) &lt;&gt; 0), (AQ11/$H11)*100, ""))</f>
        <v/>
      </c>
      <c r="AS11" s="70"/>
      <c r="AT11" s="77" t="str">
        <f t="shared" ref="AT11:AT56" si="17">IF((ISERROR((AS11/$H11)*100)), "", IF(AND(NOT(ISERROR((AS11/$H11)*100)),((AS11/$H11)*100) &lt;&gt; 0), (AS11/$H11)*100, ""))</f>
        <v/>
      </c>
      <c r="AU11" s="70"/>
      <c r="AV11" s="77" t="str">
        <f t="shared" ref="AV11:AV64" si="18">IF((ISERROR((AU11/$H11)*100)), "", IF(AND(NOT(ISERROR((AU11/$H11)*100)),((AU11/$H11)*100) &lt;&gt; 0), (AU11/$H11)*100, ""))</f>
        <v/>
      </c>
      <c r="AW11" s="70"/>
      <c r="AX11" s="77" t="str">
        <f t="shared" ref="AX11:AX64" si="19">IF((ISERROR((AW11/$H11)*100)), "", IF(AND(NOT(ISERROR((AW11/$H11)*100)),((AW11/$H11)*100) &lt;&gt; 0), (AW11/$H11)*100, ""))</f>
        <v/>
      </c>
      <c r="AY11" s="70"/>
      <c r="AZ11" s="77" t="str">
        <f t="shared" ref="AZ11:AZ64" si="20">IF((ISERROR((AY11/$H11)*100)), "", IF(AND(NOT(ISERROR((AY11/$H11)*100)),((AY11/$H11)*100) &lt;&gt; 0), (AY11/$H11)*100, ""))</f>
        <v/>
      </c>
      <c r="BA11" s="62" t="s">
        <v>333</v>
      </c>
    </row>
    <row r="12" spans="1:53" customFormat="1" ht="20" customHeight="1" x14ac:dyDescent="0.2">
      <c r="A12" s="61"/>
      <c r="B12" s="83"/>
      <c r="C12" s="24" t="s">
        <v>85</v>
      </c>
      <c r="D12" s="23" t="s">
        <v>254</v>
      </c>
      <c r="E12" s="23" t="s">
        <v>255</v>
      </c>
      <c r="F12" s="24">
        <v>2016</v>
      </c>
      <c r="H12" s="89">
        <v>12</v>
      </c>
      <c r="I12" s="85" t="s">
        <v>335</v>
      </c>
      <c r="J12" s="86"/>
      <c r="K12" s="33"/>
      <c r="L12" s="36" t="str">
        <f t="shared" si="0"/>
        <v/>
      </c>
      <c r="M12" s="33"/>
      <c r="N12" s="36" t="str">
        <f t="shared" si="1"/>
        <v/>
      </c>
      <c r="O12" s="76"/>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6"/>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336</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76"/>
      <c r="P13" s="36" t="str">
        <f t="shared" si="2"/>
        <v/>
      </c>
      <c r="Q13" s="33"/>
      <c r="R13" s="36" t="str">
        <f t="shared" si="3"/>
        <v/>
      </c>
      <c r="S13" s="33"/>
      <c r="T13" s="36" t="str">
        <f t="shared" si="4"/>
        <v/>
      </c>
      <c r="U13" s="33"/>
      <c r="V13" s="36" t="str">
        <f t="shared" si="5"/>
        <v/>
      </c>
      <c r="W13" s="33"/>
      <c r="X13" s="36" t="str">
        <f t="shared" si="6"/>
        <v/>
      </c>
      <c r="Y13" s="33"/>
      <c r="Z13" s="36" t="str">
        <f t="shared" si="7"/>
        <v/>
      </c>
      <c r="AA13" s="33">
        <v>1</v>
      </c>
      <c r="AB13" s="36">
        <f t="shared" si="8"/>
        <v>7.6923076923076925</v>
      </c>
      <c r="AC13" s="33"/>
      <c r="AD13" s="36" t="str">
        <f t="shared" si="9"/>
        <v/>
      </c>
      <c r="AE13" s="76"/>
      <c r="AF13" s="36" t="str">
        <f t="shared" si="10"/>
        <v/>
      </c>
      <c r="AG13" s="33"/>
      <c r="AH13" s="36" t="str">
        <f t="shared" si="11"/>
        <v/>
      </c>
      <c r="AI13" s="33"/>
      <c r="AJ13" s="36" t="str">
        <f t="shared" si="12"/>
        <v/>
      </c>
      <c r="AK13" s="33"/>
      <c r="AL13" s="36" t="str">
        <f t="shared" si="13"/>
        <v/>
      </c>
      <c r="AM13" s="33"/>
      <c r="AN13" s="36" t="str">
        <f t="shared" si="14"/>
        <v/>
      </c>
      <c r="AO13" s="33"/>
      <c r="AP13" s="36" t="str">
        <f t="shared" si="15"/>
        <v/>
      </c>
      <c r="AQ13" s="33"/>
      <c r="AR13" s="36" t="str">
        <f t="shared" si="16"/>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76"/>
      <c r="P14" s="36" t="str">
        <f t="shared" si="2"/>
        <v/>
      </c>
      <c r="Q14" s="33"/>
      <c r="R14" s="36" t="str">
        <f t="shared" si="3"/>
        <v/>
      </c>
      <c r="S14" s="33"/>
      <c r="T14" s="36" t="str">
        <f t="shared" si="4"/>
        <v/>
      </c>
      <c r="U14" s="33"/>
      <c r="V14" s="36" t="str">
        <f t="shared" si="5"/>
        <v/>
      </c>
      <c r="W14" s="33"/>
      <c r="X14" s="36" t="str">
        <f t="shared" si="6"/>
        <v/>
      </c>
      <c r="Y14" s="33"/>
      <c r="Z14" s="36" t="str">
        <f t="shared" si="7"/>
        <v/>
      </c>
      <c r="AA14" s="33"/>
      <c r="AB14" s="36" t="str">
        <f t="shared" si="8"/>
        <v/>
      </c>
      <c r="AC14" s="33"/>
      <c r="AD14" s="36" t="str">
        <f t="shared" si="9"/>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76"/>
      <c r="P15" s="36" t="str">
        <f t="shared" si="2"/>
        <v/>
      </c>
      <c r="Q15" s="33"/>
      <c r="R15" s="36" t="str">
        <f t="shared" si="3"/>
        <v/>
      </c>
      <c r="S15" s="33"/>
      <c r="T15" s="36" t="str">
        <f t="shared" si="4"/>
        <v/>
      </c>
      <c r="U15" s="33"/>
      <c r="V15" s="36" t="str">
        <f t="shared" si="5"/>
        <v/>
      </c>
      <c r="W15" s="33"/>
      <c r="X15" s="36" t="str">
        <f t="shared" si="6"/>
        <v/>
      </c>
      <c r="Y15" s="33"/>
      <c r="Z15" s="36" t="str">
        <f t="shared" si="7"/>
        <v/>
      </c>
      <c r="AA15" s="33">
        <v>5</v>
      </c>
      <c r="AB15" s="36">
        <f t="shared" si="8"/>
        <v>41.666666666666671</v>
      </c>
      <c r="AC15" s="33"/>
      <c r="AD15" s="36" t="str">
        <f t="shared" si="9"/>
        <v/>
      </c>
      <c r="AE15" s="76"/>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5</v>
      </c>
      <c r="L16" s="39">
        <f t="shared" si="0"/>
        <v>62.5</v>
      </c>
      <c r="M16" s="38">
        <v>2</v>
      </c>
      <c r="N16" s="39">
        <f t="shared" si="1"/>
        <v>25</v>
      </c>
      <c r="O16" s="76">
        <v>1</v>
      </c>
      <c r="P16" s="36">
        <f t="shared" si="2"/>
        <v>12.5</v>
      </c>
      <c r="Q16" s="38">
        <v>2</v>
      </c>
      <c r="R16" s="39">
        <f t="shared" si="3"/>
        <v>25</v>
      </c>
      <c r="S16" s="38">
        <v>1</v>
      </c>
      <c r="T16" s="39">
        <f t="shared" si="4"/>
        <v>12.5</v>
      </c>
      <c r="U16" s="38">
        <v>1</v>
      </c>
      <c r="V16" s="39">
        <f t="shared" si="5"/>
        <v>12.5</v>
      </c>
      <c r="W16" s="38">
        <v>1</v>
      </c>
      <c r="X16" s="39">
        <f t="shared" si="6"/>
        <v>12.5</v>
      </c>
      <c r="Y16" s="38">
        <v>1</v>
      </c>
      <c r="Z16" s="39">
        <f t="shared" si="7"/>
        <v>12.5</v>
      </c>
      <c r="AA16" s="33"/>
      <c r="AB16" s="36" t="str">
        <f t="shared" si="8"/>
        <v/>
      </c>
      <c r="AC16" s="33"/>
      <c r="AD16" s="36" t="str">
        <f t="shared" si="9"/>
        <v/>
      </c>
      <c r="AE16" s="76"/>
      <c r="AF16" s="36" t="str">
        <f t="shared" si="10"/>
        <v/>
      </c>
      <c r="AG16" s="33"/>
      <c r="AH16" s="36" t="str">
        <f t="shared" si="11"/>
        <v/>
      </c>
      <c r="AI16" s="38">
        <v>1</v>
      </c>
      <c r="AJ16" s="39">
        <f t="shared" si="12"/>
        <v>12.5</v>
      </c>
      <c r="AK16" s="33"/>
      <c r="AL16" s="36" t="str">
        <f t="shared" si="13"/>
        <v/>
      </c>
      <c r="AM16" s="38">
        <v>1</v>
      </c>
      <c r="AN16" s="39">
        <f t="shared" si="14"/>
        <v>12.5</v>
      </c>
      <c r="AO16" s="33"/>
      <c r="AP16" s="36" t="str">
        <f t="shared" si="15"/>
        <v/>
      </c>
      <c r="AQ16" s="33"/>
      <c r="AR16" s="36" t="str">
        <f t="shared" si="16"/>
        <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3"/>
      <c r="C17" s="24" t="s">
        <v>85</v>
      </c>
      <c r="D17" s="23" t="s">
        <v>258</v>
      </c>
      <c r="E17" s="23" t="s">
        <v>259</v>
      </c>
      <c r="F17" s="24">
        <v>2014</v>
      </c>
      <c r="H17" s="89">
        <v>48</v>
      </c>
      <c r="I17" s="85" t="s">
        <v>216</v>
      </c>
      <c r="J17" s="86" t="s">
        <v>340</v>
      </c>
      <c r="K17" s="33"/>
      <c r="L17" s="36" t="str">
        <f t="shared" si="0"/>
        <v/>
      </c>
      <c r="M17" s="38"/>
      <c r="N17" s="38" t="str">
        <f t="shared" si="1"/>
        <v/>
      </c>
      <c r="O17" s="76"/>
      <c r="P17" s="36" t="str">
        <f t="shared" si="2"/>
        <v/>
      </c>
      <c r="Q17" s="33"/>
      <c r="R17" s="36" t="str">
        <f t="shared" si="3"/>
        <v/>
      </c>
      <c r="S17" s="33"/>
      <c r="T17" s="36" t="str">
        <f t="shared" si="4"/>
        <v/>
      </c>
      <c r="U17" s="33"/>
      <c r="V17" s="36" t="str">
        <f t="shared" si="5"/>
        <v/>
      </c>
      <c r="W17" s="33"/>
      <c r="X17" s="36" t="str">
        <f t="shared" si="6"/>
        <v/>
      </c>
      <c r="Y17" s="33"/>
      <c r="Z17" s="36" t="str">
        <f t="shared" si="7"/>
        <v/>
      </c>
      <c r="AA17" s="38"/>
      <c r="AB17" s="38" t="str">
        <f t="shared" si="8"/>
        <v/>
      </c>
      <c r="AC17" s="33"/>
      <c r="AD17" s="36" t="str">
        <f t="shared" si="9"/>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 t="shared" si="16"/>
        <v/>
      </c>
      <c r="AS17" s="33"/>
      <c r="AT17" s="36" t="str">
        <f t="shared" si="17"/>
        <v/>
      </c>
      <c r="AU17" s="33"/>
      <c r="AV17" s="36" t="str">
        <f t="shared" si="18"/>
        <v/>
      </c>
      <c r="AW17" s="33"/>
      <c r="AX17" s="36" t="str">
        <f t="shared" si="19"/>
        <v/>
      </c>
      <c r="AY17" s="33"/>
      <c r="AZ17" s="36" t="str">
        <f t="shared" si="20"/>
        <v/>
      </c>
      <c r="BA17" s="23" t="s">
        <v>404</v>
      </c>
    </row>
    <row r="18" spans="1:53" ht="20" customHeight="1" x14ac:dyDescent="0.2">
      <c r="A18" s="60"/>
      <c r="B18" s="24"/>
      <c r="D18" s="23" t="s">
        <v>260</v>
      </c>
      <c r="E18" s="23" t="s">
        <v>261</v>
      </c>
      <c r="F18" s="24">
        <v>2015</v>
      </c>
      <c r="H18" s="89"/>
      <c r="I18" s="85"/>
      <c r="J18" s="86"/>
      <c r="K18" s="33"/>
      <c r="L18" s="36" t="str">
        <f t="shared" si="0"/>
        <v/>
      </c>
      <c r="M18" s="33"/>
      <c r="N18" s="36" t="str">
        <f t="shared" si="1"/>
        <v/>
      </c>
      <c r="O18" s="76"/>
      <c r="P18" s="36" t="str">
        <f t="shared" si="2"/>
        <v/>
      </c>
      <c r="Q18" s="33"/>
      <c r="R18" s="36" t="str">
        <f t="shared" si="3"/>
        <v/>
      </c>
      <c r="S18" s="33"/>
      <c r="T18" s="36" t="str">
        <f t="shared" si="4"/>
        <v/>
      </c>
      <c r="U18" s="33"/>
      <c r="V18" s="36" t="str">
        <f t="shared" si="5"/>
        <v/>
      </c>
      <c r="W18" s="33"/>
      <c r="X18" s="36" t="str">
        <f t="shared" si="6"/>
        <v/>
      </c>
      <c r="Y18" s="33"/>
      <c r="Z18" s="36" t="str">
        <f t="shared" si="7"/>
        <v/>
      </c>
      <c r="AA18" s="33"/>
      <c r="AB18" s="36" t="str">
        <f t="shared" si="8"/>
        <v/>
      </c>
      <c r="AC18" s="33"/>
      <c r="AD18" s="36" t="str">
        <f t="shared" si="9"/>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row>
    <row r="19" spans="1:53" ht="20" customHeight="1" x14ac:dyDescent="0.2">
      <c r="A19" s="60"/>
      <c r="B19" s="83"/>
      <c r="C19" s="24" t="s">
        <v>85</v>
      </c>
      <c r="D19" s="23" t="s">
        <v>262</v>
      </c>
      <c r="E19" s="23" t="s">
        <v>263</v>
      </c>
      <c r="F19" s="24">
        <v>2012</v>
      </c>
      <c r="H19" s="89">
        <v>80</v>
      </c>
      <c r="I19" s="85" t="s">
        <v>216</v>
      </c>
      <c r="J19" s="86" t="s">
        <v>193</v>
      </c>
      <c r="K19" s="33"/>
      <c r="L19" s="36" t="str">
        <f t="shared" si="0"/>
        <v/>
      </c>
      <c r="M19" s="33"/>
      <c r="N19" s="36" t="str">
        <f t="shared" si="1"/>
        <v/>
      </c>
      <c r="O19" s="76"/>
      <c r="P19" s="36" t="str">
        <f t="shared" si="2"/>
        <v/>
      </c>
      <c r="Q19" s="33"/>
      <c r="R19" s="36" t="str">
        <f t="shared" si="3"/>
        <v/>
      </c>
      <c r="S19" s="33"/>
      <c r="T19" s="36" t="str">
        <f t="shared" si="4"/>
        <v/>
      </c>
      <c r="U19" s="33"/>
      <c r="V19" s="36" t="str">
        <f t="shared" si="5"/>
        <v/>
      </c>
      <c r="W19" s="33"/>
      <c r="X19" s="36" t="str">
        <f t="shared" si="6"/>
        <v/>
      </c>
      <c r="Y19" s="33"/>
      <c r="Z19" s="36" t="str">
        <f t="shared" si="7"/>
        <v/>
      </c>
      <c r="AA19" s="33"/>
      <c r="AB19" s="36" t="str">
        <f t="shared" si="8"/>
        <v/>
      </c>
      <c r="AC19" s="33"/>
      <c r="AD19" s="36" t="str">
        <f t="shared" si="9"/>
        <v/>
      </c>
      <c r="AE19" s="76"/>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row>
    <row r="20" spans="1:53" ht="20" customHeight="1" x14ac:dyDescent="0.2">
      <c r="A20" s="60"/>
      <c r="B20" s="82"/>
      <c r="C20" s="24" t="s">
        <v>85</v>
      </c>
      <c r="D20" s="23" t="s">
        <v>264</v>
      </c>
      <c r="E20" s="23" t="s">
        <v>265</v>
      </c>
      <c r="F20" s="24">
        <v>2013</v>
      </c>
      <c r="H20" s="89">
        <v>12</v>
      </c>
      <c r="I20" s="85" t="s">
        <v>216</v>
      </c>
      <c r="J20" s="86" t="s">
        <v>341</v>
      </c>
      <c r="K20" s="33"/>
      <c r="L20" s="36" t="str">
        <f t="shared" si="0"/>
        <v/>
      </c>
      <c r="M20" s="33"/>
      <c r="N20" s="36" t="str">
        <f t="shared" si="1"/>
        <v/>
      </c>
      <c r="O20" s="40"/>
      <c r="P20" s="39" t="str">
        <f t="shared" si="2"/>
        <v/>
      </c>
      <c r="Q20" s="33"/>
      <c r="R20" s="36" t="str">
        <f t="shared" si="3"/>
        <v/>
      </c>
      <c r="S20" s="38"/>
      <c r="T20" s="39" t="str">
        <f t="shared" si="4"/>
        <v/>
      </c>
      <c r="U20" s="33"/>
      <c r="V20" s="36" t="str">
        <f t="shared" si="5"/>
        <v/>
      </c>
      <c r="W20" s="33"/>
      <c r="X20" s="36" t="str">
        <f t="shared" si="6"/>
        <v/>
      </c>
      <c r="Y20" s="33"/>
      <c r="Z20" s="36" t="str">
        <f t="shared" si="7"/>
        <v/>
      </c>
      <c r="AA20" s="33"/>
      <c r="AB20" s="36" t="str">
        <f t="shared" si="8"/>
        <v/>
      </c>
      <c r="AC20" s="33"/>
      <c r="AD20" s="36" t="str">
        <f t="shared" si="9"/>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405</v>
      </c>
    </row>
    <row r="21" spans="1:53" ht="20" customHeight="1" x14ac:dyDescent="0.2">
      <c r="A21" s="60"/>
      <c r="B21" s="82"/>
      <c r="C21" s="24" t="s">
        <v>85</v>
      </c>
      <c r="D21" s="23" t="s">
        <v>406</v>
      </c>
      <c r="E21" s="23" t="s">
        <v>407</v>
      </c>
      <c r="F21" s="24">
        <v>2013</v>
      </c>
      <c r="H21" s="89">
        <v>38</v>
      </c>
      <c r="I21" s="85" t="s">
        <v>408</v>
      </c>
      <c r="J21" s="86" t="s">
        <v>169</v>
      </c>
      <c r="K21" s="33"/>
      <c r="L21" s="36" t="str">
        <f t="shared" si="0"/>
        <v/>
      </c>
      <c r="M21" s="33"/>
      <c r="N21" s="36" t="str">
        <f t="shared" si="1"/>
        <v/>
      </c>
      <c r="O21" s="33"/>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6">
        <v>37</v>
      </c>
      <c r="AF21" s="36">
        <f t="shared" si="10"/>
        <v>97.368421052631575</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416</v>
      </c>
    </row>
    <row r="22" spans="1:53" ht="20" customHeight="1" x14ac:dyDescent="0.2">
      <c r="A22" s="61"/>
      <c r="B22" s="83"/>
      <c r="C22" s="24" t="s">
        <v>85</v>
      </c>
      <c r="D22" s="23" t="s">
        <v>52</v>
      </c>
      <c r="E22" s="23" t="s">
        <v>53</v>
      </c>
      <c r="F22" s="24">
        <v>2001</v>
      </c>
      <c r="G22" s="24">
        <v>118</v>
      </c>
      <c r="H22" s="89">
        <v>20</v>
      </c>
      <c r="I22" s="85"/>
      <c r="J22" s="86" t="s">
        <v>190</v>
      </c>
      <c r="K22" s="33"/>
      <c r="L22" s="36" t="str">
        <f t="shared" si="0"/>
        <v/>
      </c>
      <c r="M22" s="33"/>
      <c r="N22" s="36" t="str">
        <f t="shared" si="1"/>
        <v/>
      </c>
      <c r="O22" s="76"/>
      <c r="P22" s="36" t="str">
        <f t="shared" si="2"/>
        <v/>
      </c>
      <c r="Q22" s="33"/>
      <c r="R22" s="36" t="str">
        <f t="shared" si="3"/>
        <v/>
      </c>
      <c r="S22" s="33"/>
      <c r="T22" s="36" t="str">
        <f t="shared" si="4"/>
        <v/>
      </c>
      <c r="U22" s="33"/>
      <c r="V22" s="36" t="str">
        <f t="shared" si="5"/>
        <v/>
      </c>
      <c r="W22" s="33"/>
      <c r="X22" s="36" t="str">
        <f t="shared" si="6"/>
        <v/>
      </c>
      <c r="Y22" s="33"/>
      <c r="Z22" s="36" t="str">
        <f t="shared" si="7"/>
        <v/>
      </c>
      <c r="AA22" s="33"/>
      <c r="AB22" s="36" t="str">
        <f t="shared" si="8"/>
        <v/>
      </c>
      <c r="AC22" s="33"/>
      <c r="AD22" s="36" t="str">
        <f t="shared" si="9"/>
        <v/>
      </c>
      <c r="AE22" s="76"/>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181</v>
      </c>
    </row>
    <row r="23" spans="1:53" ht="20" customHeight="1" x14ac:dyDescent="0.2">
      <c r="A23" s="60"/>
      <c r="B23" s="82"/>
      <c r="C23" s="24" t="s">
        <v>85</v>
      </c>
      <c r="D23" s="23" t="s">
        <v>270</v>
      </c>
      <c r="E23" s="23" t="s">
        <v>271</v>
      </c>
      <c r="F23" s="24">
        <v>1994</v>
      </c>
      <c r="H23" s="89">
        <v>20</v>
      </c>
      <c r="I23" s="85" t="s">
        <v>343</v>
      </c>
      <c r="J23" s="86"/>
      <c r="K23" s="33"/>
      <c r="L23" s="36" t="str">
        <f t="shared" si="0"/>
        <v/>
      </c>
      <c r="M23" s="33"/>
      <c r="N23" s="36" t="str">
        <f t="shared" si="1"/>
        <v/>
      </c>
      <c r="O23" s="40"/>
      <c r="P23" s="39" t="str">
        <f t="shared" si="2"/>
        <v/>
      </c>
      <c r="Q23" s="33"/>
      <c r="R23" s="36" t="str">
        <f t="shared" si="3"/>
        <v/>
      </c>
      <c r="S23" s="38"/>
      <c r="T23" s="39" t="str">
        <f t="shared" si="4"/>
        <v/>
      </c>
      <c r="U23" s="38"/>
      <c r="V23" s="39" t="str">
        <f t="shared" si="5"/>
        <v/>
      </c>
      <c r="W23" s="33"/>
      <c r="X23" s="36" t="str">
        <f t="shared" si="6"/>
        <v/>
      </c>
      <c r="Y23" s="33"/>
      <c r="Z23" s="36" t="str">
        <f t="shared" si="7"/>
        <v/>
      </c>
      <c r="AA23" s="33"/>
      <c r="AB23" s="36" t="str">
        <f t="shared" si="8"/>
        <v/>
      </c>
      <c r="AC23" s="33"/>
      <c r="AD23" s="36" t="str">
        <f t="shared" si="9"/>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409</v>
      </c>
    </row>
    <row r="24" spans="1:53" ht="20" customHeight="1" x14ac:dyDescent="0.2">
      <c r="A24" s="60"/>
      <c r="B24" s="83"/>
      <c r="C24" s="24" t="s">
        <v>85</v>
      </c>
      <c r="D24" s="23" t="s">
        <v>344</v>
      </c>
      <c r="E24" s="23" t="s">
        <v>345</v>
      </c>
      <c r="F24" s="24">
        <v>2008</v>
      </c>
      <c r="H24" s="89">
        <v>16</v>
      </c>
      <c r="I24" s="85" t="s">
        <v>177</v>
      </c>
      <c r="J24" s="86" t="s">
        <v>346</v>
      </c>
      <c r="K24" s="33"/>
      <c r="L24" s="36" t="str">
        <f t="shared" si="0"/>
        <v/>
      </c>
      <c r="M24" s="33"/>
      <c r="N24" s="36" t="str">
        <f t="shared" si="1"/>
        <v/>
      </c>
      <c r="O24" s="76"/>
      <c r="P24" s="36" t="str">
        <f t="shared" si="2"/>
        <v/>
      </c>
      <c r="Q24" s="33"/>
      <c r="R24" s="36" t="str">
        <f t="shared" si="3"/>
        <v/>
      </c>
      <c r="S24" s="33"/>
      <c r="T24" s="36" t="str">
        <f t="shared" si="4"/>
        <v/>
      </c>
      <c r="U24" s="33"/>
      <c r="V24" s="36" t="str">
        <f t="shared" si="5"/>
        <v/>
      </c>
      <c r="W24" s="33"/>
      <c r="X24" s="36" t="str">
        <f t="shared" si="6"/>
        <v/>
      </c>
      <c r="Y24" s="33"/>
      <c r="Z24" s="36" t="str">
        <f t="shared" si="7"/>
        <v/>
      </c>
      <c r="AA24" s="33"/>
      <c r="AB24" s="36" t="str">
        <f t="shared" si="8"/>
        <v/>
      </c>
      <c r="AC24" s="33"/>
      <c r="AD24" s="36" t="str">
        <f t="shared" si="9"/>
        <v/>
      </c>
      <c r="AE24" s="76"/>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417</v>
      </c>
    </row>
    <row r="25" spans="1:53" ht="20" customHeight="1" x14ac:dyDescent="0.2">
      <c r="A25" s="60"/>
      <c r="B25" s="82"/>
      <c r="C25" s="24" t="s">
        <v>85</v>
      </c>
      <c r="D25" s="23" t="s">
        <v>54</v>
      </c>
      <c r="E25" s="23" t="s">
        <v>55</v>
      </c>
      <c r="F25" s="24">
        <v>1996</v>
      </c>
      <c r="G25" s="24">
        <v>82</v>
      </c>
      <c r="H25" s="89">
        <v>15</v>
      </c>
      <c r="I25" s="85" t="s">
        <v>177</v>
      </c>
      <c r="J25" s="86" t="s">
        <v>179</v>
      </c>
      <c r="K25" s="33"/>
      <c r="L25" s="36" t="str">
        <f t="shared" si="0"/>
        <v/>
      </c>
      <c r="M25" s="33">
        <v>1</v>
      </c>
      <c r="N25" s="36">
        <f t="shared" si="1"/>
        <v>6.666666666666667</v>
      </c>
      <c r="O25" s="76">
        <v>1</v>
      </c>
      <c r="P25" s="36">
        <f t="shared" si="2"/>
        <v>6.666666666666667</v>
      </c>
      <c r="Q25" s="33"/>
      <c r="R25" s="36" t="str">
        <f t="shared" si="3"/>
        <v/>
      </c>
      <c r="S25" s="33"/>
      <c r="T25" s="36" t="str">
        <f t="shared" si="4"/>
        <v/>
      </c>
      <c r="U25" s="33"/>
      <c r="V25" s="36" t="str">
        <f t="shared" si="5"/>
        <v/>
      </c>
      <c r="W25" s="33"/>
      <c r="X25" s="36" t="str">
        <f t="shared" si="6"/>
        <v/>
      </c>
      <c r="Y25" s="33"/>
      <c r="Z25" s="36" t="str">
        <f t="shared" si="7"/>
        <v/>
      </c>
      <c r="AA25" s="33">
        <v>3</v>
      </c>
      <c r="AB25" s="36">
        <f t="shared" si="8"/>
        <v>20</v>
      </c>
      <c r="AC25" s="33"/>
      <c r="AD25" s="36" t="str">
        <f t="shared" si="9"/>
        <v/>
      </c>
      <c r="AE25" s="76"/>
      <c r="AF25" s="36" t="str">
        <f t="shared" si="10"/>
        <v/>
      </c>
      <c r="AG25" s="33">
        <v>1</v>
      </c>
      <c r="AH25" s="36">
        <f t="shared" si="11"/>
        <v>6.666666666666667</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347</v>
      </c>
    </row>
    <row r="26" spans="1:53" ht="20" customHeight="1" x14ac:dyDescent="0.2">
      <c r="A26" s="61"/>
      <c r="B26" s="24"/>
      <c r="C26" s="24" t="s">
        <v>85</v>
      </c>
      <c r="D26" s="23" t="s">
        <v>57</v>
      </c>
      <c r="E26" s="23" t="s">
        <v>58</v>
      </c>
      <c r="F26" s="24">
        <v>2006</v>
      </c>
      <c r="G26" s="24">
        <v>132</v>
      </c>
      <c r="H26" s="89">
        <v>7</v>
      </c>
      <c r="I26" s="85"/>
      <c r="J26" s="86"/>
      <c r="K26" s="33"/>
      <c r="L26" s="36" t="str">
        <f t="shared" si="0"/>
        <v/>
      </c>
      <c r="M26" s="33"/>
      <c r="N26" s="36" t="str">
        <f t="shared" si="1"/>
        <v/>
      </c>
      <c r="O26" s="76"/>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6"/>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351</v>
      </c>
    </row>
    <row r="27" spans="1:53" ht="20" customHeight="1" x14ac:dyDescent="0.2">
      <c r="A27" s="60"/>
      <c r="B27" s="83"/>
      <c r="C27" s="24" t="s">
        <v>85</v>
      </c>
      <c r="D27" s="23" t="s">
        <v>59</v>
      </c>
      <c r="E27" s="23" t="s">
        <v>60</v>
      </c>
      <c r="F27" s="24">
        <v>2009</v>
      </c>
      <c r="G27" s="24">
        <v>49</v>
      </c>
      <c r="H27" s="89">
        <v>22</v>
      </c>
      <c r="I27" s="85" t="s">
        <v>177</v>
      </c>
      <c r="J27" s="86" t="s">
        <v>191</v>
      </c>
      <c r="K27" s="33"/>
      <c r="L27" s="36" t="str">
        <f t="shared" si="0"/>
        <v/>
      </c>
      <c r="M27" s="33"/>
      <c r="N27" s="36" t="str">
        <f t="shared" si="1"/>
        <v/>
      </c>
      <c r="O27" s="76"/>
      <c r="P27" s="36" t="str">
        <f t="shared" si="2"/>
        <v/>
      </c>
      <c r="Q27" s="33"/>
      <c r="R27" s="36" t="str">
        <f t="shared" si="3"/>
        <v/>
      </c>
      <c r="S27" s="33"/>
      <c r="T27" s="36" t="str">
        <f t="shared" si="4"/>
        <v/>
      </c>
      <c r="U27" s="33"/>
      <c r="V27" s="36" t="str">
        <f t="shared" si="5"/>
        <v/>
      </c>
      <c r="W27" s="33"/>
      <c r="X27" s="36" t="str">
        <f t="shared" si="6"/>
        <v/>
      </c>
      <c r="Y27" s="33"/>
      <c r="Z27" s="36" t="str">
        <f t="shared" si="7"/>
        <v/>
      </c>
      <c r="AA27" s="33"/>
      <c r="AB27" s="36" t="str">
        <f t="shared" si="8"/>
        <v/>
      </c>
      <c r="AC27" s="33"/>
      <c r="AD27" s="36" t="str">
        <f t="shared" si="9"/>
        <v/>
      </c>
      <c r="AE27" s="76"/>
      <c r="AF27" s="36" t="str">
        <f t="shared" si="10"/>
        <v/>
      </c>
      <c r="AG27" s="33"/>
      <c r="AH27" s="36" t="str">
        <f t="shared" si="11"/>
        <v/>
      </c>
      <c r="AI27" s="33"/>
      <c r="AJ27" s="36" t="str">
        <f t="shared" si="12"/>
        <v/>
      </c>
      <c r="AK27" s="33"/>
      <c r="AL27" s="36" t="str">
        <f t="shared" si="13"/>
        <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410</v>
      </c>
    </row>
    <row r="28" spans="1:53" ht="20" customHeight="1" x14ac:dyDescent="0.2">
      <c r="A28" s="60"/>
      <c r="B28" s="82"/>
      <c r="C28" s="24" t="s">
        <v>85</v>
      </c>
      <c r="D28" s="23" t="s">
        <v>276</v>
      </c>
      <c r="E28" s="23" t="s">
        <v>277</v>
      </c>
      <c r="F28" s="24">
        <v>2014</v>
      </c>
      <c r="H28" s="89">
        <v>39</v>
      </c>
      <c r="I28" s="85" t="s">
        <v>411</v>
      </c>
      <c r="J28" s="86" t="s">
        <v>346</v>
      </c>
      <c r="K28" s="33"/>
      <c r="L28" s="36" t="str">
        <f t="shared" si="0"/>
        <v/>
      </c>
      <c r="M28" s="33">
        <v>22</v>
      </c>
      <c r="N28" s="36">
        <f t="shared" si="1"/>
        <v>56.410256410256409</v>
      </c>
      <c r="O28" s="76"/>
      <c r="P28" s="36" t="str">
        <f t="shared" si="2"/>
        <v/>
      </c>
      <c r="Q28" s="33"/>
      <c r="R28" s="36" t="str">
        <f t="shared" si="3"/>
        <v/>
      </c>
      <c r="S28" s="33">
        <v>22</v>
      </c>
      <c r="T28" s="36">
        <f t="shared" si="4"/>
        <v>56.410256410256409</v>
      </c>
      <c r="U28" s="33">
        <v>23</v>
      </c>
      <c r="V28" s="36">
        <f t="shared" si="5"/>
        <v>58.974358974358978</v>
      </c>
      <c r="W28" s="33"/>
      <c r="X28" s="36" t="str">
        <f t="shared" si="6"/>
        <v/>
      </c>
      <c r="Y28" s="33"/>
      <c r="Z28" s="36" t="str">
        <f t="shared" si="7"/>
        <v/>
      </c>
      <c r="AA28" s="33"/>
      <c r="AB28" s="36" t="str">
        <f t="shared" si="8"/>
        <v/>
      </c>
      <c r="AC28" s="33">
        <v>8</v>
      </c>
      <c r="AD28" s="36">
        <f t="shared" si="9"/>
        <v>20.512820512820511</v>
      </c>
      <c r="AE28" s="76"/>
      <c r="AF28" s="36" t="str">
        <f t="shared" si="10"/>
        <v/>
      </c>
      <c r="AG28" s="33"/>
      <c r="AH28" s="36" t="str">
        <f t="shared" si="11"/>
        <v/>
      </c>
      <c r="AI28" s="33"/>
      <c r="AJ28" s="36" t="str">
        <f t="shared" si="12"/>
        <v/>
      </c>
      <c r="AK28" s="33">
        <v>3</v>
      </c>
      <c r="AL28" s="36">
        <f t="shared" si="13"/>
        <v>7.6923076923076925</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352</v>
      </c>
    </row>
    <row r="29" spans="1:53" ht="20" customHeight="1" x14ac:dyDescent="0.2">
      <c r="A29" s="60"/>
      <c r="B29" s="24"/>
      <c r="C29" s="24" t="s">
        <v>85</v>
      </c>
      <c r="D29" s="23" t="s">
        <v>278</v>
      </c>
      <c r="E29" s="23" t="s">
        <v>279</v>
      </c>
      <c r="F29" s="24">
        <v>2015</v>
      </c>
      <c r="H29" s="89">
        <v>8</v>
      </c>
      <c r="I29" s="85" t="s">
        <v>216</v>
      </c>
      <c r="J29" s="86" t="s">
        <v>353</v>
      </c>
      <c r="K29" s="33"/>
      <c r="L29" s="36" t="str">
        <f t="shared" si="0"/>
        <v/>
      </c>
      <c r="M29" s="33"/>
      <c r="N29" s="36" t="str">
        <f t="shared" si="1"/>
        <v/>
      </c>
      <c r="O29" s="76"/>
      <c r="P29" s="36" t="str">
        <f t="shared" si="2"/>
        <v/>
      </c>
      <c r="Q29" s="33"/>
      <c r="R29" s="36" t="str">
        <f t="shared" si="3"/>
        <v/>
      </c>
      <c r="S29" s="33">
        <v>2</v>
      </c>
      <c r="T29" s="36">
        <f t="shared" si="4"/>
        <v>25</v>
      </c>
      <c r="U29" s="33"/>
      <c r="V29" s="36" t="str">
        <f t="shared" si="5"/>
        <v/>
      </c>
      <c r="W29" s="33"/>
      <c r="X29" s="36" t="str">
        <f t="shared" si="6"/>
        <v/>
      </c>
      <c r="Y29" s="33"/>
      <c r="Z29" s="36" t="str">
        <f t="shared" si="7"/>
        <v/>
      </c>
      <c r="AA29" s="33"/>
      <c r="AB29" s="36" t="str">
        <f t="shared" si="8"/>
        <v/>
      </c>
      <c r="AC29" s="33"/>
      <c r="AD29" s="36" t="str">
        <f t="shared" si="9"/>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412</v>
      </c>
    </row>
    <row r="30" spans="1:53" ht="20" customHeight="1" x14ac:dyDescent="0.2">
      <c r="A30" s="61"/>
      <c r="B30" s="82"/>
      <c r="C30" s="24" t="s">
        <v>85</v>
      </c>
      <c r="D30" s="23" t="s">
        <v>280</v>
      </c>
      <c r="E30" s="23" t="s">
        <v>281</v>
      </c>
      <c r="F30" s="24">
        <v>2001</v>
      </c>
      <c r="H30" s="89">
        <v>9</v>
      </c>
      <c r="I30" s="85"/>
      <c r="J30" s="86" t="s">
        <v>354</v>
      </c>
      <c r="K30" s="33"/>
      <c r="L30" s="36" t="str">
        <f t="shared" si="0"/>
        <v/>
      </c>
      <c r="M30" s="33"/>
      <c r="N30" s="36" t="str">
        <f t="shared" si="1"/>
        <v/>
      </c>
      <c r="O30" s="40"/>
      <c r="P30" s="39" t="str">
        <f t="shared" si="2"/>
        <v/>
      </c>
      <c r="Q30" s="33"/>
      <c r="R30" s="36" t="str">
        <f t="shared" si="3"/>
        <v/>
      </c>
      <c r="S30" s="33"/>
      <c r="T30" s="36" t="str">
        <f t="shared" si="4"/>
        <v/>
      </c>
      <c r="U30" s="33"/>
      <c r="V30" s="36" t="str">
        <f t="shared" si="5"/>
        <v/>
      </c>
      <c r="W30" s="33"/>
      <c r="X30" s="36" t="str">
        <f t="shared" si="6"/>
        <v/>
      </c>
      <c r="Y30" s="33"/>
      <c r="Z30" s="36" t="str">
        <f t="shared" si="7"/>
        <v/>
      </c>
      <c r="AA30" s="33"/>
      <c r="AB30" s="36" t="str">
        <f t="shared" si="8"/>
        <v/>
      </c>
      <c r="AC30" s="33"/>
      <c r="AD30" s="36" t="str">
        <f t="shared" si="9"/>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355</v>
      </c>
    </row>
    <row r="31" spans="1:53" ht="20" customHeight="1" x14ac:dyDescent="0.2">
      <c r="A31" s="60"/>
      <c r="B31" s="82"/>
      <c r="C31" s="24" t="s">
        <v>85</v>
      </c>
      <c r="D31" s="23" t="s">
        <v>63</v>
      </c>
      <c r="E31" s="23" t="s">
        <v>64</v>
      </c>
      <c r="F31" s="24">
        <v>2012</v>
      </c>
      <c r="G31" s="24">
        <v>83</v>
      </c>
      <c r="H31" s="89">
        <v>70</v>
      </c>
      <c r="I31" s="85" t="s">
        <v>183</v>
      </c>
      <c r="J31" s="86" t="s">
        <v>193</v>
      </c>
      <c r="K31" s="33"/>
      <c r="L31" s="36" t="str">
        <f t="shared" si="0"/>
        <v/>
      </c>
      <c r="M31" s="33"/>
      <c r="N31" s="36" t="str">
        <f t="shared" si="1"/>
        <v/>
      </c>
      <c r="O31" s="76">
        <v>31</v>
      </c>
      <c r="P31" s="36">
        <f t="shared" si="2"/>
        <v>44.285714285714285</v>
      </c>
      <c r="Q31" s="33"/>
      <c r="R31" s="36" t="str">
        <f t="shared" si="3"/>
        <v/>
      </c>
      <c r="S31" s="33">
        <v>9</v>
      </c>
      <c r="T31" s="36">
        <f t="shared" si="4"/>
        <v>12.857142857142856</v>
      </c>
      <c r="U31" s="33">
        <v>8</v>
      </c>
      <c r="V31" s="36">
        <f t="shared" si="5"/>
        <v>11.428571428571429</v>
      </c>
      <c r="W31" s="33"/>
      <c r="X31" s="36" t="str">
        <f t="shared" si="6"/>
        <v/>
      </c>
      <c r="Y31" s="33"/>
      <c r="Z31" s="36" t="str">
        <f t="shared" si="7"/>
        <v/>
      </c>
      <c r="AA31" s="33">
        <v>10</v>
      </c>
      <c r="AB31" s="36">
        <f t="shared" si="8"/>
        <v>14.285714285714285</v>
      </c>
      <c r="AC31" s="33">
        <v>1</v>
      </c>
      <c r="AD31" s="36">
        <f t="shared" si="9"/>
        <v>1.4285714285714286</v>
      </c>
      <c r="AE31" s="76">
        <v>1</v>
      </c>
      <c r="AF31" s="36">
        <f t="shared" si="10"/>
        <v>1.4285714285714286</v>
      </c>
      <c r="AG31" s="33"/>
      <c r="AH31" s="36" t="str">
        <f t="shared" si="11"/>
        <v/>
      </c>
      <c r="AI31" s="33"/>
      <c r="AJ31" s="36" t="str">
        <f t="shared" si="12"/>
        <v/>
      </c>
      <c r="AK31" s="33">
        <v>3</v>
      </c>
      <c r="AL31" s="36">
        <f t="shared" si="13"/>
        <v>4.2857142857142856</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418</v>
      </c>
    </row>
    <row r="32" spans="1:53" ht="20" customHeight="1" x14ac:dyDescent="0.2">
      <c r="A32" s="60"/>
      <c r="B32" s="84"/>
      <c r="C32" s="24" t="s">
        <v>85</v>
      </c>
      <c r="D32" s="23" t="s">
        <v>69</v>
      </c>
      <c r="E32" s="23" t="s">
        <v>70</v>
      </c>
      <c r="F32" s="24">
        <v>2004</v>
      </c>
      <c r="G32" s="24">
        <v>61</v>
      </c>
      <c r="H32" s="89">
        <v>15</v>
      </c>
      <c r="I32" s="85" t="s">
        <v>185</v>
      </c>
      <c r="J32" s="86" t="s">
        <v>194</v>
      </c>
      <c r="K32" s="33"/>
      <c r="L32" s="36" t="str">
        <f t="shared" si="0"/>
        <v/>
      </c>
      <c r="M32" s="33"/>
      <c r="N32" s="36" t="str">
        <f t="shared" si="1"/>
        <v/>
      </c>
      <c r="O32" s="76">
        <v>13</v>
      </c>
      <c r="P32" s="36">
        <f t="shared" si="2"/>
        <v>86.666666666666671</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419</v>
      </c>
    </row>
    <row r="33" spans="1:53" ht="20" customHeight="1" x14ac:dyDescent="0.2">
      <c r="A33" s="60"/>
      <c r="B33" s="83"/>
      <c r="C33" s="50" t="s">
        <v>85</v>
      </c>
      <c r="D33" s="49" t="s">
        <v>71</v>
      </c>
      <c r="E33" s="49" t="s">
        <v>70</v>
      </c>
      <c r="F33" s="50">
        <v>2004</v>
      </c>
      <c r="G33" s="50">
        <v>45</v>
      </c>
      <c r="H33" s="89">
        <v>15</v>
      </c>
      <c r="I33" s="85" t="s">
        <v>185</v>
      </c>
      <c r="J33" s="86" t="s">
        <v>194</v>
      </c>
      <c r="K33" s="33"/>
      <c r="L33" s="36" t="str">
        <f t="shared" si="0"/>
        <v/>
      </c>
      <c r="M33" s="33"/>
      <c r="N33" s="36" t="str">
        <f t="shared" si="1"/>
        <v/>
      </c>
      <c r="O33" s="76"/>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420</v>
      </c>
    </row>
    <row r="34" spans="1:53" ht="20" customHeight="1" x14ac:dyDescent="0.2">
      <c r="A34" s="60"/>
      <c r="B34" s="83"/>
      <c r="C34" s="24" t="s">
        <v>85</v>
      </c>
      <c r="D34" s="23" t="s">
        <v>283</v>
      </c>
      <c r="E34" s="23" t="s">
        <v>284</v>
      </c>
      <c r="F34" s="24">
        <v>2013</v>
      </c>
      <c r="H34" s="89">
        <v>23</v>
      </c>
      <c r="I34" s="85"/>
      <c r="J34" s="86"/>
      <c r="K34" s="33"/>
      <c r="L34" s="36" t="str">
        <f t="shared" si="0"/>
        <v/>
      </c>
      <c r="M34" s="33"/>
      <c r="N34" s="36" t="str">
        <f t="shared" si="1"/>
        <v/>
      </c>
      <c r="O34" s="76"/>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421</v>
      </c>
    </row>
    <row r="35" spans="1:53" ht="20" customHeight="1" x14ac:dyDescent="0.2">
      <c r="A35" s="61"/>
      <c r="B35" s="24"/>
      <c r="C35" s="50" t="s">
        <v>85</v>
      </c>
      <c r="D35" s="49" t="s">
        <v>357</v>
      </c>
      <c r="E35" s="49" t="s">
        <v>72</v>
      </c>
      <c r="F35" s="50">
        <v>2014</v>
      </c>
      <c r="G35" s="50">
        <v>23</v>
      </c>
      <c r="H35" s="89">
        <v>28</v>
      </c>
      <c r="I35" s="85" t="s">
        <v>186</v>
      </c>
      <c r="J35" s="86" t="s">
        <v>195</v>
      </c>
      <c r="K35" s="33"/>
      <c r="L35" s="36" t="str">
        <f t="shared" si="0"/>
        <v/>
      </c>
      <c r="M35" s="33"/>
      <c r="N35" s="36" t="str">
        <f t="shared" si="1"/>
        <v/>
      </c>
      <c r="O35" s="76"/>
      <c r="P35" s="36" t="str">
        <f t="shared" si="2"/>
        <v/>
      </c>
      <c r="Q35" s="33"/>
      <c r="R35" s="36" t="str">
        <f t="shared" si="3"/>
        <v/>
      </c>
      <c r="S35" s="33"/>
      <c r="T35" s="36" t="str">
        <f t="shared" si="4"/>
        <v/>
      </c>
      <c r="U35" s="33"/>
      <c r="V35" s="36" t="str">
        <f t="shared" si="5"/>
        <v/>
      </c>
      <c r="W35" s="33"/>
      <c r="X35" s="36" t="str">
        <f t="shared" si="6"/>
        <v/>
      </c>
      <c r="Y35" s="33"/>
      <c r="Z35" s="36" t="str">
        <f t="shared" si="7"/>
        <v/>
      </c>
      <c r="AA35" s="33"/>
      <c r="AB35" s="36" t="str">
        <f t="shared" si="8"/>
        <v/>
      </c>
      <c r="AC35" s="33"/>
      <c r="AD35" s="36" t="str">
        <f t="shared" si="9"/>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422</v>
      </c>
    </row>
    <row r="36" spans="1:53" ht="20" customHeight="1" x14ac:dyDescent="0.2">
      <c r="A36" s="60"/>
      <c r="B36" s="82"/>
      <c r="C36" s="24" t="s">
        <v>85</v>
      </c>
      <c r="D36" s="23" t="s">
        <v>286</v>
      </c>
      <c r="E36" s="23" t="s">
        <v>287</v>
      </c>
      <c r="F36" s="24">
        <v>2014</v>
      </c>
      <c r="H36" s="89">
        <v>28</v>
      </c>
      <c r="I36" s="85" t="s">
        <v>186</v>
      </c>
      <c r="J36" s="86" t="s">
        <v>195</v>
      </c>
      <c r="K36" s="33"/>
      <c r="L36" s="36" t="str">
        <f t="shared" si="0"/>
        <v/>
      </c>
      <c r="M36" s="33"/>
      <c r="N36" s="36" t="str">
        <f t="shared" si="1"/>
        <v/>
      </c>
      <c r="O36" s="76">
        <v>3</v>
      </c>
      <c r="P36" s="36">
        <f t="shared" si="2"/>
        <v>10.714285714285714</v>
      </c>
      <c r="Q36" s="33"/>
      <c r="R36" s="36" t="str">
        <f t="shared" si="3"/>
        <v/>
      </c>
      <c r="S36" s="33"/>
      <c r="T36" s="36" t="str">
        <f t="shared" si="4"/>
        <v/>
      </c>
      <c r="U36" s="33"/>
      <c r="V36" s="36" t="str">
        <f t="shared" si="5"/>
        <v/>
      </c>
      <c r="W36" s="33"/>
      <c r="X36" s="36" t="str">
        <f t="shared" si="6"/>
        <v/>
      </c>
      <c r="Y36" s="33"/>
      <c r="Z36" s="36" t="str">
        <f t="shared" si="7"/>
        <v/>
      </c>
      <c r="AA36" s="33">
        <v>3</v>
      </c>
      <c r="AB36" s="36">
        <f t="shared" si="8"/>
        <v>10.714285714285714</v>
      </c>
      <c r="AC36" s="33">
        <v>4</v>
      </c>
      <c r="AD36" s="36">
        <f t="shared" si="9"/>
        <v>14.285714285714285</v>
      </c>
      <c r="AE36" s="76">
        <v>5</v>
      </c>
      <c r="AF36" s="36">
        <f t="shared" si="10"/>
        <v>17.857142857142858</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c r="BA36" s="23" t="s">
        <v>358</v>
      </c>
    </row>
    <row r="37" spans="1:53" ht="20" customHeight="1" x14ac:dyDescent="0.2">
      <c r="A37" s="60"/>
      <c r="B37" s="83"/>
      <c r="C37" s="24" t="s">
        <v>85</v>
      </c>
      <c r="D37" s="23" t="s">
        <v>290</v>
      </c>
      <c r="E37" s="23" t="s">
        <v>291</v>
      </c>
      <c r="F37" s="24">
        <v>2015</v>
      </c>
      <c r="H37" s="89">
        <v>10</v>
      </c>
      <c r="I37" s="85" t="s">
        <v>348</v>
      </c>
      <c r="J37" s="86" t="s">
        <v>359</v>
      </c>
      <c r="K37" s="33"/>
      <c r="L37" s="36" t="str">
        <f t="shared" si="0"/>
        <v/>
      </c>
      <c r="M37" s="33"/>
      <c r="N37" s="36" t="str">
        <f t="shared" si="1"/>
        <v/>
      </c>
      <c r="O37" s="76"/>
      <c r="P37" s="36" t="str">
        <f t="shared" si="2"/>
        <v/>
      </c>
      <c r="Q37" s="33"/>
      <c r="R37" s="36" t="str">
        <f t="shared" si="3"/>
        <v/>
      </c>
      <c r="S37" s="33"/>
      <c r="T37" s="36" t="str">
        <f t="shared" si="4"/>
        <v/>
      </c>
      <c r="U37" s="33"/>
      <c r="V37" s="36" t="str">
        <f t="shared" si="5"/>
        <v/>
      </c>
      <c r="W37" s="33"/>
      <c r="X37" s="36" t="str">
        <f t="shared" si="6"/>
        <v/>
      </c>
      <c r="Y37" s="33"/>
      <c r="Z37" s="36" t="str">
        <f t="shared" si="7"/>
        <v/>
      </c>
      <c r="AA37" s="33"/>
      <c r="AB37" s="36" t="str">
        <f t="shared" si="8"/>
        <v/>
      </c>
      <c r="AC37" s="33"/>
      <c r="AD37" s="36" t="str">
        <f t="shared" si="9"/>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row>
    <row r="38" spans="1:53" ht="20" customHeight="1" x14ac:dyDescent="0.2">
      <c r="A38" s="60"/>
      <c r="B38" s="82"/>
      <c r="C38" s="24" t="s">
        <v>85</v>
      </c>
      <c r="D38" s="23" t="s">
        <v>79</v>
      </c>
      <c r="E38" s="23" t="s">
        <v>80</v>
      </c>
      <c r="F38" s="24">
        <v>2015</v>
      </c>
      <c r="G38" s="24">
        <v>10</v>
      </c>
      <c r="H38" s="89">
        <v>11</v>
      </c>
      <c r="I38" s="85" t="s">
        <v>197</v>
      </c>
      <c r="J38" s="86" t="s">
        <v>169</v>
      </c>
      <c r="K38" s="33"/>
      <c r="L38" s="36" t="str">
        <f t="shared" si="0"/>
        <v/>
      </c>
      <c r="M38" s="33"/>
      <c r="N38" s="36" t="str">
        <f t="shared" si="1"/>
        <v/>
      </c>
      <c r="O38" s="76"/>
      <c r="P38" s="36" t="str">
        <f t="shared" si="2"/>
        <v/>
      </c>
      <c r="Q38" s="33"/>
      <c r="R38" s="36" t="str">
        <f t="shared" si="3"/>
        <v/>
      </c>
      <c r="S38" s="33"/>
      <c r="T38" s="36" t="str">
        <f t="shared" si="4"/>
        <v/>
      </c>
      <c r="U38" s="33"/>
      <c r="V38" s="36" t="str">
        <f t="shared" si="5"/>
        <v/>
      </c>
      <c r="W38" s="33"/>
      <c r="X38" s="36" t="str">
        <f t="shared" si="6"/>
        <v/>
      </c>
      <c r="Y38" s="33"/>
      <c r="Z38" s="36" t="str">
        <f t="shared" si="7"/>
        <v/>
      </c>
      <c r="AA38" s="38">
        <v>1</v>
      </c>
      <c r="AB38" s="39">
        <f t="shared" si="8"/>
        <v>9.0909090909090917</v>
      </c>
      <c r="AC38" s="33"/>
      <c r="AD38" s="36" t="str">
        <f t="shared" si="9"/>
        <v/>
      </c>
      <c r="AE38" s="76">
        <v>3</v>
      </c>
      <c r="AF38" s="36">
        <f t="shared" si="10"/>
        <v>27.27272727272727</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196</v>
      </c>
    </row>
    <row r="39" spans="1:53" ht="20" customHeight="1" x14ac:dyDescent="0.2">
      <c r="A39" s="61"/>
      <c r="B39" s="83"/>
      <c r="C39" s="24" t="s">
        <v>85</v>
      </c>
      <c r="D39" s="23" t="s">
        <v>91</v>
      </c>
      <c r="E39" s="23" t="s">
        <v>92</v>
      </c>
      <c r="F39" s="24">
        <v>2001</v>
      </c>
      <c r="G39" s="24">
        <v>170</v>
      </c>
      <c r="H39" s="89">
        <v>22</v>
      </c>
      <c r="I39" s="85" t="s">
        <v>177</v>
      </c>
      <c r="J39" s="86" t="s">
        <v>169</v>
      </c>
      <c r="K39" s="33"/>
      <c r="L39" s="36" t="str">
        <f t="shared" si="0"/>
        <v/>
      </c>
      <c r="M39" s="33"/>
      <c r="N39" s="36" t="str">
        <f t="shared" si="1"/>
        <v/>
      </c>
      <c r="O39" s="76"/>
      <c r="P39" s="36" t="str">
        <f t="shared" si="2"/>
        <v/>
      </c>
      <c r="Q39" s="33"/>
      <c r="R39" s="36" t="str">
        <f t="shared" si="3"/>
        <v/>
      </c>
      <c r="S39" s="33"/>
      <c r="T39" s="36" t="str">
        <f t="shared" si="4"/>
        <v/>
      </c>
      <c r="U39" s="33"/>
      <c r="V39" s="36" t="str">
        <f t="shared" si="5"/>
        <v/>
      </c>
      <c r="W39" s="33"/>
      <c r="X39" s="36" t="str">
        <f t="shared" si="6"/>
        <v/>
      </c>
      <c r="Y39" s="33"/>
      <c r="Z39" s="36" t="str">
        <f t="shared" si="7"/>
        <v/>
      </c>
      <c r="AA39" s="33"/>
      <c r="AB39" s="36" t="str">
        <f t="shared" si="8"/>
        <v/>
      </c>
      <c r="AC39" s="33"/>
      <c r="AD39" s="36" t="str">
        <f t="shared" si="9"/>
        <v/>
      </c>
      <c r="AE39" s="76"/>
      <c r="AF39" s="36" t="str">
        <f t="shared" si="10"/>
        <v/>
      </c>
      <c r="AG39" s="33"/>
      <c r="AH39" s="36" t="str">
        <f t="shared" si="11"/>
        <v/>
      </c>
      <c r="AI39" s="33"/>
      <c r="AJ39" s="36" t="str">
        <f t="shared" si="12"/>
        <v/>
      </c>
      <c r="AK39" s="33"/>
      <c r="AL39" s="36" t="str">
        <f t="shared" si="13"/>
        <v/>
      </c>
      <c r="AM39" s="33"/>
      <c r="AN39" s="36" t="str">
        <f t="shared" si="14"/>
        <v/>
      </c>
      <c r="AO39" s="33"/>
      <c r="AP39" s="36" t="str">
        <f t="shared" si="15"/>
        <v/>
      </c>
      <c r="AQ39" s="33"/>
      <c r="AR39" s="36" t="str">
        <f t="shared" si="16"/>
        <v/>
      </c>
      <c r="AS39" s="33"/>
      <c r="AT39" s="36" t="str">
        <f t="shared" si="17"/>
        <v/>
      </c>
      <c r="AU39" s="33"/>
      <c r="AV39" s="36" t="str">
        <f t="shared" si="18"/>
        <v/>
      </c>
      <c r="AW39" s="33"/>
      <c r="AX39" s="36" t="str">
        <f t="shared" si="19"/>
        <v/>
      </c>
      <c r="AY39" s="33"/>
      <c r="AZ39" s="36" t="str">
        <f t="shared" si="20"/>
        <v/>
      </c>
      <c r="BA39" s="23" t="s">
        <v>182</v>
      </c>
    </row>
    <row r="40" spans="1:53" ht="20" customHeight="1" x14ac:dyDescent="0.2">
      <c r="A40" s="60"/>
      <c r="B40" s="83"/>
      <c r="C40" s="24" t="s">
        <v>85</v>
      </c>
      <c r="D40" s="23" t="s">
        <v>294</v>
      </c>
      <c r="E40" s="23" t="s">
        <v>295</v>
      </c>
      <c r="F40" s="24">
        <v>2009</v>
      </c>
      <c r="H40" s="89">
        <v>20</v>
      </c>
      <c r="I40" s="85" t="s">
        <v>216</v>
      </c>
      <c r="J40" s="86" t="s">
        <v>193</v>
      </c>
      <c r="K40" s="33"/>
      <c r="L40" s="36" t="str">
        <f t="shared" si="0"/>
        <v/>
      </c>
      <c r="M40" s="33"/>
      <c r="N40" s="36" t="str">
        <f t="shared" si="1"/>
        <v/>
      </c>
      <c r="O40" s="76"/>
      <c r="P40" s="36" t="str">
        <f t="shared" si="2"/>
        <v/>
      </c>
      <c r="Q40" s="33"/>
      <c r="R40" s="36" t="str">
        <f t="shared" si="3"/>
        <v/>
      </c>
      <c r="S40" s="33"/>
      <c r="T40" s="36" t="str">
        <f t="shared" si="4"/>
        <v/>
      </c>
      <c r="U40" s="33"/>
      <c r="V40" s="36" t="str">
        <f t="shared" si="5"/>
        <v/>
      </c>
      <c r="W40" s="33"/>
      <c r="X40" s="36" t="str">
        <f t="shared" si="6"/>
        <v/>
      </c>
      <c r="Y40" s="33"/>
      <c r="Z40" s="36" t="str">
        <f t="shared" si="7"/>
        <v/>
      </c>
      <c r="AA40" s="33"/>
      <c r="AB40" s="36" t="str">
        <f t="shared" si="8"/>
        <v/>
      </c>
      <c r="AC40" s="33"/>
      <c r="AD40" s="36" t="str">
        <f t="shared" si="9"/>
        <v/>
      </c>
      <c r="AE40" s="76"/>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363</v>
      </c>
    </row>
    <row r="41" spans="1:53" ht="20" customHeight="1" x14ac:dyDescent="0.2">
      <c r="A41" s="60"/>
      <c r="B41" s="24"/>
      <c r="C41" s="24" t="s">
        <v>85</v>
      </c>
      <c r="D41" s="23" t="s">
        <v>296</v>
      </c>
      <c r="E41" s="23" t="s">
        <v>297</v>
      </c>
      <c r="F41" s="24">
        <v>2006</v>
      </c>
      <c r="H41" s="89">
        <v>10</v>
      </c>
      <c r="I41" s="85" t="s">
        <v>364</v>
      </c>
      <c r="J41" s="86" t="s">
        <v>169</v>
      </c>
      <c r="K41" s="33"/>
      <c r="L41" s="36" t="str">
        <f t="shared" si="0"/>
        <v/>
      </c>
      <c r="M41" s="33"/>
      <c r="N41" s="36" t="str">
        <f t="shared" si="1"/>
        <v/>
      </c>
      <c r="O41" s="76"/>
      <c r="P41" s="36" t="str">
        <f t="shared" si="2"/>
        <v/>
      </c>
      <c r="Q41" s="33"/>
      <c r="R41" s="36" t="str">
        <f t="shared" si="3"/>
        <v/>
      </c>
      <c r="S41" s="38"/>
      <c r="T41" s="39" t="str">
        <f t="shared" si="4"/>
        <v/>
      </c>
      <c r="U41" s="33"/>
      <c r="V41" s="36" t="str">
        <f t="shared" si="5"/>
        <v/>
      </c>
      <c r="W41" s="33"/>
      <c r="X41" s="36" t="str">
        <f t="shared" si="6"/>
        <v/>
      </c>
      <c r="Y41" s="33"/>
      <c r="Z41" s="36" t="str">
        <f t="shared" si="7"/>
        <v/>
      </c>
      <c r="AA41" s="33"/>
      <c r="AB41" s="36" t="str">
        <f t="shared" si="8"/>
        <v/>
      </c>
      <c r="AC41" s="33"/>
      <c r="AD41" s="36" t="str">
        <f t="shared" si="9"/>
        <v/>
      </c>
      <c r="AE41" s="76"/>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c r="BA41" s="23" t="s">
        <v>365</v>
      </c>
    </row>
    <row r="42" spans="1:53" ht="20" customHeight="1" x14ac:dyDescent="0.2">
      <c r="A42" s="61"/>
      <c r="B42" s="24"/>
      <c r="C42" s="24" t="s">
        <v>85</v>
      </c>
      <c r="D42" s="23" t="s">
        <v>300</v>
      </c>
      <c r="E42" s="23" t="s">
        <v>301</v>
      </c>
      <c r="F42" s="24">
        <v>2016</v>
      </c>
      <c r="H42" s="89">
        <v>25</v>
      </c>
      <c r="I42" s="85" t="s">
        <v>216</v>
      </c>
      <c r="J42" s="86" t="s">
        <v>194</v>
      </c>
      <c r="K42" s="33"/>
      <c r="L42" s="36" t="str">
        <f t="shared" si="0"/>
        <v/>
      </c>
      <c r="M42" s="33"/>
      <c r="N42" s="36" t="str">
        <f t="shared" si="1"/>
        <v/>
      </c>
      <c r="O42" s="76"/>
      <c r="P42" s="36" t="str">
        <f t="shared" si="2"/>
        <v/>
      </c>
      <c r="Q42" s="33"/>
      <c r="R42" s="36" t="str">
        <f t="shared" si="3"/>
        <v/>
      </c>
      <c r="S42" s="33"/>
      <c r="T42" s="36" t="str">
        <f t="shared" si="4"/>
        <v/>
      </c>
      <c r="U42" s="33"/>
      <c r="V42" s="36" t="str">
        <f t="shared" si="5"/>
        <v/>
      </c>
      <c r="W42" s="33"/>
      <c r="X42" s="36" t="str">
        <f t="shared" si="6"/>
        <v/>
      </c>
      <c r="Y42" s="33"/>
      <c r="Z42" s="36" t="str">
        <f t="shared" si="7"/>
        <v/>
      </c>
      <c r="AA42" s="33"/>
      <c r="AB42" s="36" t="str">
        <f t="shared" si="8"/>
        <v/>
      </c>
      <c r="AC42" s="33"/>
      <c r="AD42" s="36" t="str">
        <f t="shared" si="9"/>
        <v/>
      </c>
      <c r="AE42" s="76"/>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row>
    <row r="43" spans="1:53" ht="20" customHeight="1" x14ac:dyDescent="0.2">
      <c r="A43" s="60"/>
      <c r="B43" s="82"/>
      <c r="C43" s="24" t="s">
        <v>85</v>
      </c>
      <c r="D43" s="23" t="s">
        <v>99</v>
      </c>
      <c r="E43" s="23" t="s">
        <v>100</v>
      </c>
      <c r="F43" s="24">
        <v>2002</v>
      </c>
      <c r="G43" s="24">
        <v>103</v>
      </c>
      <c r="H43" s="89">
        <v>8</v>
      </c>
      <c r="I43" s="85"/>
      <c r="J43" s="86"/>
      <c r="K43" s="33"/>
      <c r="L43" s="36" t="str">
        <f t="shared" si="0"/>
        <v/>
      </c>
      <c r="M43" s="33"/>
      <c r="N43" s="36" t="str">
        <f t="shared" si="1"/>
        <v/>
      </c>
      <c r="O43" s="76">
        <v>2</v>
      </c>
      <c r="P43" s="36">
        <f t="shared" si="2"/>
        <v>25</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6"/>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c r="BA43" s="23" t="s">
        <v>203</v>
      </c>
    </row>
    <row r="44" spans="1:53" ht="20" customHeight="1" x14ac:dyDescent="0.2">
      <c r="A44" s="60"/>
      <c r="B44" s="83"/>
      <c r="C44" s="24" t="s">
        <v>85</v>
      </c>
      <c r="D44" s="23" t="s">
        <v>304</v>
      </c>
      <c r="E44" s="23" t="s">
        <v>305</v>
      </c>
      <c r="F44" s="24">
        <v>2015</v>
      </c>
      <c r="H44" s="89">
        <v>41</v>
      </c>
      <c r="I44" s="85" t="s">
        <v>186</v>
      </c>
      <c r="J44" s="86"/>
      <c r="K44" s="33"/>
      <c r="L44" s="36" t="str">
        <f t="shared" si="0"/>
        <v/>
      </c>
      <c r="M44" s="33"/>
      <c r="N44" s="36" t="str">
        <f t="shared" si="1"/>
        <v/>
      </c>
      <c r="O44" s="76"/>
      <c r="P44" s="36" t="str">
        <f t="shared" si="2"/>
        <v/>
      </c>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6"/>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367</v>
      </c>
    </row>
    <row r="45" spans="1:53" ht="20" customHeight="1" x14ac:dyDescent="0.2">
      <c r="A45" s="60"/>
      <c r="B45" s="83"/>
      <c r="C45" s="24" t="s">
        <v>85</v>
      </c>
      <c r="D45" s="23" t="s">
        <v>306</v>
      </c>
      <c r="E45" s="23" t="s">
        <v>307</v>
      </c>
      <c r="F45" s="24">
        <v>2009</v>
      </c>
      <c r="H45" s="89">
        <v>68</v>
      </c>
      <c r="I45" s="85" t="s">
        <v>216</v>
      </c>
      <c r="J45" s="86" t="s">
        <v>368</v>
      </c>
      <c r="K45" s="33"/>
      <c r="L45" s="36" t="str">
        <f t="shared" si="0"/>
        <v/>
      </c>
      <c r="M45" s="33"/>
      <c r="N45" s="36" t="str">
        <f t="shared" si="1"/>
        <v/>
      </c>
      <c r="O45" s="76"/>
      <c r="P45" s="36"/>
      <c r="Q45" s="33"/>
      <c r="R45" s="36" t="str">
        <f t="shared" si="3"/>
        <v/>
      </c>
      <c r="S45" s="33"/>
      <c r="T45" s="36" t="str">
        <f t="shared" si="4"/>
        <v/>
      </c>
      <c r="U45" s="33"/>
      <c r="V45" s="36" t="str">
        <f t="shared" si="5"/>
        <v/>
      </c>
      <c r="W45" s="33"/>
      <c r="X45" s="36" t="str">
        <f t="shared" si="6"/>
        <v/>
      </c>
      <c r="Y45" s="33"/>
      <c r="Z45" s="36" t="str">
        <f t="shared" si="7"/>
        <v/>
      </c>
      <c r="AA45" s="33"/>
      <c r="AB45" s="36" t="str">
        <f t="shared" si="8"/>
        <v/>
      </c>
      <c r="AC45" s="33"/>
      <c r="AD45" s="36" t="str">
        <f t="shared" si="9"/>
        <v/>
      </c>
      <c r="AE45" s="76"/>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c r="BA45" s="23" t="s">
        <v>423</v>
      </c>
    </row>
    <row r="46" spans="1:53" ht="20" customHeight="1" x14ac:dyDescent="0.2">
      <c r="A46" s="61"/>
      <c r="B46" s="24"/>
      <c r="C46" s="24" t="s">
        <v>85</v>
      </c>
      <c r="D46" s="23" t="s">
        <v>105</v>
      </c>
      <c r="E46" s="23" t="s">
        <v>106</v>
      </c>
      <c r="F46" s="24">
        <v>1989</v>
      </c>
      <c r="G46" s="24">
        <v>27</v>
      </c>
      <c r="H46" s="89"/>
      <c r="I46" s="85" t="s">
        <v>211</v>
      </c>
      <c r="J46" s="86" t="s">
        <v>179</v>
      </c>
      <c r="K46" s="33"/>
      <c r="L46" s="36" t="str">
        <f t="shared" si="0"/>
        <v/>
      </c>
      <c r="M46" s="33"/>
      <c r="N46" s="36" t="str">
        <f t="shared" si="1"/>
        <v/>
      </c>
      <c r="O46" s="76"/>
      <c r="P46" s="36" t="str">
        <f t="shared" ref="P46:P56" si="21">IF((ISERROR((O46/$H46)*100)), "", IF(AND(NOT(ISERROR((O46/$H46)*100)),((O46/$H46)*100) &lt;&gt; 0), (O46/$H46)*100, ""))</f>
        <v/>
      </c>
      <c r="Q46" s="33"/>
      <c r="R46" s="36" t="str">
        <f t="shared" si="3"/>
        <v/>
      </c>
      <c r="S46" s="33"/>
      <c r="T46" s="36" t="str">
        <f t="shared" si="4"/>
        <v/>
      </c>
      <c r="U46" s="38"/>
      <c r="V46" s="39" t="str">
        <f t="shared" si="5"/>
        <v/>
      </c>
      <c r="W46" s="33"/>
      <c r="X46" s="36" t="str">
        <f t="shared" si="6"/>
        <v/>
      </c>
      <c r="Y46" s="33"/>
      <c r="Z46" s="36" t="str">
        <f t="shared" si="7"/>
        <v/>
      </c>
      <c r="AA46" s="33"/>
      <c r="AB46" s="36" t="str">
        <f t="shared" si="8"/>
        <v/>
      </c>
      <c r="AC46" s="33"/>
      <c r="AD46" s="36" t="str">
        <f t="shared" si="9"/>
        <v/>
      </c>
      <c r="AE46" s="76"/>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row>
    <row r="47" spans="1:53" ht="20" customHeight="1" x14ac:dyDescent="0.2">
      <c r="A47" s="61"/>
      <c r="B47" s="83"/>
      <c r="C47" s="24" t="s">
        <v>85</v>
      </c>
      <c r="D47" s="23" t="s">
        <v>308</v>
      </c>
      <c r="E47" s="23" t="s">
        <v>309</v>
      </c>
      <c r="F47" s="24">
        <v>2011</v>
      </c>
      <c r="H47" s="89"/>
      <c r="I47" s="85"/>
      <c r="J47" s="86"/>
      <c r="K47" s="33"/>
      <c r="L47" s="36" t="str">
        <f t="shared" si="0"/>
        <v/>
      </c>
      <c r="M47" s="33"/>
      <c r="N47" s="36" t="str">
        <f t="shared" si="1"/>
        <v/>
      </c>
      <c r="O47" s="76"/>
      <c r="P47" s="36" t="str">
        <f t="shared" si="21"/>
        <v/>
      </c>
      <c r="Q47" s="33"/>
      <c r="R47" s="36" t="str">
        <f t="shared" si="3"/>
        <v/>
      </c>
      <c r="S47" s="33"/>
      <c r="T47" s="36" t="str">
        <f t="shared" si="4"/>
        <v/>
      </c>
      <c r="U47" s="33"/>
      <c r="V47" s="36" t="str">
        <f t="shared" si="5"/>
        <v/>
      </c>
      <c r="W47" s="33"/>
      <c r="X47" s="36" t="str">
        <f t="shared" si="6"/>
        <v/>
      </c>
      <c r="Y47" s="33"/>
      <c r="Z47" s="36" t="str">
        <f t="shared" si="7"/>
        <v/>
      </c>
      <c r="AA47" s="33"/>
      <c r="AB47" s="36" t="str">
        <f t="shared" si="8"/>
        <v/>
      </c>
      <c r="AC47" s="33"/>
      <c r="AD47" s="36" t="str">
        <f t="shared" si="9"/>
        <v/>
      </c>
      <c r="AE47" s="76"/>
      <c r="AF47" s="36" t="str">
        <f t="shared" si="10"/>
        <v/>
      </c>
      <c r="AG47" s="33"/>
      <c r="AH47" s="36" t="str">
        <f t="shared" si="11"/>
        <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c r="BA47" s="23" t="s">
        <v>369</v>
      </c>
    </row>
    <row r="48" spans="1:53" ht="20" customHeight="1" x14ac:dyDescent="0.2">
      <c r="A48" s="60"/>
      <c r="B48" s="82"/>
      <c r="C48" s="24" t="s">
        <v>85</v>
      </c>
      <c r="D48" s="23" t="s">
        <v>107</v>
      </c>
      <c r="E48" s="23" t="s">
        <v>108</v>
      </c>
      <c r="F48" s="24">
        <v>2008</v>
      </c>
      <c r="G48" s="24">
        <v>54</v>
      </c>
      <c r="H48" s="89">
        <v>12</v>
      </c>
      <c r="I48" s="85" t="s">
        <v>168</v>
      </c>
      <c r="J48" s="86" t="s">
        <v>212</v>
      </c>
      <c r="K48" s="33"/>
      <c r="L48" s="36" t="str">
        <f t="shared" si="0"/>
        <v/>
      </c>
      <c r="M48" s="33"/>
      <c r="N48" s="36" t="str">
        <f t="shared" si="1"/>
        <v/>
      </c>
      <c r="O48" s="76"/>
      <c r="P48" s="36" t="str">
        <f t="shared" si="21"/>
        <v/>
      </c>
      <c r="Q48" s="33"/>
      <c r="R48" s="36" t="str">
        <f t="shared" si="3"/>
        <v/>
      </c>
      <c r="S48" s="33"/>
      <c r="T48" s="36" t="str">
        <f t="shared" si="4"/>
        <v/>
      </c>
      <c r="U48" s="33"/>
      <c r="V48" s="36" t="str">
        <f t="shared" si="5"/>
        <v/>
      </c>
      <c r="W48" s="33"/>
      <c r="X48" s="36" t="str">
        <f t="shared" si="6"/>
        <v/>
      </c>
      <c r="Y48" s="33"/>
      <c r="Z48" s="36" t="str">
        <f t="shared" si="7"/>
        <v/>
      </c>
      <c r="AA48" s="33">
        <v>1</v>
      </c>
      <c r="AB48" s="36">
        <f t="shared" si="8"/>
        <v>8.3333333333333321</v>
      </c>
      <c r="AC48" s="33"/>
      <c r="AD48" s="36" t="str">
        <f t="shared" si="9"/>
        <v/>
      </c>
      <c r="AE48" s="76"/>
      <c r="AF48" s="36" t="str">
        <f t="shared" si="10"/>
        <v/>
      </c>
      <c r="AG48" s="33">
        <v>1</v>
      </c>
      <c r="AH48" s="36">
        <f t="shared" si="11"/>
        <v>8.3333333333333321</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424</v>
      </c>
    </row>
    <row r="49" spans="1:53" ht="20" customHeight="1" x14ac:dyDescent="0.2">
      <c r="A49" s="60"/>
      <c r="B49" s="83"/>
      <c r="C49" s="24" t="s">
        <v>85</v>
      </c>
      <c r="D49" s="23" t="s">
        <v>109</v>
      </c>
      <c r="E49" s="23" t="s">
        <v>110</v>
      </c>
      <c r="F49" s="24">
        <v>1999</v>
      </c>
      <c r="G49" s="24">
        <v>76</v>
      </c>
      <c r="H49" s="89">
        <v>7</v>
      </c>
      <c r="I49" s="85" t="s">
        <v>177</v>
      </c>
      <c r="J49" s="86" t="s">
        <v>194</v>
      </c>
      <c r="K49" s="33"/>
      <c r="L49" s="36" t="str">
        <f t="shared" si="0"/>
        <v/>
      </c>
      <c r="M49" s="33"/>
      <c r="N49" s="36" t="str">
        <f t="shared" si="1"/>
        <v/>
      </c>
      <c r="O49" s="76"/>
      <c r="P49" s="36" t="str">
        <f t="shared" si="21"/>
        <v/>
      </c>
      <c r="Q49" s="33"/>
      <c r="R49" s="36" t="str">
        <f t="shared" si="3"/>
        <v/>
      </c>
      <c r="S49" s="33"/>
      <c r="T49" s="36" t="str">
        <f t="shared" si="4"/>
        <v/>
      </c>
      <c r="U49" s="33"/>
      <c r="V49" s="36" t="str">
        <f t="shared" si="5"/>
        <v/>
      </c>
      <c r="W49" s="33"/>
      <c r="X49" s="36" t="str">
        <f t="shared" si="6"/>
        <v/>
      </c>
      <c r="Y49" s="33"/>
      <c r="Z49" s="36" t="str">
        <f t="shared" si="7"/>
        <v/>
      </c>
      <c r="AA49" s="33"/>
      <c r="AB49" s="36" t="str">
        <f t="shared" si="8"/>
        <v/>
      </c>
      <c r="AC49" s="33"/>
      <c r="AD49" s="36" t="str">
        <f t="shared" si="9"/>
        <v/>
      </c>
      <c r="AE49" s="76"/>
      <c r="AF49" s="36" t="str">
        <f t="shared" si="10"/>
        <v/>
      </c>
      <c r="AG49" s="33"/>
      <c r="AH49" s="36" t="str">
        <f t="shared" si="11"/>
        <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182</v>
      </c>
    </row>
    <row r="50" spans="1:53" ht="20" customHeight="1" x14ac:dyDescent="0.2">
      <c r="A50" s="61"/>
      <c r="B50" s="83"/>
      <c r="C50" s="24" t="s">
        <v>85</v>
      </c>
      <c r="D50" s="23" t="s">
        <v>111</v>
      </c>
      <c r="E50" s="23" t="s">
        <v>112</v>
      </c>
      <c r="F50" s="24">
        <v>2008</v>
      </c>
      <c r="G50" s="24">
        <v>101</v>
      </c>
      <c r="H50" s="89">
        <v>16</v>
      </c>
      <c r="I50" s="85" t="s">
        <v>213</v>
      </c>
      <c r="J50" s="86"/>
      <c r="K50" s="33"/>
      <c r="L50" s="36" t="str">
        <f t="shared" si="0"/>
        <v/>
      </c>
      <c r="M50" s="33"/>
      <c r="N50" s="36" t="str">
        <f t="shared" si="1"/>
        <v/>
      </c>
      <c r="O50" s="76"/>
      <c r="P50" s="36" t="str">
        <f t="shared" si="21"/>
        <v/>
      </c>
      <c r="Q50" s="33"/>
      <c r="R50" s="36" t="str">
        <f t="shared" si="3"/>
        <v/>
      </c>
      <c r="S50" s="33"/>
      <c r="T50" s="36" t="str">
        <f t="shared" si="4"/>
        <v/>
      </c>
      <c r="U50" s="33"/>
      <c r="V50" s="36" t="str">
        <f t="shared" si="5"/>
        <v/>
      </c>
      <c r="W50" s="33"/>
      <c r="X50" s="36" t="str">
        <f t="shared" si="6"/>
        <v/>
      </c>
      <c r="Y50" s="33"/>
      <c r="Z50" s="36" t="str">
        <f t="shared" si="7"/>
        <v/>
      </c>
      <c r="AA50" s="33"/>
      <c r="AB50" s="36" t="str">
        <f t="shared" si="8"/>
        <v/>
      </c>
      <c r="AC50" s="33"/>
      <c r="AD50" s="36" t="str">
        <f t="shared" si="9"/>
        <v/>
      </c>
      <c r="AE50" s="76"/>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391</v>
      </c>
    </row>
    <row r="51" spans="1:53" ht="20" customHeight="1" x14ac:dyDescent="0.2">
      <c r="A51" s="60"/>
      <c r="B51" s="82"/>
      <c r="C51" s="24" t="s">
        <v>85</v>
      </c>
      <c r="D51" s="23" t="s">
        <v>119</v>
      </c>
      <c r="E51" s="23" t="s">
        <v>120</v>
      </c>
      <c r="F51" s="24">
        <v>2003</v>
      </c>
      <c r="G51" s="24">
        <v>45</v>
      </c>
      <c r="H51" s="89">
        <v>16</v>
      </c>
      <c r="I51" s="85" t="s">
        <v>177</v>
      </c>
      <c r="J51" s="86" t="s">
        <v>425</v>
      </c>
      <c r="K51" s="33"/>
      <c r="L51" s="36" t="str">
        <f t="shared" si="0"/>
        <v/>
      </c>
      <c r="M51" s="33"/>
      <c r="N51" s="36" t="str">
        <f t="shared" si="1"/>
        <v/>
      </c>
      <c r="O51" s="38"/>
      <c r="P51" s="39" t="str">
        <f t="shared" si="21"/>
        <v/>
      </c>
      <c r="Q51" s="33"/>
      <c r="R51" s="36" t="str">
        <f t="shared" si="3"/>
        <v/>
      </c>
      <c r="S51" s="38"/>
      <c r="T51" s="39" t="str">
        <f t="shared" si="4"/>
        <v/>
      </c>
      <c r="U51" s="33"/>
      <c r="V51" s="36" t="str">
        <f t="shared" si="5"/>
        <v/>
      </c>
      <c r="W51" s="33"/>
      <c r="X51" s="36" t="str">
        <f t="shared" si="6"/>
        <v/>
      </c>
      <c r="Y51" s="33"/>
      <c r="Z51" s="36" t="str">
        <f t="shared" si="7"/>
        <v/>
      </c>
      <c r="AA51" s="33"/>
      <c r="AB51" s="36" t="str">
        <f t="shared" si="8"/>
        <v/>
      </c>
      <c r="AC51" s="33"/>
      <c r="AD51" s="36" t="str">
        <f t="shared" si="9"/>
        <v/>
      </c>
      <c r="AE51" s="76"/>
      <c r="AF51" s="36" t="str">
        <f t="shared" si="10"/>
        <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413</v>
      </c>
    </row>
    <row r="52" spans="1:53" ht="20" customHeight="1" x14ac:dyDescent="0.2">
      <c r="A52" s="60"/>
      <c r="B52" s="82"/>
      <c r="C52" s="24" t="s">
        <v>85</v>
      </c>
      <c r="D52" s="23" t="s">
        <v>312</v>
      </c>
      <c r="E52" s="23" t="s">
        <v>313</v>
      </c>
      <c r="F52" s="24">
        <v>2015</v>
      </c>
      <c r="H52" s="89">
        <v>5</v>
      </c>
      <c r="I52" s="85" t="s">
        <v>213</v>
      </c>
      <c r="J52" s="86" t="s">
        <v>190</v>
      </c>
      <c r="K52" s="33"/>
      <c r="L52" s="36" t="str">
        <f t="shared" si="0"/>
        <v/>
      </c>
      <c r="M52" s="33"/>
      <c r="N52" s="36" t="str">
        <f t="shared" si="1"/>
        <v/>
      </c>
      <c r="O52" s="76"/>
      <c r="P52" s="36" t="str">
        <f t="shared" si="21"/>
        <v/>
      </c>
      <c r="Q52" s="33"/>
      <c r="R52" s="36" t="str">
        <f t="shared" si="3"/>
        <v/>
      </c>
      <c r="S52" s="33"/>
      <c r="T52" s="36" t="str">
        <f t="shared" si="4"/>
        <v/>
      </c>
      <c r="U52" s="33"/>
      <c r="V52" s="36" t="str">
        <f t="shared" si="5"/>
        <v/>
      </c>
      <c r="W52" s="33"/>
      <c r="X52" s="36" t="str">
        <f t="shared" si="6"/>
        <v/>
      </c>
      <c r="Y52" s="33"/>
      <c r="Z52" s="36" t="str">
        <f t="shared" si="7"/>
        <v/>
      </c>
      <c r="AA52" s="33"/>
      <c r="AB52" s="36" t="str">
        <f t="shared" si="8"/>
        <v/>
      </c>
      <c r="AC52" s="33"/>
      <c r="AD52" s="36" t="str">
        <f t="shared" si="9"/>
        <v/>
      </c>
      <c r="AE52" s="76">
        <v>1</v>
      </c>
      <c r="AF52" s="36">
        <f t="shared" si="10"/>
        <v>20</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426</v>
      </c>
    </row>
    <row r="53" spans="1:53" ht="20" customHeight="1" x14ac:dyDescent="0.2">
      <c r="A53" s="60"/>
      <c r="B53" s="83"/>
      <c r="C53" s="24" t="s">
        <v>85</v>
      </c>
      <c r="D53" s="23" t="s">
        <v>314</v>
      </c>
      <c r="E53" s="23" t="s">
        <v>315</v>
      </c>
      <c r="F53" s="24">
        <v>2008</v>
      </c>
      <c r="H53" s="89">
        <v>86</v>
      </c>
      <c r="I53" s="85" t="s">
        <v>177</v>
      </c>
      <c r="J53" s="86"/>
      <c r="K53" s="33"/>
      <c r="L53" s="36" t="str">
        <f t="shared" si="0"/>
        <v/>
      </c>
      <c r="M53" s="33"/>
      <c r="N53" s="36" t="str">
        <f t="shared" si="1"/>
        <v/>
      </c>
      <c r="O53" s="76"/>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6"/>
      <c r="AF53" s="36" t="str">
        <f t="shared" si="10"/>
        <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c r="BA53" s="23" t="s">
        <v>372</v>
      </c>
    </row>
    <row r="54" spans="1:53" ht="20" customHeight="1" x14ac:dyDescent="0.2">
      <c r="A54" s="60"/>
      <c r="B54" s="83"/>
      <c r="C54" s="24" t="s">
        <v>85</v>
      </c>
      <c r="D54" s="23" t="s">
        <v>316</v>
      </c>
      <c r="E54" s="23" t="s">
        <v>317</v>
      </c>
      <c r="F54" s="24">
        <v>2012</v>
      </c>
      <c r="H54" s="89"/>
      <c r="I54" s="85" t="s">
        <v>373</v>
      </c>
      <c r="J54" s="86" t="s">
        <v>212</v>
      </c>
      <c r="K54" s="33"/>
      <c r="L54" s="36" t="str">
        <f t="shared" si="0"/>
        <v/>
      </c>
      <c r="M54" s="33"/>
      <c r="N54" s="36" t="str">
        <f t="shared" si="1"/>
        <v/>
      </c>
      <c r="O54" s="76"/>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6"/>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row>
    <row r="55" spans="1:53" ht="20" customHeight="1" x14ac:dyDescent="0.2">
      <c r="A55" s="61"/>
      <c r="B55" s="24"/>
      <c r="C55" s="24" t="s">
        <v>85</v>
      </c>
      <c r="D55" s="23" t="s">
        <v>127</v>
      </c>
      <c r="E55" s="23" t="s">
        <v>128</v>
      </c>
      <c r="F55" s="24">
        <v>2000</v>
      </c>
      <c r="G55" s="24">
        <v>252</v>
      </c>
      <c r="H55" s="89">
        <v>30</v>
      </c>
      <c r="I55" s="85" t="s">
        <v>220</v>
      </c>
      <c r="J55" s="86" t="s">
        <v>169</v>
      </c>
      <c r="K55" s="33"/>
      <c r="L55" s="36" t="str">
        <f t="shared" si="0"/>
        <v/>
      </c>
      <c r="M55" s="33"/>
      <c r="N55" s="36" t="str">
        <f t="shared" si="1"/>
        <v/>
      </c>
      <c r="O55" s="76"/>
      <c r="P55" s="36" t="str">
        <f t="shared" si="21"/>
        <v/>
      </c>
      <c r="Q55" s="33"/>
      <c r="R55" s="36" t="str">
        <f t="shared" si="3"/>
        <v/>
      </c>
      <c r="S55" s="33"/>
      <c r="T55" s="36" t="str">
        <f t="shared" si="4"/>
        <v/>
      </c>
      <c r="U55" s="33"/>
      <c r="V55" s="36" t="str">
        <f t="shared" si="5"/>
        <v/>
      </c>
      <c r="W55" s="33"/>
      <c r="X55" s="36" t="str">
        <f t="shared" si="6"/>
        <v/>
      </c>
      <c r="Y55" s="33"/>
      <c r="Z55" s="36" t="str">
        <f t="shared" si="7"/>
        <v/>
      </c>
      <c r="AA55" s="33"/>
      <c r="AB55" s="36" t="str">
        <f t="shared" si="8"/>
        <v/>
      </c>
      <c r="AC55" s="33"/>
      <c r="AD55" s="36" t="str">
        <f t="shared" si="9"/>
        <v/>
      </c>
      <c r="AE55" s="76"/>
      <c r="AF55" s="36" t="str">
        <f t="shared" si="10"/>
        <v/>
      </c>
      <c r="AG55" s="33"/>
      <c r="AH55" s="36" t="str">
        <f t="shared" si="11"/>
        <v/>
      </c>
      <c r="AI55" s="33"/>
      <c r="AJ55" s="36" t="str">
        <f t="shared" si="12"/>
        <v/>
      </c>
      <c r="AK55" s="33"/>
      <c r="AL55" s="36" t="str">
        <f t="shared" si="13"/>
        <v/>
      </c>
      <c r="AM55" s="33"/>
      <c r="AN55" s="36" t="str">
        <f t="shared" si="14"/>
        <v/>
      </c>
      <c r="AO55" s="33"/>
      <c r="AP55" s="36" t="str">
        <f t="shared" si="15"/>
        <v/>
      </c>
      <c r="AQ55" s="33"/>
      <c r="AR55" s="36" t="str">
        <f t="shared" si="16"/>
        <v/>
      </c>
      <c r="AS55" s="33"/>
      <c r="AT55" s="36" t="str">
        <f t="shared" si="17"/>
        <v/>
      </c>
      <c r="AU55" s="33"/>
      <c r="AV55" s="36" t="str">
        <f t="shared" si="18"/>
        <v/>
      </c>
      <c r="AW55" s="33"/>
      <c r="AX55" s="36" t="str">
        <f t="shared" si="19"/>
        <v/>
      </c>
      <c r="AY55" s="33"/>
      <c r="AZ55" s="36" t="str">
        <f t="shared" si="20"/>
        <v/>
      </c>
      <c r="BA55" s="23" t="s">
        <v>427</v>
      </c>
    </row>
    <row r="56" spans="1:53" ht="20" customHeight="1" x14ac:dyDescent="0.2">
      <c r="A56" s="61"/>
      <c r="B56" s="82"/>
      <c r="C56" s="24" t="s">
        <v>85</v>
      </c>
      <c r="D56" s="23" t="s">
        <v>133</v>
      </c>
      <c r="E56" s="23" t="s">
        <v>134</v>
      </c>
      <c r="F56" s="24">
        <v>2001</v>
      </c>
      <c r="G56" s="24">
        <v>192</v>
      </c>
      <c r="H56" s="89"/>
      <c r="I56" s="85" t="s">
        <v>177</v>
      </c>
      <c r="J56" s="86" t="s">
        <v>169</v>
      </c>
      <c r="K56" s="33"/>
      <c r="L56" s="36" t="str">
        <f t="shared" si="0"/>
        <v/>
      </c>
      <c r="M56" s="33"/>
      <c r="N56" s="36" t="str">
        <f t="shared" si="1"/>
        <v/>
      </c>
      <c r="O56" s="76"/>
      <c r="P56" s="36" t="str">
        <f t="shared" si="21"/>
        <v/>
      </c>
      <c r="Q56" s="33"/>
      <c r="R56" s="36" t="str">
        <f t="shared" si="3"/>
        <v/>
      </c>
      <c r="S56" s="33"/>
      <c r="T56" s="36" t="str">
        <f t="shared" si="4"/>
        <v/>
      </c>
      <c r="U56" s="33"/>
      <c r="V56" s="36" t="str">
        <f t="shared" si="5"/>
        <v/>
      </c>
      <c r="W56" s="33"/>
      <c r="X56" s="36" t="str">
        <f t="shared" si="6"/>
        <v/>
      </c>
      <c r="Y56" s="33"/>
      <c r="Z56" s="36" t="str">
        <f t="shared" si="7"/>
        <v/>
      </c>
      <c r="AA56" s="33">
        <v>2</v>
      </c>
      <c r="AB56" s="36" t="str">
        <f t="shared" si="8"/>
        <v/>
      </c>
      <c r="AC56" s="33"/>
      <c r="AD56" s="36" t="str">
        <f t="shared" si="9"/>
        <v/>
      </c>
      <c r="AE56" s="76"/>
      <c r="AF56" s="36" t="str">
        <f t="shared" si="10"/>
        <v/>
      </c>
      <c r="AG56" s="33"/>
      <c r="AH56" s="36" t="str">
        <f t="shared" si="11"/>
        <v/>
      </c>
      <c r="AI56" s="33"/>
      <c r="AJ56" s="36" t="str">
        <f t="shared" si="12"/>
        <v/>
      </c>
      <c r="AK56" s="33"/>
      <c r="AL56" s="36" t="str">
        <f t="shared" si="13"/>
        <v/>
      </c>
      <c r="AM56" s="33"/>
      <c r="AN56" s="36" t="str">
        <f t="shared" si="14"/>
        <v/>
      </c>
      <c r="AO56" s="38">
        <v>1</v>
      </c>
      <c r="AP56" s="39" t="str">
        <f t="shared" si="15"/>
        <v/>
      </c>
      <c r="AQ56" s="33"/>
      <c r="AR56" s="36" t="str">
        <f t="shared" si="16"/>
        <v/>
      </c>
      <c r="AS56" s="33"/>
      <c r="AT56" s="36" t="str">
        <f t="shared" si="17"/>
        <v/>
      </c>
      <c r="AU56" s="33"/>
      <c r="AV56" s="36" t="str">
        <f t="shared" si="18"/>
        <v/>
      </c>
      <c r="AW56" s="33"/>
      <c r="AX56" s="36" t="str">
        <f t="shared" si="19"/>
        <v/>
      </c>
      <c r="AY56" s="33"/>
      <c r="AZ56" s="36" t="str">
        <f t="shared" si="20"/>
        <v/>
      </c>
      <c r="BA56" s="23" t="s">
        <v>395</v>
      </c>
    </row>
    <row r="57" spans="1:53" ht="20" customHeight="1" x14ac:dyDescent="0.2">
      <c r="A57" s="61"/>
      <c r="B57" s="82"/>
      <c r="D57" s="23" t="s">
        <v>151</v>
      </c>
      <c r="E57" s="23" t="s">
        <v>428</v>
      </c>
      <c r="F57" s="24">
        <v>1999</v>
      </c>
      <c r="H57" s="89">
        <v>30</v>
      </c>
      <c r="I57" s="85" t="s">
        <v>429</v>
      </c>
      <c r="J57" s="86" t="s">
        <v>222</v>
      </c>
      <c r="K57" s="33"/>
      <c r="L57" s="36"/>
      <c r="M57" s="33"/>
      <c r="N57" s="36"/>
      <c r="O57" s="76"/>
      <c r="P57" s="36"/>
      <c r="Q57" s="33"/>
      <c r="R57" s="36"/>
      <c r="S57" s="33"/>
      <c r="T57" s="36"/>
      <c r="U57" s="33"/>
      <c r="V57" s="36"/>
      <c r="W57" s="33"/>
      <c r="X57" s="36"/>
      <c r="Y57" s="33"/>
      <c r="Z57" s="36"/>
      <c r="AA57" s="33"/>
      <c r="AB57" s="36"/>
      <c r="AC57" s="33"/>
      <c r="AD57" s="36"/>
      <c r="AE57" s="76"/>
      <c r="AF57" s="36"/>
      <c r="AG57" s="33"/>
      <c r="AH57" s="36"/>
      <c r="AI57" s="33"/>
      <c r="AJ57" s="36"/>
      <c r="AK57" s="33"/>
      <c r="AL57" s="36"/>
      <c r="AM57" s="33"/>
      <c r="AN57" s="36"/>
      <c r="AO57" s="33"/>
      <c r="AP57" s="36"/>
      <c r="AQ57" s="33"/>
      <c r="AR57" s="36"/>
      <c r="AS57" s="33"/>
      <c r="AT57" s="36"/>
      <c r="AU57" s="33"/>
      <c r="AV57" s="36"/>
      <c r="AW57" s="33"/>
      <c r="AX57" s="36"/>
      <c r="AY57" s="33"/>
      <c r="AZ57" s="36"/>
      <c r="BA57" s="23" t="s">
        <v>396</v>
      </c>
    </row>
    <row r="58" spans="1:53" ht="20" customHeight="1" x14ac:dyDescent="0.2">
      <c r="A58" s="61"/>
      <c r="B58" s="24"/>
      <c r="C58" s="24" t="s">
        <v>85</v>
      </c>
      <c r="D58" s="23" t="s">
        <v>135</v>
      </c>
      <c r="E58" s="23" t="s">
        <v>136</v>
      </c>
      <c r="F58" s="24">
        <v>2007</v>
      </c>
      <c r="G58" s="24">
        <v>240</v>
      </c>
      <c r="H58" s="89"/>
      <c r="I58" s="85" t="s">
        <v>223</v>
      </c>
      <c r="J58" s="86" t="s">
        <v>169</v>
      </c>
      <c r="K58" s="33"/>
      <c r="L58" s="36" t="str">
        <f t="shared" ref="L58:L64" si="22">IF((ISERROR((K58/$H58)*100)), "", IF(AND(NOT(ISERROR((K58/$H58)*100)),((K58/$H58)*100) &lt;&gt; 0), (K58/$H58)*100, ""))</f>
        <v/>
      </c>
      <c r="M58" s="33"/>
      <c r="N58" s="36" t="str">
        <f t="shared" ref="N58:N64" si="23">IF((ISERROR((M58/$H58)*100)), "", IF(AND(NOT(ISERROR((M58/$H58)*100)),((M58/$H58)*100) &lt;&gt; 0), (M58/$H58)*100, ""))</f>
        <v/>
      </c>
      <c r="O58" s="76"/>
      <c r="P58" s="36" t="str">
        <f t="shared" ref="P58:P64" si="24">IF((ISERROR((O58/$H58)*100)), "", IF(AND(NOT(ISERROR((O58/$H58)*100)),((O58/$H58)*100) &lt;&gt; 0), (O58/$H58)*100, ""))</f>
        <v/>
      </c>
      <c r="Q58" s="33"/>
      <c r="R58" s="36" t="str">
        <f t="shared" ref="R58:R64" si="25">IF((ISERROR((Q58/$H58)*100)), "", IF(AND(NOT(ISERROR((Q58/$H58)*100)),((Q58/$H58)*100) &lt;&gt; 0), (Q58/$H58)*100, ""))</f>
        <v/>
      </c>
      <c r="S58" s="33"/>
      <c r="T58" s="36" t="str">
        <f t="shared" ref="T58:T64" si="26">IF((ISERROR((S58/$H58)*100)), "", IF(AND(NOT(ISERROR((S58/$H58)*100)),((S58/$H58)*100) &lt;&gt; 0), (S58/$H58)*100, ""))</f>
        <v/>
      </c>
      <c r="U58" s="33"/>
      <c r="V58" s="36" t="str">
        <f t="shared" ref="V58:V64" si="27">IF((ISERROR((U58/$H58)*100)), "", IF(AND(NOT(ISERROR((U58/$H58)*100)),((U58/$H58)*100) &lt;&gt; 0), (U58/$H58)*100, ""))</f>
        <v/>
      </c>
      <c r="W58" s="33"/>
      <c r="X58" s="36" t="str">
        <f t="shared" ref="X58:X64" si="28">IF((ISERROR((W58/$H58)*100)), "", IF(AND(NOT(ISERROR((W58/$H58)*100)),((W58/$H58)*100) &lt;&gt; 0), (W58/$H58)*100, ""))</f>
        <v/>
      </c>
      <c r="Y58" s="33"/>
      <c r="Z58" s="36" t="str">
        <f>IF((ISERROR((Y58/$H58)*100)), "", IF(AND(NOT(ISERROR((Y58/$H58)*100)),((Y58/$H58)*100) &lt;&gt; 0), (Y58/$H58)*100, ""))</f>
        <v/>
      </c>
      <c r="AA58" s="33"/>
      <c r="AB58" s="36" t="str">
        <f t="shared" ref="AB58:AB64" si="29">IF((ISERROR((AA58/$H58)*100)), "", IF(AND(NOT(ISERROR((AA58/$H58)*100)),((AA58/$H58)*100) &lt;&gt; 0), (AA58/$H58)*100, ""))</f>
        <v/>
      </c>
      <c r="AC58" s="33"/>
      <c r="AD58" s="36" t="str">
        <f t="shared" ref="AD58:AD64" si="30">IF((ISERROR((AC58/$H58)*100)), "", IF(AND(NOT(ISERROR((AC58/$H58)*100)),((AC58/$H58)*100) &lt;&gt; 0), (AC58/$H58)*100, ""))</f>
        <v/>
      </c>
      <c r="AE58" s="76"/>
      <c r="AF58" s="36" t="str">
        <f t="shared" ref="AF58:AF64" si="31">IF((ISERROR((AE58/$H58)*100)), "", IF(AND(NOT(ISERROR((AE58/$H58)*100)),((AE58/$H58)*100) &lt;&gt; 0), (AE58/$H58)*100, ""))</f>
        <v/>
      </c>
      <c r="AG58" s="33"/>
      <c r="AH58" s="36" t="str">
        <f t="shared" ref="AH58:AH64" si="32">IF((ISERROR((AG58/$H58)*100)), "", IF(AND(NOT(ISERROR((AG58/$H58)*100)),((AG58/$H58)*100) &lt;&gt; 0), (AG58/$H58)*100, ""))</f>
        <v/>
      </c>
      <c r="AI58" s="33"/>
      <c r="AJ58" s="36" t="str">
        <f t="shared" ref="AJ58:AJ64" si="33">IF((ISERROR((AI58/$H58)*100)), "", IF(AND(NOT(ISERROR((AI58/$H58)*100)),((AI58/$H58)*100) &lt;&gt; 0), (AI58/$H58)*100, ""))</f>
        <v/>
      </c>
      <c r="AK58" s="33"/>
      <c r="AL58" s="36" t="str">
        <f t="shared" ref="AL58:AL64" si="34">IF((ISERROR((AK58/$H58)*100)), "", IF(AND(NOT(ISERROR((AK58/$H58)*100)),((AK58/$H58)*100) &lt;&gt; 0), (AK58/$H58)*100, ""))</f>
        <v/>
      </c>
      <c r="AM58" s="33"/>
      <c r="AN58" s="36" t="str">
        <f t="shared" ref="AN58:AN64" si="35">IF((ISERROR((AM58/$H58)*100)), "", IF(AND(NOT(ISERROR((AM58/$H58)*100)),((AM58/$H58)*100) &lt;&gt; 0), (AM58/$H58)*100, ""))</f>
        <v/>
      </c>
      <c r="AO58" s="33"/>
      <c r="AP58" s="36" t="str">
        <f t="shared" ref="AP58:AP64" si="36">IF((ISERROR((AO58/$H58)*100)), "", IF(AND(NOT(ISERROR((AO58/$H58)*100)),((AO58/$H58)*100) &lt;&gt; 0), (AO58/$H58)*100, ""))</f>
        <v/>
      </c>
      <c r="AQ58" s="33"/>
      <c r="AR58" s="36" t="str">
        <f t="shared" ref="AR58:AR64" si="37">IF((ISERROR((AQ58/$H58)*100)), "", IF(AND(NOT(ISERROR((AQ58/$H58)*100)),((AQ58/$H58)*100) &lt;&gt; 0), (AQ58/$H58)*100, ""))</f>
        <v/>
      </c>
      <c r="AS58" s="33"/>
      <c r="AT58" s="36" t="str">
        <f t="shared" ref="AT58:AT64" si="38">IF((ISERROR((AS58/$H58)*100)), "", IF(AND(NOT(ISERROR((AS58/$H58)*100)),((AS58/$H58)*100) &lt;&gt; 0), (AS58/$H58)*100, ""))</f>
        <v/>
      </c>
      <c r="AU58" s="33"/>
      <c r="AV58" s="36" t="str">
        <f t="shared" si="18"/>
        <v/>
      </c>
      <c r="AW58" s="33"/>
      <c r="AX58" s="36" t="str">
        <f t="shared" si="19"/>
        <v/>
      </c>
      <c r="AY58" s="33"/>
      <c r="AZ58" s="36" t="str">
        <f t="shared" si="20"/>
        <v/>
      </c>
      <c r="BA58" s="23" t="s">
        <v>224</v>
      </c>
    </row>
    <row r="59" spans="1:53" ht="20" customHeight="1" x14ac:dyDescent="0.2">
      <c r="A59" s="60"/>
      <c r="B59" s="82"/>
      <c r="C59" s="24" t="s">
        <v>85</v>
      </c>
      <c r="D59" s="23" t="s">
        <v>318</v>
      </c>
      <c r="E59" s="23" t="s">
        <v>319</v>
      </c>
      <c r="F59" s="24">
        <v>2010</v>
      </c>
      <c r="H59" s="89">
        <v>53</v>
      </c>
      <c r="I59" s="112" t="s">
        <v>374</v>
      </c>
      <c r="J59" s="86" t="s">
        <v>414</v>
      </c>
      <c r="K59" s="33"/>
      <c r="L59" s="36" t="str">
        <f t="shared" si="22"/>
        <v/>
      </c>
      <c r="M59" s="33"/>
      <c r="N59" s="36" t="str">
        <f t="shared" si="23"/>
        <v/>
      </c>
      <c r="O59" s="76">
        <v>15</v>
      </c>
      <c r="P59" s="36">
        <f t="shared" si="24"/>
        <v>28.30188679245283</v>
      </c>
      <c r="Q59" s="33"/>
      <c r="R59" s="36" t="str">
        <f t="shared" si="25"/>
        <v/>
      </c>
      <c r="S59" s="33">
        <v>15</v>
      </c>
      <c r="T59" s="36">
        <f t="shared" si="26"/>
        <v>28.30188679245283</v>
      </c>
      <c r="U59" s="33"/>
      <c r="V59" s="36" t="str">
        <f t="shared" si="27"/>
        <v/>
      </c>
      <c r="W59" s="33"/>
      <c r="X59" s="36" t="str">
        <f t="shared" si="28"/>
        <v/>
      </c>
      <c r="Y59" s="33"/>
      <c r="Z59" s="36" t="str">
        <f>IF((ISERROR((Y59/$H59)*100)), "", IF(AND(NOT(ISERROR((Y59/$H59)*100)),((Y59/$H59)*100) &lt;&gt; 0), (Y59/$H59)*100, ""))</f>
        <v/>
      </c>
      <c r="AA59" s="33">
        <v>2</v>
      </c>
      <c r="AB59" s="36">
        <f t="shared" si="29"/>
        <v>3.7735849056603774</v>
      </c>
      <c r="AC59" s="33">
        <v>9</v>
      </c>
      <c r="AD59" s="36">
        <f t="shared" si="30"/>
        <v>16.981132075471699</v>
      </c>
      <c r="AE59" s="76"/>
      <c r="AF59" s="36" t="str">
        <f t="shared" si="31"/>
        <v/>
      </c>
      <c r="AG59" s="33"/>
      <c r="AH59" s="36" t="str">
        <f t="shared" si="32"/>
        <v/>
      </c>
      <c r="AI59" s="33">
        <v>3</v>
      </c>
      <c r="AJ59" s="36">
        <f t="shared" si="33"/>
        <v>5.6603773584905666</v>
      </c>
      <c r="AK59" s="33">
        <v>2</v>
      </c>
      <c r="AL59" s="36">
        <f t="shared" si="34"/>
        <v>3.7735849056603774</v>
      </c>
      <c r="AM59" s="33"/>
      <c r="AN59" s="36" t="str">
        <f t="shared" si="35"/>
        <v/>
      </c>
      <c r="AO59" s="33"/>
      <c r="AP59" s="36" t="str">
        <f t="shared" si="36"/>
        <v/>
      </c>
      <c r="AQ59" s="33"/>
      <c r="AR59" s="36" t="str">
        <f t="shared" si="37"/>
        <v/>
      </c>
      <c r="AS59" s="33"/>
      <c r="AT59" s="36" t="str">
        <f t="shared" si="38"/>
        <v/>
      </c>
      <c r="AU59" s="33"/>
      <c r="AV59" s="36" t="str">
        <f t="shared" si="18"/>
        <v/>
      </c>
      <c r="AW59" s="33"/>
      <c r="AX59" s="36" t="str">
        <f t="shared" si="19"/>
        <v/>
      </c>
      <c r="AY59" s="33"/>
      <c r="AZ59" s="36" t="str">
        <f t="shared" si="20"/>
        <v/>
      </c>
      <c r="BA59" s="23" t="s">
        <v>375</v>
      </c>
    </row>
    <row r="60" spans="1:53" ht="20" customHeight="1" x14ac:dyDescent="0.2">
      <c r="A60" s="60"/>
      <c r="B60" s="82"/>
      <c r="C60" s="24" t="s">
        <v>85</v>
      </c>
      <c r="D60" s="23" t="s">
        <v>320</v>
      </c>
      <c r="E60" s="23" t="s">
        <v>321</v>
      </c>
      <c r="F60" s="24">
        <v>2014</v>
      </c>
      <c r="H60" s="89">
        <v>39</v>
      </c>
      <c r="I60" s="85" t="s">
        <v>213</v>
      </c>
      <c r="J60" s="86" t="s">
        <v>376</v>
      </c>
      <c r="K60" s="33"/>
      <c r="L60" s="36" t="str">
        <f t="shared" si="22"/>
        <v/>
      </c>
      <c r="M60" s="33"/>
      <c r="N60" s="36" t="str">
        <f t="shared" si="23"/>
        <v/>
      </c>
      <c r="O60" s="76">
        <v>6</v>
      </c>
      <c r="P60" s="36">
        <f t="shared" si="24"/>
        <v>15.384615384615385</v>
      </c>
      <c r="Q60" s="33"/>
      <c r="R60" s="36" t="str">
        <f t="shared" si="25"/>
        <v/>
      </c>
      <c r="S60" s="33">
        <v>1</v>
      </c>
      <c r="T60" s="36">
        <f t="shared" si="26"/>
        <v>2.5641025641025639</v>
      </c>
      <c r="U60" s="33">
        <v>2</v>
      </c>
      <c r="V60" s="36">
        <f t="shared" si="27"/>
        <v>5.1282051282051277</v>
      </c>
      <c r="W60" s="33"/>
      <c r="X60" s="36" t="str">
        <f t="shared" si="28"/>
        <v/>
      </c>
      <c r="Y60" s="33"/>
      <c r="Z60" s="36"/>
      <c r="AA60" s="33"/>
      <c r="AB60" s="36" t="str">
        <f t="shared" si="29"/>
        <v/>
      </c>
      <c r="AC60" s="33"/>
      <c r="AD60" s="36" t="str">
        <f t="shared" si="30"/>
        <v/>
      </c>
      <c r="AE60" s="76"/>
      <c r="AF60" s="36" t="str">
        <f t="shared" si="31"/>
        <v/>
      </c>
      <c r="AG60" s="33"/>
      <c r="AH60" s="36" t="str">
        <f t="shared" si="32"/>
        <v/>
      </c>
      <c r="AI60" s="33"/>
      <c r="AJ60" s="36" t="str">
        <f t="shared" si="33"/>
        <v/>
      </c>
      <c r="AK60" s="33"/>
      <c r="AL60" s="36" t="str">
        <f t="shared" si="34"/>
        <v/>
      </c>
      <c r="AM60" s="33">
        <v>1</v>
      </c>
      <c r="AN60" s="36">
        <f t="shared" si="35"/>
        <v>2.5641025641025639</v>
      </c>
      <c r="AO60" s="33"/>
      <c r="AP60" s="36" t="str">
        <f t="shared" si="36"/>
        <v/>
      </c>
      <c r="AQ60" s="33"/>
      <c r="AR60" s="36" t="str">
        <f t="shared" si="37"/>
        <v/>
      </c>
      <c r="AS60" s="33"/>
      <c r="AT60" s="36" t="str">
        <f t="shared" si="38"/>
        <v/>
      </c>
      <c r="AU60" s="33"/>
      <c r="AV60" s="36" t="str">
        <f t="shared" si="18"/>
        <v/>
      </c>
      <c r="AW60" s="33"/>
      <c r="AX60" s="36" t="str">
        <f t="shared" si="19"/>
        <v/>
      </c>
      <c r="AY60" s="33"/>
      <c r="AZ60" s="36" t="str">
        <f t="shared" si="20"/>
        <v/>
      </c>
      <c r="BA60" s="23" t="s">
        <v>415</v>
      </c>
    </row>
    <row r="61" spans="1:53" ht="20" customHeight="1" x14ac:dyDescent="0.2">
      <c r="A61" s="60"/>
      <c r="B61" s="82"/>
      <c r="C61" s="24" t="s">
        <v>85</v>
      </c>
      <c r="D61" s="23" t="s">
        <v>322</v>
      </c>
      <c r="E61" s="23" t="s">
        <v>323</v>
      </c>
      <c r="F61" s="24">
        <v>2010</v>
      </c>
      <c r="H61" s="89">
        <v>789</v>
      </c>
      <c r="I61" s="85" t="s">
        <v>213</v>
      </c>
      <c r="J61" s="86" t="s">
        <v>378</v>
      </c>
      <c r="K61" s="33"/>
      <c r="L61" s="36" t="str">
        <f t="shared" si="22"/>
        <v/>
      </c>
      <c r="M61" s="33"/>
      <c r="N61" s="36" t="str">
        <f t="shared" si="23"/>
        <v/>
      </c>
      <c r="O61" s="76"/>
      <c r="P61" s="36" t="str">
        <f t="shared" si="24"/>
        <v/>
      </c>
      <c r="Q61" s="33"/>
      <c r="R61" s="36" t="str">
        <f t="shared" si="25"/>
        <v/>
      </c>
      <c r="S61" s="33"/>
      <c r="T61" s="36" t="str">
        <f t="shared" si="26"/>
        <v/>
      </c>
      <c r="U61" s="33"/>
      <c r="V61" s="36" t="str">
        <f t="shared" si="27"/>
        <v/>
      </c>
      <c r="W61" s="33"/>
      <c r="X61" s="36" t="str">
        <f t="shared" si="28"/>
        <v/>
      </c>
      <c r="Y61" s="33"/>
      <c r="Z61" s="36" t="str">
        <f>IF((ISERROR((Y61/$H61)*100)), "", IF(AND(NOT(ISERROR((Y61/$H61)*100)),((Y61/$H61)*100) &lt;&gt; 0), (Y61/$H61)*100, ""))</f>
        <v/>
      </c>
      <c r="AA61" s="33"/>
      <c r="AB61" s="36" t="str">
        <f t="shared" si="29"/>
        <v/>
      </c>
      <c r="AC61" s="33"/>
      <c r="AD61" s="36" t="str">
        <f t="shared" si="30"/>
        <v/>
      </c>
      <c r="AE61" s="76">
        <v>43</v>
      </c>
      <c r="AF61" s="36">
        <f t="shared" si="31"/>
        <v>5.4499366286438535</v>
      </c>
      <c r="AG61" s="33"/>
      <c r="AH61" s="36" t="str">
        <f t="shared" si="32"/>
        <v/>
      </c>
      <c r="AI61" s="33"/>
      <c r="AJ61" s="36" t="str">
        <f t="shared" si="33"/>
        <v/>
      </c>
      <c r="AK61" s="33"/>
      <c r="AL61" s="36" t="str">
        <f t="shared" si="34"/>
        <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377</v>
      </c>
    </row>
    <row r="62" spans="1:53" ht="20" customHeight="1" x14ac:dyDescent="0.2">
      <c r="A62" s="61"/>
      <c r="B62" s="24"/>
      <c r="C62" s="24" t="s">
        <v>85</v>
      </c>
      <c r="D62" s="23" t="s">
        <v>143</v>
      </c>
      <c r="E62" s="23" t="s">
        <v>144</v>
      </c>
      <c r="F62" s="24">
        <v>2008</v>
      </c>
      <c r="G62" s="24">
        <v>156</v>
      </c>
      <c r="H62" s="89">
        <v>50</v>
      </c>
      <c r="I62" s="85" t="s">
        <v>177</v>
      </c>
      <c r="J62" s="86"/>
      <c r="K62" s="33"/>
      <c r="L62" s="36" t="str">
        <f t="shared" si="22"/>
        <v/>
      </c>
      <c r="M62" s="33"/>
      <c r="N62" s="36" t="str">
        <f t="shared" si="23"/>
        <v/>
      </c>
      <c r="O62" s="76"/>
      <c r="P62" s="36" t="str">
        <f t="shared" si="24"/>
        <v/>
      </c>
      <c r="Q62" s="33"/>
      <c r="R62" s="36" t="str">
        <f t="shared" si="25"/>
        <v/>
      </c>
      <c r="S62" s="33"/>
      <c r="T62" s="36" t="str">
        <f t="shared" si="26"/>
        <v/>
      </c>
      <c r="U62" s="33"/>
      <c r="V62" s="36" t="str">
        <f t="shared" si="27"/>
        <v/>
      </c>
      <c r="W62" s="33"/>
      <c r="X62" s="36" t="str">
        <f t="shared" si="28"/>
        <v/>
      </c>
      <c r="Y62" s="33"/>
      <c r="Z62" s="36" t="str">
        <f>IF((ISERROR((Y62/$H62)*100)), "", IF(AND(NOT(ISERROR((Y62/$H62)*100)),((Y62/$H62)*100) &lt;&gt; 0), (Y62/$H62)*100, ""))</f>
        <v/>
      </c>
      <c r="AA62" s="33"/>
      <c r="AB62" s="36" t="str">
        <f t="shared" si="29"/>
        <v/>
      </c>
      <c r="AC62" s="33"/>
      <c r="AD62" s="36" t="str">
        <f t="shared" si="30"/>
        <v/>
      </c>
      <c r="AE62" s="76"/>
      <c r="AF62" s="36" t="str">
        <f t="shared" si="31"/>
        <v/>
      </c>
      <c r="AG62" s="33"/>
      <c r="AH62" s="36" t="str">
        <f t="shared" si="32"/>
        <v/>
      </c>
      <c r="AI62" s="33"/>
      <c r="AJ62" s="36" t="str">
        <f t="shared" si="33"/>
        <v/>
      </c>
      <c r="AK62" s="33"/>
      <c r="AL62" s="36" t="str">
        <f t="shared" si="34"/>
        <v/>
      </c>
      <c r="AM62" s="33"/>
      <c r="AN62" s="36" t="str">
        <f t="shared" si="35"/>
        <v/>
      </c>
      <c r="AO62" s="33"/>
      <c r="AP62" s="36" t="str">
        <f t="shared" si="36"/>
        <v/>
      </c>
      <c r="AQ62" s="33"/>
      <c r="AR62" s="36" t="str">
        <f t="shared" si="37"/>
        <v/>
      </c>
      <c r="AS62" s="33"/>
      <c r="AT62" s="36" t="str">
        <f t="shared" si="38"/>
        <v/>
      </c>
      <c r="AU62" s="33"/>
      <c r="AV62" s="36" t="str">
        <f t="shared" si="18"/>
        <v/>
      </c>
      <c r="AW62" s="33"/>
      <c r="AX62" s="36" t="str">
        <f t="shared" si="19"/>
        <v/>
      </c>
      <c r="AY62" s="33"/>
      <c r="AZ62" s="36" t="str">
        <f t="shared" si="20"/>
        <v/>
      </c>
      <c r="BA62" s="23" t="s">
        <v>231</v>
      </c>
    </row>
    <row r="63" spans="1:53" ht="20" customHeight="1" x14ac:dyDescent="0.2">
      <c r="A63" s="60"/>
      <c r="B63" s="83"/>
      <c r="C63" s="24" t="s">
        <v>85</v>
      </c>
      <c r="D63" s="23" t="s">
        <v>326</v>
      </c>
      <c r="E63" s="23" t="s">
        <v>327</v>
      </c>
      <c r="F63" s="24">
        <v>2009</v>
      </c>
      <c r="H63" s="89">
        <v>12</v>
      </c>
      <c r="I63" s="85" t="s">
        <v>216</v>
      </c>
      <c r="J63" s="86" t="s">
        <v>194</v>
      </c>
      <c r="K63" s="73"/>
      <c r="L63" s="74" t="str">
        <f t="shared" si="22"/>
        <v/>
      </c>
      <c r="M63" s="73"/>
      <c r="N63" s="74" t="str">
        <f t="shared" si="23"/>
        <v/>
      </c>
      <c r="O63" s="75"/>
      <c r="P63" s="74" t="str">
        <f t="shared" si="24"/>
        <v/>
      </c>
      <c r="Q63" s="73"/>
      <c r="R63" s="74" t="str">
        <f t="shared" si="25"/>
        <v/>
      </c>
      <c r="S63" s="73"/>
      <c r="T63" s="74" t="str">
        <f t="shared" si="26"/>
        <v/>
      </c>
      <c r="U63" s="73"/>
      <c r="V63" s="74" t="str">
        <f t="shared" si="27"/>
        <v/>
      </c>
      <c r="W63" s="73"/>
      <c r="X63" s="74" t="str">
        <f t="shared" si="28"/>
        <v/>
      </c>
      <c r="Y63" s="73"/>
      <c r="Z63" s="74" t="str">
        <f>IF((ISERROR((Y63/$H63)*100)), "", IF(AND(NOT(ISERROR((Y63/$H63)*100)),((Y63/$H63)*100) &lt;&gt; 0), (Y63/$H63)*100, ""))</f>
        <v/>
      </c>
      <c r="AA63" s="73"/>
      <c r="AB63" s="74" t="str">
        <f t="shared" si="29"/>
        <v/>
      </c>
      <c r="AC63" s="73"/>
      <c r="AD63" s="74" t="str">
        <f t="shared" si="30"/>
        <v/>
      </c>
      <c r="AE63" s="75"/>
      <c r="AF63" s="74" t="str">
        <f t="shared" si="31"/>
        <v/>
      </c>
      <c r="AG63" s="73"/>
      <c r="AH63" s="74" t="str">
        <f t="shared" si="32"/>
        <v/>
      </c>
      <c r="AI63" s="73"/>
      <c r="AJ63" s="74" t="str">
        <f t="shared" si="33"/>
        <v/>
      </c>
      <c r="AK63" s="73"/>
      <c r="AL63" s="74" t="str">
        <f t="shared" si="34"/>
        <v/>
      </c>
      <c r="AM63" s="73"/>
      <c r="AN63" s="74" t="str">
        <f t="shared" si="35"/>
        <v/>
      </c>
      <c r="AO63" s="73"/>
      <c r="AP63" s="74" t="str">
        <f t="shared" si="36"/>
        <v/>
      </c>
      <c r="AQ63" s="73"/>
      <c r="AR63" s="74" t="str">
        <f t="shared" si="37"/>
        <v/>
      </c>
      <c r="AS63" s="73"/>
      <c r="AT63" s="74" t="str">
        <f t="shared" si="38"/>
        <v/>
      </c>
      <c r="AU63" s="73"/>
      <c r="AV63" s="74" t="str">
        <f t="shared" si="18"/>
        <v/>
      </c>
      <c r="AW63" s="73"/>
      <c r="AX63" s="74" t="str">
        <f t="shared" si="19"/>
        <v/>
      </c>
      <c r="AY63" s="73"/>
      <c r="AZ63" s="74" t="str">
        <f t="shared" si="20"/>
        <v/>
      </c>
      <c r="BA63" s="23" t="s">
        <v>181</v>
      </c>
    </row>
    <row r="64" spans="1:53" ht="20" customHeight="1" thickBot="1" x14ac:dyDescent="0.25">
      <c r="A64" s="61"/>
      <c r="B64" s="24"/>
      <c r="C64" s="24" t="s">
        <v>85</v>
      </c>
      <c r="D64" s="23" t="s">
        <v>147</v>
      </c>
      <c r="E64" s="23" t="s">
        <v>148</v>
      </c>
      <c r="F64" s="24">
        <v>2011</v>
      </c>
      <c r="G64" s="24">
        <v>112</v>
      </c>
      <c r="H64" s="90">
        <v>22</v>
      </c>
      <c r="I64" s="87" t="s">
        <v>220</v>
      </c>
      <c r="J64" s="88" t="s">
        <v>195</v>
      </c>
      <c r="K64" s="34"/>
      <c r="L64" s="37" t="str">
        <f t="shared" si="22"/>
        <v/>
      </c>
      <c r="M64" s="34"/>
      <c r="N64" s="37" t="str">
        <f t="shared" si="23"/>
        <v/>
      </c>
      <c r="O64" s="35"/>
      <c r="P64" s="37" t="str">
        <f t="shared" si="24"/>
        <v/>
      </c>
      <c r="Q64" s="34"/>
      <c r="R64" s="37" t="str">
        <f t="shared" si="25"/>
        <v/>
      </c>
      <c r="S64" s="34"/>
      <c r="T64" s="37" t="str">
        <f t="shared" si="26"/>
        <v/>
      </c>
      <c r="U64" s="34"/>
      <c r="V64" s="37" t="str">
        <f t="shared" si="27"/>
        <v/>
      </c>
      <c r="W64" s="34"/>
      <c r="X64" s="37" t="str">
        <f t="shared" si="28"/>
        <v/>
      </c>
      <c r="Y64" s="34"/>
      <c r="Z64" s="37" t="str">
        <f>IF((ISERROR((Y64/$H64)*100)), "", IF(AND(NOT(ISERROR((Y64/$H64)*100)),((Y64/$H64)*100) &lt;&gt; 0), (Y64/$H64)*100, ""))</f>
        <v/>
      </c>
      <c r="AA64" s="34"/>
      <c r="AB64" s="37" t="str">
        <f t="shared" si="29"/>
        <v/>
      </c>
      <c r="AC64" s="34"/>
      <c r="AD64" s="37" t="str">
        <f t="shared" si="30"/>
        <v/>
      </c>
      <c r="AE64" s="35"/>
      <c r="AF64" s="37" t="str">
        <f t="shared" si="31"/>
        <v/>
      </c>
      <c r="AG64" s="34"/>
      <c r="AH64" s="37" t="str">
        <f t="shared" si="32"/>
        <v/>
      </c>
      <c r="AI64" s="34"/>
      <c r="AJ64" s="37" t="str">
        <f t="shared" si="33"/>
        <v/>
      </c>
      <c r="AK64" s="34"/>
      <c r="AL64" s="37" t="str">
        <f t="shared" si="34"/>
        <v/>
      </c>
      <c r="AM64" s="34"/>
      <c r="AN64" s="37" t="str">
        <f t="shared" si="35"/>
        <v/>
      </c>
      <c r="AO64" s="34"/>
      <c r="AP64" s="37" t="str">
        <f t="shared" si="36"/>
        <v/>
      </c>
      <c r="AQ64" s="34"/>
      <c r="AR64" s="37" t="str">
        <f t="shared" si="37"/>
        <v/>
      </c>
      <c r="AS64" s="34"/>
      <c r="AT64" s="37" t="str">
        <f t="shared" si="38"/>
        <v/>
      </c>
      <c r="AU64" s="34"/>
      <c r="AV64" s="37" t="str">
        <f t="shared" si="18"/>
        <v/>
      </c>
      <c r="AW64" s="34"/>
      <c r="AX64" s="37" t="str">
        <f t="shared" si="19"/>
        <v/>
      </c>
      <c r="AY64" s="34"/>
      <c r="AZ64" s="37" t="str">
        <f t="shared" si="20"/>
        <v/>
      </c>
      <c r="BA64" s="23" t="s">
        <v>233</v>
      </c>
    </row>
    <row r="66" spans="3:52" ht="17" thickBot="1" x14ac:dyDescent="0.25"/>
    <row r="67" spans="3:52" s="22" customFormat="1" x14ac:dyDescent="0.2">
      <c r="C67" s="41"/>
      <c r="F67" s="24"/>
      <c r="G67" s="43" t="s">
        <v>246</v>
      </c>
      <c r="H67" s="44">
        <f>SUM(H11:H64)</f>
        <v>1980</v>
      </c>
      <c r="I67" s="45" t="s">
        <v>244</v>
      </c>
      <c r="J67" s="46" t="s">
        <v>243</v>
      </c>
      <c r="K67" s="51">
        <f>IF((SUM(K11:K64)&lt;&gt;0), SUMIF($H11:$H64, "&gt;0", K11:K64), "")</f>
        <v>5</v>
      </c>
      <c r="L67" s="52">
        <f>IF(ISERROR((K67/$H67)*100), "", IF(((K67/$H67)*100) &lt;&gt; 0, (K67/$H67)*100, ""))</f>
        <v>0.25252525252525254</v>
      </c>
      <c r="M67" s="51">
        <f>IF((SUM(M11:M64)&lt;&gt;0), SUMIF($H11:$H64, "&gt;0", M11:M64), "")</f>
        <v>25</v>
      </c>
      <c r="N67" s="52">
        <f>IF(ISERROR((M67/$H67)*100), "", IF(((M67/$H67)*100) &lt;&gt; 0, (M67/$H67)*100, ""))</f>
        <v>1.2626262626262625</v>
      </c>
      <c r="O67" s="51">
        <f>IF((SUM(O11:O64)&lt;&gt;0), SUMIF($H11:$H64, "&gt;0", O11:O64), "")</f>
        <v>72</v>
      </c>
      <c r="P67" s="52">
        <f>IF(ISERROR((O67/$H67)*100), "", IF(((O67/$H67)*100) &lt;&gt; 0, (O67/$H67)*100, ""))</f>
        <v>3.6363636363636362</v>
      </c>
      <c r="Q67" s="51">
        <f>IF((SUM(Q11:Q64)&lt;&gt;0), SUMIF($H11:$H64, "&gt;0", Q11:Q64), "")</f>
        <v>2</v>
      </c>
      <c r="R67" s="52">
        <f>IF(ISERROR((Q67/$H67)*100), "", IF(((Q67/$H67)*100) &lt;&gt; 0, (Q67/$H67)*100, ""))</f>
        <v>0.10101010101010101</v>
      </c>
      <c r="S67" s="51">
        <f>IF((SUM(S11:S64)&lt;&gt;0), SUMIF($H11:$H64, "&gt;0", S11:S64), "")</f>
        <v>50</v>
      </c>
      <c r="T67" s="52">
        <f>IF(ISERROR((S67/$H67)*100), "", IF(((S67/$H67)*100) &lt;&gt; 0, (S67/$H67)*100, ""))</f>
        <v>2.5252525252525251</v>
      </c>
      <c r="U67" s="51">
        <f>IF((SUM(U11:U64)&lt;&gt;0), SUMIF($H11:$H64, "&gt;0", U11:U64), "")</f>
        <v>34</v>
      </c>
      <c r="V67" s="52">
        <f>IF(ISERROR((U67/$H67)*100), "", IF(((U67/$H67)*100) &lt;&gt; 0, (U67/$H67)*100, ""))</f>
        <v>1.7171717171717171</v>
      </c>
      <c r="W67" s="51">
        <f>IF((SUM(W11:W64)&lt;&gt;0), SUMIF($H11:$H64, "&gt;0", W11:W64), "")</f>
        <v>1</v>
      </c>
      <c r="X67" s="52">
        <f>IF(ISERROR((W67/$H67)*100), "", IF(((W67/$H67)*100) &lt;&gt; 0, (W67/$H67)*100, ""))</f>
        <v>5.0505050505050504E-2</v>
      </c>
      <c r="Y67" s="51">
        <f>IF((SUM(Y11:Y64)&lt;&gt;0), SUMIF($H11:$H64, "&gt;0", Y11:Y64), "")</f>
        <v>1</v>
      </c>
      <c r="Z67" s="52">
        <f>IF(ISERROR((Y67/$H67)*100), "", IF(((Y67/$H67)*100) &lt;&gt; 0, (Y67/$H67)*100, ""))</f>
        <v>5.0505050505050504E-2</v>
      </c>
      <c r="AA67" s="51">
        <f>IF((SUM(AA11:AA64)&lt;&gt;0), SUMIF($H11:$H64, "&gt;0", AA11:AA64), "")</f>
        <v>26</v>
      </c>
      <c r="AB67" s="52">
        <f>IF(ISERROR((AA67/$H67)*100), "", IF(((AA67/$H67)*100) &lt;&gt; 0, (AA67/$H67)*100, ""))</f>
        <v>1.3131313131313131</v>
      </c>
      <c r="AC67" s="51">
        <f>IF((SUM(AC11:AC64)&lt;&gt;0), SUMIF($H11:$H64, "&gt;0", AC11:AC64), "")</f>
        <v>22</v>
      </c>
      <c r="AD67" s="52">
        <f>IF(ISERROR((AC67/$H67)*100), "", IF(((AC67/$H67)*100) &lt;&gt; 0, (AC67/$H67)*100, ""))</f>
        <v>1.1111111111111112</v>
      </c>
      <c r="AE67" s="51">
        <f>IF((SUM(AE11:AE64)&lt;&gt;0), SUMIF($H11:$H64, "&gt;0", AE11:AE64), "")</f>
        <v>90</v>
      </c>
      <c r="AF67" s="52">
        <f>IF(ISERROR((AE67/$H67)*100), "", IF(((AE67/$H67)*100) &lt;&gt; 0, (AE67/$H67)*100, ""))</f>
        <v>4.5454545454545459</v>
      </c>
      <c r="AG67" s="51">
        <f>IF((SUM(AG11:AG64)&lt;&gt;0), SUMIF($H11:$H64, "&gt;0", AG11:AG64), "")</f>
        <v>2</v>
      </c>
      <c r="AH67" s="52">
        <f>IF(ISERROR((AG67/$H67)*100), "", IF(((AG67/$H67)*100) &lt;&gt; 0, (AG67/$H67)*100, ""))</f>
        <v>0.10101010101010101</v>
      </c>
      <c r="AI67" s="51">
        <f>IF((SUM(AI11:AI64)&lt;&gt;0), SUMIF($H11:$H64, "&gt;0", AI11:AI64), "")</f>
        <v>4</v>
      </c>
      <c r="AJ67" s="52">
        <f>IF(ISERROR((AI67/$H67)*100), "", IF(((AI67/$H67)*100) &lt;&gt; 0, (AI67/$H67)*100, ""))</f>
        <v>0.20202020202020202</v>
      </c>
      <c r="AK67" s="51">
        <f>IF((SUM(AK11:AK64)&lt;&gt;0), SUMIF($H11:$H64, "&gt;0", AK11:AK64), "")</f>
        <v>8</v>
      </c>
      <c r="AL67" s="52">
        <f>IF(ISERROR((AK67/$H67)*100), "", IF(((AK67/$H67)*100) &lt;&gt; 0, (AK67/$H67)*100, ""))</f>
        <v>0.40404040404040403</v>
      </c>
      <c r="AM67" s="51">
        <f>IF((SUM(AM11:AM64)&lt;&gt;0), SUMIF($H11:$H64, "&gt;0", AM11:AM64), "")</f>
        <v>2</v>
      </c>
      <c r="AN67" s="52">
        <f>IF(ISERROR((AM67/$H67)*100), "", IF(((AM67/$H67)*100) &lt;&gt; 0, (AM67/$H67)*100, ""))</f>
        <v>0.10101010101010101</v>
      </c>
      <c r="AO67" s="51">
        <f>IF((SUM(AO11:AO64)&lt;&gt;0), SUMIF($H11:$H64, "&gt;0", AO11:AO64), "")</f>
        <v>0</v>
      </c>
      <c r="AP67" s="52" t="str">
        <f>IF(ISERROR((AO67/$H67)*100), "", IF(((AO67/$H67)*100) &lt;&gt; 0, (AO67/$H67)*100, ""))</f>
        <v/>
      </c>
      <c r="AQ67" s="51" t="str">
        <f>IF((SUM(AQ11:AQ64)&lt;&gt;0), SUMIF($H11:$H64, "&gt;0", AQ11:AQ64), "")</f>
        <v/>
      </c>
      <c r="AR67" s="52" t="str">
        <f>IF(ISERROR((AQ67/$H67)*100), "", IF(((AQ67/$H67)*100) &lt;&gt; 0, (AQ67/$H67)*100, ""))</f>
        <v/>
      </c>
      <c r="AS67" s="51" t="str">
        <f>IF((SUM(AS11:AS64)&lt;&gt;0), SUMIF($H11:$H64, "&gt;0", AS11:AS64), "")</f>
        <v/>
      </c>
      <c r="AT67" s="52" t="str">
        <f>IF(ISERROR((AS67/$H67)*100), "", IF(((AS67/$H67)*100) &lt;&gt; 0, (AS67/$H67)*100, ""))</f>
        <v/>
      </c>
      <c r="AU67" s="51" t="str">
        <f>IF((SUM(AU11:AU64)&lt;&gt;0), SUMIF($H11:$H64, "&gt;0", AU11:AU64), "")</f>
        <v/>
      </c>
      <c r="AV67" s="52" t="str">
        <f>IF(ISERROR((AU67/$H67)*100), "", IF(((AU67/$H67)*100) &lt;&gt; 0, (AU67/$H67)*100, ""))</f>
        <v/>
      </c>
      <c r="AW67" s="51" t="str">
        <f>IF((SUM(AW11:AW64)&lt;&gt;0), SUMIF($H11:$H64, "&gt;0", AW11:AW64), "")</f>
        <v/>
      </c>
      <c r="AX67" s="52" t="str">
        <f>IF(ISERROR((AW67/$H67)*100), "", IF(((AW67/$H67)*100) &lt;&gt; 0, (AW67/$H67)*100, ""))</f>
        <v/>
      </c>
      <c r="AY67" s="51" t="str">
        <f>IF((SUM(AY11:AY64)&lt;&gt;0), SUMIF($H11:$H64, "&gt;0", AY11:AY64), "")</f>
        <v/>
      </c>
      <c r="AZ67" s="52" t="str">
        <f>IF(ISERROR((AY67/$H67)*100), "", IF(((AY67/$H67)*100) &lt;&gt; 0, (AY67/$H67)*100, ""))</f>
        <v/>
      </c>
    </row>
    <row r="68" spans="3:52" s="22" customFormat="1" x14ac:dyDescent="0.2">
      <c r="C68" s="41"/>
      <c r="F68" s="24"/>
      <c r="G68" s="43" t="s">
        <v>247</v>
      </c>
      <c r="H68" s="42" t="s">
        <v>245</v>
      </c>
      <c r="I68" s="47" t="s">
        <v>244</v>
      </c>
      <c r="J68" s="48" t="s">
        <v>243</v>
      </c>
      <c r="K68" s="53">
        <f>IF(SUMIF(K11:K64, "&gt; 0", $H11:$H64) &gt; 0, SUMIF(K11:K64, "&gt; 0", $H11:$H64), "")</f>
        <v>8</v>
      </c>
      <c r="L68" s="54">
        <f>(K67/K68)*100</f>
        <v>62.5</v>
      </c>
      <c r="M68" s="53">
        <f>IF(SUMIF(M11:M64, "&gt; 0", $H11:$H64) &gt; 0, SUMIF(M11:M64, "&gt; 0", $H11:$H64), "")</f>
        <v>62</v>
      </c>
      <c r="N68" s="54">
        <f>(M67/M68)*100</f>
        <v>40.322580645161288</v>
      </c>
      <c r="O68" s="53">
        <f>IF(SUMIF(O11:O64, "&gt; 0", $H11:$H64) &gt; 0, SUMIF(O11:O64, "&gt; 0", $H11:$H64), "")</f>
        <v>236</v>
      </c>
      <c r="P68" s="54">
        <f>(O67/O68)*100</f>
        <v>30.508474576271187</v>
      </c>
      <c r="Q68" s="53">
        <f>IF(SUMIF(Q11:Q64, "&gt; 0", $H11:$H64) &gt; 0, SUMIF(Q11:Q64, "&gt; 0", $H11:$H64), "")</f>
        <v>8</v>
      </c>
      <c r="R68" s="54">
        <f>(Q67/Q68)*100</f>
        <v>25</v>
      </c>
      <c r="S68" s="53">
        <f>IF(SUMIF(S11:S64, "&gt; 0", $H11:$H64) &gt; 0, SUMIF(S11:S64, "&gt; 0", $H11:$H64), "")</f>
        <v>217</v>
      </c>
      <c r="T68" s="54">
        <f>(S67/S68)*100</f>
        <v>23.041474654377879</v>
      </c>
      <c r="U68" s="53">
        <f>IF(SUMIF(U11:U64, "&gt; 0", $H11:$H64) &gt; 0, SUMIF(U11:U64, "&gt; 0", $H11:$H64), "")</f>
        <v>156</v>
      </c>
      <c r="V68" s="54">
        <f>(U67/U68)*100</f>
        <v>21.794871794871796</v>
      </c>
      <c r="W68" s="53">
        <f>IF(SUMIF(W11:W64, "&gt; 0", $H11:$H64) &gt; 0, SUMIF(W11:W64, "&gt; 0", $H11:$H64), "")</f>
        <v>8</v>
      </c>
      <c r="X68" s="54">
        <f>(W67/W68)*100</f>
        <v>12.5</v>
      </c>
      <c r="Y68" s="53">
        <f>IF(SUMIF(Y11:Y64, "&gt; 0", $H11:$H64) &gt; 0, SUMIF(Y11:Y64, "&gt; 0", $H11:$H64), "")</f>
        <v>8</v>
      </c>
      <c r="Z68" s="54">
        <f>(Y67/Y68)*100</f>
        <v>12.5</v>
      </c>
      <c r="AA68" s="53">
        <f>IF(SUMIF(AA11:AA64, "&gt; 0", $H11:$H64) &gt; 0, SUMIF(AA11:AA64, "&gt; 0", $H11:$H64), "")</f>
        <v>214</v>
      </c>
      <c r="AB68" s="54">
        <f>(AA67/AA68)*100</f>
        <v>12.149532710280374</v>
      </c>
      <c r="AC68" s="53">
        <f>IF(SUMIF(AC11:AC64, "&gt; 0", $H11:$H64) &gt; 0, SUMIF(AC11:AC64, "&gt; 0", $H11:$H64), "")</f>
        <v>190</v>
      </c>
      <c r="AD68" s="54">
        <f>(AC67/AC68)*100</f>
        <v>11.578947368421053</v>
      </c>
      <c r="AE68" s="53">
        <f>IF(SUMIF(AE11:AE64, "&gt; 0", $H11:$H64) &gt; 0, SUMIF(AE11:AE64, "&gt; 0", $H11:$H64), "")</f>
        <v>941</v>
      </c>
      <c r="AF68" s="54">
        <f>(AE67/AE68)*100</f>
        <v>9.5642933049946866</v>
      </c>
      <c r="AG68" s="53">
        <f>IF(SUMIF(AG11:AG64, "&gt; 0", $H11:$H64) &gt; 0, SUMIF(AG11:AG64, "&gt; 0", $H11:$H64), "")</f>
        <v>27</v>
      </c>
      <c r="AH68" s="54">
        <f>(AG67/AG68)*100</f>
        <v>7.4074074074074066</v>
      </c>
      <c r="AI68" s="53">
        <f>IF(SUMIF(AI11:AI64, "&gt; 0", $H11:$H64) &gt; 0, SUMIF(AI11:AI64, "&gt; 0", $H11:$H64), "")</f>
        <v>61</v>
      </c>
      <c r="AJ68" s="54">
        <f>(AI67/AI68)*100</f>
        <v>6.557377049180328</v>
      </c>
      <c r="AK68" s="53">
        <f>IF(SUMIF(AK11:AK64, "&gt; 0", $H11:$H64) &gt; 0, SUMIF(AK11:AK64, "&gt; 0", $H11:$H64), "")</f>
        <v>162</v>
      </c>
      <c r="AL68" s="54">
        <f>(AK67/AK68)*100</f>
        <v>4.9382716049382713</v>
      </c>
      <c r="AM68" s="53">
        <f>IF(SUMIF(AM11:AM64, "&gt; 0", $H11:$H64) &gt; 0, SUMIF(AM11:AM64, "&gt; 0", $H11:$H64), "")</f>
        <v>47</v>
      </c>
      <c r="AN68" s="54">
        <f>(AM67/AM68)*100</f>
        <v>4.2553191489361701</v>
      </c>
      <c r="AO68" s="53" t="str">
        <f>IF(SUMIF(AO11:AO64, "&gt; 0", $H11:$H64) &gt; 0, SUMIF(AO11:AO64, "&gt; 0", $H11:$H64), "")</f>
        <v/>
      </c>
      <c r="AP68" s="54" t="str">
        <f>IF(NOT(ISERROR((AO67/AO68)*100)), (AO67/AO68)*100, "")</f>
        <v/>
      </c>
      <c r="AQ68" s="53" t="str">
        <f>IF(SUMIF(AQ11:AQ64, "&gt; 0", $H11:$H64) &gt; 0, SUMIF(AQ11:AQ64, "&gt; 0", $H11:$H64), "")</f>
        <v/>
      </c>
      <c r="AR68" s="54" t="str">
        <f>IF((ISERROR((AQ67/AQ68)*100)), "", (AQ67/AQ68)*100)</f>
        <v/>
      </c>
      <c r="AS68" s="53" t="str">
        <f>IF(SUMIF(AS11:AS64, "&gt; 0", $H11:$H64) &gt; 0, SUMIF(AS11:AS64, "&gt; 0", $H11:$H64), "")</f>
        <v/>
      </c>
      <c r="AT68" s="54" t="str">
        <f>IF((ISERROR((AS67/AS68)*100)), "", (AS67/AS68)*100)</f>
        <v/>
      </c>
      <c r="AU68" s="53" t="str">
        <f>IF(SUMIF(AU11:AU64, "&gt; 0", $H11:$H64) &gt; 0, SUMIF(AU11:AU64, "&gt; 0", $H11:$H64), "")</f>
        <v/>
      </c>
      <c r="AV68" s="54" t="str">
        <f>IF((ISERROR((AU67/AU68)*100)), "", (AU67/AU68)*100)</f>
        <v/>
      </c>
      <c r="AW68" s="53" t="str">
        <f>IF(SUMIF(AW11:AW64, "&gt; 0", $H11:$H64) &gt; 0, SUMIF(AW11:AW64, "&gt; 0", $H11:$H64), "")</f>
        <v/>
      </c>
      <c r="AX68" s="54" t="str">
        <f>IF((ISERROR((AW67/AW68)*100)), "", (AW67/AW68)*100)</f>
        <v/>
      </c>
      <c r="AY68" s="53" t="str">
        <f>IF(SUMIF(AY11:AY64, "&gt; 0", $H11:$H64) &gt; 0, SUMIF(AY11:AY64, "&gt; 0", $H11:$H64), "")</f>
        <v/>
      </c>
      <c r="AZ68" s="54" t="str">
        <f>IF((ISERROR((AY67/AY68)*100)), "", (AY67/AY68)*100)</f>
        <v/>
      </c>
    </row>
    <row r="69" spans="3:52" ht="17" customHeight="1" thickBot="1" x14ac:dyDescent="0.25">
      <c r="H69" s="228" t="s">
        <v>244</v>
      </c>
      <c r="I69" s="231"/>
      <c r="J69" s="232"/>
      <c r="K69" s="207" t="s">
        <v>242</v>
      </c>
      <c r="L69" s="209" t="s">
        <v>243</v>
      </c>
      <c r="M69" s="207" t="s">
        <v>242</v>
      </c>
      <c r="N69" s="209" t="s">
        <v>243</v>
      </c>
      <c r="O69" s="207" t="s">
        <v>242</v>
      </c>
      <c r="P69" s="209" t="s">
        <v>243</v>
      </c>
      <c r="Q69" s="207" t="s">
        <v>242</v>
      </c>
      <c r="R69" s="209" t="s">
        <v>243</v>
      </c>
      <c r="S69" s="207" t="s">
        <v>242</v>
      </c>
      <c r="T69" s="209" t="s">
        <v>243</v>
      </c>
      <c r="U69" s="207" t="s">
        <v>242</v>
      </c>
      <c r="V69" s="209" t="s">
        <v>243</v>
      </c>
      <c r="W69" s="207" t="s">
        <v>242</v>
      </c>
      <c r="X69" s="209" t="s">
        <v>243</v>
      </c>
      <c r="Y69" s="207" t="s">
        <v>242</v>
      </c>
      <c r="Z69" s="209" t="s">
        <v>243</v>
      </c>
      <c r="AA69" s="211" t="s">
        <v>242</v>
      </c>
      <c r="AB69" s="210" t="s">
        <v>243</v>
      </c>
      <c r="AC69" s="207" t="s">
        <v>242</v>
      </c>
      <c r="AD69" s="209" t="s">
        <v>243</v>
      </c>
      <c r="AE69" s="207" t="s">
        <v>242</v>
      </c>
      <c r="AF69" s="209" t="s">
        <v>243</v>
      </c>
      <c r="AG69" s="207" t="s">
        <v>242</v>
      </c>
      <c r="AH69" s="209" t="s">
        <v>243</v>
      </c>
      <c r="AI69" s="207" t="s">
        <v>242</v>
      </c>
      <c r="AJ69" s="209" t="s">
        <v>243</v>
      </c>
      <c r="AK69" s="208" t="s">
        <v>242</v>
      </c>
      <c r="AL69" s="209" t="s">
        <v>243</v>
      </c>
      <c r="AM69" s="207" t="s">
        <v>242</v>
      </c>
      <c r="AN69" s="209" t="s">
        <v>243</v>
      </c>
      <c r="AO69" s="207" t="s">
        <v>242</v>
      </c>
      <c r="AP69" s="209" t="s">
        <v>243</v>
      </c>
      <c r="AQ69" s="207" t="s">
        <v>242</v>
      </c>
      <c r="AR69" s="209" t="s">
        <v>243</v>
      </c>
      <c r="AS69" s="207" t="s">
        <v>242</v>
      </c>
      <c r="AT69" s="209" t="s">
        <v>243</v>
      </c>
      <c r="AU69" s="207" t="s">
        <v>242</v>
      </c>
      <c r="AV69" s="209" t="s">
        <v>243</v>
      </c>
      <c r="AW69" s="207" t="s">
        <v>242</v>
      </c>
      <c r="AX69" s="209" t="s">
        <v>243</v>
      </c>
      <c r="AY69" s="207" t="s">
        <v>242</v>
      </c>
      <c r="AZ69" s="209" t="s">
        <v>243</v>
      </c>
    </row>
    <row r="70" spans="3:52" x14ac:dyDescent="0.2">
      <c r="E70" s="55" t="s">
        <v>249</v>
      </c>
      <c r="F70" s="58">
        <v>1</v>
      </c>
      <c r="H70" s="229"/>
      <c r="I70" s="233"/>
      <c r="J70" s="234"/>
      <c r="K70" s="207"/>
      <c r="L70" s="210"/>
      <c r="M70" s="207"/>
      <c r="N70" s="210"/>
      <c r="O70" s="207"/>
      <c r="P70" s="210"/>
      <c r="Q70" s="207"/>
      <c r="R70" s="210"/>
      <c r="S70" s="207"/>
      <c r="T70" s="210"/>
      <c r="U70" s="207"/>
      <c r="V70" s="210"/>
      <c r="W70" s="207"/>
      <c r="X70" s="210"/>
      <c r="Y70" s="207"/>
      <c r="Z70" s="210"/>
      <c r="AA70" s="207"/>
      <c r="AB70" s="210"/>
      <c r="AC70" s="207"/>
      <c r="AD70" s="210"/>
      <c r="AE70" s="207"/>
      <c r="AF70" s="210"/>
      <c r="AG70" s="207"/>
      <c r="AH70" s="210"/>
      <c r="AI70" s="207"/>
      <c r="AJ70" s="210"/>
      <c r="AK70" s="275"/>
      <c r="AL70" s="210"/>
      <c r="AM70" s="207"/>
      <c r="AN70" s="210"/>
      <c r="AO70" s="207"/>
      <c r="AP70" s="210"/>
      <c r="AQ70" s="207"/>
      <c r="AR70" s="210"/>
      <c r="AS70" s="207"/>
      <c r="AT70" s="210"/>
      <c r="AU70" s="207"/>
      <c r="AV70" s="210"/>
      <c r="AW70" s="207"/>
      <c r="AX70" s="210"/>
      <c r="AY70" s="207"/>
      <c r="AZ70" s="210"/>
    </row>
    <row r="71" spans="3:52" x14ac:dyDescent="0.2">
      <c r="E71" s="56"/>
      <c r="F71" s="57"/>
      <c r="H71" s="229"/>
      <c r="I71" s="233"/>
      <c r="J71" s="234"/>
      <c r="K71" s="207"/>
      <c r="L71" s="210"/>
      <c r="M71" s="207"/>
      <c r="N71" s="210"/>
      <c r="O71" s="207"/>
      <c r="P71" s="210"/>
      <c r="Q71" s="207"/>
      <c r="R71" s="210"/>
      <c r="S71" s="207"/>
      <c r="T71" s="210"/>
      <c r="U71" s="207"/>
      <c r="V71" s="210"/>
      <c r="W71" s="207"/>
      <c r="X71" s="210"/>
      <c r="Y71" s="207"/>
      <c r="Z71" s="210"/>
      <c r="AA71" s="207"/>
      <c r="AB71" s="210"/>
      <c r="AC71" s="207"/>
      <c r="AD71" s="210"/>
      <c r="AE71" s="207"/>
      <c r="AF71" s="210"/>
      <c r="AG71" s="207"/>
      <c r="AH71" s="210"/>
      <c r="AI71" s="207"/>
      <c r="AJ71" s="210"/>
      <c r="AK71" s="275"/>
      <c r="AL71" s="210"/>
      <c r="AM71" s="207"/>
      <c r="AN71" s="210"/>
      <c r="AO71" s="207"/>
      <c r="AP71" s="210"/>
      <c r="AQ71" s="207"/>
      <c r="AR71" s="210"/>
      <c r="AS71" s="207"/>
      <c r="AT71" s="210"/>
      <c r="AU71" s="207"/>
      <c r="AV71" s="210"/>
      <c r="AW71" s="207"/>
      <c r="AX71" s="210"/>
      <c r="AY71" s="207"/>
      <c r="AZ71" s="210"/>
    </row>
    <row r="72" spans="3:52" x14ac:dyDescent="0.2">
      <c r="E72" s="242" t="s">
        <v>250</v>
      </c>
      <c r="F72" s="243"/>
      <c r="H72" s="229"/>
      <c r="I72" s="233"/>
      <c r="J72" s="234"/>
      <c r="K72" s="207"/>
      <c r="L72" s="210"/>
      <c r="M72" s="207"/>
      <c r="N72" s="210"/>
      <c r="O72" s="207"/>
      <c r="P72" s="210"/>
      <c r="Q72" s="207"/>
      <c r="R72" s="210"/>
      <c r="S72" s="207"/>
      <c r="T72" s="210"/>
      <c r="U72" s="207"/>
      <c r="V72" s="210"/>
      <c r="W72" s="207"/>
      <c r="X72" s="210"/>
      <c r="Y72" s="207"/>
      <c r="Z72" s="210"/>
      <c r="AA72" s="207"/>
      <c r="AB72" s="210"/>
      <c r="AC72" s="207"/>
      <c r="AD72" s="210"/>
      <c r="AE72" s="207"/>
      <c r="AF72" s="210"/>
      <c r="AG72" s="207"/>
      <c r="AH72" s="210"/>
      <c r="AI72" s="207"/>
      <c r="AJ72" s="210"/>
      <c r="AK72" s="275"/>
      <c r="AL72" s="210"/>
      <c r="AM72" s="207"/>
      <c r="AN72" s="210"/>
      <c r="AO72" s="207"/>
      <c r="AP72" s="210"/>
      <c r="AQ72" s="207"/>
      <c r="AR72" s="210"/>
      <c r="AS72" s="207"/>
      <c r="AT72" s="210"/>
      <c r="AU72" s="207"/>
      <c r="AV72" s="210"/>
      <c r="AW72" s="207"/>
      <c r="AX72" s="210"/>
      <c r="AY72" s="207"/>
      <c r="AZ72" s="210"/>
    </row>
    <row r="73" spans="3:52" x14ac:dyDescent="0.2">
      <c r="E73" s="242"/>
      <c r="F73" s="243"/>
      <c r="H73" s="229"/>
      <c r="I73" s="233"/>
      <c r="J73" s="234"/>
      <c r="K73" s="208"/>
      <c r="L73" s="210"/>
      <c r="M73" s="208"/>
      <c r="N73" s="210"/>
      <c r="O73" s="208"/>
      <c r="P73" s="210"/>
      <c r="Q73" s="208"/>
      <c r="R73" s="210"/>
      <c r="S73" s="208"/>
      <c r="T73" s="210"/>
      <c r="U73" s="208"/>
      <c r="V73" s="210"/>
      <c r="W73" s="208"/>
      <c r="X73" s="210"/>
      <c r="Y73" s="208"/>
      <c r="Z73" s="210"/>
      <c r="AA73" s="208"/>
      <c r="AB73" s="210"/>
      <c r="AC73" s="208"/>
      <c r="AD73" s="210"/>
      <c r="AE73" s="208"/>
      <c r="AF73" s="210"/>
      <c r="AG73" s="208"/>
      <c r="AH73" s="210"/>
      <c r="AI73" s="208"/>
      <c r="AJ73" s="210"/>
      <c r="AK73" s="211"/>
      <c r="AL73" s="276"/>
      <c r="AM73" s="208"/>
      <c r="AN73" s="210"/>
      <c r="AO73" s="208"/>
      <c r="AP73" s="210"/>
      <c r="AQ73" s="208"/>
      <c r="AR73" s="210"/>
      <c r="AS73" s="208"/>
      <c r="AT73" s="210"/>
      <c r="AU73" s="208"/>
      <c r="AV73" s="210"/>
      <c r="AW73" s="208"/>
      <c r="AX73" s="210"/>
      <c r="AY73" s="208"/>
      <c r="AZ73" s="210"/>
    </row>
    <row r="74" spans="3:52" ht="16" customHeight="1" x14ac:dyDescent="0.2">
      <c r="E74" s="242"/>
      <c r="F74" s="243"/>
      <c r="H74" s="229"/>
      <c r="I74" s="233"/>
      <c r="J74" s="234"/>
      <c r="K74" s="241" t="s">
        <v>241</v>
      </c>
      <c r="L74" s="271"/>
      <c r="M74" s="241" t="s">
        <v>239</v>
      </c>
      <c r="N74" s="271"/>
      <c r="O74" s="237" t="s">
        <v>210</v>
      </c>
      <c r="P74" s="257"/>
      <c r="Q74" s="237" t="s">
        <v>173</v>
      </c>
      <c r="R74" s="257"/>
      <c r="S74" s="237" t="s">
        <v>164</v>
      </c>
      <c r="T74" s="257"/>
      <c r="U74" s="237" t="s">
        <v>174</v>
      </c>
      <c r="V74" s="257"/>
      <c r="W74" s="237" t="s">
        <v>172</v>
      </c>
      <c r="X74" s="257"/>
      <c r="Y74" s="237" t="s">
        <v>175</v>
      </c>
      <c r="Z74" s="257"/>
      <c r="AA74" s="237" t="s">
        <v>157</v>
      </c>
      <c r="AB74" s="257"/>
      <c r="AC74" s="237" t="s">
        <v>158</v>
      </c>
      <c r="AD74" s="257"/>
      <c r="AE74" s="237" t="s">
        <v>379</v>
      </c>
      <c r="AF74" s="257"/>
      <c r="AG74" s="241" t="s">
        <v>238</v>
      </c>
      <c r="AH74" s="271"/>
      <c r="AI74" s="237" t="s">
        <v>163</v>
      </c>
      <c r="AJ74" s="257"/>
      <c r="AK74" s="237" t="s">
        <v>159</v>
      </c>
      <c r="AL74" s="238"/>
      <c r="AM74" s="241" t="s">
        <v>240</v>
      </c>
      <c r="AN74" s="271"/>
      <c r="AO74" s="237" t="s">
        <v>160</v>
      </c>
      <c r="AP74" s="257"/>
      <c r="AQ74" s="237" t="s">
        <v>161</v>
      </c>
      <c r="AR74" s="257"/>
      <c r="AS74" s="237" t="s">
        <v>209</v>
      </c>
      <c r="AT74" s="257"/>
      <c r="AU74" s="237" t="s">
        <v>208</v>
      </c>
      <c r="AV74" s="257"/>
      <c r="AW74" s="237" t="s">
        <v>207</v>
      </c>
      <c r="AX74" s="257"/>
      <c r="AY74" s="237" t="s">
        <v>204</v>
      </c>
      <c r="AZ74" s="238"/>
    </row>
    <row r="75" spans="3:52" x14ac:dyDescent="0.2">
      <c r="E75" s="242"/>
      <c r="F75" s="243"/>
      <c r="H75" s="229"/>
      <c r="I75" s="233"/>
      <c r="J75" s="234"/>
      <c r="K75" s="253"/>
      <c r="L75" s="272"/>
      <c r="M75" s="253"/>
      <c r="N75" s="272"/>
      <c r="O75" s="214"/>
      <c r="P75" s="258"/>
      <c r="Q75" s="214"/>
      <c r="R75" s="258"/>
      <c r="S75" s="214"/>
      <c r="T75" s="258"/>
      <c r="U75" s="214"/>
      <c r="V75" s="258"/>
      <c r="W75" s="214"/>
      <c r="X75" s="258"/>
      <c r="Y75" s="214"/>
      <c r="Z75" s="258"/>
      <c r="AA75" s="214"/>
      <c r="AB75" s="258"/>
      <c r="AC75" s="214"/>
      <c r="AD75" s="258"/>
      <c r="AE75" s="214"/>
      <c r="AF75" s="258"/>
      <c r="AG75" s="253"/>
      <c r="AH75" s="272"/>
      <c r="AI75" s="214"/>
      <c r="AJ75" s="258"/>
      <c r="AK75" s="214"/>
      <c r="AL75" s="215"/>
      <c r="AM75" s="253"/>
      <c r="AN75" s="272"/>
      <c r="AO75" s="214"/>
      <c r="AP75" s="258"/>
      <c r="AQ75" s="214"/>
      <c r="AR75" s="258"/>
      <c r="AS75" s="214"/>
      <c r="AT75" s="258"/>
      <c r="AU75" s="214"/>
      <c r="AV75" s="258"/>
      <c r="AW75" s="214"/>
      <c r="AX75" s="258"/>
      <c r="AY75" s="214"/>
      <c r="AZ75" s="215"/>
    </row>
    <row r="76" spans="3:52" ht="17" thickBot="1" x14ac:dyDescent="0.25">
      <c r="E76" s="242"/>
      <c r="F76" s="243"/>
      <c r="H76" s="229"/>
      <c r="I76" s="233"/>
      <c r="J76" s="234"/>
      <c r="K76" s="273"/>
      <c r="L76" s="274"/>
      <c r="M76" s="273"/>
      <c r="N76" s="274"/>
      <c r="O76" s="265"/>
      <c r="P76" s="267"/>
      <c r="Q76" s="265"/>
      <c r="R76" s="267"/>
      <c r="S76" s="265"/>
      <c r="T76" s="267"/>
      <c r="U76" s="265"/>
      <c r="V76" s="267"/>
      <c r="W76" s="265"/>
      <c r="X76" s="267"/>
      <c r="Y76" s="265"/>
      <c r="Z76" s="267"/>
      <c r="AA76" s="265"/>
      <c r="AB76" s="267"/>
      <c r="AC76" s="265"/>
      <c r="AD76" s="267"/>
      <c r="AE76" s="265"/>
      <c r="AF76" s="267"/>
      <c r="AG76" s="273"/>
      <c r="AH76" s="274"/>
      <c r="AI76" s="265"/>
      <c r="AJ76" s="267"/>
      <c r="AK76" s="265"/>
      <c r="AL76" s="266"/>
      <c r="AM76" s="273"/>
      <c r="AN76" s="274"/>
      <c r="AO76" s="265"/>
      <c r="AP76" s="267"/>
      <c r="AQ76" s="265"/>
      <c r="AR76" s="267"/>
      <c r="AS76" s="265"/>
      <c r="AT76" s="267"/>
      <c r="AU76" s="265"/>
      <c r="AV76" s="267"/>
      <c r="AW76" s="265"/>
      <c r="AX76" s="267"/>
      <c r="AY76" s="265"/>
      <c r="AZ76" s="266"/>
    </row>
    <row r="77" spans="3:52" ht="20" thickBot="1" x14ac:dyDescent="0.3">
      <c r="E77" s="244"/>
      <c r="F77" s="245"/>
      <c r="H77" s="230"/>
      <c r="I77" s="235"/>
      <c r="J77" s="236"/>
      <c r="K77" s="268" t="s">
        <v>162</v>
      </c>
      <c r="L77" s="269"/>
      <c r="M77" s="269"/>
      <c r="N77" s="269"/>
      <c r="O77" s="269"/>
      <c r="P77" s="269"/>
      <c r="Q77" s="269"/>
      <c r="R77" s="269"/>
      <c r="S77" s="269"/>
      <c r="T77" s="269"/>
      <c r="U77" s="269"/>
      <c r="V77" s="269"/>
      <c r="W77" s="269"/>
      <c r="X77" s="269"/>
      <c r="Y77" s="269"/>
      <c r="Z77" s="269"/>
      <c r="AA77" s="269"/>
      <c r="AB77" s="269"/>
      <c r="AC77" s="269"/>
      <c r="AD77" s="269"/>
      <c r="AE77" s="269"/>
      <c r="AF77" s="269"/>
      <c r="AG77" s="269"/>
      <c r="AH77" s="269"/>
      <c r="AI77" s="269"/>
      <c r="AJ77" s="269"/>
      <c r="AK77" s="269"/>
      <c r="AL77" s="269"/>
      <c r="AM77" s="269"/>
      <c r="AN77" s="269"/>
      <c r="AO77" s="269"/>
      <c r="AP77" s="269"/>
      <c r="AQ77" s="269"/>
      <c r="AR77" s="269"/>
      <c r="AS77" s="269"/>
      <c r="AT77" s="269"/>
      <c r="AU77" s="269"/>
      <c r="AV77" s="269"/>
      <c r="AW77" s="269"/>
      <c r="AX77" s="269"/>
      <c r="AY77" s="269"/>
      <c r="AZ77" s="270"/>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69:M73"/>
    <mergeCell ref="N69:N73"/>
    <mergeCell ref="A7:A10"/>
    <mergeCell ref="B7:B10"/>
    <mergeCell ref="H69:H77"/>
    <mergeCell ref="I69:J77"/>
    <mergeCell ref="K69:K73"/>
    <mergeCell ref="L69:L73"/>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69:AM73"/>
    <mergeCell ref="AN69:AN73"/>
    <mergeCell ref="W69:W73"/>
    <mergeCell ref="X69:X73"/>
    <mergeCell ref="AC69:AC73"/>
    <mergeCell ref="AD69:AD73"/>
    <mergeCell ref="Q69:Q73"/>
    <mergeCell ref="R69:R73"/>
    <mergeCell ref="O69:O73"/>
    <mergeCell ref="P69:P73"/>
    <mergeCell ref="S69:S73"/>
    <mergeCell ref="T69:T73"/>
    <mergeCell ref="U69:U73"/>
    <mergeCell ref="V69:V73"/>
    <mergeCell ref="E72:F77"/>
    <mergeCell ref="K74:L76"/>
    <mergeCell ref="U74:V76"/>
    <mergeCell ref="M74:N76"/>
    <mergeCell ref="S74:T76"/>
    <mergeCell ref="Q74:R76"/>
    <mergeCell ref="O74:P76"/>
    <mergeCell ref="AC74:AD76"/>
    <mergeCell ref="AY69:AY73"/>
    <mergeCell ref="AQ69:AQ73"/>
    <mergeCell ref="AR69:AR73"/>
    <mergeCell ref="AS69:AS73"/>
    <mergeCell ref="AT69:AT73"/>
    <mergeCell ref="AU69:AU73"/>
    <mergeCell ref="AV69:AV73"/>
    <mergeCell ref="AW69:AW73"/>
    <mergeCell ref="AX69:AX73"/>
    <mergeCell ref="AO69:AO73"/>
    <mergeCell ref="AP69:AP73"/>
    <mergeCell ref="AK69:AK73"/>
    <mergeCell ref="AL69:AL73"/>
    <mergeCell ref="AG69:AG73"/>
    <mergeCell ref="AH69:AH73"/>
    <mergeCell ref="AE69:AE73"/>
    <mergeCell ref="AY74:AZ76"/>
    <mergeCell ref="AQ74:AR76"/>
    <mergeCell ref="K77:AZ77"/>
    <mergeCell ref="AK3:AL5"/>
    <mergeCell ref="AK74:AL76"/>
    <mergeCell ref="AG74:AH76"/>
    <mergeCell ref="AO74:AP76"/>
    <mergeCell ref="AU74:AV76"/>
    <mergeCell ref="AW74:AX76"/>
    <mergeCell ref="AS74:AT76"/>
    <mergeCell ref="AM74:AN76"/>
    <mergeCell ref="W74:X76"/>
    <mergeCell ref="Y74:Z76"/>
    <mergeCell ref="AA74:AB76"/>
    <mergeCell ref="AI74:AJ76"/>
    <mergeCell ref="AE74:AF76"/>
    <mergeCell ref="AZ69:AZ73"/>
    <mergeCell ref="AF69:AF73"/>
    <mergeCell ref="AA69:AA73"/>
    <mergeCell ref="AB69:AB73"/>
    <mergeCell ref="AI69:AI73"/>
    <mergeCell ref="AJ69:AJ73"/>
    <mergeCell ref="Y69:Y73"/>
    <mergeCell ref="Z69:Z73"/>
  </mergeCells>
  <pageMargins left="0.7" right="0.7" top="0.75" bottom="0.75" header="0.3" footer="0.3"/>
  <ignoredErrors>
    <ignoredError sqref="AQ67:AR68 AS67:AT68 AU67:AZ68 AO67:AP68 V67:V68 L67:U68 W67:AN68" formula="1"/>
    <ignoredError sqref="I11:I6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78"/>
  <sheetViews>
    <sheetView showRuler="0" topLeftCell="D54" workbookViewId="0">
      <pane xSplit="7600" topLeftCell="T1" activePane="topRight"/>
      <selection activeCell="D1" sqref="D1"/>
      <selection pane="topRight" activeCell="P25" sqref="P25"/>
    </sheetView>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46" width="6.83203125" style="24" customWidth="1"/>
    <col min="47" max="47" width="62" style="23" customWidth="1"/>
    <col min="48" max="16384" width="10.83203125" style="23"/>
  </cols>
  <sheetData>
    <row r="1" spans="1:47" ht="17" thickBot="1" x14ac:dyDescent="0.25"/>
    <row r="2" spans="1:47" ht="16" customHeight="1" thickBot="1" x14ac:dyDescent="0.25">
      <c r="D2" s="190" t="s">
        <v>432</v>
      </c>
      <c r="J2" s="24"/>
      <c r="AU2" s="24"/>
    </row>
    <row r="3" spans="1:47" ht="20" customHeight="1" thickBot="1" x14ac:dyDescent="0.25">
      <c r="D3" s="191"/>
      <c r="K3" s="357" t="s">
        <v>433</v>
      </c>
      <c r="L3" s="358"/>
      <c r="M3" s="358"/>
      <c r="N3" s="358"/>
      <c r="O3" s="358"/>
      <c r="P3" s="358"/>
      <c r="Q3" s="358"/>
      <c r="R3" s="358"/>
      <c r="S3" s="358"/>
      <c r="T3" s="358"/>
      <c r="U3" s="358"/>
      <c r="V3" s="358"/>
      <c r="W3" s="358"/>
      <c r="X3" s="358"/>
      <c r="Y3" s="358"/>
      <c r="Z3" s="358"/>
      <c r="AA3" s="358"/>
      <c r="AB3" s="358"/>
      <c r="AC3" s="358"/>
      <c r="AD3" s="358"/>
      <c r="AE3" s="358"/>
      <c r="AF3" s="358"/>
      <c r="AG3" s="358"/>
      <c r="AH3" s="358"/>
      <c r="AI3" s="358"/>
      <c r="AJ3" s="358"/>
      <c r="AK3" s="358"/>
      <c r="AL3" s="358"/>
      <c r="AM3" s="358"/>
      <c r="AN3" s="358"/>
      <c r="AO3" s="358"/>
      <c r="AP3" s="358"/>
      <c r="AQ3" s="358"/>
      <c r="AR3" s="358"/>
      <c r="AS3" s="358"/>
      <c r="AT3" s="359"/>
    </row>
    <row r="4" spans="1:47" ht="20" customHeight="1" thickBot="1" x14ac:dyDescent="0.25">
      <c r="B4" s="84"/>
      <c r="D4" s="324"/>
      <c r="K4" s="307" t="s">
        <v>434</v>
      </c>
      <c r="L4" s="308"/>
      <c r="M4" s="308"/>
      <c r="N4" s="308"/>
      <c r="O4" s="308"/>
      <c r="P4" s="308"/>
      <c r="Q4" s="308"/>
      <c r="R4" s="308"/>
      <c r="S4" s="308"/>
      <c r="T4" s="308"/>
      <c r="U4" s="308"/>
      <c r="V4" s="309"/>
      <c r="W4" s="360" t="s">
        <v>436</v>
      </c>
      <c r="X4" s="361"/>
      <c r="Y4" s="362"/>
      <c r="Z4" s="362"/>
      <c r="AA4" s="362"/>
      <c r="AB4" s="363"/>
      <c r="AC4" s="363"/>
      <c r="AD4" s="363"/>
      <c r="AE4" s="363"/>
      <c r="AF4" s="363"/>
      <c r="AG4" s="363"/>
      <c r="AH4" s="363"/>
      <c r="AI4" s="363"/>
      <c r="AJ4" s="363"/>
      <c r="AK4" s="363"/>
      <c r="AL4" s="363"/>
      <c r="AM4" s="363"/>
      <c r="AN4" s="363"/>
      <c r="AO4" s="363"/>
      <c r="AP4" s="363"/>
      <c r="AQ4" s="363"/>
      <c r="AR4" s="363"/>
      <c r="AS4" s="363"/>
      <c r="AT4" s="364"/>
    </row>
    <row r="5" spans="1:47" ht="20" customHeight="1" x14ac:dyDescent="0.2">
      <c r="B5" s="84"/>
      <c r="D5" s="325"/>
      <c r="K5" s="307" t="s">
        <v>444</v>
      </c>
      <c r="L5" s="308"/>
      <c r="M5" s="308"/>
      <c r="N5" s="308"/>
      <c r="O5" s="308"/>
      <c r="P5" s="309"/>
      <c r="Q5" s="307" t="s">
        <v>445</v>
      </c>
      <c r="R5" s="308"/>
      <c r="S5" s="308"/>
      <c r="T5" s="308"/>
      <c r="U5" s="308"/>
      <c r="V5" s="309"/>
      <c r="W5" s="310" t="s">
        <v>446</v>
      </c>
      <c r="X5" s="288"/>
      <c r="Y5" s="288"/>
      <c r="Z5" s="288"/>
      <c r="AA5" s="288"/>
      <c r="AB5" s="288"/>
      <c r="AC5" s="287" t="s">
        <v>447</v>
      </c>
      <c r="AD5" s="288"/>
      <c r="AE5" s="288"/>
      <c r="AF5" s="288"/>
      <c r="AG5" s="288"/>
      <c r="AH5" s="288"/>
      <c r="AI5" s="287" t="s">
        <v>451</v>
      </c>
      <c r="AJ5" s="288"/>
      <c r="AK5" s="288"/>
      <c r="AL5" s="288"/>
      <c r="AM5" s="288"/>
      <c r="AN5" s="301"/>
      <c r="AO5" s="287" t="s">
        <v>452</v>
      </c>
      <c r="AP5" s="288"/>
      <c r="AQ5" s="288"/>
      <c r="AR5" s="288"/>
      <c r="AS5" s="288"/>
      <c r="AT5" s="289"/>
    </row>
    <row r="6" spans="1:47" ht="20" customHeight="1" thickBot="1" x14ac:dyDescent="0.25">
      <c r="A6" s="125"/>
      <c r="B6" s="126"/>
      <c r="C6" s="63"/>
      <c r="D6" s="325"/>
      <c r="E6" s="62"/>
      <c r="G6" s="63"/>
      <c r="H6" s="63"/>
      <c r="I6" s="63"/>
      <c r="J6" s="63"/>
      <c r="K6" s="255" t="s">
        <v>441</v>
      </c>
      <c r="L6" s="278"/>
      <c r="M6" s="323"/>
      <c r="N6" s="327" t="s">
        <v>442</v>
      </c>
      <c r="O6" s="328"/>
      <c r="P6" s="329"/>
      <c r="Q6" s="255" t="s">
        <v>441</v>
      </c>
      <c r="R6" s="278"/>
      <c r="S6" s="323"/>
      <c r="T6" s="327" t="s">
        <v>442</v>
      </c>
      <c r="U6" s="328"/>
      <c r="V6" s="329"/>
      <c r="W6" s="322" t="s">
        <v>441</v>
      </c>
      <c r="X6" s="303"/>
      <c r="Y6" s="304"/>
      <c r="Z6" s="290" t="s">
        <v>442</v>
      </c>
      <c r="AA6" s="291"/>
      <c r="AB6" s="291"/>
      <c r="AC6" s="302" t="s">
        <v>441</v>
      </c>
      <c r="AD6" s="303"/>
      <c r="AE6" s="304"/>
      <c r="AF6" s="290" t="s">
        <v>442</v>
      </c>
      <c r="AG6" s="291"/>
      <c r="AH6" s="291"/>
      <c r="AI6" s="295" t="s">
        <v>441</v>
      </c>
      <c r="AJ6" s="291"/>
      <c r="AK6" s="296"/>
      <c r="AL6" s="290" t="s">
        <v>442</v>
      </c>
      <c r="AM6" s="291"/>
      <c r="AN6" s="300"/>
      <c r="AO6" s="149"/>
      <c r="AP6" s="149"/>
      <c r="AQ6" s="149"/>
      <c r="AR6" s="149"/>
      <c r="AS6" s="149"/>
      <c r="AT6" s="174"/>
      <c r="AU6" s="62"/>
    </row>
    <row r="7" spans="1:47" ht="20" customHeight="1" thickBot="1" x14ac:dyDescent="0.25">
      <c r="A7" s="127"/>
      <c r="B7" s="128"/>
      <c r="C7" s="63"/>
      <c r="D7" s="326"/>
      <c r="E7" s="62"/>
      <c r="G7" s="184" t="s">
        <v>24</v>
      </c>
      <c r="H7" s="195" t="s">
        <v>330</v>
      </c>
      <c r="I7" s="198" t="s">
        <v>328</v>
      </c>
      <c r="J7" s="336" t="s">
        <v>329</v>
      </c>
      <c r="K7" s="313" t="s">
        <v>438</v>
      </c>
      <c r="L7" s="315" t="s">
        <v>439</v>
      </c>
      <c r="M7" s="318" t="s">
        <v>440</v>
      </c>
      <c r="N7" s="315" t="s">
        <v>438</v>
      </c>
      <c r="O7" s="320" t="s">
        <v>439</v>
      </c>
      <c r="P7" s="305" t="s">
        <v>440</v>
      </c>
      <c r="Q7" s="313" t="s">
        <v>438</v>
      </c>
      <c r="R7" s="315" t="s">
        <v>439</v>
      </c>
      <c r="S7" s="318" t="s">
        <v>440</v>
      </c>
      <c r="T7" s="315" t="s">
        <v>438</v>
      </c>
      <c r="U7" s="320" t="s">
        <v>439</v>
      </c>
      <c r="V7" s="305" t="s">
        <v>440</v>
      </c>
      <c r="W7" s="373" t="s">
        <v>438</v>
      </c>
      <c r="X7" s="279" t="s">
        <v>439</v>
      </c>
      <c r="Y7" s="282" t="s">
        <v>440</v>
      </c>
      <c r="Z7" s="282" t="s">
        <v>438</v>
      </c>
      <c r="AA7" s="285" t="s">
        <v>439</v>
      </c>
      <c r="AB7" s="292" t="s">
        <v>440</v>
      </c>
      <c r="AC7" s="297" t="s">
        <v>438</v>
      </c>
      <c r="AD7" s="279" t="s">
        <v>439</v>
      </c>
      <c r="AE7" s="282" t="s">
        <v>440</v>
      </c>
      <c r="AF7" s="282" t="s">
        <v>438</v>
      </c>
      <c r="AG7" s="285" t="s">
        <v>439</v>
      </c>
      <c r="AH7" s="292" t="s">
        <v>440</v>
      </c>
      <c r="AI7" s="297" t="s">
        <v>438</v>
      </c>
      <c r="AJ7" s="279" t="s">
        <v>439</v>
      </c>
      <c r="AK7" s="282" t="s">
        <v>440</v>
      </c>
      <c r="AL7" s="282" t="s">
        <v>438</v>
      </c>
      <c r="AM7" s="285" t="s">
        <v>439</v>
      </c>
      <c r="AN7" s="292" t="s">
        <v>440</v>
      </c>
      <c r="AO7" s="297" t="s">
        <v>438</v>
      </c>
      <c r="AP7" s="279" t="s">
        <v>439</v>
      </c>
      <c r="AQ7" s="282" t="s">
        <v>440</v>
      </c>
      <c r="AR7" s="282" t="s">
        <v>438</v>
      </c>
      <c r="AS7" s="285" t="s">
        <v>439</v>
      </c>
      <c r="AT7" s="376" t="s">
        <v>440</v>
      </c>
      <c r="AU7" s="62"/>
    </row>
    <row r="8" spans="1:47" ht="20" customHeight="1" x14ac:dyDescent="0.2">
      <c r="A8" s="184" t="s">
        <v>251</v>
      </c>
      <c r="B8" s="186" t="s">
        <v>334</v>
      </c>
      <c r="C8" s="63"/>
      <c r="D8" s="62"/>
      <c r="E8" s="62"/>
      <c r="G8" s="184"/>
      <c r="H8" s="196"/>
      <c r="I8" s="199"/>
      <c r="J8" s="337"/>
      <c r="K8" s="313"/>
      <c r="L8" s="316"/>
      <c r="M8" s="318"/>
      <c r="N8" s="316"/>
      <c r="O8" s="320"/>
      <c r="P8" s="305"/>
      <c r="Q8" s="313"/>
      <c r="R8" s="316"/>
      <c r="S8" s="318"/>
      <c r="T8" s="316"/>
      <c r="U8" s="320"/>
      <c r="V8" s="305"/>
      <c r="W8" s="374"/>
      <c r="X8" s="280"/>
      <c r="Y8" s="283"/>
      <c r="Z8" s="283"/>
      <c r="AA8" s="285"/>
      <c r="AB8" s="293"/>
      <c r="AC8" s="298"/>
      <c r="AD8" s="280"/>
      <c r="AE8" s="283"/>
      <c r="AF8" s="283"/>
      <c r="AG8" s="285"/>
      <c r="AH8" s="293"/>
      <c r="AI8" s="298"/>
      <c r="AJ8" s="280"/>
      <c r="AK8" s="283"/>
      <c r="AL8" s="283"/>
      <c r="AM8" s="285"/>
      <c r="AN8" s="293"/>
      <c r="AO8" s="298"/>
      <c r="AP8" s="280"/>
      <c r="AQ8" s="283"/>
      <c r="AR8" s="283"/>
      <c r="AS8" s="285"/>
      <c r="AT8" s="377"/>
      <c r="AU8" s="62"/>
    </row>
    <row r="9" spans="1:47" ht="20" customHeight="1" x14ac:dyDescent="0.2">
      <c r="A9" s="184"/>
      <c r="B9" s="186"/>
      <c r="C9" s="63"/>
      <c r="D9" s="62"/>
      <c r="E9" s="62"/>
      <c r="G9" s="184"/>
      <c r="H9" s="196"/>
      <c r="I9" s="199"/>
      <c r="J9" s="337"/>
      <c r="K9" s="313"/>
      <c r="L9" s="316"/>
      <c r="M9" s="318"/>
      <c r="N9" s="316"/>
      <c r="O9" s="320"/>
      <c r="P9" s="305"/>
      <c r="Q9" s="313"/>
      <c r="R9" s="316"/>
      <c r="S9" s="318"/>
      <c r="T9" s="316"/>
      <c r="U9" s="320"/>
      <c r="V9" s="305"/>
      <c r="W9" s="374"/>
      <c r="X9" s="280"/>
      <c r="Y9" s="283"/>
      <c r="Z9" s="283"/>
      <c r="AA9" s="285"/>
      <c r="AB9" s="293"/>
      <c r="AC9" s="298"/>
      <c r="AD9" s="280"/>
      <c r="AE9" s="283"/>
      <c r="AF9" s="283"/>
      <c r="AG9" s="285"/>
      <c r="AH9" s="293"/>
      <c r="AI9" s="298"/>
      <c r="AJ9" s="280"/>
      <c r="AK9" s="283"/>
      <c r="AL9" s="283"/>
      <c r="AM9" s="285"/>
      <c r="AN9" s="293"/>
      <c r="AO9" s="298"/>
      <c r="AP9" s="280"/>
      <c r="AQ9" s="283"/>
      <c r="AR9" s="283"/>
      <c r="AS9" s="285"/>
      <c r="AT9" s="377"/>
      <c r="AU9" s="62"/>
    </row>
    <row r="10" spans="1:47" ht="20" customHeight="1" x14ac:dyDescent="0.2">
      <c r="A10" s="184"/>
      <c r="B10" s="186"/>
      <c r="C10" s="63"/>
      <c r="D10" s="62"/>
      <c r="E10" s="62"/>
      <c r="F10" s="63"/>
      <c r="G10" s="184"/>
      <c r="H10" s="196"/>
      <c r="I10" s="199"/>
      <c r="J10" s="337"/>
      <c r="K10" s="313"/>
      <c r="L10" s="316"/>
      <c r="M10" s="318"/>
      <c r="N10" s="316"/>
      <c r="O10" s="320"/>
      <c r="P10" s="305"/>
      <c r="Q10" s="313"/>
      <c r="R10" s="316"/>
      <c r="S10" s="318"/>
      <c r="T10" s="316"/>
      <c r="U10" s="320"/>
      <c r="V10" s="305"/>
      <c r="W10" s="374"/>
      <c r="X10" s="280"/>
      <c r="Y10" s="283"/>
      <c r="Z10" s="283"/>
      <c r="AA10" s="285"/>
      <c r="AB10" s="293"/>
      <c r="AC10" s="298"/>
      <c r="AD10" s="280"/>
      <c r="AE10" s="283"/>
      <c r="AF10" s="283"/>
      <c r="AG10" s="285"/>
      <c r="AH10" s="293"/>
      <c r="AI10" s="298"/>
      <c r="AJ10" s="280"/>
      <c r="AK10" s="283"/>
      <c r="AL10" s="283"/>
      <c r="AM10" s="285"/>
      <c r="AN10" s="293"/>
      <c r="AO10" s="298"/>
      <c r="AP10" s="280"/>
      <c r="AQ10" s="283"/>
      <c r="AR10" s="283"/>
      <c r="AS10" s="285"/>
      <c r="AT10" s="377"/>
      <c r="AU10" s="62"/>
    </row>
    <row r="11" spans="1:47" s="22" customFormat="1" ht="20" customHeight="1" thickBot="1" x14ac:dyDescent="0.25">
      <c r="A11" s="330"/>
      <c r="B11" s="331"/>
      <c r="C11" s="129" t="s">
        <v>20</v>
      </c>
      <c r="D11" s="130" t="s">
        <v>21</v>
      </c>
      <c r="E11" s="130" t="s">
        <v>22</v>
      </c>
      <c r="F11" s="129" t="s">
        <v>23</v>
      </c>
      <c r="G11" s="330"/>
      <c r="H11" s="334"/>
      <c r="I11" s="335"/>
      <c r="J11" s="338"/>
      <c r="K11" s="314"/>
      <c r="L11" s="317"/>
      <c r="M11" s="319"/>
      <c r="N11" s="317"/>
      <c r="O11" s="321"/>
      <c r="P11" s="306"/>
      <c r="Q11" s="314"/>
      <c r="R11" s="317"/>
      <c r="S11" s="319"/>
      <c r="T11" s="317"/>
      <c r="U11" s="321"/>
      <c r="V11" s="306"/>
      <c r="W11" s="375"/>
      <c r="X11" s="281"/>
      <c r="Y11" s="284"/>
      <c r="Z11" s="284"/>
      <c r="AA11" s="286"/>
      <c r="AB11" s="294"/>
      <c r="AC11" s="299"/>
      <c r="AD11" s="281"/>
      <c r="AE11" s="284"/>
      <c r="AF11" s="284"/>
      <c r="AG11" s="286"/>
      <c r="AH11" s="294"/>
      <c r="AI11" s="299"/>
      <c r="AJ11" s="281"/>
      <c r="AK11" s="284"/>
      <c r="AL11" s="284"/>
      <c r="AM11" s="286"/>
      <c r="AN11" s="294"/>
      <c r="AO11" s="299"/>
      <c r="AP11" s="281"/>
      <c r="AQ11" s="284"/>
      <c r="AR11" s="284"/>
      <c r="AS11" s="286"/>
      <c r="AT11" s="378"/>
      <c r="AU11" s="130" t="s">
        <v>25</v>
      </c>
    </row>
    <row r="12" spans="1:47" s="22" customFormat="1" ht="20" customHeight="1" x14ac:dyDescent="0.2">
      <c r="A12" s="60"/>
      <c r="B12" s="84"/>
      <c r="C12" s="63" t="s">
        <v>85</v>
      </c>
      <c r="D12" s="62" t="s">
        <v>252</v>
      </c>
      <c r="E12" s="62" t="s">
        <v>253</v>
      </c>
      <c r="F12" s="63">
        <v>2015</v>
      </c>
      <c r="G12" s="63"/>
      <c r="H12" s="115">
        <v>40</v>
      </c>
      <c r="I12" s="110" t="s">
        <v>331</v>
      </c>
      <c r="J12" s="116" t="s">
        <v>332</v>
      </c>
      <c r="K12" s="150"/>
      <c r="L12" s="150"/>
      <c r="M12" s="150"/>
      <c r="N12" s="150"/>
      <c r="O12" s="150"/>
      <c r="P12" s="151"/>
      <c r="Q12" s="150"/>
      <c r="R12" s="150"/>
      <c r="S12" s="150"/>
      <c r="T12" s="150"/>
      <c r="U12" s="150"/>
      <c r="V12" s="151"/>
      <c r="W12" s="152">
        <v>4.5</v>
      </c>
      <c r="X12" s="153"/>
      <c r="Y12" s="154">
        <v>0</v>
      </c>
      <c r="Z12" s="154">
        <v>5</v>
      </c>
      <c r="AA12" s="154"/>
      <c r="AB12" s="155">
        <v>0</v>
      </c>
      <c r="AC12" s="156"/>
      <c r="AD12" s="153"/>
      <c r="AE12" s="154"/>
      <c r="AF12" s="154"/>
      <c r="AG12" s="154"/>
      <c r="AH12" s="155"/>
      <c r="AI12" s="175"/>
      <c r="AJ12" s="155"/>
      <c r="AK12" s="155"/>
      <c r="AL12" s="155"/>
      <c r="AM12" s="155"/>
      <c r="AN12" s="181"/>
      <c r="AO12" s="178"/>
      <c r="AP12" s="155"/>
      <c r="AQ12" s="155"/>
      <c r="AR12" s="155"/>
      <c r="AS12" s="155"/>
      <c r="AT12" s="157"/>
      <c r="AU12" s="62" t="s">
        <v>443</v>
      </c>
    </row>
    <row r="13" spans="1:47" customFormat="1" ht="20" customHeight="1" x14ac:dyDescent="0.2">
      <c r="A13" s="61"/>
      <c r="B13" s="83"/>
      <c r="C13" s="24" t="s">
        <v>85</v>
      </c>
      <c r="D13" s="23" t="s">
        <v>254</v>
      </c>
      <c r="E13" s="23" t="s">
        <v>255</v>
      </c>
      <c r="F13" s="24">
        <v>2016</v>
      </c>
      <c r="H13" s="89">
        <v>12</v>
      </c>
      <c r="I13" s="85" t="s">
        <v>335</v>
      </c>
      <c r="J13" s="117"/>
      <c r="K13" s="158"/>
      <c r="L13" s="158"/>
      <c r="M13" s="158"/>
      <c r="N13" s="158"/>
      <c r="O13" s="158"/>
      <c r="P13" s="159"/>
      <c r="Q13" s="158"/>
      <c r="R13" s="158"/>
      <c r="S13" s="158"/>
      <c r="T13" s="158"/>
      <c r="U13" s="158"/>
      <c r="V13" s="159"/>
      <c r="W13" s="160"/>
      <c r="X13" s="161"/>
      <c r="Y13" s="162"/>
      <c r="Z13" s="162"/>
      <c r="AA13" s="162"/>
      <c r="AB13" s="163"/>
      <c r="AC13" s="164"/>
      <c r="AD13" s="161"/>
      <c r="AE13" s="162"/>
      <c r="AF13" s="162"/>
      <c r="AG13" s="162"/>
      <c r="AH13" s="163"/>
      <c r="AI13" s="176"/>
      <c r="AJ13" s="163"/>
      <c r="AK13" s="163"/>
      <c r="AL13" s="163"/>
      <c r="AM13" s="163"/>
      <c r="AN13" s="182"/>
      <c r="AO13" s="179"/>
      <c r="AP13" s="163"/>
      <c r="AQ13" s="163"/>
      <c r="AR13" s="163"/>
      <c r="AS13" s="163"/>
      <c r="AT13" s="165"/>
      <c r="AU13" s="23"/>
    </row>
    <row r="14" spans="1:47" ht="20" customHeight="1" x14ac:dyDescent="0.2">
      <c r="A14" s="60"/>
      <c r="B14" s="82"/>
      <c r="C14" s="24" t="s">
        <v>85</v>
      </c>
      <c r="D14" s="23" t="s">
        <v>256</v>
      </c>
      <c r="E14" s="23" t="s">
        <v>257</v>
      </c>
      <c r="F14" s="24">
        <v>2008</v>
      </c>
      <c r="H14" s="89">
        <v>13</v>
      </c>
      <c r="I14" s="85" t="s">
        <v>220</v>
      </c>
      <c r="J14" s="117" t="s">
        <v>338</v>
      </c>
      <c r="K14" s="158"/>
      <c r="L14" s="158"/>
      <c r="M14" s="158"/>
      <c r="N14" s="158"/>
      <c r="O14" s="158"/>
      <c r="P14" s="159"/>
      <c r="Q14" s="158"/>
      <c r="R14" s="158"/>
      <c r="S14" s="158"/>
      <c r="T14" s="158"/>
      <c r="U14" s="158"/>
      <c r="V14" s="159"/>
      <c r="W14" s="160"/>
      <c r="X14" s="161"/>
      <c r="Y14" s="162"/>
      <c r="Z14" s="162"/>
      <c r="AA14" s="162"/>
      <c r="AB14" s="163"/>
      <c r="AC14" s="164"/>
      <c r="AD14" s="161"/>
      <c r="AE14" s="162"/>
      <c r="AF14" s="162"/>
      <c r="AG14" s="162"/>
      <c r="AH14" s="163"/>
      <c r="AI14" s="176"/>
      <c r="AJ14" s="163"/>
      <c r="AK14" s="163"/>
      <c r="AL14" s="163"/>
      <c r="AM14" s="163"/>
      <c r="AN14" s="182"/>
      <c r="AO14" s="179"/>
      <c r="AP14" s="163"/>
      <c r="AQ14" s="163"/>
      <c r="AR14" s="163"/>
      <c r="AS14" s="163"/>
      <c r="AT14" s="165"/>
    </row>
    <row r="15" spans="1:47" ht="20" customHeight="1" x14ac:dyDescent="0.2">
      <c r="A15" s="61"/>
      <c r="B15" s="82"/>
      <c r="C15" s="24" t="s">
        <v>85</v>
      </c>
      <c r="D15" s="23" t="s">
        <v>36</v>
      </c>
      <c r="E15" s="23" t="s">
        <v>37</v>
      </c>
      <c r="F15" s="24">
        <v>2008</v>
      </c>
      <c r="G15" s="24">
        <v>40</v>
      </c>
      <c r="H15" s="89"/>
      <c r="I15" s="85"/>
      <c r="J15" s="117" t="s">
        <v>169</v>
      </c>
      <c r="K15" s="158"/>
      <c r="L15" s="158"/>
      <c r="M15" s="158"/>
      <c r="N15" s="158"/>
      <c r="O15" s="158"/>
      <c r="P15" s="159"/>
      <c r="Q15" s="158"/>
      <c r="R15" s="158"/>
      <c r="S15" s="158"/>
      <c r="T15" s="158"/>
      <c r="U15" s="158"/>
      <c r="V15" s="159"/>
      <c r="W15" s="160"/>
      <c r="X15" s="161"/>
      <c r="Y15" s="162"/>
      <c r="Z15" s="162"/>
      <c r="AA15" s="162"/>
      <c r="AB15" s="163"/>
      <c r="AC15" s="164"/>
      <c r="AD15" s="161"/>
      <c r="AE15" s="162"/>
      <c r="AF15" s="162"/>
      <c r="AG15" s="162"/>
      <c r="AH15" s="163"/>
      <c r="AI15" s="176"/>
      <c r="AJ15" s="163"/>
      <c r="AK15" s="163"/>
      <c r="AL15" s="163"/>
      <c r="AM15" s="163"/>
      <c r="AN15" s="182"/>
      <c r="AO15" s="179"/>
      <c r="AP15" s="163"/>
      <c r="AQ15" s="163"/>
      <c r="AR15" s="163"/>
      <c r="AS15" s="163"/>
      <c r="AT15" s="165"/>
    </row>
    <row r="16" spans="1:47" ht="20" customHeight="1" x14ac:dyDescent="0.2">
      <c r="A16" s="60"/>
      <c r="B16" s="82"/>
      <c r="C16" s="24" t="s">
        <v>85</v>
      </c>
      <c r="D16" s="23" t="s">
        <v>41</v>
      </c>
      <c r="E16" s="23" t="s">
        <v>42</v>
      </c>
      <c r="F16" s="24">
        <v>2004</v>
      </c>
      <c r="G16" s="24">
        <v>79</v>
      </c>
      <c r="H16" s="89">
        <v>12</v>
      </c>
      <c r="I16" s="85" t="s">
        <v>168</v>
      </c>
      <c r="J16" s="117" t="s">
        <v>169</v>
      </c>
      <c r="K16" s="158"/>
      <c r="L16" s="158"/>
      <c r="M16" s="158"/>
      <c r="N16" s="158"/>
      <c r="O16" s="158"/>
      <c r="P16" s="159"/>
      <c r="Q16" s="158"/>
      <c r="R16" s="158"/>
      <c r="S16" s="158"/>
      <c r="T16" s="158"/>
      <c r="U16" s="158"/>
      <c r="V16" s="159"/>
      <c r="W16" s="160">
        <v>8.9</v>
      </c>
      <c r="X16" s="161">
        <v>7</v>
      </c>
      <c r="Y16" s="162"/>
      <c r="Z16" s="162">
        <v>7.4</v>
      </c>
      <c r="AA16" s="162">
        <v>3.4</v>
      </c>
      <c r="AB16" s="163"/>
      <c r="AC16" s="164">
        <v>7.3</v>
      </c>
      <c r="AD16" s="161">
        <v>5.7</v>
      </c>
      <c r="AE16" s="162"/>
      <c r="AF16" s="162">
        <v>8.9</v>
      </c>
      <c r="AG16" s="162">
        <v>6</v>
      </c>
      <c r="AH16" s="163"/>
      <c r="AI16" s="176"/>
      <c r="AJ16" s="163"/>
      <c r="AK16" s="163"/>
      <c r="AL16" s="163"/>
      <c r="AM16" s="163"/>
      <c r="AN16" s="182"/>
      <c r="AO16" s="179"/>
      <c r="AP16" s="163"/>
      <c r="AQ16" s="163"/>
      <c r="AR16" s="163"/>
      <c r="AS16" s="163"/>
      <c r="AT16" s="165"/>
      <c r="AU16" s="23" t="s">
        <v>448</v>
      </c>
    </row>
    <row r="17" spans="1:47" ht="20" customHeight="1" x14ac:dyDescent="0.2">
      <c r="A17" s="60"/>
      <c r="B17" s="82"/>
      <c r="C17" s="24" t="s">
        <v>85</v>
      </c>
      <c r="D17" s="23" t="s">
        <v>43</v>
      </c>
      <c r="E17" s="23" t="s">
        <v>44</v>
      </c>
      <c r="F17" s="24">
        <v>1976</v>
      </c>
      <c r="G17" s="24">
        <v>179</v>
      </c>
      <c r="H17" s="89">
        <v>8</v>
      </c>
      <c r="I17" s="112" t="s">
        <v>339</v>
      </c>
      <c r="J17" s="117"/>
      <c r="K17" s="158"/>
      <c r="L17" s="158"/>
      <c r="M17" s="158"/>
      <c r="N17" s="158"/>
      <c r="O17" s="158"/>
      <c r="P17" s="159"/>
      <c r="Q17" s="158">
        <v>6.9</v>
      </c>
      <c r="R17" s="158">
        <v>4.9000000000000004</v>
      </c>
      <c r="S17" s="158"/>
      <c r="T17" s="158"/>
      <c r="U17" s="158"/>
      <c r="V17" s="159"/>
      <c r="W17" s="160"/>
      <c r="X17" s="161"/>
      <c r="Y17" s="162"/>
      <c r="Z17" s="162"/>
      <c r="AA17" s="162"/>
      <c r="AB17" s="163"/>
      <c r="AC17" s="164"/>
      <c r="AD17" s="161"/>
      <c r="AE17" s="162"/>
      <c r="AF17" s="162"/>
      <c r="AG17" s="162"/>
      <c r="AH17" s="163"/>
      <c r="AI17" s="176"/>
      <c r="AJ17" s="163"/>
      <c r="AK17" s="163"/>
      <c r="AL17" s="163"/>
      <c r="AM17" s="163"/>
      <c r="AN17" s="182"/>
      <c r="AO17" s="179"/>
      <c r="AP17" s="163"/>
      <c r="AQ17" s="163"/>
      <c r="AR17" s="163"/>
      <c r="AS17" s="163"/>
      <c r="AT17" s="165"/>
      <c r="AU17" s="23" t="s">
        <v>449</v>
      </c>
    </row>
    <row r="18" spans="1:47" ht="20" customHeight="1" x14ac:dyDescent="0.2">
      <c r="A18" s="60"/>
      <c r="B18" s="83"/>
      <c r="C18" s="24" t="s">
        <v>85</v>
      </c>
      <c r="D18" s="23" t="s">
        <v>258</v>
      </c>
      <c r="E18" s="23" t="s">
        <v>259</v>
      </c>
      <c r="F18" s="24">
        <v>2014</v>
      </c>
      <c r="H18" s="89">
        <v>48</v>
      </c>
      <c r="I18" s="85" t="s">
        <v>216</v>
      </c>
      <c r="J18" s="117" t="s">
        <v>340</v>
      </c>
      <c r="K18" s="158"/>
      <c r="L18" s="158"/>
      <c r="M18" s="158"/>
      <c r="N18" s="158"/>
      <c r="O18" s="158"/>
      <c r="P18" s="159"/>
      <c r="Q18" s="158"/>
      <c r="R18" s="158"/>
      <c r="S18" s="158"/>
      <c r="T18" s="158"/>
      <c r="U18" s="158"/>
      <c r="V18" s="159"/>
      <c r="W18" s="160">
        <v>6.7</v>
      </c>
      <c r="X18" s="161"/>
      <c r="Y18" s="162">
        <v>-1.9</v>
      </c>
      <c r="Z18" s="162">
        <v>6</v>
      </c>
      <c r="AA18" s="162"/>
      <c r="AB18" s="163">
        <v>-0.1</v>
      </c>
      <c r="AC18" s="164"/>
      <c r="AD18" s="161"/>
      <c r="AE18" s="162"/>
      <c r="AF18" s="162"/>
      <c r="AG18" s="162"/>
      <c r="AH18" s="163"/>
      <c r="AI18" s="176"/>
      <c r="AJ18" s="163"/>
      <c r="AK18" s="163"/>
      <c r="AL18" s="163"/>
      <c r="AM18" s="163"/>
      <c r="AN18" s="182"/>
      <c r="AO18" s="179"/>
      <c r="AP18" s="163"/>
      <c r="AQ18" s="163"/>
      <c r="AR18" s="163"/>
      <c r="AS18" s="163"/>
      <c r="AT18" s="165"/>
      <c r="AU18" s="23" t="s">
        <v>450</v>
      </c>
    </row>
    <row r="19" spans="1:47" ht="20" customHeight="1" x14ac:dyDescent="0.2">
      <c r="A19" s="60"/>
      <c r="B19" s="24"/>
      <c r="D19" s="23" t="s">
        <v>260</v>
      </c>
      <c r="E19" s="23" t="s">
        <v>261</v>
      </c>
      <c r="F19" s="24">
        <v>2015</v>
      </c>
      <c r="H19" s="89"/>
      <c r="I19" s="85"/>
      <c r="J19" s="117"/>
      <c r="K19" s="158"/>
      <c r="L19" s="158"/>
      <c r="M19" s="158"/>
      <c r="N19" s="158"/>
      <c r="O19" s="158"/>
      <c r="P19" s="159"/>
      <c r="Q19" s="158"/>
      <c r="R19" s="158"/>
      <c r="S19" s="158"/>
      <c r="T19" s="158"/>
      <c r="U19" s="158"/>
      <c r="V19" s="159"/>
      <c r="W19" s="160"/>
      <c r="X19" s="161"/>
      <c r="Y19" s="162"/>
      <c r="Z19" s="162"/>
      <c r="AA19" s="162"/>
      <c r="AB19" s="163"/>
      <c r="AC19" s="164"/>
      <c r="AD19" s="161"/>
      <c r="AE19" s="162"/>
      <c r="AF19" s="162"/>
      <c r="AG19" s="162"/>
      <c r="AH19" s="163"/>
      <c r="AI19" s="176"/>
      <c r="AJ19" s="163"/>
      <c r="AK19" s="163"/>
      <c r="AL19" s="163"/>
      <c r="AM19" s="163"/>
      <c r="AN19" s="182"/>
      <c r="AO19" s="179"/>
      <c r="AP19" s="163"/>
      <c r="AQ19" s="163"/>
      <c r="AR19" s="163"/>
      <c r="AS19" s="163"/>
      <c r="AT19" s="165"/>
    </row>
    <row r="20" spans="1:47" ht="20" customHeight="1" x14ac:dyDescent="0.2">
      <c r="A20" s="60"/>
      <c r="B20" s="83"/>
      <c r="C20" s="24" t="s">
        <v>85</v>
      </c>
      <c r="D20" s="23" t="s">
        <v>262</v>
      </c>
      <c r="E20" s="23" t="s">
        <v>263</v>
      </c>
      <c r="F20" s="24">
        <v>2012</v>
      </c>
      <c r="H20" s="89">
        <v>80</v>
      </c>
      <c r="I20" s="85" t="s">
        <v>216</v>
      </c>
      <c r="J20" s="117" t="s">
        <v>193</v>
      </c>
      <c r="K20" s="158">
        <v>81.209999999999994</v>
      </c>
      <c r="L20" s="158">
        <v>45.2</v>
      </c>
      <c r="M20" s="158">
        <v>44.33</v>
      </c>
      <c r="N20" s="158">
        <v>78.2</v>
      </c>
      <c r="O20" s="158">
        <v>79.599999999999994</v>
      </c>
      <c r="P20" s="159">
        <v>-0.02</v>
      </c>
      <c r="Q20" s="158">
        <v>410.28</v>
      </c>
      <c r="R20" s="158">
        <v>481.1</v>
      </c>
      <c r="S20" s="158">
        <v>17.309999999999999</v>
      </c>
      <c r="T20" s="158">
        <v>413</v>
      </c>
      <c r="U20" s="158">
        <v>416.23</v>
      </c>
      <c r="V20" s="159">
        <v>7.0000000000000007E-2</v>
      </c>
      <c r="W20" s="160"/>
      <c r="X20" s="161"/>
      <c r="Y20" s="162"/>
      <c r="Z20" s="162"/>
      <c r="AA20" s="162"/>
      <c r="AB20" s="163"/>
      <c r="AC20" s="164"/>
      <c r="AD20" s="161"/>
      <c r="AE20" s="162"/>
      <c r="AF20" s="162"/>
      <c r="AG20" s="162"/>
      <c r="AH20" s="163"/>
      <c r="AI20" s="176">
        <v>66.67</v>
      </c>
      <c r="AJ20" s="163">
        <v>54.78</v>
      </c>
      <c r="AK20" s="163">
        <v>17.829999999999998</v>
      </c>
      <c r="AL20" s="163">
        <v>64.2</v>
      </c>
      <c r="AM20" s="163">
        <v>64.8</v>
      </c>
      <c r="AN20" s="182">
        <v>0.09</v>
      </c>
      <c r="AO20" s="179"/>
      <c r="AP20" s="163"/>
      <c r="AQ20" s="163"/>
      <c r="AR20" s="163"/>
      <c r="AS20" s="163"/>
      <c r="AT20" s="165"/>
      <c r="AU20" s="23" t="s">
        <v>227</v>
      </c>
    </row>
    <row r="21" spans="1:47" ht="20" customHeight="1" x14ac:dyDescent="0.2">
      <c r="A21" s="60"/>
      <c r="B21" s="82"/>
      <c r="C21" s="24" t="s">
        <v>85</v>
      </c>
      <c r="D21" s="23" t="s">
        <v>264</v>
      </c>
      <c r="E21" s="23" t="s">
        <v>265</v>
      </c>
      <c r="F21" s="24">
        <v>2013</v>
      </c>
      <c r="H21" s="89">
        <v>12</v>
      </c>
      <c r="I21" s="85" t="s">
        <v>216</v>
      </c>
      <c r="J21" s="117" t="s">
        <v>341</v>
      </c>
      <c r="K21" s="158"/>
      <c r="L21" s="158"/>
      <c r="M21" s="158"/>
      <c r="N21" s="158"/>
      <c r="O21" s="158"/>
      <c r="P21" s="159"/>
      <c r="Q21" s="158"/>
      <c r="R21" s="158"/>
      <c r="S21" s="158"/>
      <c r="T21" s="158"/>
      <c r="U21" s="158"/>
      <c r="V21" s="159"/>
      <c r="W21" s="160"/>
      <c r="X21" s="161"/>
      <c r="Y21" s="162"/>
      <c r="Z21" s="162"/>
      <c r="AA21" s="162"/>
      <c r="AB21" s="163"/>
      <c r="AC21" s="164"/>
      <c r="AD21" s="161"/>
      <c r="AE21" s="162"/>
      <c r="AF21" s="162"/>
      <c r="AG21" s="162"/>
      <c r="AH21" s="163"/>
      <c r="AI21" s="176"/>
      <c r="AJ21" s="163"/>
      <c r="AK21" s="163"/>
      <c r="AL21" s="163"/>
      <c r="AM21" s="163"/>
      <c r="AN21" s="182"/>
      <c r="AO21" s="179"/>
      <c r="AP21" s="163"/>
      <c r="AQ21" s="163"/>
      <c r="AR21" s="163"/>
      <c r="AS21" s="163"/>
      <c r="AT21" s="165"/>
    </row>
    <row r="22" spans="1:47" ht="20" customHeight="1" x14ac:dyDescent="0.2">
      <c r="A22" s="60"/>
      <c r="B22" s="82"/>
      <c r="C22" s="24" t="s">
        <v>85</v>
      </c>
      <c r="D22" s="23" t="s">
        <v>406</v>
      </c>
      <c r="E22" s="23" t="s">
        <v>407</v>
      </c>
      <c r="F22" s="24">
        <v>2013</v>
      </c>
      <c r="H22" s="89">
        <v>38</v>
      </c>
      <c r="I22" s="85" t="s">
        <v>408</v>
      </c>
      <c r="J22" s="117" t="s">
        <v>169</v>
      </c>
      <c r="K22" s="158"/>
      <c r="L22" s="158"/>
      <c r="M22" s="158"/>
      <c r="N22" s="158"/>
      <c r="O22" s="158"/>
      <c r="P22" s="159"/>
      <c r="Q22" s="158"/>
      <c r="R22" s="158"/>
      <c r="S22" s="158"/>
      <c r="T22" s="158"/>
      <c r="U22" s="158"/>
      <c r="V22" s="159"/>
      <c r="W22" s="160"/>
      <c r="X22" s="161"/>
      <c r="Y22" s="162"/>
      <c r="Z22" s="162"/>
      <c r="AA22" s="162"/>
      <c r="AB22" s="163"/>
      <c r="AC22" s="164"/>
      <c r="AD22" s="161"/>
      <c r="AE22" s="162"/>
      <c r="AF22" s="162"/>
      <c r="AG22" s="162"/>
      <c r="AH22" s="163"/>
      <c r="AI22" s="176"/>
      <c r="AJ22" s="163"/>
      <c r="AK22" s="163"/>
      <c r="AL22" s="163"/>
      <c r="AM22" s="163"/>
      <c r="AN22" s="182"/>
      <c r="AO22" s="179"/>
      <c r="AP22" s="163"/>
      <c r="AQ22" s="163"/>
      <c r="AR22" s="163"/>
      <c r="AS22" s="163"/>
      <c r="AT22" s="165"/>
    </row>
    <row r="23" spans="1:47" ht="20" customHeight="1" x14ac:dyDescent="0.2">
      <c r="A23" s="61"/>
      <c r="B23" s="83"/>
      <c r="C23" s="24" t="s">
        <v>85</v>
      </c>
      <c r="D23" s="23" t="s">
        <v>52</v>
      </c>
      <c r="E23" s="23" t="s">
        <v>53</v>
      </c>
      <c r="F23" s="24">
        <v>2001</v>
      </c>
      <c r="G23" s="24">
        <v>118</v>
      </c>
      <c r="H23" s="89">
        <v>20</v>
      </c>
      <c r="I23" s="85"/>
      <c r="J23" s="117" t="s">
        <v>190</v>
      </c>
      <c r="K23" s="158"/>
      <c r="L23" s="158"/>
      <c r="M23" s="158"/>
      <c r="N23" s="158"/>
      <c r="O23" s="158"/>
      <c r="P23" s="159"/>
      <c r="Q23" s="158"/>
      <c r="R23" s="158"/>
      <c r="S23" s="158"/>
      <c r="T23" s="158"/>
      <c r="U23" s="158"/>
      <c r="V23" s="159"/>
      <c r="W23" s="160"/>
      <c r="X23" s="161"/>
      <c r="Y23" s="162"/>
      <c r="Z23" s="162"/>
      <c r="AA23" s="162"/>
      <c r="AB23" s="163"/>
      <c r="AC23" s="164"/>
      <c r="AD23" s="161"/>
      <c r="AE23" s="162"/>
      <c r="AF23" s="162"/>
      <c r="AG23" s="162"/>
      <c r="AH23" s="163"/>
      <c r="AI23" s="176"/>
      <c r="AJ23" s="163"/>
      <c r="AK23" s="163"/>
      <c r="AL23" s="163"/>
      <c r="AM23" s="163"/>
      <c r="AN23" s="182"/>
      <c r="AO23" s="179"/>
      <c r="AP23" s="163"/>
      <c r="AQ23" s="163"/>
      <c r="AR23" s="163"/>
      <c r="AS23" s="163"/>
      <c r="AT23" s="165"/>
    </row>
    <row r="24" spans="1:47" ht="20" customHeight="1" x14ac:dyDescent="0.2">
      <c r="A24" s="60"/>
      <c r="B24" s="82"/>
      <c r="C24" s="24" t="s">
        <v>85</v>
      </c>
      <c r="D24" s="23" t="s">
        <v>270</v>
      </c>
      <c r="E24" s="23" t="s">
        <v>271</v>
      </c>
      <c r="F24" s="24">
        <v>1994</v>
      </c>
      <c r="H24" s="89">
        <v>20</v>
      </c>
      <c r="I24" s="85" t="s">
        <v>343</v>
      </c>
      <c r="J24" s="117"/>
      <c r="K24" s="158"/>
      <c r="L24" s="158"/>
      <c r="M24" s="158"/>
      <c r="N24" s="158"/>
      <c r="O24" s="158"/>
      <c r="P24" s="159"/>
      <c r="Q24" s="158"/>
      <c r="R24" s="158"/>
      <c r="S24" s="158"/>
      <c r="T24" s="158"/>
      <c r="U24" s="158"/>
      <c r="V24" s="159"/>
      <c r="W24" s="160"/>
      <c r="X24" s="161"/>
      <c r="Y24" s="162"/>
      <c r="Z24" s="162"/>
      <c r="AA24" s="162"/>
      <c r="AB24" s="163"/>
      <c r="AC24" s="164"/>
      <c r="AD24" s="161"/>
      <c r="AE24" s="162"/>
      <c r="AF24" s="162"/>
      <c r="AG24" s="162"/>
      <c r="AH24" s="163"/>
      <c r="AI24" s="176"/>
      <c r="AJ24" s="163"/>
      <c r="AK24" s="163"/>
      <c r="AL24" s="163"/>
      <c r="AM24" s="163"/>
      <c r="AN24" s="182"/>
      <c r="AO24" s="179">
        <v>3.61</v>
      </c>
      <c r="AP24" s="163"/>
      <c r="AQ24" s="163"/>
      <c r="AR24" s="163">
        <v>3.15</v>
      </c>
      <c r="AS24" s="163"/>
      <c r="AT24" s="165"/>
    </row>
    <row r="25" spans="1:47" ht="20" customHeight="1" x14ac:dyDescent="0.2">
      <c r="A25" s="60"/>
      <c r="B25" s="83"/>
      <c r="C25" s="24" t="s">
        <v>85</v>
      </c>
      <c r="D25" s="23" t="s">
        <v>344</v>
      </c>
      <c r="E25" s="23" t="s">
        <v>345</v>
      </c>
      <c r="F25" s="24">
        <v>2008</v>
      </c>
      <c r="H25" s="89">
        <v>16</v>
      </c>
      <c r="I25" s="85" t="s">
        <v>177</v>
      </c>
      <c r="J25" s="117" t="s">
        <v>346</v>
      </c>
      <c r="K25" s="158"/>
      <c r="L25" s="158"/>
      <c r="M25" s="158"/>
      <c r="N25" s="158"/>
      <c r="O25" s="158"/>
      <c r="P25" s="159"/>
      <c r="Q25" s="158"/>
      <c r="R25" s="158"/>
      <c r="S25" s="158"/>
      <c r="T25" s="158"/>
      <c r="U25" s="158"/>
      <c r="V25" s="159"/>
      <c r="W25" s="160"/>
      <c r="X25" s="161"/>
      <c r="Y25" s="162"/>
      <c r="Z25" s="162"/>
      <c r="AA25" s="162"/>
      <c r="AB25" s="163"/>
      <c r="AC25" s="164"/>
      <c r="AD25" s="161"/>
      <c r="AE25" s="162"/>
      <c r="AF25" s="162"/>
      <c r="AG25" s="162"/>
      <c r="AH25" s="163"/>
      <c r="AI25" s="176"/>
      <c r="AJ25" s="163"/>
      <c r="AK25" s="163"/>
      <c r="AL25" s="163"/>
      <c r="AM25" s="163"/>
      <c r="AN25" s="182"/>
      <c r="AO25" s="179"/>
      <c r="AP25" s="163"/>
      <c r="AQ25" s="163"/>
      <c r="AR25" s="163"/>
      <c r="AS25" s="163"/>
      <c r="AT25" s="165"/>
    </row>
    <row r="26" spans="1:47" ht="20" customHeight="1" x14ac:dyDescent="0.2">
      <c r="A26" s="60"/>
      <c r="B26" s="82"/>
      <c r="C26" s="24" t="s">
        <v>85</v>
      </c>
      <c r="D26" s="23" t="s">
        <v>54</v>
      </c>
      <c r="E26" s="23" t="s">
        <v>55</v>
      </c>
      <c r="F26" s="24">
        <v>1996</v>
      </c>
      <c r="G26" s="24">
        <v>82</v>
      </c>
      <c r="H26" s="89">
        <v>15</v>
      </c>
      <c r="I26" s="85" t="s">
        <v>177</v>
      </c>
      <c r="J26" s="117" t="s">
        <v>179</v>
      </c>
      <c r="K26" s="158"/>
      <c r="L26" s="158"/>
      <c r="M26" s="158"/>
      <c r="N26" s="158"/>
      <c r="O26" s="158"/>
      <c r="P26" s="159"/>
      <c r="Q26" s="158"/>
      <c r="R26" s="158"/>
      <c r="S26" s="158"/>
      <c r="T26" s="158"/>
      <c r="U26" s="158"/>
      <c r="V26" s="159"/>
      <c r="W26" s="160"/>
      <c r="X26" s="161"/>
      <c r="Y26" s="162"/>
      <c r="Z26" s="162"/>
      <c r="AA26" s="162"/>
      <c r="AB26" s="163"/>
      <c r="AC26" s="164"/>
      <c r="AD26" s="161"/>
      <c r="AE26" s="162"/>
      <c r="AF26" s="162"/>
      <c r="AG26" s="162"/>
      <c r="AH26" s="163"/>
      <c r="AI26" s="176"/>
      <c r="AJ26" s="163"/>
      <c r="AK26" s="163"/>
      <c r="AL26" s="163"/>
      <c r="AM26" s="163"/>
      <c r="AN26" s="182"/>
      <c r="AO26" s="179"/>
      <c r="AP26" s="163"/>
      <c r="AQ26" s="163"/>
      <c r="AR26" s="163"/>
      <c r="AS26" s="163"/>
      <c r="AT26" s="165"/>
    </row>
    <row r="27" spans="1:47" ht="20" customHeight="1" x14ac:dyDescent="0.2">
      <c r="A27" s="61"/>
      <c r="B27" s="24"/>
      <c r="C27" s="24" t="s">
        <v>85</v>
      </c>
      <c r="D27" s="23" t="s">
        <v>57</v>
      </c>
      <c r="E27" s="23" t="s">
        <v>58</v>
      </c>
      <c r="F27" s="24">
        <v>2006</v>
      </c>
      <c r="G27" s="24">
        <v>132</v>
      </c>
      <c r="H27" s="89">
        <v>7</v>
      </c>
      <c r="I27" s="85"/>
      <c r="J27" s="117"/>
      <c r="K27" s="158"/>
      <c r="L27" s="158"/>
      <c r="M27" s="158"/>
      <c r="N27" s="158"/>
      <c r="O27" s="158"/>
      <c r="P27" s="159"/>
      <c r="Q27" s="158"/>
      <c r="R27" s="158"/>
      <c r="S27" s="158"/>
      <c r="T27" s="158"/>
      <c r="U27" s="158"/>
      <c r="V27" s="159"/>
      <c r="W27" s="160"/>
      <c r="X27" s="161"/>
      <c r="Y27" s="162"/>
      <c r="Z27" s="162"/>
      <c r="AA27" s="162"/>
      <c r="AB27" s="163"/>
      <c r="AC27" s="164"/>
      <c r="AD27" s="161"/>
      <c r="AE27" s="162"/>
      <c r="AF27" s="162"/>
      <c r="AG27" s="162"/>
      <c r="AH27" s="163"/>
      <c r="AI27" s="176"/>
      <c r="AJ27" s="163"/>
      <c r="AK27" s="163"/>
      <c r="AL27" s="163"/>
      <c r="AM27" s="163"/>
      <c r="AN27" s="182"/>
      <c r="AO27" s="179"/>
      <c r="AP27" s="163"/>
      <c r="AQ27" s="163"/>
      <c r="AR27" s="163"/>
      <c r="AS27" s="163"/>
      <c r="AT27" s="165"/>
    </row>
    <row r="28" spans="1:47" ht="20" customHeight="1" x14ac:dyDescent="0.2">
      <c r="A28" s="60"/>
      <c r="B28" s="83"/>
      <c r="C28" s="24" t="s">
        <v>85</v>
      </c>
      <c r="D28" s="23" t="s">
        <v>59</v>
      </c>
      <c r="E28" s="23" t="s">
        <v>60</v>
      </c>
      <c r="F28" s="24">
        <v>2009</v>
      </c>
      <c r="G28" s="24">
        <v>49</v>
      </c>
      <c r="H28" s="89">
        <v>22</v>
      </c>
      <c r="I28" s="85" t="s">
        <v>177</v>
      </c>
      <c r="J28" s="117" t="s">
        <v>191</v>
      </c>
      <c r="K28" s="158"/>
      <c r="L28" s="158"/>
      <c r="M28" s="158"/>
      <c r="N28" s="158"/>
      <c r="O28" s="158"/>
      <c r="P28" s="159"/>
      <c r="Q28" s="158"/>
      <c r="R28" s="158"/>
      <c r="S28" s="158"/>
      <c r="T28" s="158"/>
      <c r="U28" s="158"/>
      <c r="V28" s="159"/>
      <c r="W28" s="160"/>
      <c r="X28" s="161"/>
      <c r="Y28" s="162"/>
      <c r="Z28" s="162"/>
      <c r="AA28" s="162"/>
      <c r="AB28" s="163"/>
      <c r="AC28" s="164"/>
      <c r="AD28" s="161"/>
      <c r="AE28" s="162"/>
      <c r="AF28" s="162"/>
      <c r="AG28" s="162"/>
      <c r="AH28" s="163"/>
      <c r="AI28" s="176"/>
      <c r="AJ28" s="163"/>
      <c r="AK28" s="163"/>
      <c r="AL28" s="163"/>
      <c r="AM28" s="163"/>
      <c r="AN28" s="182"/>
      <c r="AO28" s="179"/>
      <c r="AP28" s="163"/>
      <c r="AQ28" s="163"/>
      <c r="AR28" s="163"/>
      <c r="AS28" s="163"/>
      <c r="AT28" s="165"/>
    </row>
    <row r="29" spans="1:47" ht="20" customHeight="1" x14ac:dyDescent="0.2">
      <c r="A29" s="60"/>
      <c r="B29" s="82"/>
      <c r="C29" s="24" t="s">
        <v>85</v>
      </c>
      <c r="D29" s="23" t="s">
        <v>276</v>
      </c>
      <c r="E29" s="23" t="s">
        <v>277</v>
      </c>
      <c r="F29" s="24">
        <v>2014</v>
      </c>
      <c r="H29" s="89">
        <v>39</v>
      </c>
      <c r="I29" s="85" t="s">
        <v>411</v>
      </c>
      <c r="J29" s="117" t="s">
        <v>346</v>
      </c>
      <c r="K29" s="158"/>
      <c r="L29" s="158"/>
      <c r="M29" s="158"/>
      <c r="N29" s="158"/>
      <c r="O29" s="158"/>
      <c r="P29" s="159"/>
      <c r="Q29" s="158"/>
      <c r="R29" s="158"/>
      <c r="S29" s="158"/>
      <c r="T29" s="158"/>
      <c r="U29" s="158"/>
      <c r="V29" s="159"/>
      <c r="W29" s="160"/>
      <c r="X29" s="161"/>
      <c r="Y29" s="162"/>
      <c r="Z29" s="162"/>
      <c r="AA29" s="162"/>
      <c r="AB29" s="163"/>
      <c r="AC29" s="164"/>
      <c r="AD29" s="161"/>
      <c r="AE29" s="162"/>
      <c r="AF29" s="162"/>
      <c r="AG29" s="162"/>
      <c r="AH29" s="163"/>
      <c r="AI29" s="176"/>
      <c r="AJ29" s="163"/>
      <c r="AK29" s="163"/>
      <c r="AL29" s="163"/>
      <c r="AM29" s="163"/>
      <c r="AN29" s="182"/>
      <c r="AO29" s="179"/>
      <c r="AP29" s="163"/>
      <c r="AQ29" s="163"/>
      <c r="AR29" s="163"/>
      <c r="AS29" s="163"/>
      <c r="AT29" s="165"/>
    </row>
    <row r="30" spans="1:47" ht="20" customHeight="1" x14ac:dyDescent="0.2">
      <c r="A30" s="60"/>
      <c r="B30" s="24"/>
      <c r="C30" s="24" t="s">
        <v>85</v>
      </c>
      <c r="D30" s="23" t="s">
        <v>278</v>
      </c>
      <c r="E30" s="23" t="s">
        <v>279</v>
      </c>
      <c r="F30" s="24">
        <v>2015</v>
      </c>
      <c r="H30" s="89">
        <v>8</v>
      </c>
      <c r="I30" s="85" t="s">
        <v>216</v>
      </c>
      <c r="J30" s="117" t="s">
        <v>353</v>
      </c>
      <c r="K30" s="158"/>
      <c r="L30" s="158"/>
      <c r="M30" s="158"/>
      <c r="N30" s="158"/>
      <c r="O30" s="158"/>
      <c r="P30" s="159"/>
      <c r="Q30" s="158"/>
      <c r="R30" s="158"/>
      <c r="S30" s="158"/>
      <c r="T30" s="158"/>
      <c r="U30" s="158"/>
      <c r="V30" s="159"/>
      <c r="W30" s="160"/>
      <c r="X30" s="161"/>
      <c r="Y30" s="162"/>
      <c r="Z30" s="162"/>
      <c r="AA30" s="162"/>
      <c r="AB30" s="163"/>
      <c r="AC30" s="164"/>
      <c r="AD30" s="161"/>
      <c r="AE30" s="162"/>
      <c r="AF30" s="162"/>
      <c r="AG30" s="162"/>
      <c r="AH30" s="163"/>
      <c r="AI30" s="176"/>
      <c r="AJ30" s="163"/>
      <c r="AK30" s="163"/>
      <c r="AL30" s="163"/>
      <c r="AM30" s="163"/>
      <c r="AN30" s="182"/>
      <c r="AO30" s="179"/>
      <c r="AP30" s="163"/>
      <c r="AQ30" s="163"/>
      <c r="AR30" s="163"/>
      <c r="AS30" s="163"/>
      <c r="AT30" s="165"/>
    </row>
    <row r="31" spans="1:47" ht="20" customHeight="1" x14ac:dyDescent="0.2">
      <c r="A31" s="61"/>
      <c r="B31" s="82"/>
      <c r="C31" s="24" t="s">
        <v>85</v>
      </c>
      <c r="D31" s="23" t="s">
        <v>280</v>
      </c>
      <c r="E31" s="23" t="s">
        <v>281</v>
      </c>
      <c r="F31" s="24">
        <v>2001</v>
      </c>
      <c r="H31" s="89">
        <v>9</v>
      </c>
      <c r="I31" s="85"/>
      <c r="J31" s="117" t="s">
        <v>354</v>
      </c>
      <c r="K31" s="158"/>
      <c r="L31" s="158"/>
      <c r="M31" s="158"/>
      <c r="N31" s="158"/>
      <c r="O31" s="158"/>
      <c r="P31" s="159"/>
      <c r="Q31" s="158"/>
      <c r="R31" s="158"/>
      <c r="S31" s="158"/>
      <c r="T31" s="158"/>
      <c r="U31" s="158"/>
      <c r="V31" s="159"/>
      <c r="W31" s="160"/>
      <c r="X31" s="161"/>
      <c r="Y31" s="162"/>
      <c r="Z31" s="162"/>
      <c r="AA31" s="162"/>
      <c r="AB31" s="163"/>
      <c r="AC31" s="164"/>
      <c r="AD31" s="161"/>
      <c r="AE31" s="162"/>
      <c r="AF31" s="162"/>
      <c r="AG31" s="162"/>
      <c r="AH31" s="163"/>
      <c r="AI31" s="176"/>
      <c r="AJ31" s="163"/>
      <c r="AK31" s="163"/>
      <c r="AL31" s="163"/>
      <c r="AM31" s="163"/>
      <c r="AN31" s="182"/>
      <c r="AO31" s="179"/>
      <c r="AP31" s="163"/>
      <c r="AQ31" s="163"/>
      <c r="AR31" s="163"/>
      <c r="AS31" s="163"/>
      <c r="AT31" s="165"/>
    </row>
    <row r="32" spans="1:47" ht="20" customHeight="1" x14ac:dyDescent="0.2">
      <c r="A32" s="60"/>
      <c r="B32" s="82"/>
      <c r="C32" s="24" t="s">
        <v>85</v>
      </c>
      <c r="D32" s="23" t="s">
        <v>63</v>
      </c>
      <c r="E32" s="23" t="s">
        <v>64</v>
      </c>
      <c r="F32" s="24">
        <v>2012</v>
      </c>
      <c r="G32" s="24">
        <v>83</v>
      </c>
      <c r="H32" s="89">
        <v>70</v>
      </c>
      <c r="I32" s="85" t="s">
        <v>183</v>
      </c>
      <c r="J32" s="117" t="s">
        <v>193</v>
      </c>
      <c r="K32" s="158"/>
      <c r="L32" s="158"/>
      <c r="M32" s="158"/>
      <c r="N32" s="158"/>
      <c r="O32" s="158"/>
      <c r="P32" s="159"/>
      <c r="Q32" s="158"/>
      <c r="R32" s="158"/>
      <c r="S32" s="158"/>
      <c r="T32" s="158"/>
      <c r="U32" s="158"/>
      <c r="V32" s="159"/>
      <c r="W32" s="160"/>
      <c r="X32" s="161"/>
      <c r="Y32" s="162"/>
      <c r="Z32" s="162"/>
      <c r="AA32" s="162"/>
      <c r="AB32" s="163"/>
      <c r="AC32" s="164"/>
      <c r="AD32" s="161"/>
      <c r="AE32" s="162"/>
      <c r="AF32" s="162"/>
      <c r="AG32" s="162"/>
      <c r="AH32" s="163"/>
      <c r="AI32" s="176"/>
      <c r="AJ32" s="163"/>
      <c r="AK32" s="163"/>
      <c r="AL32" s="163"/>
      <c r="AM32" s="163"/>
      <c r="AN32" s="182"/>
      <c r="AO32" s="179"/>
      <c r="AP32" s="163"/>
      <c r="AQ32" s="163"/>
      <c r="AR32" s="163"/>
      <c r="AS32" s="163"/>
      <c r="AT32" s="165"/>
    </row>
    <row r="33" spans="1:46" ht="20" customHeight="1" x14ac:dyDescent="0.2">
      <c r="A33" s="60"/>
      <c r="B33" s="84"/>
      <c r="C33" s="24" t="s">
        <v>85</v>
      </c>
      <c r="D33" s="23" t="s">
        <v>69</v>
      </c>
      <c r="E33" s="23" t="s">
        <v>70</v>
      </c>
      <c r="F33" s="24">
        <v>2004</v>
      </c>
      <c r="G33" s="24">
        <v>61</v>
      </c>
      <c r="H33" s="89">
        <v>15</v>
      </c>
      <c r="I33" s="85" t="s">
        <v>185</v>
      </c>
      <c r="J33" s="117" t="s">
        <v>194</v>
      </c>
      <c r="K33" s="158"/>
      <c r="L33" s="158"/>
      <c r="M33" s="158"/>
      <c r="N33" s="158"/>
      <c r="O33" s="158"/>
      <c r="P33" s="159"/>
      <c r="Q33" s="158"/>
      <c r="R33" s="158"/>
      <c r="S33" s="158"/>
      <c r="T33" s="158"/>
      <c r="U33" s="158"/>
      <c r="V33" s="159"/>
      <c r="W33" s="160"/>
      <c r="X33" s="161"/>
      <c r="Y33" s="162"/>
      <c r="Z33" s="162"/>
      <c r="AA33" s="162"/>
      <c r="AB33" s="163"/>
      <c r="AC33" s="164"/>
      <c r="AD33" s="161"/>
      <c r="AE33" s="162"/>
      <c r="AF33" s="162"/>
      <c r="AG33" s="162"/>
      <c r="AH33" s="163"/>
      <c r="AI33" s="176"/>
      <c r="AJ33" s="163"/>
      <c r="AK33" s="163"/>
      <c r="AL33" s="163"/>
      <c r="AM33" s="163"/>
      <c r="AN33" s="182"/>
      <c r="AO33" s="179"/>
      <c r="AP33" s="163"/>
      <c r="AQ33" s="163"/>
      <c r="AR33" s="163"/>
      <c r="AS33" s="163"/>
      <c r="AT33" s="165"/>
    </row>
    <row r="34" spans="1:46" ht="20" customHeight="1" x14ac:dyDescent="0.2">
      <c r="A34" s="60"/>
      <c r="B34" s="83"/>
      <c r="C34" s="50" t="s">
        <v>85</v>
      </c>
      <c r="D34" s="49" t="s">
        <v>71</v>
      </c>
      <c r="E34" s="49" t="s">
        <v>70</v>
      </c>
      <c r="F34" s="50">
        <v>2004</v>
      </c>
      <c r="G34" s="50">
        <v>45</v>
      </c>
      <c r="H34" s="89">
        <v>15</v>
      </c>
      <c r="I34" s="85" t="s">
        <v>185</v>
      </c>
      <c r="J34" s="117" t="s">
        <v>194</v>
      </c>
      <c r="K34" s="158"/>
      <c r="L34" s="158"/>
      <c r="M34" s="158"/>
      <c r="N34" s="158"/>
      <c r="O34" s="158"/>
      <c r="P34" s="159"/>
      <c r="Q34" s="158"/>
      <c r="R34" s="158"/>
      <c r="S34" s="158"/>
      <c r="T34" s="158"/>
      <c r="U34" s="158"/>
      <c r="V34" s="159"/>
      <c r="W34" s="160"/>
      <c r="X34" s="161"/>
      <c r="Y34" s="162"/>
      <c r="Z34" s="162"/>
      <c r="AA34" s="162"/>
      <c r="AB34" s="163"/>
      <c r="AC34" s="164"/>
      <c r="AD34" s="161"/>
      <c r="AE34" s="162"/>
      <c r="AF34" s="162"/>
      <c r="AG34" s="162"/>
      <c r="AH34" s="163"/>
      <c r="AI34" s="176"/>
      <c r="AJ34" s="163"/>
      <c r="AK34" s="163"/>
      <c r="AL34" s="163"/>
      <c r="AM34" s="163"/>
      <c r="AN34" s="182"/>
      <c r="AO34" s="179"/>
      <c r="AP34" s="163"/>
      <c r="AQ34" s="163"/>
      <c r="AR34" s="163"/>
      <c r="AS34" s="163"/>
      <c r="AT34" s="165"/>
    </row>
    <row r="35" spans="1:46" ht="20" customHeight="1" x14ac:dyDescent="0.2">
      <c r="A35" s="60"/>
      <c r="B35" s="83"/>
      <c r="C35" s="24" t="s">
        <v>85</v>
      </c>
      <c r="D35" s="23" t="s">
        <v>283</v>
      </c>
      <c r="E35" s="23" t="s">
        <v>284</v>
      </c>
      <c r="F35" s="24">
        <v>2013</v>
      </c>
      <c r="H35" s="89">
        <v>23</v>
      </c>
      <c r="I35" s="85"/>
      <c r="J35" s="117"/>
      <c r="K35" s="158"/>
      <c r="L35" s="158"/>
      <c r="M35" s="158"/>
      <c r="N35" s="158"/>
      <c r="O35" s="158"/>
      <c r="P35" s="159"/>
      <c r="Q35" s="158"/>
      <c r="R35" s="158"/>
      <c r="S35" s="158"/>
      <c r="T35" s="158"/>
      <c r="U35" s="158"/>
      <c r="V35" s="159"/>
      <c r="W35" s="160"/>
      <c r="X35" s="161"/>
      <c r="Y35" s="162"/>
      <c r="Z35" s="162"/>
      <c r="AA35" s="162"/>
      <c r="AB35" s="163"/>
      <c r="AC35" s="164"/>
      <c r="AD35" s="161"/>
      <c r="AE35" s="162"/>
      <c r="AF35" s="162"/>
      <c r="AG35" s="162"/>
      <c r="AH35" s="163"/>
      <c r="AI35" s="176"/>
      <c r="AJ35" s="163"/>
      <c r="AK35" s="163"/>
      <c r="AL35" s="163"/>
      <c r="AM35" s="163"/>
      <c r="AN35" s="182"/>
      <c r="AO35" s="179"/>
      <c r="AP35" s="163"/>
      <c r="AQ35" s="163"/>
      <c r="AR35" s="163"/>
      <c r="AS35" s="163"/>
      <c r="AT35" s="165"/>
    </row>
    <row r="36" spans="1:46" ht="20" customHeight="1" x14ac:dyDescent="0.2">
      <c r="A36" s="61"/>
      <c r="B36" s="24"/>
      <c r="C36" s="50" t="s">
        <v>85</v>
      </c>
      <c r="D36" s="49" t="s">
        <v>357</v>
      </c>
      <c r="E36" s="49" t="s">
        <v>72</v>
      </c>
      <c r="F36" s="50">
        <v>2014</v>
      </c>
      <c r="G36" s="50">
        <v>23</v>
      </c>
      <c r="H36" s="89">
        <v>28</v>
      </c>
      <c r="I36" s="85" t="s">
        <v>186</v>
      </c>
      <c r="J36" s="117" t="s">
        <v>195</v>
      </c>
      <c r="K36" s="158"/>
      <c r="L36" s="158"/>
      <c r="M36" s="158"/>
      <c r="N36" s="158"/>
      <c r="O36" s="158"/>
      <c r="P36" s="159"/>
      <c r="Q36" s="158"/>
      <c r="R36" s="158"/>
      <c r="S36" s="158"/>
      <c r="T36" s="158"/>
      <c r="U36" s="158"/>
      <c r="V36" s="159"/>
      <c r="W36" s="160"/>
      <c r="X36" s="161"/>
      <c r="Y36" s="162"/>
      <c r="Z36" s="162"/>
      <c r="AA36" s="162"/>
      <c r="AB36" s="163"/>
      <c r="AC36" s="164"/>
      <c r="AD36" s="161"/>
      <c r="AE36" s="162"/>
      <c r="AF36" s="162"/>
      <c r="AG36" s="162"/>
      <c r="AH36" s="163"/>
      <c r="AI36" s="176"/>
      <c r="AJ36" s="163"/>
      <c r="AK36" s="163"/>
      <c r="AL36" s="163"/>
      <c r="AM36" s="163"/>
      <c r="AN36" s="182"/>
      <c r="AO36" s="179"/>
      <c r="AP36" s="163"/>
      <c r="AQ36" s="163"/>
      <c r="AR36" s="163"/>
      <c r="AS36" s="163"/>
      <c r="AT36" s="165"/>
    </row>
    <row r="37" spans="1:46" ht="20" customHeight="1" x14ac:dyDescent="0.2">
      <c r="A37" s="60"/>
      <c r="B37" s="82"/>
      <c r="C37" s="24" t="s">
        <v>85</v>
      </c>
      <c r="D37" s="23" t="s">
        <v>286</v>
      </c>
      <c r="E37" s="23" t="s">
        <v>287</v>
      </c>
      <c r="F37" s="24">
        <v>2014</v>
      </c>
      <c r="H37" s="89">
        <v>28</v>
      </c>
      <c r="I37" s="85" t="s">
        <v>186</v>
      </c>
      <c r="J37" s="117" t="s">
        <v>195</v>
      </c>
      <c r="K37" s="158"/>
      <c r="L37" s="158"/>
      <c r="M37" s="158"/>
      <c r="N37" s="158"/>
      <c r="O37" s="158"/>
      <c r="P37" s="159"/>
      <c r="Q37" s="158"/>
      <c r="R37" s="158"/>
      <c r="S37" s="158"/>
      <c r="T37" s="158"/>
      <c r="U37" s="158"/>
      <c r="V37" s="159"/>
      <c r="W37" s="160"/>
      <c r="X37" s="161"/>
      <c r="Y37" s="162"/>
      <c r="Z37" s="162"/>
      <c r="AA37" s="162"/>
      <c r="AB37" s="163"/>
      <c r="AC37" s="164"/>
      <c r="AD37" s="161"/>
      <c r="AE37" s="162"/>
      <c r="AF37" s="162"/>
      <c r="AG37" s="162"/>
      <c r="AH37" s="163"/>
      <c r="AI37" s="176"/>
      <c r="AJ37" s="163"/>
      <c r="AK37" s="163"/>
      <c r="AL37" s="163"/>
      <c r="AM37" s="163"/>
      <c r="AN37" s="182"/>
      <c r="AO37" s="179"/>
      <c r="AP37" s="163"/>
      <c r="AQ37" s="163"/>
      <c r="AR37" s="163"/>
      <c r="AS37" s="163"/>
      <c r="AT37" s="165"/>
    </row>
    <row r="38" spans="1:46" ht="20" customHeight="1" x14ac:dyDescent="0.2">
      <c r="A38" s="60"/>
      <c r="B38" s="83"/>
      <c r="C38" s="24" t="s">
        <v>85</v>
      </c>
      <c r="D38" s="23" t="s">
        <v>290</v>
      </c>
      <c r="E38" s="23" t="s">
        <v>291</v>
      </c>
      <c r="F38" s="24">
        <v>2015</v>
      </c>
      <c r="H38" s="89">
        <v>10</v>
      </c>
      <c r="I38" s="85" t="s">
        <v>348</v>
      </c>
      <c r="J38" s="117" t="s">
        <v>359</v>
      </c>
      <c r="K38" s="158"/>
      <c r="L38" s="158"/>
      <c r="M38" s="158"/>
      <c r="N38" s="158"/>
      <c r="O38" s="158"/>
      <c r="P38" s="159"/>
      <c r="Q38" s="158"/>
      <c r="R38" s="158"/>
      <c r="S38" s="158"/>
      <c r="T38" s="158"/>
      <c r="U38" s="158"/>
      <c r="V38" s="159"/>
      <c r="W38" s="160"/>
      <c r="X38" s="161"/>
      <c r="Y38" s="162"/>
      <c r="Z38" s="162"/>
      <c r="AA38" s="162"/>
      <c r="AB38" s="163"/>
      <c r="AC38" s="164"/>
      <c r="AD38" s="161"/>
      <c r="AE38" s="162"/>
      <c r="AF38" s="162"/>
      <c r="AG38" s="162"/>
      <c r="AH38" s="163"/>
      <c r="AI38" s="176"/>
      <c r="AJ38" s="163"/>
      <c r="AK38" s="163"/>
      <c r="AL38" s="163"/>
      <c r="AM38" s="163"/>
      <c r="AN38" s="182"/>
      <c r="AO38" s="179"/>
      <c r="AP38" s="163"/>
      <c r="AQ38" s="163"/>
      <c r="AR38" s="163"/>
      <c r="AS38" s="163"/>
      <c r="AT38" s="165"/>
    </row>
    <row r="39" spans="1:46" ht="20" customHeight="1" x14ac:dyDescent="0.2">
      <c r="A39" s="60"/>
      <c r="B39" s="82"/>
      <c r="C39" s="24" t="s">
        <v>85</v>
      </c>
      <c r="D39" s="23" t="s">
        <v>79</v>
      </c>
      <c r="E39" s="23" t="s">
        <v>80</v>
      </c>
      <c r="F39" s="24">
        <v>2015</v>
      </c>
      <c r="G39" s="24">
        <v>10</v>
      </c>
      <c r="H39" s="89">
        <v>11</v>
      </c>
      <c r="I39" s="85" t="s">
        <v>197</v>
      </c>
      <c r="J39" s="117" t="s">
        <v>169</v>
      </c>
      <c r="K39" s="158"/>
      <c r="L39" s="158"/>
      <c r="M39" s="158"/>
      <c r="N39" s="158"/>
      <c r="O39" s="158"/>
      <c r="P39" s="159"/>
      <c r="Q39" s="158"/>
      <c r="R39" s="158"/>
      <c r="S39" s="158"/>
      <c r="T39" s="158"/>
      <c r="U39" s="158"/>
      <c r="V39" s="159"/>
      <c r="W39" s="160"/>
      <c r="X39" s="161"/>
      <c r="Y39" s="162"/>
      <c r="Z39" s="162"/>
      <c r="AA39" s="162"/>
      <c r="AB39" s="163"/>
      <c r="AC39" s="164"/>
      <c r="AD39" s="161"/>
      <c r="AE39" s="162"/>
      <c r="AF39" s="162"/>
      <c r="AG39" s="162"/>
      <c r="AH39" s="163"/>
      <c r="AI39" s="176"/>
      <c r="AJ39" s="163"/>
      <c r="AK39" s="163"/>
      <c r="AL39" s="163"/>
      <c r="AM39" s="163"/>
      <c r="AN39" s="182"/>
      <c r="AO39" s="179"/>
      <c r="AP39" s="163"/>
      <c r="AQ39" s="163"/>
      <c r="AR39" s="163"/>
      <c r="AS39" s="163"/>
      <c r="AT39" s="165"/>
    </row>
    <row r="40" spans="1:46" ht="20" customHeight="1" x14ac:dyDescent="0.2">
      <c r="A40" s="61"/>
      <c r="B40" s="83"/>
      <c r="C40" s="24" t="s">
        <v>85</v>
      </c>
      <c r="D40" s="23" t="s">
        <v>91</v>
      </c>
      <c r="E40" s="23" t="s">
        <v>92</v>
      </c>
      <c r="F40" s="24">
        <v>2001</v>
      </c>
      <c r="G40" s="24">
        <v>170</v>
      </c>
      <c r="H40" s="89">
        <v>22</v>
      </c>
      <c r="I40" s="85" t="s">
        <v>177</v>
      </c>
      <c r="J40" s="117" t="s">
        <v>169</v>
      </c>
      <c r="K40" s="158"/>
      <c r="L40" s="158"/>
      <c r="M40" s="158"/>
      <c r="N40" s="158"/>
      <c r="O40" s="158"/>
      <c r="P40" s="159"/>
      <c r="Q40" s="158"/>
      <c r="R40" s="158"/>
      <c r="S40" s="158"/>
      <c r="T40" s="158"/>
      <c r="U40" s="158"/>
      <c r="V40" s="159"/>
      <c r="W40" s="160"/>
      <c r="X40" s="161"/>
      <c r="Y40" s="162"/>
      <c r="Z40" s="162"/>
      <c r="AA40" s="162"/>
      <c r="AB40" s="163"/>
      <c r="AC40" s="164"/>
      <c r="AD40" s="161"/>
      <c r="AE40" s="162"/>
      <c r="AF40" s="162"/>
      <c r="AG40" s="162"/>
      <c r="AH40" s="163"/>
      <c r="AI40" s="176"/>
      <c r="AJ40" s="163"/>
      <c r="AK40" s="163"/>
      <c r="AL40" s="163"/>
      <c r="AM40" s="163"/>
      <c r="AN40" s="182"/>
      <c r="AO40" s="179"/>
      <c r="AP40" s="163"/>
      <c r="AQ40" s="163"/>
      <c r="AR40" s="163"/>
      <c r="AS40" s="163"/>
      <c r="AT40" s="165"/>
    </row>
    <row r="41" spans="1:46" ht="20" customHeight="1" x14ac:dyDescent="0.2">
      <c r="A41" s="60"/>
      <c r="B41" s="83"/>
      <c r="C41" s="24" t="s">
        <v>85</v>
      </c>
      <c r="D41" s="23" t="s">
        <v>294</v>
      </c>
      <c r="E41" s="23" t="s">
        <v>295</v>
      </c>
      <c r="F41" s="24">
        <v>2009</v>
      </c>
      <c r="H41" s="89">
        <v>20</v>
      </c>
      <c r="I41" s="85" t="s">
        <v>216</v>
      </c>
      <c r="J41" s="117" t="s">
        <v>193</v>
      </c>
      <c r="K41" s="158"/>
      <c r="L41" s="158"/>
      <c r="M41" s="158"/>
      <c r="N41" s="158"/>
      <c r="O41" s="158"/>
      <c r="P41" s="159"/>
      <c r="Q41" s="158"/>
      <c r="R41" s="158"/>
      <c r="S41" s="158"/>
      <c r="T41" s="158"/>
      <c r="U41" s="158"/>
      <c r="V41" s="159"/>
      <c r="W41" s="160"/>
      <c r="X41" s="161"/>
      <c r="Y41" s="162"/>
      <c r="Z41" s="162"/>
      <c r="AA41" s="162"/>
      <c r="AB41" s="163"/>
      <c r="AC41" s="164"/>
      <c r="AD41" s="161"/>
      <c r="AE41" s="162"/>
      <c r="AF41" s="162"/>
      <c r="AG41" s="162"/>
      <c r="AH41" s="163"/>
      <c r="AI41" s="176"/>
      <c r="AJ41" s="163"/>
      <c r="AK41" s="163"/>
      <c r="AL41" s="163"/>
      <c r="AM41" s="163"/>
      <c r="AN41" s="182"/>
      <c r="AO41" s="179"/>
      <c r="AP41" s="163"/>
      <c r="AQ41" s="163"/>
      <c r="AR41" s="163"/>
      <c r="AS41" s="163"/>
      <c r="AT41" s="165"/>
    </row>
    <row r="42" spans="1:46" ht="20" customHeight="1" x14ac:dyDescent="0.2">
      <c r="A42" s="60"/>
      <c r="B42" s="24"/>
      <c r="C42" s="24" t="s">
        <v>85</v>
      </c>
      <c r="D42" s="23" t="s">
        <v>296</v>
      </c>
      <c r="E42" s="23" t="s">
        <v>297</v>
      </c>
      <c r="F42" s="24">
        <v>2006</v>
      </c>
      <c r="H42" s="89">
        <v>10</v>
      </c>
      <c r="I42" s="85" t="s">
        <v>364</v>
      </c>
      <c r="J42" s="117" t="s">
        <v>169</v>
      </c>
      <c r="K42" s="158"/>
      <c r="L42" s="158"/>
      <c r="M42" s="158"/>
      <c r="N42" s="158"/>
      <c r="O42" s="158"/>
      <c r="P42" s="159"/>
      <c r="Q42" s="158"/>
      <c r="R42" s="158"/>
      <c r="S42" s="158"/>
      <c r="T42" s="158"/>
      <c r="U42" s="158"/>
      <c r="V42" s="159"/>
      <c r="W42" s="160"/>
      <c r="X42" s="161"/>
      <c r="Y42" s="162"/>
      <c r="Z42" s="162"/>
      <c r="AA42" s="162"/>
      <c r="AB42" s="163"/>
      <c r="AC42" s="164"/>
      <c r="AD42" s="161"/>
      <c r="AE42" s="162"/>
      <c r="AF42" s="162"/>
      <c r="AG42" s="162"/>
      <c r="AH42" s="163"/>
      <c r="AI42" s="176"/>
      <c r="AJ42" s="163"/>
      <c r="AK42" s="163"/>
      <c r="AL42" s="163"/>
      <c r="AM42" s="163"/>
      <c r="AN42" s="182"/>
      <c r="AO42" s="179"/>
      <c r="AP42" s="163"/>
      <c r="AQ42" s="163"/>
      <c r="AR42" s="163"/>
      <c r="AS42" s="163"/>
      <c r="AT42" s="165"/>
    </row>
    <row r="43" spans="1:46" ht="20" customHeight="1" x14ac:dyDescent="0.2">
      <c r="A43" s="61"/>
      <c r="B43" s="24"/>
      <c r="C43" s="24" t="s">
        <v>85</v>
      </c>
      <c r="D43" s="23" t="s">
        <v>300</v>
      </c>
      <c r="E43" s="23" t="s">
        <v>301</v>
      </c>
      <c r="F43" s="24">
        <v>2016</v>
      </c>
      <c r="H43" s="89">
        <v>25</v>
      </c>
      <c r="I43" s="85" t="s">
        <v>216</v>
      </c>
      <c r="J43" s="117" t="s">
        <v>194</v>
      </c>
      <c r="K43" s="158"/>
      <c r="L43" s="158"/>
      <c r="M43" s="158"/>
      <c r="N43" s="158"/>
      <c r="O43" s="158"/>
      <c r="P43" s="159"/>
      <c r="Q43" s="158"/>
      <c r="R43" s="158"/>
      <c r="S43" s="158"/>
      <c r="T43" s="158"/>
      <c r="U43" s="158"/>
      <c r="V43" s="159"/>
      <c r="W43" s="160"/>
      <c r="X43" s="161"/>
      <c r="Y43" s="162"/>
      <c r="Z43" s="162"/>
      <c r="AA43" s="162"/>
      <c r="AB43" s="163"/>
      <c r="AC43" s="164"/>
      <c r="AD43" s="161"/>
      <c r="AE43" s="162"/>
      <c r="AF43" s="162"/>
      <c r="AG43" s="162"/>
      <c r="AH43" s="163"/>
      <c r="AI43" s="176"/>
      <c r="AJ43" s="163"/>
      <c r="AK43" s="163"/>
      <c r="AL43" s="163"/>
      <c r="AM43" s="163"/>
      <c r="AN43" s="182"/>
      <c r="AO43" s="179"/>
      <c r="AP43" s="163"/>
      <c r="AQ43" s="163"/>
      <c r="AR43" s="163"/>
      <c r="AS43" s="163"/>
      <c r="AT43" s="165"/>
    </row>
    <row r="44" spans="1:46" ht="20" customHeight="1" x14ac:dyDescent="0.2">
      <c r="A44" s="60"/>
      <c r="B44" s="82"/>
      <c r="C44" s="24" t="s">
        <v>85</v>
      </c>
      <c r="D44" s="23" t="s">
        <v>99</v>
      </c>
      <c r="E44" s="23" t="s">
        <v>100</v>
      </c>
      <c r="F44" s="24">
        <v>2002</v>
      </c>
      <c r="G44" s="24">
        <v>103</v>
      </c>
      <c r="H44" s="89">
        <v>8</v>
      </c>
      <c r="I44" s="85"/>
      <c r="J44" s="117"/>
      <c r="K44" s="158"/>
      <c r="L44" s="158"/>
      <c r="M44" s="158"/>
      <c r="N44" s="158"/>
      <c r="O44" s="158"/>
      <c r="P44" s="159"/>
      <c r="Q44" s="158"/>
      <c r="R44" s="158"/>
      <c r="S44" s="158"/>
      <c r="T44" s="158"/>
      <c r="U44" s="158"/>
      <c r="V44" s="159"/>
      <c r="W44" s="160"/>
      <c r="X44" s="161"/>
      <c r="Y44" s="162"/>
      <c r="Z44" s="162"/>
      <c r="AA44" s="162"/>
      <c r="AB44" s="163"/>
      <c r="AC44" s="164"/>
      <c r="AD44" s="161"/>
      <c r="AE44" s="162"/>
      <c r="AF44" s="162"/>
      <c r="AG44" s="162"/>
      <c r="AH44" s="163"/>
      <c r="AI44" s="176"/>
      <c r="AJ44" s="163"/>
      <c r="AK44" s="163"/>
      <c r="AL44" s="163"/>
      <c r="AM44" s="163"/>
      <c r="AN44" s="182"/>
      <c r="AO44" s="179"/>
      <c r="AP44" s="163"/>
      <c r="AQ44" s="163"/>
      <c r="AR44" s="163"/>
      <c r="AS44" s="163"/>
      <c r="AT44" s="165"/>
    </row>
    <row r="45" spans="1:46" ht="20" customHeight="1" x14ac:dyDescent="0.2">
      <c r="A45" s="60"/>
      <c r="B45" s="83"/>
      <c r="C45" s="24" t="s">
        <v>85</v>
      </c>
      <c r="D45" s="23" t="s">
        <v>304</v>
      </c>
      <c r="E45" s="23" t="s">
        <v>305</v>
      </c>
      <c r="F45" s="24">
        <v>2015</v>
      </c>
      <c r="H45" s="89">
        <v>41</v>
      </c>
      <c r="I45" s="85" t="s">
        <v>186</v>
      </c>
      <c r="J45" s="117"/>
      <c r="K45" s="158"/>
      <c r="L45" s="158"/>
      <c r="M45" s="158"/>
      <c r="N45" s="158"/>
      <c r="O45" s="158"/>
      <c r="P45" s="159"/>
      <c r="Q45" s="158"/>
      <c r="R45" s="158"/>
      <c r="S45" s="158"/>
      <c r="T45" s="158"/>
      <c r="U45" s="158"/>
      <c r="V45" s="159"/>
      <c r="W45" s="160"/>
      <c r="X45" s="161"/>
      <c r="Y45" s="162"/>
      <c r="Z45" s="162"/>
      <c r="AA45" s="162"/>
      <c r="AB45" s="163"/>
      <c r="AC45" s="164"/>
      <c r="AD45" s="161"/>
      <c r="AE45" s="162"/>
      <c r="AF45" s="162"/>
      <c r="AG45" s="162"/>
      <c r="AH45" s="163"/>
      <c r="AI45" s="176"/>
      <c r="AJ45" s="163"/>
      <c r="AK45" s="163"/>
      <c r="AL45" s="163"/>
      <c r="AM45" s="163"/>
      <c r="AN45" s="182"/>
      <c r="AO45" s="179"/>
      <c r="AP45" s="163"/>
      <c r="AQ45" s="163"/>
      <c r="AR45" s="163"/>
      <c r="AS45" s="163"/>
      <c r="AT45" s="165"/>
    </row>
    <row r="46" spans="1:46" ht="20" customHeight="1" x14ac:dyDescent="0.2">
      <c r="A46" s="60"/>
      <c r="B46" s="83"/>
      <c r="C46" s="24" t="s">
        <v>85</v>
      </c>
      <c r="D46" s="23" t="s">
        <v>306</v>
      </c>
      <c r="E46" s="23" t="s">
        <v>307</v>
      </c>
      <c r="F46" s="24">
        <v>2009</v>
      </c>
      <c r="H46" s="89">
        <v>68</v>
      </c>
      <c r="I46" s="85" t="s">
        <v>216</v>
      </c>
      <c r="J46" s="117" t="s">
        <v>368</v>
      </c>
      <c r="K46" s="158"/>
      <c r="L46" s="158"/>
      <c r="M46" s="158"/>
      <c r="N46" s="158"/>
      <c r="O46" s="158"/>
      <c r="P46" s="159"/>
      <c r="Q46" s="158"/>
      <c r="R46" s="158"/>
      <c r="S46" s="158"/>
      <c r="T46" s="158"/>
      <c r="U46" s="158"/>
      <c r="V46" s="159"/>
      <c r="W46" s="160"/>
      <c r="X46" s="161"/>
      <c r="Y46" s="162"/>
      <c r="Z46" s="162"/>
      <c r="AA46" s="162"/>
      <c r="AB46" s="163"/>
      <c r="AC46" s="164"/>
      <c r="AD46" s="161"/>
      <c r="AE46" s="162"/>
      <c r="AF46" s="162"/>
      <c r="AG46" s="162"/>
      <c r="AH46" s="163"/>
      <c r="AI46" s="176"/>
      <c r="AJ46" s="163"/>
      <c r="AK46" s="163"/>
      <c r="AL46" s="163"/>
      <c r="AM46" s="163"/>
      <c r="AN46" s="182"/>
      <c r="AO46" s="179"/>
      <c r="AP46" s="163"/>
      <c r="AQ46" s="163"/>
      <c r="AR46" s="163"/>
      <c r="AS46" s="163"/>
      <c r="AT46" s="165"/>
    </row>
    <row r="47" spans="1:46" ht="20" customHeight="1" x14ac:dyDescent="0.2">
      <c r="A47" s="61"/>
      <c r="B47" s="24"/>
      <c r="C47" s="24" t="s">
        <v>85</v>
      </c>
      <c r="D47" s="23" t="s">
        <v>105</v>
      </c>
      <c r="E47" s="23" t="s">
        <v>106</v>
      </c>
      <c r="F47" s="24">
        <v>1989</v>
      </c>
      <c r="G47" s="24">
        <v>27</v>
      </c>
      <c r="H47" s="89"/>
      <c r="I47" s="85" t="s">
        <v>211</v>
      </c>
      <c r="J47" s="117" t="s">
        <v>179</v>
      </c>
      <c r="K47" s="158"/>
      <c r="L47" s="158"/>
      <c r="M47" s="158"/>
      <c r="N47" s="158"/>
      <c r="O47" s="158"/>
      <c r="P47" s="159"/>
      <c r="Q47" s="158"/>
      <c r="R47" s="158"/>
      <c r="S47" s="158"/>
      <c r="T47" s="158"/>
      <c r="U47" s="158"/>
      <c r="V47" s="159"/>
      <c r="W47" s="160"/>
      <c r="X47" s="161"/>
      <c r="Y47" s="162"/>
      <c r="Z47" s="162"/>
      <c r="AA47" s="162"/>
      <c r="AB47" s="163"/>
      <c r="AC47" s="164"/>
      <c r="AD47" s="161"/>
      <c r="AE47" s="162"/>
      <c r="AF47" s="162"/>
      <c r="AG47" s="162"/>
      <c r="AH47" s="163"/>
      <c r="AI47" s="176"/>
      <c r="AJ47" s="163"/>
      <c r="AK47" s="163"/>
      <c r="AL47" s="163"/>
      <c r="AM47" s="163"/>
      <c r="AN47" s="182"/>
      <c r="AO47" s="179"/>
      <c r="AP47" s="163"/>
      <c r="AQ47" s="163"/>
      <c r="AR47" s="163"/>
      <c r="AS47" s="163"/>
      <c r="AT47" s="165"/>
    </row>
    <row r="48" spans="1:46" ht="20" customHeight="1" x14ac:dyDescent="0.2">
      <c r="A48" s="61"/>
      <c r="B48" s="83"/>
      <c r="C48" s="24" t="s">
        <v>85</v>
      </c>
      <c r="D48" s="23" t="s">
        <v>308</v>
      </c>
      <c r="E48" s="23" t="s">
        <v>309</v>
      </c>
      <c r="F48" s="24">
        <v>2011</v>
      </c>
      <c r="H48" s="89"/>
      <c r="I48" s="85"/>
      <c r="J48" s="117"/>
      <c r="K48" s="158"/>
      <c r="L48" s="158"/>
      <c r="M48" s="158"/>
      <c r="N48" s="158"/>
      <c r="O48" s="158"/>
      <c r="P48" s="159"/>
      <c r="Q48" s="158"/>
      <c r="R48" s="158"/>
      <c r="S48" s="158"/>
      <c r="T48" s="158"/>
      <c r="U48" s="158"/>
      <c r="V48" s="159"/>
      <c r="W48" s="160"/>
      <c r="X48" s="161"/>
      <c r="Y48" s="162"/>
      <c r="Z48" s="162"/>
      <c r="AA48" s="162"/>
      <c r="AB48" s="163"/>
      <c r="AC48" s="164"/>
      <c r="AD48" s="161"/>
      <c r="AE48" s="162"/>
      <c r="AF48" s="162"/>
      <c r="AG48" s="162"/>
      <c r="AH48" s="163"/>
      <c r="AI48" s="176"/>
      <c r="AJ48" s="163"/>
      <c r="AK48" s="163"/>
      <c r="AL48" s="163"/>
      <c r="AM48" s="163"/>
      <c r="AN48" s="182"/>
      <c r="AO48" s="179"/>
      <c r="AP48" s="163"/>
      <c r="AQ48" s="163"/>
      <c r="AR48" s="163"/>
      <c r="AS48" s="163"/>
      <c r="AT48" s="165"/>
    </row>
    <row r="49" spans="1:46" ht="20" customHeight="1" x14ac:dyDescent="0.2">
      <c r="A49" s="60"/>
      <c r="B49" s="82"/>
      <c r="C49" s="24" t="s">
        <v>85</v>
      </c>
      <c r="D49" s="23" t="s">
        <v>107</v>
      </c>
      <c r="E49" s="23" t="s">
        <v>108</v>
      </c>
      <c r="F49" s="24">
        <v>2008</v>
      </c>
      <c r="G49" s="24">
        <v>54</v>
      </c>
      <c r="H49" s="89">
        <v>12</v>
      </c>
      <c r="I49" s="85" t="s">
        <v>168</v>
      </c>
      <c r="J49" s="117" t="s">
        <v>212</v>
      </c>
      <c r="K49" s="158"/>
      <c r="L49" s="158"/>
      <c r="M49" s="158"/>
      <c r="N49" s="158"/>
      <c r="O49" s="158"/>
      <c r="P49" s="159"/>
      <c r="Q49" s="158"/>
      <c r="R49" s="158"/>
      <c r="S49" s="158"/>
      <c r="T49" s="158"/>
      <c r="U49" s="158"/>
      <c r="V49" s="159"/>
      <c r="W49" s="160"/>
      <c r="X49" s="161"/>
      <c r="Y49" s="162"/>
      <c r="Z49" s="162"/>
      <c r="AA49" s="162"/>
      <c r="AB49" s="163"/>
      <c r="AC49" s="164"/>
      <c r="AD49" s="161"/>
      <c r="AE49" s="162"/>
      <c r="AF49" s="162"/>
      <c r="AG49" s="162"/>
      <c r="AH49" s="163"/>
      <c r="AI49" s="176"/>
      <c r="AJ49" s="163"/>
      <c r="AK49" s="163"/>
      <c r="AL49" s="163"/>
      <c r="AM49" s="163"/>
      <c r="AN49" s="182"/>
      <c r="AO49" s="179"/>
      <c r="AP49" s="163"/>
      <c r="AQ49" s="163"/>
      <c r="AR49" s="163"/>
      <c r="AS49" s="163"/>
      <c r="AT49" s="165"/>
    </row>
    <row r="50" spans="1:46" ht="20" customHeight="1" x14ac:dyDescent="0.2">
      <c r="A50" s="60"/>
      <c r="B50" s="83"/>
      <c r="C50" s="24" t="s">
        <v>85</v>
      </c>
      <c r="D50" s="23" t="s">
        <v>109</v>
      </c>
      <c r="E50" s="23" t="s">
        <v>110</v>
      </c>
      <c r="F50" s="24">
        <v>1999</v>
      </c>
      <c r="G50" s="24">
        <v>76</v>
      </c>
      <c r="H50" s="89">
        <v>7</v>
      </c>
      <c r="I50" s="85" t="s">
        <v>177</v>
      </c>
      <c r="J50" s="117" t="s">
        <v>194</v>
      </c>
      <c r="K50" s="158"/>
      <c r="L50" s="158"/>
      <c r="M50" s="158"/>
      <c r="N50" s="158"/>
      <c r="O50" s="158"/>
      <c r="P50" s="159"/>
      <c r="Q50" s="158"/>
      <c r="R50" s="158"/>
      <c r="S50" s="158"/>
      <c r="T50" s="158"/>
      <c r="U50" s="158"/>
      <c r="V50" s="159"/>
      <c r="W50" s="160"/>
      <c r="X50" s="161"/>
      <c r="Y50" s="162"/>
      <c r="Z50" s="162"/>
      <c r="AA50" s="162"/>
      <c r="AB50" s="163"/>
      <c r="AC50" s="164"/>
      <c r="AD50" s="161"/>
      <c r="AE50" s="162"/>
      <c r="AF50" s="162"/>
      <c r="AG50" s="162"/>
      <c r="AH50" s="163"/>
      <c r="AI50" s="176"/>
      <c r="AJ50" s="163"/>
      <c r="AK50" s="163"/>
      <c r="AL50" s="163"/>
      <c r="AM50" s="163"/>
      <c r="AN50" s="182"/>
      <c r="AO50" s="179"/>
      <c r="AP50" s="163"/>
      <c r="AQ50" s="163"/>
      <c r="AR50" s="163"/>
      <c r="AS50" s="163"/>
      <c r="AT50" s="165"/>
    </row>
    <row r="51" spans="1:46" ht="20" customHeight="1" x14ac:dyDescent="0.2">
      <c r="A51" s="61"/>
      <c r="B51" s="83"/>
      <c r="C51" s="24" t="s">
        <v>85</v>
      </c>
      <c r="D51" s="23" t="s">
        <v>111</v>
      </c>
      <c r="E51" s="23" t="s">
        <v>112</v>
      </c>
      <c r="F51" s="24">
        <v>2008</v>
      </c>
      <c r="G51" s="24">
        <v>101</v>
      </c>
      <c r="H51" s="89">
        <v>16</v>
      </c>
      <c r="I51" s="85" t="s">
        <v>213</v>
      </c>
      <c r="J51" s="117"/>
      <c r="K51" s="158"/>
      <c r="L51" s="158"/>
      <c r="M51" s="158"/>
      <c r="N51" s="158"/>
      <c r="O51" s="158"/>
      <c r="P51" s="159"/>
      <c r="Q51" s="158"/>
      <c r="R51" s="158"/>
      <c r="S51" s="158"/>
      <c r="T51" s="158"/>
      <c r="U51" s="158"/>
      <c r="V51" s="159"/>
      <c r="W51" s="160"/>
      <c r="X51" s="161"/>
      <c r="Y51" s="162"/>
      <c r="Z51" s="162"/>
      <c r="AA51" s="162"/>
      <c r="AB51" s="163"/>
      <c r="AC51" s="164"/>
      <c r="AD51" s="161"/>
      <c r="AE51" s="162"/>
      <c r="AF51" s="162"/>
      <c r="AG51" s="162"/>
      <c r="AH51" s="163"/>
      <c r="AI51" s="176"/>
      <c r="AJ51" s="163"/>
      <c r="AK51" s="163"/>
      <c r="AL51" s="163"/>
      <c r="AM51" s="163"/>
      <c r="AN51" s="182"/>
      <c r="AO51" s="179"/>
      <c r="AP51" s="163"/>
      <c r="AQ51" s="163"/>
      <c r="AR51" s="163"/>
      <c r="AS51" s="163"/>
      <c r="AT51" s="165"/>
    </row>
    <row r="52" spans="1:46" ht="20" customHeight="1" x14ac:dyDescent="0.2">
      <c r="A52" s="60"/>
      <c r="B52" s="82"/>
      <c r="C52" s="24" t="s">
        <v>85</v>
      </c>
      <c r="D52" s="23" t="s">
        <v>119</v>
      </c>
      <c r="E52" s="23" t="s">
        <v>120</v>
      </c>
      <c r="F52" s="24">
        <v>2003</v>
      </c>
      <c r="G52" s="24">
        <v>45</v>
      </c>
      <c r="H52" s="89">
        <v>16</v>
      </c>
      <c r="I52" s="85" t="s">
        <v>177</v>
      </c>
      <c r="J52" s="117" t="s">
        <v>425</v>
      </c>
      <c r="K52" s="158"/>
      <c r="L52" s="158"/>
      <c r="M52" s="158"/>
      <c r="N52" s="158"/>
      <c r="O52" s="158"/>
      <c r="P52" s="159"/>
      <c r="Q52" s="158"/>
      <c r="R52" s="158"/>
      <c r="S52" s="158"/>
      <c r="T52" s="158"/>
      <c r="U52" s="158"/>
      <c r="V52" s="159"/>
      <c r="W52" s="160"/>
      <c r="X52" s="161"/>
      <c r="Y52" s="162"/>
      <c r="Z52" s="162"/>
      <c r="AA52" s="162"/>
      <c r="AB52" s="163"/>
      <c r="AC52" s="164"/>
      <c r="AD52" s="161"/>
      <c r="AE52" s="162"/>
      <c r="AF52" s="162"/>
      <c r="AG52" s="162"/>
      <c r="AH52" s="163"/>
      <c r="AI52" s="176"/>
      <c r="AJ52" s="163"/>
      <c r="AK52" s="163"/>
      <c r="AL52" s="163"/>
      <c r="AM52" s="163"/>
      <c r="AN52" s="182"/>
      <c r="AO52" s="179"/>
      <c r="AP52" s="163"/>
      <c r="AQ52" s="163"/>
      <c r="AR52" s="163"/>
      <c r="AS52" s="163"/>
      <c r="AT52" s="165"/>
    </row>
    <row r="53" spans="1:46" ht="20" customHeight="1" x14ac:dyDescent="0.2">
      <c r="A53" s="60"/>
      <c r="B53" s="82"/>
      <c r="C53" s="24" t="s">
        <v>85</v>
      </c>
      <c r="D53" s="23" t="s">
        <v>312</v>
      </c>
      <c r="E53" s="23" t="s">
        <v>313</v>
      </c>
      <c r="F53" s="24">
        <v>2015</v>
      </c>
      <c r="H53" s="89">
        <v>5</v>
      </c>
      <c r="I53" s="85" t="s">
        <v>213</v>
      </c>
      <c r="J53" s="117" t="s">
        <v>190</v>
      </c>
      <c r="K53" s="158"/>
      <c r="L53" s="158"/>
      <c r="M53" s="158"/>
      <c r="N53" s="158"/>
      <c r="O53" s="158"/>
      <c r="P53" s="159"/>
      <c r="Q53" s="158"/>
      <c r="R53" s="158"/>
      <c r="S53" s="158"/>
      <c r="T53" s="158"/>
      <c r="U53" s="158"/>
      <c r="V53" s="159"/>
      <c r="W53" s="160"/>
      <c r="X53" s="161"/>
      <c r="Y53" s="162"/>
      <c r="Z53" s="162"/>
      <c r="AA53" s="162"/>
      <c r="AB53" s="163"/>
      <c r="AC53" s="164"/>
      <c r="AD53" s="161"/>
      <c r="AE53" s="162"/>
      <c r="AF53" s="162"/>
      <c r="AG53" s="162"/>
      <c r="AH53" s="163"/>
      <c r="AI53" s="176"/>
      <c r="AJ53" s="163"/>
      <c r="AK53" s="163"/>
      <c r="AL53" s="163"/>
      <c r="AM53" s="163"/>
      <c r="AN53" s="182"/>
      <c r="AO53" s="179"/>
      <c r="AP53" s="163"/>
      <c r="AQ53" s="163"/>
      <c r="AR53" s="163"/>
      <c r="AS53" s="163"/>
      <c r="AT53" s="165"/>
    </row>
    <row r="54" spans="1:46" ht="20" customHeight="1" x14ac:dyDescent="0.2">
      <c r="A54" s="60"/>
      <c r="B54" s="83"/>
      <c r="C54" s="24" t="s">
        <v>85</v>
      </c>
      <c r="D54" s="23" t="s">
        <v>314</v>
      </c>
      <c r="E54" s="23" t="s">
        <v>315</v>
      </c>
      <c r="F54" s="24">
        <v>2008</v>
      </c>
      <c r="H54" s="89">
        <v>86</v>
      </c>
      <c r="I54" s="85" t="s">
        <v>177</v>
      </c>
      <c r="J54" s="117"/>
      <c r="K54" s="158"/>
      <c r="L54" s="158"/>
      <c r="M54" s="158"/>
      <c r="N54" s="158"/>
      <c r="O54" s="158"/>
      <c r="P54" s="159"/>
      <c r="Q54" s="158"/>
      <c r="R54" s="158"/>
      <c r="S54" s="158"/>
      <c r="T54" s="158"/>
      <c r="U54" s="158"/>
      <c r="V54" s="159"/>
      <c r="W54" s="160"/>
      <c r="X54" s="161"/>
      <c r="Y54" s="162"/>
      <c r="Z54" s="162"/>
      <c r="AA54" s="162"/>
      <c r="AB54" s="163"/>
      <c r="AC54" s="164"/>
      <c r="AD54" s="161"/>
      <c r="AE54" s="162"/>
      <c r="AF54" s="162"/>
      <c r="AG54" s="162"/>
      <c r="AH54" s="163"/>
      <c r="AI54" s="176"/>
      <c r="AJ54" s="163"/>
      <c r="AK54" s="163"/>
      <c r="AL54" s="163"/>
      <c r="AM54" s="163"/>
      <c r="AN54" s="182"/>
      <c r="AO54" s="179"/>
      <c r="AP54" s="163"/>
      <c r="AQ54" s="163"/>
      <c r="AR54" s="163"/>
      <c r="AS54" s="163"/>
      <c r="AT54" s="165"/>
    </row>
    <row r="55" spans="1:46" ht="20" customHeight="1" x14ac:dyDescent="0.2">
      <c r="A55" s="60"/>
      <c r="B55" s="83"/>
      <c r="C55" s="24" t="s">
        <v>85</v>
      </c>
      <c r="D55" s="23" t="s">
        <v>316</v>
      </c>
      <c r="E55" s="23" t="s">
        <v>317</v>
      </c>
      <c r="F55" s="24">
        <v>2012</v>
      </c>
      <c r="H55" s="89"/>
      <c r="I55" s="85" t="s">
        <v>373</v>
      </c>
      <c r="J55" s="117" t="s">
        <v>212</v>
      </c>
      <c r="K55" s="158"/>
      <c r="L55" s="158"/>
      <c r="M55" s="158"/>
      <c r="N55" s="158"/>
      <c r="O55" s="158"/>
      <c r="P55" s="159"/>
      <c r="Q55" s="158"/>
      <c r="R55" s="158"/>
      <c r="S55" s="158"/>
      <c r="T55" s="158"/>
      <c r="U55" s="158"/>
      <c r="V55" s="159"/>
      <c r="W55" s="160"/>
      <c r="X55" s="161"/>
      <c r="Y55" s="162"/>
      <c r="Z55" s="162"/>
      <c r="AA55" s="162"/>
      <c r="AB55" s="163"/>
      <c r="AC55" s="164"/>
      <c r="AD55" s="161"/>
      <c r="AE55" s="162"/>
      <c r="AF55" s="162"/>
      <c r="AG55" s="162"/>
      <c r="AH55" s="163"/>
      <c r="AI55" s="176"/>
      <c r="AJ55" s="163"/>
      <c r="AK55" s="163"/>
      <c r="AL55" s="163"/>
      <c r="AM55" s="163"/>
      <c r="AN55" s="182"/>
      <c r="AO55" s="179"/>
      <c r="AP55" s="163"/>
      <c r="AQ55" s="163"/>
      <c r="AR55" s="163"/>
      <c r="AS55" s="163"/>
      <c r="AT55" s="165"/>
    </row>
    <row r="56" spans="1:46" ht="20" customHeight="1" x14ac:dyDescent="0.2">
      <c r="A56" s="61"/>
      <c r="B56" s="24"/>
      <c r="C56" s="24" t="s">
        <v>85</v>
      </c>
      <c r="D56" s="23" t="s">
        <v>127</v>
      </c>
      <c r="E56" s="23" t="s">
        <v>128</v>
      </c>
      <c r="F56" s="24">
        <v>2000</v>
      </c>
      <c r="G56" s="24">
        <v>252</v>
      </c>
      <c r="H56" s="89">
        <v>30</v>
      </c>
      <c r="I56" s="85" t="s">
        <v>220</v>
      </c>
      <c r="J56" s="117" t="s">
        <v>169</v>
      </c>
      <c r="K56" s="158"/>
      <c r="L56" s="158"/>
      <c r="M56" s="158"/>
      <c r="N56" s="158"/>
      <c r="O56" s="158"/>
      <c r="P56" s="159"/>
      <c r="Q56" s="158"/>
      <c r="R56" s="158"/>
      <c r="S56" s="158"/>
      <c r="T56" s="158"/>
      <c r="U56" s="158"/>
      <c r="V56" s="159"/>
      <c r="W56" s="160"/>
      <c r="X56" s="161"/>
      <c r="Y56" s="162"/>
      <c r="Z56" s="162"/>
      <c r="AA56" s="162"/>
      <c r="AB56" s="163"/>
      <c r="AC56" s="164"/>
      <c r="AD56" s="161"/>
      <c r="AE56" s="162"/>
      <c r="AF56" s="162"/>
      <c r="AG56" s="162"/>
      <c r="AH56" s="163"/>
      <c r="AI56" s="176"/>
      <c r="AJ56" s="163"/>
      <c r="AK56" s="163"/>
      <c r="AL56" s="163"/>
      <c r="AM56" s="163"/>
      <c r="AN56" s="182"/>
      <c r="AO56" s="179"/>
      <c r="AP56" s="163"/>
      <c r="AQ56" s="163"/>
      <c r="AR56" s="163"/>
      <c r="AS56" s="163"/>
      <c r="AT56" s="165"/>
    </row>
    <row r="57" spans="1:46" ht="20" customHeight="1" x14ac:dyDescent="0.2">
      <c r="A57" s="61"/>
      <c r="B57" s="82"/>
      <c r="C57" s="24" t="s">
        <v>85</v>
      </c>
      <c r="D57" s="23" t="s">
        <v>133</v>
      </c>
      <c r="E57" s="23" t="s">
        <v>134</v>
      </c>
      <c r="F57" s="24">
        <v>2001</v>
      </c>
      <c r="G57" s="24">
        <v>192</v>
      </c>
      <c r="H57" s="89"/>
      <c r="I57" s="85" t="s">
        <v>177</v>
      </c>
      <c r="J57" s="117" t="s">
        <v>169</v>
      </c>
      <c r="K57" s="158"/>
      <c r="L57" s="158"/>
      <c r="M57" s="158"/>
      <c r="N57" s="158"/>
      <c r="O57" s="158"/>
      <c r="P57" s="159"/>
      <c r="Q57" s="158"/>
      <c r="R57" s="158"/>
      <c r="S57" s="158"/>
      <c r="T57" s="158"/>
      <c r="U57" s="158"/>
      <c r="V57" s="159"/>
      <c r="W57" s="160"/>
      <c r="X57" s="161"/>
      <c r="Y57" s="162"/>
      <c r="Z57" s="162"/>
      <c r="AA57" s="162"/>
      <c r="AB57" s="163"/>
      <c r="AC57" s="164"/>
      <c r="AD57" s="161"/>
      <c r="AE57" s="162"/>
      <c r="AF57" s="162"/>
      <c r="AG57" s="162"/>
      <c r="AH57" s="163"/>
      <c r="AI57" s="176"/>
      <c r="AJ57" s="163"/>
      <c r="AK57" s="163"/>
      <c r="AL57" s="163"/>
      <c r="AM57" s="163"/>
      <c r="AN57" s="182"/>
      <c r="AO57" s="179"/>
      <c r="AP57" s="163"/>
      <c r="AQ57" s="163"/>
      <c r="AR57" s="163"/>
      <c r="AS57" s="163"/>
      <c r="AT57" s="165"/>
    </row>
    <row r="58" spans="1:46" ht="20" customHeight="1" x14ac:dyDescent="0.2">
      <c r="A58" s="61"/>
      <c r="B58" s="82"/>
      <c r="D58" s="23" t="s">
        <v>151</v>
      </c>
      <c r="E58" s="23" t="s">
        <v>428</v>
      </c>
      <c r="F58" s="24">
        <v>1999</v>
      </c>
      <c r="H58" s="89">
        <v>30</v>
      </c>
      <c r="I58" s="85" t="s">
        <v>429</v>
      </c>
      <c r="J58" s="117" t="s">
        <v>222</v>
      </c>
      <c r="K58" s="158"/>
      <c r="L58" s="158"/>
      <c r="M58" s="158"/>
      <c r="N58" s="158"/>
      <c r="O58" s="158"/>
      <c r="P58" s="159"/>
      <c r="Q58" s="158"/>
      <c r="R58" s="158"/>
      <c r="S58" s="158"/>
      <c r="T58" s="158"/>
      <c r="U58" s="158"/>
      <c r="V58" s="159"/>
      <c r="W58" s="160"/>
      <c r="X58" s="161"/>
      <c r="Y58" s="162"/>
      <c r="Z58" s="162"/>
      <c r="AA58" s="162"/>
      <c r="AB58" s="163"/>
      <c r="AC58" s="164"/>
      <c r="AD58" s="161"/>
      <c r="AE58" s="162"/>
      <c r="AF58" s="162"/>
      <c r="AG58" s="162"/>
      <c r="AH58" s="163"/>
      <c r="AI58" s="176"/>
      <c r="AJ58" s="163"/>
      <c r="AK58" s="163"/>
      <c r="AL58" s="163"/>
      <c r="AM58" s="163"/>
      <c r="AN58" s="182"/>
      <c r="AO58" s="179"/>
      <c r="AP58" s="163"/>
      <c r="AQ58" s="163"/>
      <c r="AR58" s="163"/>
      <c r="AS58" s="163"/>
      <c r="AT58" s="165"/>
    </row>
    <row r="59" spans="1:46" ht="20" customHeight="1" x14ac:dyDescent="0.2">
      <c r="A59" s="61"/>
      <c r="B59" s="24"/>
      <c r="C59" s="24" t="s">
        <v>85</v>
      </c>
      <c r="D59" s="23" t="s">
        <v>135</v>
      </c>
      <c r="E59" s="23" t="s">
        <v>136</v>
      </c>
      <c r="F59" s="24">
        <v>2007</v>
      </c>
      <c r="G59" s="24">
        <v>240</v>
      </c>
      <c r="H59" s="89"/>
      <c r="I59" s="85" t="s">
        <v>223</v>
      </c>
      <c r="J59" s="117" t="s">
        <v>169</v>
      </c>
      <c r="K59" s="158"/>
      <c r="L59" s="158"/>
      <c r="M59" s="158"/>
      <c r="N59" s="158"/>
      <c r="O59" s="158"/>
      <c r="P59" s="159"/>
      <c r="Q59" s="158"/>
      <c r="R59" s="158"/>
      <c r="S59" s="158"/>
      <c r="T59" s="158"/>
      <c r="U59" s="158"/>
      <c r="V59" s="159"/>
      <c r="W59" s="160"/>
      <c r="X59" s="161"/>
      <c r="Y59" s="162"/>
      <c r="Z59" s="162"/>
      <c r="AA59" s="162"/>
      <c r="AB59" s="163"/>
      <c r="AC59" s="164"/>
      <c r="AD59" s="161"/>
      <c r="AE59" s="162"/>
      <c r="AF59" s="162"/>
      <c r="AG59" s="162"/>
      <c r="AH59" s="163"/>
      <c r="AI59" s="176"/>
      <c r="AJ59" s="163"/>
      <c r="AK59" s="163"/>
      <c r="AL59" s="163"/>
      <c r="AM59" s="163"/>
      <c r="AN59" s="182"/>
      <c r="AO59" s="179"/>
      <c r="AP59" s="163"/>
      <c r="AQ59" s="163"/>
      <c r="AR59" s="163"/>
      <c r="AS59" s="163"/>
      <c r="AT59" s="165"/>
    </row>
    <row r="60" spans="1:46" ht="20" customHeight="1" x14ac:dyDescent="0.2">
      <c r="A60" s="60"/>
      <c r="B60" s="82"/>
      <c r="C60" s="24" t="s">
        <v>85</v>
      </c>
      <c r="D60" s="23" t="s">
        <v>318</v>
      </c>
      <c r="E60" s="23" t="s">
        <v>319</v>
      </c>
      <c r="F60" s="24">
        <v>2010</v>
      </c>
      <c r="H60" s="89">
        <v>53</v>
      </c>
      <c r="I60" s="112" t="s">
        <v>374</v>
      </c>
      <c r="J60" s="117" t="s">
        <v>414</v>
      </c>
      <c r="K60" s="158"/>
      <c r="L60" s="158"/>
      <c r="M60" s="158"/>
      <c r="N60" s="158"/>
      <c r="O60" s="158"/>
      <c r="P60" s="159"/>
      <c r="Q60" s="158"/>
      <c r="R60" s="158"/>
      <c r="S60" s="158"/>
      <c r="T60" s="158"/>
      <c r="U60" s="158"/>
      <c r="V60" s="159"/>
      <c r="W60" s="160"/>
      <c r="X60" s="161"/>
      <c r="Y60" s="162"/>
      <c r="Z60" s="162"/>
      <c r="AA60" s="162"/>
      <c r="AB60" s="163"/>
      <c r="AC60" s="164"/>
      <c r="AD60" s="161"/>
      <c r="AE60" s="162"/>
      <c r="AF60" s="162"/>
      <c r="AG60" s="162"/>
      <c r="AH60" s="163"/>
      <c r="AI60" s="176"/>
      <c r="AJ60" s="163"/>
      <c r="AK60" s="163"/>
      <c r="AL60" s="163"/>
      <c r="AM60" s="163"/>
      <c r="AN60" s="182"/>
      <c r="AO60" s="179"/>
      <c r="AP60" s="163"/>
      <c r="AQ60" s="163"/>
      <c r="AR60" s="163"/>
      <c r="AS60" s="163"/>
      <c r="AT60" s="165"/>
    </row>
    <row r="61" spans="1:46" ht="20" customHeight="1" x14ac:dyDescent="0.2">
      <c r="A61" s="60"/>
      <c r="B61" s="82"/>
      <c r="C61" s="24" t="s">
        <v>85</v>
      </c>
      <c r="D61" s="23" t="s">
        <v>320</v>
      </c>
      <c r="E61" s="23" t="s">
        <v>321</v>
      </c>
      <c r="F61" s="24">
        <v>2014</v>
      </c>
      <c r="H61" s="89">
        <v>39</v>
      </c>
      <c r="I61" s="85" t="s">
        <v>213</v>
      </c>
      <c r="J61" s="117" t="s">
        <v>376</v>
      </c>
      <c r="K61" s="158"/>
      <c r="L61" s="158"/>
      <c r="M61" s="158"/>
      <c r="N61" s="158"/>
      <c r="O61" s="158"/>
      <c r="P61" s="159"/>
      <c r="Q61" s="158"/>
      <c r="R61" s="158"/>
      <c r="S61" s="158"/>
      <c r="T61" s="158"/>
      <c r="U61" s="158"/>
      <c r="V61" s="159"/>
      <c r="W61" s="160"/>
      <c r="X61" s="161"/>
      <c r="Y61" s="162"/>
      <c r="Z61" s="162"/>
      <c r="AA61" s="162"/>
      <c r="AB61" s="163"/>
      <c r="AC61" s="164"/>
      <c r="AD61" s="161"/>
      <c r="AE61" s="162"/>
      <c r="AF61" s="162"/>
      <c r="AG61" s="162"/>
      <c r="AH61" s="163"/>
      <c r="AI61" s="176"/>
      <c r="AJ61" s="163"/>
      <c r="AK61" s="163"/>
      <c r="AL61" s="163"/>
      <c r="AM61" s="163"/>
      <c r="AN61" s="182"/>
      <c r="AO61" s="179"/>
      <c r="AP61" s="163"/>
      <c r="AQ61" s="163"/>
      <c r="AR61" s="163"/>
      <c r="AS61" s="163"/>
      <c r="AT61" s="165"/>
    </row>
    <row r="62" spans="1:46" ht="20" customHeight="1" x14ac:dyDescent="0.2">
      <c r="A62" s="60"/>
      <c r="B62" s="82"/>
      <c r="C62" s="24" t="s">
        <v>85</v>
      </c>
      <c r="D62" s="23" t="s">
        <v>322</v>
      </c>
      <c r="E62" s="23" t="s">
        <v>323</v>
      </c>
      <c r="F62" s="24">
        <v>2010</v>
      </c>
      <c r="H62" s="89">
        <v>789</v>
      </c>
      <c r="I62" s="85" t="s">
        <v>213</v>
      </c>
      <c r="J62" s="117" t="s">
        <v>378</v>
      </c>
      <c r="K62" s="158"/>
      <c r="L62" s="158"/>
      <c r="M62" s="158"/>
      <c r="N62" s="158"/>
      <c r="O62" s="158"/>
      <c r="P62" s="159"/>
      <c r="Q62" s="158"/>
      <c r="R62" s="158"/>
      <c r="S62" s="158"/>
      <c r="T62" s="158"/>
      <c r="U62" s="158"/>
      <c r="V62" s="159"/>
      <c r="W62" s="160"/>
      <c r="X62" s="161"/>
      <c r="Y62" s="162"/>
      <c r="Z62" s="162"/>
      <c r="AA62" s="162"/>
      <c r="AB62" s="163"/>
      <c r="AC62" s="164"/>
      <c r="AD62" s="161"/>
      <c r="AE62" s="162"/>
      <c r="AF62" s="162"/>
      <c r="AG62" s="162"/>
      <c r="AH62" s="163"/>
      <c r="AI62" s="176"/>
      <c r="AJ62" s="163"/>
      <c r="AK62" s="163"/>
      <c r="AL62" s="163"/>
      <c r="AM62" s="163"/>
      <c r="AN62" s="182"/>
      <c r="AO62" s="179"/>
      <c r="AP62" s="163"/>
      <c r="AQ62" s="163"/>
      <c r="AR62" s="163"/>
      <c r="AS62" s="163"/>
      <c r="AT62" s="165"/>
    </row>
    <row r="63" spans="1:46" ht="20" customHeight="1" x14ac:dyDescent="0.2">
      <c r="A63" s="61"/>
      <c r="B63" s="24"/>
      <c r="C63" s="24" t="s">
        <v>85</v>
      </c>
      <c r="D63" s="23" t="s">
        <v>143</v>
      </c>
      <c r="E63" s="23" t="s">
        <v>144</v>
      </c>
      <c r="F63" s="24">
        <v>2008</v>
      </c>
      <c r="G63" s="24">
        <v>156</v>
      </c>
      <c r="H63" s="89">
        <v>50</v>
      </c>
      <c r="I63" s="85" t="s">
        <v>177</v>
      </c>
      <c r="J63" s="117"/>
      <c r="K63" s="158"/>
      <c r="L63" s="158"/>
      <c r="M63" s="158"/>
      <c r="N63" s="158"/>
      <c r="O63" s="158"/>
      <c r="P63" s="159"/>
      <c r="Q63" s="158"/>
      <c r="R63" s="158"/>
      <c r="S63" s="158"/>
      <c r="T63" s="158"/>
      <c r="U63" s="158"/>
      <c r="V63" s="159"/>
      <c r="W63" s="160"/>
      <c r="X63" s="161"/>
      <c r="Y63" s="162"/>
      <c r="Z63" s="162"/>
      <c r="AA63" s="162"/>
      <c r="AB63" s="163"/>
      <c r="AC63" s="164"/>
      <c r="AD63" s="161"/>
      <c r="AE63" s="162"/>
      <c r="AF63" s="162"/>
      <c r="AG63" s="162"/>
      <c r="AH63" s="163"/>
      <c r="AI63" s="176"/>
      <c r="AJ63" s="163"/>
      <c r="AK63" s="163"/>
      <c r="AL63" s="163"/>
      <c r="AM63" s="163"/>
      <c r="AN63" s="182"/>
      <c r="AO63" s="179"/>
      <c r="AP63" s="163"/>
      <c r="AQ63" s="163"/>
      <c r="AR63" s="163"/>
      <c r="AS63" s="163"/>
      <c r="AT63" s="165"/>
    </row>
    <row r="64" spans="1:46" ht="20" customHeight="1" x14ac:dyDescent="0.2">
      <c r="A64" s="60"/>
      <c r="B64" s="83"/>
      <c r="C64" s="24" t="s">
        <v>85</v>
      </c>
      <c r="D64" s="23" t="s">
        <v>326</v>
      </c>
      <c r="E64" s="23" t="s">
        <v>327</v>
      </c>
      <c r="F64" s="24">
        <v>2009</v>
      </c>
      <c r="H64" s="89">
        <v>12</v>
      </c>
      <c r="I64" s="85" t="s">
        <v>216</v>
      </c>
      <c r="J64" s="117" t="s">
        <v>194</v>
      </c>
      <c r="K64" s="158"/>
      <c r="L64" s="158"/>
      <c r="M64" s="158"/>
      <c r="N64" s="158"/>
      <c r="O64" s="158"/>
      <c r="P64" s="159"/>
      <c r="Q64" s="158"/>
      <c r="R64" s="158"/>
      <c r="S64" s="158"/>
      <c r="T64" s="158"/>
      <c r="U64" s="158"/>
      <c r="V64" s="159"/>
      <c r="W64" s="160"/>
      <c r="X64" s="161"/>
      <c r="Y64" s="162"/>
      <c r="Z64" s="162"/>
      <c r="AA64" s="162"/>
      <c r="AB64" s="163"/>
      <c r="AC64" s="164"/>
      <c r="AD64" s="161"/>
      <c r="AE64" s="162"/>
      <c r="AF64" s="162"/>
      <c r="AG64" s="162"/>
      <c r="AH64" s="163"/>
      <c r="AI64" s="176"/>
      <c r="AJ64" s="163"/>
      <c r="AK64" s="163"/>
      <c r="AL64" s="163"/>
      <c r="AM64" s="163"/>
      <c r="AN64" s="182"/>
      <c r="AO64" s="179"/>
      <c r="AP64" s="163"/>
      <c r="AQ64" s="163"/>
      <c r="AR64" s="163"/>
      <c r="AS64" s="163"/>
      <c r="AT64" s="165"/>
    </row>
    <row r="65" spans="1:46" ht="20" customHeight="1" thickBot="1" x14ac:dyDescent="0.25">
      <c r="A65" s="61"/>
      <c r="B65" s="24"/>
      <c r="C65" s="24" t="s">
        <v>85</v>
      </c>
      <c r="D65" s="23" t="s">
        <v>147</v>
      </c>
      <c r="E65" s="23" t="s">
        <v>148</v>
      </c>
      <c r="F65" s="24">
        <v>2011</v>
      </c>
      <c r="G65" s="24">
        <v>112</v>
      </c>
      <c r="H65" s="90">
        <v>22</v>
      </c>
      <c r="I65" s="87" t="s">
        <v>220</v>
      </c>
      <c r="J65" s="118" t="s">
        <v>195</v>
      </c>
      <c r="K65" s="166"/>
      <c r="L65" s="166"/>
      <c r="M65" s="166"/>
      <c r="N65" s="166"/>
      <c r="O65" s="166"/>
      <c r="P65" s="167"/>
      <c r="Q65" s="166"/>
      <c r="R65" s="166"/>
      <c r="S65" s="166"/>
      <c r="T65" s="166"/>
      <c r="U65" s="166"/>
      <c r="V65" s="167"/>
      <c r="W65" s="168"/>
      <c r="X65" s="169"/>
      <c r="Y65" s="170"/>
      <c r="Z65" s="170"/>
      <c r="AA65" s="170"/>
      <c r="AB65" s="171"/>
      <c r="AC65" s="172"/>
      <c r="AD65" s="169"/>
      <c r="AE65" s="170"/>
      <c r="AF65" s="170"/>
      <c r="AG65" s="170"/>
      <c r="AH65" s="171"/>
      <c r="AI65" s="177"/>
      <c r="AJ65" s="171"/>
      <c r="AK65" s="171"/>
      <c r="AL65" s="171"/>
      <c r="AM65" s="171"/>
      <c r="AN65" s="183"/>
      <c r="AO65" s="180"/>
      <c r="AP65" s="171"/>
      <c r="AQ65" s="171"/>
      <c r="AR65" s="171"/>
      <c r="AS65" s="171"/>
      <c r="AT65" s="173"/>
    </row>
    <row r="67" spans="1:46" ht="17" thickBot="1" x14ac:dyDescent="0.25"/>
    <row r="68" spans="1:46" s="22" customFormat="1" x14ac:dyDescent="0.2">
      <c r="C68" s="41"/>
      <c r="F68" s="24"/>
      <c r="G68" s="43"/>
      <c r="H68" s="44">
        <f>SUM(H12:H65)</f>
        <v>1980</v>
      </c>
      <c r="I68" s="139"/>
      <c r="J68" s="140"/>
      <c r="K68" s="51"/>
      <c r="L68" s="123"/>
      <c r="M68" s="121"/>
      <c r="N68" s="121"/>
      <c r="O68" s="121"/>
      <c r="P68" s="121"/>
      <c r="Q68" s="121"/>
      <c r="R68" s="121"/>
      <c r="S68" s="121"/>
      <c r="T68" s="121"/>
      <c r="U68" s="121"/>
      <c r="V68" s="121"/>
      <c r="W68" s="131"/>
      <c r="X68" s="141"/>
      <c r="Y68" s="132"/>
      <c r="Z68" s="132"/>
      <c r="AA68" s="133"/>
      <c r="AB68" s="146"/>
      <c r="AC68" s="146"/>
      <c r="AD68" s="146"/>
      <c r="AE68" s="146"/>
      <c r="AF68" s="146"/>
      <c r="AG68" s="146"/>
      <c r="AH68" s="146"/>
      <c r="AI68" s="146"/>
      <c r="AJ68" s="146"/>
      <c r="AK68" s="146"/>
      <c r="AL68" s="146"/>
      <c r="AM68" s="146"/>
      <c r="AN68" s="146"/>
      <c r="AO68" s="146"/>
      <c r="AP68" s="146"/>
      <c r="AQ68" s="146"/>
      <c r="AR68" s="146"/>
      <c r="AS68" s="146"/>
      <c r="AT68" s="134"/>
    </row>
    <row r="69" spans="1:46" s="22" customFormat="1" x14ac:dyDescent="0.2">
      <c r="C69" s="41"/>
      <c r="F69" s="24"/>
      <c r="G69" s="43"/>
      <c r="H69" s="42"/>
      <c r="I69" s="112"/>
      <c r="J69" s="117"/>
      <c r="K69" s="53"/>
      <c r="L69" s="124"/>
      <c r="M69" s="122"/>
      <c r="N69" s="122"/>
      <c r="O69" s="122"/>
      <c r="P69" s="122"/>
      <c r="Q69" s="122"/>
      <c r="R69" s="122"/>
      <c r="S69" s="122"/>
      <c r="T69" s="122"/>
      <c r="U69" s="122"/>
      <c r="V69" s="122"/>
      <c r="W69" s="135"/>
      <c r="X69" s="142"/>
      <c r="Y69" s="136"/>
      <c r="Z69" s="136"/>
      <c r="AA69" s="137"/>
      <c r="AB69" s="147"/>
      <c r="AC69" s="147"/>
      <c r="AD69" s="147"/>
      <c r="AE69" s="147"/>
      <c r="AF69" s="147"/>
      <c r="AG69" s="147"/>
      <c r="AH69" s="147"/>
      <c r="AI69" s="147"/>
      <c r="AJ69" s="147"/>
      <c r="AK69" s="147"/>
      <c r="AL69" s="147"/>
      <c r="AM69" s="147"/>
      <c r="AN69" s="147"/>
      <c r="AO69" s="147"/>
      <c r="AP69" s="147"/>
      <c r="AQ69" s="147"/>
      <c r="AR69" s="147"/>
      <c r="AS69" s="147"/>
      <c r="AT69" s="138"/>
    </row>
    <row r="70" spans="1:46" ht="20" customHeight="1" x14ac:dyDescent="0.2">
      <c r="E70" s="22"/>
      <c r="F70" s="22"/>
      <c r="H70" s="228" t="s">
        <v>244</v>
      </c>
      <c r="I70" s="231"/>
      <c r="J70" s="232"/>
      <c r="K70" s="332" t="s">
        <v>438</v>
      </c>
      <c r="L70" s="344" t="s">
        <v>439</v>
      </c>
      <c r="M70" s="318" t="s">
        <v>440</v>
      </c>
      <c r="N70" s="311"/>
      <c r="O70" s="311"/>
      <c r="P70" s="143"/>
      <c r="Q70" s="143"/>
      <c r="R70" s="143"/>
      <c r="S70" s="143"/>
      <c r="T70" s="143"/>
      <c r="U70" s="143"/>
      <c r="V70" s="347" t="s">
        <v>435</v>
      </c>
      <c r="W70" s="339" t="s">
        <v>435</v>
      </c>
      <c r="X70" s="285"/>
      <c r="Y70" s="339" t="s">
        <v>435</v>
      </c>
      <c r="Z70" s="285"/>
      <c r="AA70" s="341" t="s">
        <v>435</v>
      </c>
      <c r="AB70" s="148"/>
      <c r="AC70" s="148"/>
      <c r="AD70" s="148"/>
      <c r="AE70" s="148"/>
      <c r="AF70" s="148"/>
      <c r="AG70" s="148"/>
      <c r="AH70" s="148"/>
      <c r="AI70" s="148"/>
      <c r="AJ70" s="148"/>
      <c r="AK70" s="148"/>
      <c r="AL70" s="148"/>
      <c r="AM70" s="148"/>
      <c r="AN70" s="148"/>
      <c r="AO70" s="148"/>
      <c r="AP70" s="148"/>
      <c r="AQ70" s="148"/>
      <c r="AR70" s="148"/>
      <c r="AS70" s="148"/>
      <c r="AT70" s="342" t="s">
        <v>435</v>
      </c>
    </row>
    <row r="71" spans="1:46" ht="20" customHeight="1" x14ac:dyDescent="0.2">
      <c r="E71" s="22"/>
      <c r="F71" s="22"/>
      <c r="H71" s="229"/>
      <c r="I71" s="233"/>
      <c r="J71" s="234"/>
      <c r="K71" s="332"/>
      <c r="L71" s="345"/>
      <c r="M71" s="318"/>
      <c r="N71" s="311"/>
      <c r="O71" s="311"/>
      <c r="P71" s="143"/>
      <c r="Q71" s="143"/>
      <c r="R71" s="143"/>
      <c r="S71" s="143"/>
      <c r="T71" s="143"/>
      <c r="U71" s="143"/>
      <c r="V71" s="347"/>
      <c r="W71" s="340"/>
      <c r="X71" s="285"/>
      <c r="Y71" s="340"/>
      <c r="Z71" s="285"/>
      <c r="AA71" s="285"/>
      <c r="AB71" s="145"/>
      <c r="AC71" s="145"/>
      <c r="AD71" s="145"/>
      <c r="AE71" s="145"/>
      <c r="AF71" s="145"/>
      <c r="AG71" s="145"/>
      <c r="AH71" s="145"/>
      <c r="AI71" s="145"/>
      <c r="AJ71" s="145"/>
      <c r="AK71" s="145"/>
      <c r="AL71" s="145"/>
      <c r="AM71" s="145"/>
      <c r="AN71" s="145"/>
      <c r="AO71" s="145"/>
      <c r="AP71" s="145"/>
      <c r="AQ71" s="145"/>
      <c r="AR71" s="145"/>
      <c r="AS71" s="145"/>
      <c r="AT71" s="343"/>
    </row>
    <row r="72" spans="1:46" ht="20" customHeight="1" x14ac:dyDescent="0.2">
      <c r="E72" s="22"/>
      <c r="F72" s="22"/>
      <c r="H72" s="229"/>
      <c r="I72" s="233"/>
      <c r="J72" s="234"/>
      <c r="K72" s="332"/>
      <c r="L72" s="345"/>
      <c r="M72" s="318"/>
      <c r="N72" s="311"/>
      <c r="O72" s="311"/>
      <c r="P72" s="143"/>
      <c r="Q72" s="143"/>
      <c r="R72" s="143"/>
      <c r="S72" s="143"/>
      <c r="T72" s="143"/>
      <c r="U72" s="143"/>
      <c r="V72" s="347"/>
      <c r="W72" s="340"/>
      <c r="X72" s="285"/>
      <c r="Y72" s="340"/>
      <c r="Z72" s="285"/>
      <c r="AA72" s="285"/>
      <c r="AB72" s="145"/>
      <c r="AC72" s="145"/>
      <c r="AD72" s="145"/>
      <c r="AE72" s="145"/>
      <c r="AF72" s="145"/>
      <c r="AG72" s="145"/>
      <c r="AH72" s="145"/>
      <c r="AI72" s="145"/>
      <c r="AJ72" s="145"/>
      <c r="AK72" s="145"/>
      <c r="AL72" s="145"/>
      <c r="AM72" s="145"/>
      <c r="AN72" s="145"/>
      <c r="AO72" s="145"/>
      <c r="AP72" s="145"/>
      <c r="AQ72" s="145"/>
      <c r="AR72" s="145"/>
      <c r="AS72" s="145"/>
      <c r="AT72" s="343"/>
    </row>
    <row r="73" spans="1:46" ht="20" customHeight="1" x14ac:dyDescent="0.2">
      <c r="E73" s="22"/>
      <c r="F73" s="22"/>
      <c r="H73" s="229"/>
      <c r="I73" s="233"/>
      <c r="J73" s="234"/>
      <c r="K73" s="332"/>
      <c r="L73" s="345"/>
      <c r="M73" s="318"/>
      <c r="N73" s="311"/>
      <c r="O73" s="311"/>
      <c r="P73" s="143"/>
      <c r="Q73" s="143"/>
      <c r="R73" s="143"/>
      <c r="S73" s="143"/>
      <c r="T73" s="143"/>
      <c r="U73" s="143"/>
      <c r="V73" s="347"/>
      <c r="W73" s="340"/>
      <c r="X73" s="285"/>
      <c r="Y73" s="340"/>
      <c r="Z73" s="285"/>
      <c r="AA73" s="285"/>
      <c r="AB73" s="145"/>
      <c r="AC73" s="145"/>
      <c r="AD73" s="145"/>
      <c r="AE73" s="145"/>
      <c r="AF73" s="145"/>
      <c r="AG73" s="145"/>
      <c r="AH73" s="145"/>
      <c r="AI73" s="145"/>
      <c r="AJ73" s="145"/>
      <c r="AK73" s="145"/>
      <c r="AL73" s="145"/>
      <c r="AM73" s="145"/>
      <c r="AN73" s="145"/>
      <c r="AO73" s="145"/>
      <c r="AP73" s="145"/>
      <c r="AQ73" s="145"/>
      <c r="AR73" s="145"/>
      <c r="AS73" s="145"/>
      <c r="AT73" s="343"/>
    </row>
    <row r="74" spans="1:46" ht="20" customHeight="1" x14ac:dyDescent="0.2">
      <c r="E74" s="22"/>
      <c r="F74" s="22"/>
      <c r="H74" s="229"/>
      <c r="I74" s="233"/>
      <c r="J74" s="234"/>
      <c r="K74" s="333"/>
      <c r="L74" s="345"/>
      <c r="M74" s="346"/>
      <c r="N74" s="312"/>
      <c r="O74" s="312"/>
      <c r="P74" s="144"/>
      <c r="Q74" s="144"/>
      <c r="R74" s="144"/>
      <c r="S74" s="144"/>
      <c r="T74" s="144"/>
      <c r="U74" s="144"/>
      <c r="V74" s="348"/>
      <c r="W74" s="340"/>
      <c r="X74" s="285"/>
      <c r="Y74" s="340"/>
      <c r="Z74" s="285"/>
      <c r="AA74" s="285"/>
      <c r="AB74" s="145"/>
      <c r="AC74" s="145"/>
      <c r="AD74" s="145"/>
      <c r="AE74" s="145"/>
      <c r="AF74" s="145"/>
      <c r="AG74" s="145"/>
      <c r="AH74" s="145"/>
      <c r="AI74" s="145"/>
      <c r="AJ74" s="145"/>
      <c r="AK74" s="145"/>
      <c r="AL74" s="145"/>
      <c r="AM74" s="145"/>
      <c r="AN74" s="145"/>
      <c r="AO74" s="145"/>
      <c r="AP74" s="145"/>
      <c r="AQ74" s="145"/>
      <c r="AR74" s="145"/>
      <c r="AS74" s="145"/>
      <c r="AT74" s="343"/>
    </row>
    <row r="75" spans="1:46" ht="20" customHeight="1" thickBot="1" x14ac:dyDescent="0.25">
      <c r="E75" s="22"/>
      <c r="F75" s="22"/>
      <c r="H75" s="229"/>
      <c r="I75" s="233"/>
      <c r="J75" s="234"/>
      <c r="K75" s="237" t="s">
        <v>437</v>
      </c>
      <c r="L75" s="257"/>
      <c r="M75" s="257"/>
      <c r="N75" s="354"/>
      <c r="O75" s="355"/>
      <c r="P75" s="355"/>
      <c r="Q75" s="355"/>
      <c r="R75" s="355"/>
      <c r="S75" s="355"/>
      <c r="T75" s="355"/>
      <c r="U75" s="355"/>
      <c r="V75" s="356"/>
      <c r="W75" s="349"/>
      <c r="X75" s="350"/>
      <c r="Y75" s="351"/>
      <c r="Z75" s="352"/>
      <c r="AA75" s="350"/>
      <c r="AB75" s="350"/>
      <c r="AC75" s="350"/>
      <c r="AD75" s="350"/>
      <c r="AE75" s="350"/>
      <c r="AF75" s="350"/>
      <c r="AG75" s="350"/>
      <c r="AH75" s="350"/>
      <c r="AI75" s="350"/>
      <c r="AJ75" s="350"/>
      <c r="AK75" s="350"/>
      <c r="AL75" s="350"/>
      <c r="AM75" s="350"/>
      <c r="AN75" s="350"/>
      <c r="AO75" s="350"/>
      <c r="AP75" s="350"/>
      <c r="AQ75" s="350"/>
      <c r="AR75" s="350"/>
      <c r="AS75" s="350"/>
      <c r="AT75" s="353"/>
    </row>
    <row r="76" spans="1:46" ht="20" customHeight="1" thickBot="1" x14ac:dyDescent="0.25">
      <c r="E76" s="22"/>
      <c r="F76" s="22"/>
      <c r="H76" s="229"/>
      <c r="I76" s="233"/>
      <c r="J76" s="234"/>
      <c r="K76" s="365" t="s">
        <v>434</v>
      </c>
      <c r="L76" s="366"/>
      <c r="M76" s="366"/>
      <c r="N76" s="366"/>
      <c r="O76" s="366"/>
      <c r="P76" s="366"/>
      <c r="Q76" s="366"/>
      <c r="R76" s="366"/>
      <c r="S76" s="366"/>
      <c r="T76" s="366"/>
      <c r="U76" s="366"/>
      <c r="V76" s="367"/>
      <c r="W76" s="368" t="s">
        <v>436</v>
      </c>
      <c r="X76" s="369"/>
      <c r="Y76" s="370"/>
      <c r="Z76" s="370"/>
      <c r="AA76" s="370"/>
      <c r="AB76" s="371"/>
      <c r="AC76" s="371"/>
      <c r="AD76" s="371"/>
      <c r="AE76" s="371"/>
      <c r="AF76" s="371"/>
      <c r="AG76" s="371"/>
      <c r="AH76" s="371"/>
      <c r="AI76" s="371"/>
      <c r="AJ76" s="371"/>
      <c r="AK76" s="371"/>
      <c r="AL76" s="371"/>
      <c r="AM76" s="371"/>
      <c r="AN76" s="371"/>
      <c r="AO76" s="371"/>
      <c r="AP76" s="371"/>
      <c r="AQ76" s="371"/>
      <c r="AR76" s="371"/>
      <c r="AS76" s="371"/>
      <c r="AT76" s="372"/>
    </row>
    <row r="77" spans="1:46" ht="20" thickBot="1" x14ac:dyDescent="0.3">
      <c r="E77" s="22"/>
      <c r="F77" s="22"/>
      <c r="H77" s="230"/>
      <c r="I77" s="235"/>
      <c r="J77" s="236"/>
      <c r="K77" s="268" t="s">
        <v>433</v>
      </c>
      <c r="L77" s="269"/>
      <c r="M77" s="269"/>
      <c r="N77" s="269"/>
      <c r="O77" s="269"/>
      <c r="P77" s="269"/>
      <c r="Q77" s="269"/>
      <c r="R77" s="269"/>
      <c r="S77" s="269"/>
      <c r="T77" s="269"/>
      <c r="U77" s="269"/>
      <c r="V77" s="269"/>
      <c r="W77" s="269"/>
      <c r="X77" s="269"/>
      <c r="Y77" s="269"/>
      <c r="Z77" s="269"/>
      <c r="AA77" s="269"/>
      <c r="AB77" s="269"/>
      <c r="AC77" s="269"/>
      <c r="AD77" s="269"/>
      <c r="AE77" s="269"/>
      <c r="AF77" s="269"/>
      <c r="AG77" s="269"/>
      <c r="AH77" s="269"/>
      <c r="AI77" s="269"/>
      <c r="AJ77" s="269"/>
      <c r="AK77" s="269"/>
      <c r="AL77" s="269"/>
      <c r="AM77" s="269"/>
      <c r="AN77" s="269"/>
      <c r="AO77" s="269"/>
      <c r="AP77" s="269"/>
      <c r="AQ77" s="269"/>
      <c r="AR77" s="269"/>
      <c r="AS77" s="269"/>
      <c r="AT77" s="270"/>
    </row>
    <row r="78" spans="1:46" x14ac:dyDescent="0.2">
      <c r="E78" s="22"/>
      <c r="F78" s="22"/>
    </row>
  </sheetData>
  <mergeCells count="84">
    <mergeCell ref="K76:V76"/>
    <mergeCell ref="W76:AT76"/>
    <mergeCell ref="W7:W11"/>
    <mergeCell ref="Y7:Y11"/>
    <mergeCell ref="AA7:AA11"/>
    <mergeCell ref="AT7:AT11"/>
    <mergeCell ref="L7:L11"/>
    <mergeCell ref="M7:M11"/>
    <mergeCell ref="O7:O11"/>
    <mergeCell ref="N7:N11"/>
    <mergeCell ref="L70:L74"/>
    <mergeCell ref="M70:M74"/>
    <mergeCell ref="V70:V74"/>
    <mergeCell ref="W75:Y75"/>
    <mergeCell ref="Z75:AT75"/>
    <mergeCell ref="N75:V75"/>
    <mergeCell ref="A8:A11"/>
    <mergeCell ref="B8:B11"/>
    <mergeCell ref="H70:H77"/>
    <mergeCell ref="I70:J77"/>
    <mergeCell ref="K70:K74"/>
    <mergeCell ref="G7:G11"/>
    <mergeCell ref="H7:H11"/>
    <mergeCell ref="I7:I11"/>
    <mergeCell ref="J7:J11"/>
    <mergeCell ref="K7:K11"/>
    <mergeCell ref="K75:M75"/>
    <mergeCell ref="K77:AT77"/>
    <mergeCell ref="W70:W74"/>
    <mergeCell ref="Y70:Y74"/>
    <mergeCell ref="AA70:AA74"/>
    <mergeCell ref="AT70:AT74"/>
    <mergeCell ref="D2:D3"/>
    <mergeCell ref="W6:Y6"/>
    <mergeCell ref="K6:M6"/>
    <mergeCell ref="D4:D7"/>
    <mergeCell ref="Q5:V5"/>
    <mergeCell ref="Q6:S6"/>
    <mergeCell ref="T6:V6"/>
    <mergeCell ref="N6:P6"/>
    <mergeCell ref="K3:AT3"/>
    <mergeCell ref="K4:V4"/>
    <mergeCell ref="W4:AT4"/>
    <mergeCell ref="X70:X74"/>
    <mergeCell ref="Z70:Z74"/>
    <mergeCell ref="N70:N74"/>
    <mergeCell ref="O70:O74"/>
    <mergeCell ref="Q7:Q11"/>
    <mergeCell ref="R7:R11"/>
    <mergeCell ref="S7:S11"/>
    <mergeCell ref="T7:T11"/>
    <mergeCell ref="U7:U11"/>
    <mergeCell ref="V7:V11"/>
    <mergeCell ref="P7:P11"/>
    <mergeCell ref="K5:P5"/>
    <mergeCell ref="Z6:AB6"/>
    <mergeCell ref="AB7:AB11"/>
    <mergeCell ref="W5:AB5"/>
    <mergeCell ref="Z7:Z11"/>
    <mergeCell ref="X7:X11"/>
    <mergeCell ref="AL7:AL11"/>
    <mergeCell ref="AM7:AM11"/>
    <mergeCell ref="AL6:AN6"/>
    <mergeCell ref="AI5:AN5"/>
    <mergeCell ref="AN7:AN11"/>
    <mergeCell ref="AC5:AH5"/>
    <mergeCell ref="AF6:AH6"/>
    <mergeCell ref="AH7:AH11"/>
    <mergeCell ref="AI6:AK6"/>
    <mergeCell ref="AI7:AI11"/>
    <mergeCell ref="AJ7:AJ11"/>
    <mergeCell ref="AK7:AK11"/>
    <mergeCell ref="AC6:AE6"/>
    <mergeCell ref="AC7:AC11"/>
    <mergeCell ref="AD7:AD11"/>
    <mergeCell ref="AE7:AE11"/>
    <mergeCell ref="AF7:AF11"/>
    <mergeCell ref="AG7:AG11"/>
    <mergeCell ref="AP7:AP11"/>
    <mergeCell ref="AQ7:AQ11"/>
    <mergeCell ref="AR7:AR11"/>
    <mergeCell ref="AS7:AS11"/>
    <mergeCell ref="AO5:AT5"/>
    <mergeCell ref="AO7:AO11"/>
  </mergeCells>
  <pageMargins left="0.7" right="0.7" top="0.75" bottom="0.75" header="0.3" footer="0.3"/>
  <ignoredErrors>
    <ignoredError sqref="I12:I65"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9"/>
  <sheetViews>
    <sheetView tabSelected="1" showRuler="0" topLeftCell="D1" workbookViewId="0">
      <selection activeCell="D72" sqref="D72"/>
    </sheetView>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246" t="s">
        <v>162</v>
      </c>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7"/>
      <c r="BA2" s="247"/>
      <c r="BB2" s="247"/>
      <c r="BC2" s="247"/>
      <c r="BD2" s="247"/>
      <c r="BE2" s="247"/>
      <c r="BF2" s="247"/>
      <c r="BG2" s="247"/>
      <c r="BH2" s="247"/>
      <c r="BI2" s="247"/>
      <c r="BJ2" s="247"/>
      <c r="BK2" s="247"/>
      <c r="BL2" s="247"/>
      <c r="BM2" s="247"/>
      <c r="BN2" s="247"/>
      <c r="BO2" s="247"/>
      <c r="BP2" s="247"/>
      <c r="BQ2" s="247"/>
      <c r="BR2" s="247"/>
      <c r="BS2" s="247"/>
      <c r="BT2" s="247"/>
      <c r="BU2" s="247"/>
      <c r="BV2" s="247"/>
      <c r="BW2" s="247"/>
      <c r="BX2" s="247"/>
      <c r="BY2" s="247"/>
      <c r="BZ2" s="247"/>
      <c r="CA2" s="247"/>
      <c r="CB2" s="247"/>
      <c r="CC2" s="247"/>
      <c r="CD2" s="247"/>
      <c r="CE2" s="247"/>
      <c r="CF2" s="247"/>
      <c r="CG2" s="247"/>
      <c r="CH2" s="247"/>
      <c r="CI2" s="247"/>
      <c r="CJ2" s="247"/>
      <c r="CK2" s="247"/>
      <c r="CL2" s="247"/>
      <c r="CM2" s="247"/>
      <c r="CN2" s="247"/>
      <c r="CO2" s="247"/>
      <c r="CP2" s="248"/>
    </row>
    <row r="3" spans="1:95" ht="16" customHeight="1" x14ac:dyDescent="0.2">
      <c r="D3" s="190" t="s">
        <v>234</v>
      </c>
      <c r="K3" s="218" t="s">
        <v>241</v>
      </c>
      <c r="L3" s="277"/>
      <c r="M3" s="277"/>
      <c r="N3" s="252"/>
      <c r="O3" s="218" t="s">
        <v>239</v>
      </c>
      <c r="P3" s="277"/>
      <c r="Q3" s="277"/>
      <c r="R3" s="252"/>
      <c r="S3" s="212" t="s">
        <v>210</v>
      </c>
      <c r="T3" s="260"/>
      <c r="U3" s="260"/>
      <c r="V3" s="213"/>
      <c r="W3" s="212" t="s">
        <v>173</v>
      </c>
      <c r="X3" s="260"/>
      <c r="Y3" s="260"/>
      <c r="Z3" s="213"/>
      <c r="AA3" s="212" t="s">
        <v>164</v>
      </c>
      <c r="AB3" s="260"/>
      <c r="AC3" s="260"/>
      <c r="AD3" s="213"/>
      <c r="AE3" s="212" t="s">
        <v>174</v>
      </c>
      <c r="AF3" s="260"/>
      <c r="AG3" s="260"/>
      <c r="AH3" s="213"/>
      <c r="AI3" s="212" t="s">
        <v>172</v>
      </c>
      <c r="AJ3" s="260"/>
      <c r="AK3" s="260"/>
      <c r="AL3" s="213"/>
      <c r="AM3" s="212" t="s">
        <v>175</v>
      </c>
      <c r="AN3" s="260"/>
      <c r="AO3" s="260"/>
      <c r="AP3" s="213"/>
      <c r="AQ3" s="212" t="s">
        <v>157</v>
      </c>
      <c r="AR3" s="260"/>
      <c r="AS3" s="260"/>
      <c r="AT3" s="213"/>
      <c r="AU3" s="212" t="s">
        <v>158</v>
      </c>
      <c r="AV3" s="260"/>
      <c r="AW3" s="260"/>
      <c r="AX3" s="213"/>
      <c r="AY3" s="218" t="s">
        <v>379</v>
      </c>
      <c r="AZ3" s="277"/>
      <c r="BA3" s="277"/>
      <c r="BB3" s="252"/>
      <c r="BC3" s="218" t="s">
        <v>238</v>
      </c>
      <c r="BD3" s="277"/>
      <c r="BE3" s="277"/>
      <c r="BF3" s="252"/>
      <c r="BG3" s="212" t="s">
        <v>163</v>
      </c>
      <c r="BH3" s="260"/>
      <c r="BI3" s="260"/>
      <c r="BJ3" s="213"/>
      <c r="BK3" s="212" t="s">
        <v>159</v>
      </c>
      <c r="BL3" s="260"/>
      <c r="BM3" s="260"/>
      <c r="BN3" s="213"/>
      <c r="BO3" s="218" t="s">
        <v>240</v>
      </c>
      <c r="BP3" s="277"/>
      <c r="BQ3" s="277"/>
      <c r="BR3" s="252"/>
      <c r="BS3" s="212" t="s">
        <v>160</v>
      </c>
      <c r="BT3" s="260"/>
      <c r="BU3" s="260"/>
      <c r="BV3" s="213"/>
      <c r="BW3" s="212" t="s">
        <v>208</v>
      </c>
      <c r="BX3" s="260"/>
      <c r="BY3" s="260"/>
      <c r="BZ3" s="213"/>
      <c r="CA3" s="212" t="s">
        <v>207</v>
      </c>
      <c r="CB3" s="260"/>
      <c r="CC3" s="260"/>
      <c r="CD3" s="213"/>
      <c r="CE3" s="212" t="s">
        <v>209</v>
      </c>
      <c r="CF3" s="260"/>
      <c r="CG3" s="260"/>
      <c r="CH3" s="213"/>
      <c r="CI3" s="212" t="s">
        <v>204</v>
      </c>
      <c r="CJ3" s="260"/>
      <c r="CK3" s="260"/>
      <c r="CL3" s="213"/>
      <c r="CM3" s="212" t="s">
        <v>161</v>
      </c>
      <c r="CN3" s="260"/>
      <c r="CO3" s="260"/>
      <c r="CP3" s="213"/>
    </row>
    <row r="4" spans="1:95" ht="20" customHeight="1" x14ac:dyDescent="0.2">
      <c r="B4" s="84"/>
      <c r="D4" s="191"/>
      <c r="K4" s="253"/>
      <c r="L4" s="272"/>
      <c r="M4" s="272"/>
      <c r="N4" s="254"/>
      <c r="O4" s="253"/>
      <c r="P4" s="272"/>
      <c r="Q4" s="272"/>
      <c r="R4" s="254"/>
      <c r="S4" s="214"/>
      <c r="T4" s="258"/>
      <c r="U4" s="258"/>
      <c r="V4" s="215"/>
      <c r="W4" s="214"/>
      <c r="X4" s="258"/>
      <c r="Y4" s="258"/>
      <c r="Z4" s="215"/>
      <c r="AA4" s="214"/>
      <c r="AB4" s="258"/>
      <c r="AC4" s="258"/>
      <c r="AD4" s="215"/>
      <c r="AE4" s="214"/>
      <c r="AF4" s="258"/>
      <c r="AG4" s="258"/>
      <c r="AH4" s="215"/>
      <c r="AI4" s="214"/>
      <c r="AJ4" s="258"/>
      <c r="AK4" s="258"/>
      <c r="AL4" s="215"/>
      <c r="AM4" s="214"/>
      <c r="AN4" s="258"/>
      <c r="AO4" s="258"/>
      <c r="AP4" s="215"/>
      <c r="AQ4" s="214"/>
      <c r="AR4" s="258"/>
      <c r="AS4" s="258"/>
      <c r="AT4" s="215"/>
      <c r="AU4" s="214"/>
      <c r="AV4" s="258"/>
      <c r="AW4" s="258"/>
      <c r="AX4" s="215"/>
      <c r="AY4" s="253"/>
      <c r="AZ4" s="272"/>
      <c r="BA4" s="272"/>
      <c r="BB4" s="254"/>
      <c r="BC4" s="253"/>
      <c r="BD4" s="272"/>
      <c r="BE4" s="272"/>
      <c r="BF4" s="254"/>
      <c r="BG4" s="214"/>
      <c r="BH4" s="258"/>
      <c r="BI4" s="258"/>
      <c r="BJ4" s="215"/>
      <c r="BK4" s="214"/>
      <c r="BL4" s="258"/>
      <c r="BM4" s="258"/>
      <c r="BN4" s="215"/>
      <c r="BO4" s="253"/>
      <c r="BP4" s="272"/>
      <c r="BQ4" s="272"/>
      <c r="BR4" s="254"/>
      <c r="BS4" s="214"/>
      <c r="BT4" s="258"/>
      <c r="BU4" s="258"/>
      <c r="BV4" s="215"/>
      <c r="BW4" s="214"/>
      <c r="BX4" s="258"/>
      <c r="BY4" s="258"/>
      <c r="BZ4" s="215"/>
      <c r="CA4" s="214"/>
      <c r="CB4" s="258"/>
      <c r="CC4" s="258"/>
      <c r="CD4" s="215"/>
      <c r="CE4" s="214"/>
      <c r="CF4" s="258"/>
      <c r="CG4" s="258"/>
      <c r="CH4" s="215"/>
      <c r="CI4" s="214"/>
      <c r="CJ4" s="258"/>
      <c r="CK4" s="258"/>
      <c r="CL4" s="215"/>
      <c r="CM4" s="214"/>
      <c r="CN4" s="258"/>
      <c r="CO4" s="258"/>
      <c r="CP4" s="215"/>
    </row>
    <row r="5" spans="1:95" ht="20" customHeight="1" thickBot="1" x14ac:dyDescent="0.25">
      <c r="A5" s="61"/>
      <c r="B5" s="83"/>
      <c r="D5" s="188" t="s">
        <v>248</v>
      </c>
      <c r="I5" s="24"/>
      <c r="J5" s="24"/>
      <c r="K5" s="255"/>
      <c r="L5" s="278"/>
      <c r="M5" s="278"/>
      <c r="N5" s="256"/>
      <c r="O5" s="255"/>
      <c r="P5" s="278"/>
      <c r="Q5" s="278"/>
      <c r="R5" s="256"/>
      <c r="S5" s="216"/>
      <c r="T5" s="261"/>
      <c r="U5" s="261"/>
      <c r="V5" s="217"/>
      <c r="W5" s="216"/>
      <c r="X5" s="261"/>
      <c r="Y5" s="261"/>
      <c r="Z5" s="217"/>
      <c r="AA5" s="216"/>
      <c r="AB5" s="261"/>
      <c r="AC5" s="261"/>
      <c r="AD5" s="217"/>
      <c r="AE5" s="216"/>
      <c r="AF5" s="261"/>
      <c r="AG5" s="261"/>
      <c r="AH5" s="217"/>
      <c r="AI5" s="216"/>
      <c r="AJ5" s="261"/>
      <c r="AK5" s="261"/>
      <c r="AL5" s="217"/>
      <c r="AM5" s="216"/>
      <c r="AN5" s="261"/>
      <c r="AO5" s="261"/>
      <c r="AP5" s="217"/>
      <c r="AQ5" s="216"/>
      <c r="AR5" s="261"/>
      <c r="AS5" s="261"/>
      <c r="AT5" s="217"/>
      <c r="AU5" s="216"/>
      <c r="AV5" s="261"/>
      <c r="AW5" s="261"/>
      <c r="AX5" s="217"/>
      <c r="AY5" s="255"/>
      <c r="AZ5" s="278"/>
      <c r="BA5" s="278"/>
      <c r="BB5" s="256"/>
      <c r="BC5" s="255"/>
      <c r="BD5" s="278"/>
      <c r="BE5" s="278"/>
      <c r="BF5" s="256"/>
      <c r="BG5" s="216"/>
      <c r="BH5" s="261"/>
      <c r="BI5" s="261"/>
      <c r="BJ5" s="217"/>
      <c r="BK5" s="216"/>
      <c r="BL5" s="261"/>
      <c r="BM5" s="261"/>
      <c r="BN5" s="217"/>
      <c r="BO5" s="255"/>
      <c r="BP5" s="278"/>
      <c r="BQ5" s="278"/>
      <c r="BR5" s="256"/>
      <c r="BS5" s="216"/>
      <c r="BT5" s="261"/>
      <c r="BU5" s="261"/>
      <c r="BV5" s="217"/>
      <c r="BW5" s="216"/>
      <c r="BX5" s="261"/>
      <c r="BY5" s="261"/>
      <c r="BZ5" s="217"/>
      <c r="CA5" s="216"/>
      <c r="CB5" s="261"/>
      <c r="CC5" s="261"/>
      <c r="CD5" s="217"/>
      <c r="CE5" s="216"/>
      <c r="CF5" s="261"/>
      <c r="CG5" s="261"/>
      <c r="CH5" s="217"/>
      <c r="CI5" s="216"/>
      <c r="CJ5" s="261"/>
      <c r="CK5" s="261"/>
      <c r="CL5" s="217"/>
      <c r="CM5" s="216"/>
      <c r="CN5" s="261"/>
      <c r="CO5" s="261"/>
      <c r="CP5" s="217"/>
    </row>
    <row r="6" spans="1:95" ht="20" customHeight="1" x14ac:dyDescent="0.2">
      <c r="A6" s="60"/>
      <c r="B6" s="82"/>
      <c r="D6" s="188"/>
      <c r="G6" s="184" t="s">
        <v>24</v>
      </c>
      <c r="H6" s="195" t="s">
        <v>330</v>
      </c>
      <c r="I6" s="198" t="s">
        <v>328</v>
      </c>
      <c r="J6" s="201" t="s">
        <v>329</v>
      </c>
      <c r="K6" s="192" t="s">
        <v>242</v>
      </c>
      <c r="L6" s="220" t="s">
        <v>243</v>
      </c>
      <c r="M6" s="379" t="s">
        <v>402</v>
      </c>
      <c r="N6" s="382" t="s">
        <v>457</v>
      </c>
      <c r="O6" s="219" t="s">
        <v>242</v>
      </c>
      <c r="P6" s="220" t="s">
        <v>243</v>
      </c>
      <c r="Q6" s="379" t="s">
        <v>402</v>
      </c>
      <c r="R6" s="382" t="s">
        <v>403</v>
      </c>
      <c r="S6" s="222" t="s">
        <v>242</v>
      </c>
      <c r="T6" s="220" t="s">
        <v>243</v>
      </c>
      <c r="U6" s="379" t="s">
        <v>402</v>
      </c>
      <c r="V6" s="382" t="s">
        <v>403</v>
      </c>
      <c r="W6" s="192" t="s">
        <v>242</v>
      </c>
      <c r="X6" s="220" t="s">
        <v>243</v>
      </c>
      <c r="Y6" s="379" t="s">
        <v>402</v>
      </c>
      <c r="Z6" s="382" t="s">
        <v>403</v>
      </c>
      <c r="AA6" s="192" t="s">
        <v>242</v>
      </c>
      <c r="AB6" s="220" t="s">
        <v>243</v>
      </c>
      <c r="AC6" s="379" t="s">
        <v>402</v>
      </c>
      <c r="AD6" s="382" t="s">
        <v>403</v>
      </c>
      <c r="AE6" s="225" t="s">
        <v>242</v>
      </c>
      <c r="AF6" s="220" t="s">
        <v>243</v>
      </c>
      <c r="AG6" s="379" t="s">
        <v>402</v>
      </c>
      <c r="AH6" s="382" t="s">
        <v>403</v>
      </c>
      <c r="AI6" s="192" t="s">
        <v>242</v>
      </c>
      <c r="AJ6" s="220" t="s">
        <v>243</v>
      </c>
      <c r="AK6" s="379" t="s">
        <v>402</v>
      </c>
      <c r="AL6" s="382" t="s">
        <v>403</v>
      </c>
      <c r="AM6" s="192" t="s">
        <v>242</v>
      </c>
      <c r="AN6" s="220" t="s">
        <v>243</v>
      </c>
      <c r="AO6" s="379" t="s">
        <v>402</v>
      </c>
      <c r="AP6" s="382" t="s">
        <v>403</v>
      </c>
      <c r="AQ6" s="204" t="s">
        <v>242</v>
      </c>
      <c r="AR6" s="262" t="s">
        <v>243</v>
      </c>
      <c r="AS6" s="379" t="s">
        <v>402</v>
      </c>
      <c r="AT6" s="382" t="s">
        <v>403</v>
      </c>
      <c r="AU6" s="192" t="s">
        <v>242</v>
      </c>
      <c r="AV6" s="220" t="s">
        <v>243</v>
      </c>
      <c r="AW6" s="379" t="s">
        <v>402</v>
      </c>
      <c r="AX6" s="382" t="s">
        <v>403</v>
      </c>
      <c r="AY6" s="222" t="s">
        <v>242</v>
      </c>
      <c r="AZ6" s="220" t="s">
        <v>243</v>
      </c>
      <c r="BA6" s="379" t="s">
        <v>402</v>
      </c>
      <c r="BB6" s="382" t="s">
        <v>403</v>
      </c>
      <c r="BC6" s="219" t="s">
        <v>242</v>
      </c>
      <c r="BD6" s="220" t="s">
        <v>243</v>
      </c>
      <c r="BE6" s="379" t="s">
        <v>402</v>
      </c>
      <c r="BF6" s="382" t="s">
        <v>403</v>
      </c>
      <c r="BG6" s="192" t="s">
        <v>242</v>
      </c>
      <c r="BH6" s="220" t="s">
        <v>243</v>
      </c>
      <c r="BI6" s="379" t="s">
        <v>402</v>
      </c>
      <c r="BJ6" s="382" t="s">
        <v>403</v>
      </c>
      <c r="BK6" s="192" t="s">
        <v>242</v>
      </c>
      <c r="BL6" s="220" t="s">
        <v>243</v>
      </c>
      <c r="BM6" s="379" t="s">
        <v>402</v>
      </c>
      <c r="BN6" s="382" t="s">
        <v>403</v>
      </c>
      <c r="BO6" s="219" t="s">
        <v>242</v>
      </c>
      <c r="BP6" s="220" t="s">
        <v>243</v>
      </c>
      <c r="BQ6" s="379" t="s">
        <v>402</v>
      </c>
      <c r="BR6" s="382" t="s">
        <v>403</v>
      </c>
      <c r="BS6" s="192" t="s">
        <v>242</v>
      </c>
      <c r="BT6" s="220" t="s">
        <v>243</v>
      </c>
      <c r="BU6" s="379" t="s">
        <v>402</v>
      </c>
      <c r="BV6" s="382" t="s">
        <v>403</v>
      </c>
      <c r="BW6" s="192" t="s">
        <v>242</v>
      </c>
      <c r="BX6" s="220" t="s">
        <v>243</v>
      </c>
      <c r="BY6" s="379" t="s">
        <v>402</v>
      </c>
      <c r="BZ6" s="382" t="s">
        <v>403</v>
      </c>
      <c r="CA6" s="192" t="s">
        <v>242</v>
      </c>
      <c r="CB6" s="220" t="s">
        <v>243</v>
      </c>
      <c r="CC6" s="379" t="s">
        <v>402</v>
      </c>
      <c r="CD6" s="382" t="s">
        <v>403</v>
      </c>
      <c r="CE6" s="192" t="s">
        <v>242</v>
      </c>
      <c r="CF6" s="220" t="s">
        <v>243</v>
      </c>
      <c r="CG6" s="379" t="s">
        <v>402</v>
      </c>
      <c r="CH6" s="382" t="s">
        <v>403</v>
      </c>
      <c r="CI6" s="192" t="s">
        <v>242</v>
      </c>
      <c r="CJ6" s="220" t="s">
        <v>243</v>
      </c>
      <c r="CK6" s="379" t="s">
        <v>402</v>
      </c>
      <c r="CL6" s="382" t="s">
        <v>403</v>
      </c>
      <c r="CM6" s="204" t="s">
        <v>242</v>
      </c>
      <c r="CN6" s="220" t="s">
        <v>243</v>
      </c>
      <c r="CO6" s="379" t="s">
        <v>402</v>
      </c>
      <c r="CP6" s="382" t="s">
        <v>403</v>
      </c>
    </row>
    <row r="7" spans="1:95" ht="20" customHeight="1" thickBot="1" x14ac:dyDescent="0.25">
      <c r="A7" s="184" t="s">
        <v>251</v>
      </c>
      <c r="B7" s="186" t="s">
        <v>334</v>
      </c>
      <c r="D7" s="189"/>
      <c r="G7" s="184"/>
      <c r="H7" s="196"/>
      <c r="I7" s="199"/>
      <c r="J7" s="202"/>
      <c r="K7" s="192"/>
      <c r="L7" s="220"/>
      <c r="M7" s="380"/>
      <c r="N7" s="383"/>
      <c r="O7" s="219"/>
      <c r="P7" s="220"/>
      <c r="Q7" s="380"/>
      <c r="R7" s="383"/>
      <c r="S7" s="222"/>
      <c r="T7" s="220"/>
      <c r="U7" s="380"/>
      <c r="V7" s="383"/>
      <c r="W7" s="192"/>
      <c r="X7" s="220"/>
      <c r="Y7" s="380"/>
      <c r="Z7" s="383"/>
      <c r="AA7" s="192"/>
      <c r="AB7" s="220"/>
      <c r="AC7" s="380"/>
      <c r="AD7" s="383"/>
      <c r="AE7" s="226"/>
      <c r="AF7" s="220"/>
      <c r="AG7" s="380"/>
      <c r="AH7" s="383"/>
      <c r="AI7" s="192"/>
      <c r="AJ7" s="220"/>
      <c r="AK7" s="380"/>
      <c r="AL7" s="383"/>
      <c r="AM7" s="192"/>
      <c r="AN7" s="220"/>
      <c r="AO7" s="380"/>
      <c r="AP7" s="383"/>
      <c r="AQ7" s="205"/>
      <c r="AR7" s="263"/>
      <c r="AS7" s="380"/>
      <c r="AT7" s="383"/>
      <c r="AU7" s="192"/>
      <c r="AV7" s="220"/>
      <c r="AW7" s="380"/>
      <c r="AX7" s="383"/>
      <c r="AY7" s="222"/>
      <c r="AZ7" s="220"/>
      <c r="BA7" s="380"/>
      <c r="BB7" s="383"/>
      <c r="BC7" s="192"/>
      <c r="BD7" s="220"/>
      <c r="BE7" s="380"/>
      <c r="BF7" s="383"/>
      <c r="BG7" s="192"/>
      <c r="BH7" s="220"/>
      <c r="BI7" s="380"/>
      <c r="BJ7" s="383"/>
      <c r="BK7" s="192"/>
      <c r="BL7" s="220"/>
      <c r="BM7" s="380"/>
      <c r="BN7" s="383"/>
      <c r="BO7" s="219"/>
      <c r="BP7" s="220"/>
      <c r="BQ7" s="380"/>
      <c r="BR7" s="383"/>
      <c r="BS7" s="192"/>
      <c r="BT7" s="220"/>
      <c r="BU7" s="380"/>
      <c r="BV7" s="383"/>
      <c r="BW7" s="192"/>
      <c r="BX7" s="220"/>
      <c r="BY7" s="380"/>
      <c r="BZ7" s="383"/>
      <c r="CA7" s="192"/>
      <c r="CB7" s="220"/>
      <c r="CC7" s="380"/>
      <c r="CD7" s="383"/>
      <c r="CE7" s="192"/>
      <c r="CF7" s="220"/>
      <c r="CG7" s="380"/>
      <c r="CH7" s="383"/>
      <c r="CI7" s="192"/>
      <c r="CJ7" s="220"/>
      <c r="CK7" s="380"/>
      <c r="CL7" s="383"/>
      <c r="CM7" s="205"/>
      <c r="CN7" s="220"/>
      <c r="CO7" s="380"/>
      <c r="CP7" s="383"/>
    </row>
    <row r="8" spans="1:95" ht="20" customHeight="1" x14ac:dyDescent="0.2">
      <c r="A8" s="184"/>
      <c r="B8" s="186"/>
      <c r="G8" s="184"/>
      <c r="H8" s="196"/>
      <c r="I8" s="199"/>
      <c r="J8" s="202"/>
      <c r="K8" s="192"/>
      <c r="L8" s="220"/>
      <c r="M8" s="380"/>
      <c r="N8" s="383"/>
      <c r="O8" s="219"/>
      <c r="P8" s="220"/>
      <c r="Q8" s="380"/>
      <c r="R8" s="383"/>
      <c r="S8" s="222"/>
      <c r="T8" s="220"/>
      <c r="U8" s="380"/>
      <c r="V8" s="383"/>
      <c r="W8" s="192"/>
      <c r="X8" s="220"/>
      <c r="Y8" s="380"/>
      <c r="Z8" s="383"/>
      <c r="AA8" s="192"/>
      <c r="AB8" s="220"/>
      <c r="AC8" s="380"/>
      <c r="AD8" s="383"/>
      <c r="AE8" s="226"/>
      <c r="AF8" s="220"/>
      <c r="AG8" s="380"/>
      <c r="AH8" s="383"/>
      <c r="AI8" s="192"/>
      <c r="AJ8" s="220"/>
      <c r="AK8" s="380"/>
      <c r="AL8" s="383"/>
      <c r="AM8" s="192"/>
      <c r="AN8" s="220"/>
      <c r="AO8" s="380"/>
      <c r="AP8" s="383"/>
      <c r="AQ8" s="205"/>
      <c r="AR8" s="263"/>
      <c r="AS8" s="380"/>
      <c r="AT8" s="383"/>
      <c r="AU8" s="192"/>
      <c r="AV8" s="220"/>
      <c r="AW8" s="380"/>
      <c r="AX8" s="383"/>
      <c r="AY8" s="222"/>
      <c r="AZ8" s="220"/>
      <c r="BA8" s="380"/>
      <c r="BB8" s="383"/>
      <c r="BC8" s="192"/>
      <c r="BD8" s="220"/>
      <c r="BE8" s="380"/>
      <c r="BF8" s="383"/>
      <c r="BG8" s="192"/>
      <c r="BH8" s="220"/>
      <c r="BI8" s="380"/>
      <c r="BJ8" s="383"/>
      <c r="BK8" s="192"/>
      <c r="BL8" s="220"/>
      <c r="BM8" s="380"/>
      <c r="BN8" s="383"/>
      <c r="BO8" s="219"/>
      <c r="BP8" s="220"/>
      <c r="BQ8" s="380"/>
      <c r="BR8" s="383"/>
      <c r="BS8" s="192"/>
      <c r="BT8" s="220"/>
      <c r="BU8" s="380"/>
      <c r="BV8" s="383"/>
      <c r="BW8" s="192"/>
      <c r="BX8" s="220"/>
      <c r="BY8" s="380"/>
      <c r="BZ8" s="383"/>
      <c r="CA8" s="192"/>
      <c r="CB8" s="220"/>
      <c r="CC8" s="380"/>
      <c r="CD8" s="383"/>
      <c r="CE8" s="192"/>
      <c r="CF8" s="220"/>
      <c r="CG8" s="380"/>
      <c r="CH8" s="383"/>
      <c r="CI8" s="192"/>
      <c r="CJ8" s="220"/>
      <c r="CK8" s="380"/>
      <c r="CL8" s="383"/>
      <c r="CM8" s="205"/>
      <c r="CN8" s="220"/>
      <c r="CO8" s="380"/>
      <c r="CP8" s="383"/>
    </row>
    <row r="9" spans="1:95" ht="20" customHeight="1" x14ac:dyDescent="0.2">
      <c r="A9" s="184"/>
      <c r="B9" s="186"/>
      <c r="G9" s="184"/>
      <c r="H9" s="196"/>
      <c r="I9" s="199"/>
      <c r="J9" s="202"/>
      <c r="K9" s="192"/>
      <c r="L9" s="220"/>
      <c r="M9" s="380"/>
      <c r="N9" s="383"/>
      <c r="O9" s="219"/>
      <c r="P9" s="220"/>
      <c r="Q9" s="380"/>
      <c r="R9" s="383"/>
      <c r="S9" s="222"/>
      <c r="T9" s="220"/>
      <c r="U9" s="380"/>
      <c r="V9" s="383"/>
      <c r="W9" s="192"/>
      <c r="X9" s="220"/>
      <c r="Y9" s="380"/>
      <c r="Z9" s="383"/>
      <c r="AA9" s="192"/>
      <c r="AB9" s="220"/>
      <c r="AC9" s="380"/>
      <c r="AD9" s="383"/>
      <c r="AE9" s="226"/>
      <c r="AF9" s="220"/>
      <c r="AG9" s="380"/>
      <c r="AH9" s="383"/>
      <c r="AI9" s="192"/>
      <c r="AJ9" s="220"/>
      <c r="AK9" s="380"/>
      <c r="AL9" s="383"/>
      <c r="AM9" s="192"/>
      <c r="AN9" s="220"/>
      <c r="AO9" s="380"/>
      <c r="AP9" s="383"/>
      <c r="AQ9" s="205"/>
      <c r="AR9" s="263"/>
      <c r="AS9" s="380"/>
      <c r="AT9" s="383"/>
      <c r="AU9" s="192"/>
      <c r="AV9" s="220"/>
      <c r="AW9" s="380"/>
      <c r="AX9" s="383"/>
      <c r="AY9" s="222"/>
      <c r="AZ9" s="220"/>
      <c r="BA9" s="380"/>
      <c r="BB9" s="383"/>
      <c r="BC9" s="192"/>
      <c r="BD9" s="220"/>
      <c r="BE9" s="380"/>
      <c r="BF9" s="383"/>
      <c r="BG9" s="192"/>
      <c r="BH9" s="220"/>
      <c r="BI9" s="380"/>
      <c r="BJ9" s="383"/>
      <c r="BK9" s="192"/>
      <c r="BL9" s="220"/>
      <c r="BM9" s="380"/>
      <c r="BN9" s="383"/>
      <c r="BO9" s="219"/>
      <c r="BP9" s="220"/>
      <c r="BQ9" s="380"/>
      <c r="BR9" s="383"/>
      <c r="BS9" s="192"/>
      <c r="BT9" s="220"/>
      <c r="BU9" s="380"/>
      <c r="BV9" s="383"/>
      <c r="BW9" s="192"/>
      <c r="BX9" s="220"/>
      <c r="BY9" s="380"/>
      <c r="BZ9" s="383"/>
      <c r="CA9" s="192"/>
      <c r="CB9" s="220"/>
      <c r="CC9" s="380"/>
      <c r="CD9" s="383"/>
      <c r="CE9" s="192"/>
      <c r="CF9" s="220"/>
      <c r="CG9" s="380"/>
      <c r="CH9" s="383"/>
      <c r="CI9" s="192"/>
      <c r="CJ9" s="220"/>
      <c r="CK9" s="380"/>
      <c r="CL9" s="383"/>
      <c r="CM9" s="205"/>
      <c r="CN9" s="220"/>
      <c r="CO9" s="380"/>
      <c r="CP9" s="383"/>
    </row>
    <row r="10" spans="1:95" s="22" customFormat="1" ht="20" customHeight="1" thickBot="1" x14ac:dyDescent="0.25">
      <c r="A10" s="185"/>
      <c r="B10" s="187"/>
      <c r="C10" s="21" t="s">
        <v>20</v>
      </c>
      <c r="D10" s="20" t="s">
        <v>21</v>
      </c>
      <c r="E10" s="20" t="s">
        <v>22</v>
      </c>
      <c r="F10" s="21" t="s">
        <v>23</v>
      </c>
      <c r="G10" s="194"/>
      <c r="H10" s="197"/>
      <c r="I10" s="200"/>
      <c r="J10" s="203"/>
      <c r="K10" s="193"/>
      <c r="L10" s="221"/>
      <c r="M10" s="381"/>
      <c r="N10" s="384"/>
      <c r="O10" s="224"/>
      <c r="P10" s="221"/>
      <c r="Q10" s="381"/>
      <c r="R10" s="384"/>
      <c r="S10" s="223"/>
      <c r="T10" s="221"/>
      <c r="U10" s="381"/>
      <c r="V10" s="384"/>
      <c r="W10" s="193"/>
      <c r="X10" s="221"/>
      <c r="Y10" s="381"/>
      <c r="Z10" s="384"/>
      <c r="AA10" s="193"/>
      <c r="AB10" s="221"/>
      <c r="AC10" s="381"/>
      <c r="AD10" s="384"/>
      <c r="AE10" s="227"/>
      <c r="AF10" s="221"/>
      <c r="AG10" s="381"/>
      <c r="AH10" s="384"/>
      <c r="AI10" s="193"/>
      <c r="AJ10" s="221"/>
      <c r="AK10" s="381"/>
      <c r="AL10" s="384"/>
      <c r="AM10" s="193"/>
      <c r="AN10" s="221"/>
      <c r="AO10" s="381"/>
      <c r="AP10" s="384"/>
      <c r="AQ10" s="206"/>
      <c r="AR10" s="264"/>
      <c r="AS10" s="381"/>
      <c r="AT10" s="384"/>
      <c r="AU10" s="193"/>
      <c r="AV10" s="221"/>
      <c r="AW10" s="381"/>
      <c r="AX10" s="384"/>
      <c r="AY10" s="223"/>
      <c r="AZ10" s="221"/>
      <c r="BA10" s="381"/>
      <c r="BB10" s="384"/>
      <c r="BC10" s="193"/>
      <c r="BD10" s="221"/>
      <c r="BE10" s="381"/>
      <c r="BF10" s="384"/>
      <c r="BG10" s="193"/>
      <c r="BH10" s="221"/>
      <c r="BI10" s="381"/>
      <c r="BJ10" s="384"/>
      <c r="BK10" s="193"/>
      <c r="BL10" s="221"/>
      <c r="BM10" s="381"/>
      <c r="BN10" s="384"/>
      <c r="BO10" s="224"/>
      <c r="BP10" s="221"/>
      <c r="BQ10" s="381"/>
      <c r="BR10" s="384"/>
      <c r="BS10" s="193"/>
      <c r="BT10" s="221"/>
      <c r="BU10" s="381"/>
      <c r="BV10" s="384"/>
      <c r="BW10" s="193"/>
      <c r="BX10" s="221"/>
      <c r="BY10" s="381"/>
      <c r="BZ10" s="384"/>
      <c r="CA10" s="193"/>
      <c r="CB10" s="221"/>
      <c r="CC10" s="381"/>
      <c r="CD10" s="384"/>
      <c r="CE10" s="193"/>
      <c r="CF10" s="221"/>
      <c r="CG10" s="381"/>
      <c r="CH10" s="384"/>
      <c r="CI10" s="193"/>
      <c r="CJ10" s="221"/>
      <c r="CK10" s="381"/>
      <c r="CL10" s="384"/>
      <c r="CM10" s="206"/>
      <c r="CN10" s="221"/>
      <c r="CO10" s="381"/>
      <c r="CP10" s="384"/>
      <c r="CQ10" s="20" t="s">
        <v>25</v>
      </c>
    </row>
    <row r="11" spans="1:95"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64" si="0">IF((ISERROR((K11/$H11)*100)), "", IF(AND(NOT(ISERROR((K11/$H11)*100)),((K11/$H11)*100) &lt;&gt; 0), (K11/$H11)*100, ""))</f>
        <v/>
      </c>
      <c r="M11" s="94"/>
      <c r="N11" s="95" t="str">
        <f t="shared" ref="N11:N64" si="1">IF(AND(NOT(ISERROR(K11-M11)), AND(M11&lt;&gt;"", K11&lt;&gt;"")), K11-M11, "")</f>
        <v/>
      </c>
      <c r="O11" s="71"/>
      <c r="P11" s="77" t="str">
        <f t="shared" ref="P11:P56" si="2">IF((ISERROR((O11/$H11)*100)), "", IF(AND(NOT(ISERROR((O11/$H11)*100)),((O11/$H11)*100) &lt;&gt; 0), (O11/$H11)*100, ""))</f>
        <v/>
      </c>
      <c r="Q11" s="94"/>
      <c r="R11" s="98" t="str">
        <f t="shared" ref="R11:R64" si="3">IF(AND(NOT(ISERROR(O11-Q11)), AND(Q11&lt;&gt;"", O11&lt;&gt;"")), O11-Q11, "")</f>
        <v/>
      </c>
      <c r="S11" s="72"/>
      <c r="T11" s="78" t="str">
        <f t="shared" ref="T11:T44" si="4">IF((ISERROR((S11/$H11)*100)), "", IF(AND(NOT(ISERROR((S11/$H11)*100)),((S11/$H11)*100) &lt;&gt; 0), (S11/$H11)*100, ""))</f>
        <v/>
      </c>
      <c r="U11" s="94"/>
      <c r="V11" s="98" t="str">
        <f t="shared" ref="V11:V64" si="5">IF(AND(NOT(ISERROR(S11-U11)), AND(U11&lt;&gt;"", S11&lt;&gt;"")), S11-U11, "")</f>
        <v/>
      </c>
      <c r="W11" s="70"/>
      <c r="X11" s="77" t="str">
        <f t="shared" ref="X11:X56" si="6">IF((ISERROR((W11/$H11)*100)), "", IF(AND(NOT(ISERROR((W11/$H11)*100)),((W11/$H11)*100) &lt;&gt; 0), (W11/$H11)*100, ""))</f>
        <v/>
      </c>
      <c r="Y11" s="94"/>
      <c r="Z11" s="98" t="str">
        <f t="shared" ref="Z11:Z64" si="7">IF(AND(NOT(ISERROR(W11-Y11)), AND(Y11&lt;&gt;"", W11&lt;&gt;"")), W11-Y11, "")</f>
        <v/>
      </c>
      <c r="AA11" s="70"/>
      <c r="AB11" s="77" t="str">
        <f t="shared" ref="AB11:AB56" si="8">IF((ISERROR((AA11/$H11)*100)), "", IF(AND(NOT(ISERROR((AA11/$H11)*100)),((AA11/$H11)*100) &lt;&gt; 0), (AA11/$H11)*100, ""))</f>
        <v/>
      </c>
      <c r="AC11" s="94"/>
      <c r="AD11" s="98" t="str">
        <f t="shared" ref="AD11:AD64" si="9">IF(AND(NOT(ISERROR(AA11-AC11)), AND(AC11&lt;&gt;"", AA11&lt;&gt;"")), AA11-AC11, "")</f>
        <v/>
      </c>
      <c r="AE11" s="71"/>
      <c r="AF11" s="77" t="str">
        <f t="shared" ref="AF11:AF60" si="10">IF((ISERROR((AE11/$H11)*100)), "", IF(AND(NOT(ISERROR((AE11/$H11)*100)),((AE11/$H11)*100) &lt;&gt; 0), (AE11/$H11)*100, ""))</f>
        <v/>
      </c>
      <c r="AG11" s="94"/>
      <c r="AH11" s="98" t="str">
        <f t="shared" ref="AH11:AH64" si="11">IF(AND(NOT(ISERROR(AE11-AG11)), AND(AG11&lt;&gt;"", AE11&lt;&gt;"")), AE11-AG11, "")</f>
        <v/>
      </c>
      <c r="AI11" s="70"/>
      <c r="AJ11" s="77" t="str">
        <f t="shared" ref="AJ11:AJ56" si="12">IF((ISERROR((AI11/$H11)*100)), "", IF(AND(NOT(ISERROR((AI11/$H11)*100)),((AI11/$H11)*100) &lt;&gt; 0), (AI11/$H11)*100, ""))</f>
        <v/>
      </c>
      <c r="AK11" s="94"/>
      <c r="AL11" s="98" t="str">
        <f t="shared" ref="AL11:AL64" si="13">IF(AND(NOT(ISERROR(AI11-AK11)), AND(AK11&lt;&gt;"", AI11&lt;&gt;"")), AI11-AK11, "")</f>
        <v/>
      </c>
      <c r="AM11" s="70"/>
      <c r="AN11" s="77" t="str">
        <f t="shared" ref="AN11:AN56" si="14">IF((ISERROR((AM11/$H11)*100)), "", IF(AND(NOT(ISERROR((AM11/$H11)*100)),((AM11/$H11)*100) &lt;&gt; 0), (AM11/$H11)*100, ""))</f>
        <v/>
      </c>
      <c r="AO11" s="94"/>
      <c r="AP11" s="98" t="str">
        <f t="shared" ref="AP11:AP64" si="15">IF(AND(NOT(ISERROR(AM11-AO11)), AND(AO11&lt;&gt;"", AM11&lt;&gt;"")), AM11-AO11, "")</f>
        <v/>
      </c>
      <c r="AQ11" s="70"/>
      <c r="AR11" s="77" t="str">
        <f t="shared" ref="AR11:AR56" si="16">IF((ISERROR((AQ11/$H11)*100)), "", IF(AND(NOT(ISERROR((AQ11/$H11)*100)),((AQ11/$H11)*100) &lt;&gt; 0), (AQ11/$H11)*100, ""))</f>
        <v/>
      </c>
      <c r="AS11" s="94"/>
      <c r="AT11" s="98" t="str">
        <f t="shared" ref="AT11:AT12" si="17">IF(AND(NOT(ISERROR(AQ11-AS11)), AND(AS11&lt;&gt;"", AQ11&lt;&gt;"")), AQ11-AS11, "")</f>
        <v/>
      </c>
      <c r="AU11" s="70"/>
      <c r="AV11" s="77" t="str">
        <f t="shared" ref="AV11:AV64" si="18">IF((ISERROR((AU11/$H11)*100)), "", IF(AND(NOT(ISERROR((AU11/$H11)*100)),((AU11/$H11)*100) &lt;&gt; 0), (AU11/$H11)*100, ""))</f>
        <v/>
      </c>
      <c r="AW11" s="94"/>
      <c r="AX11" s="98" t="str">
        <f t="shared" ref="AX11:AX64" si="19">IF(AND(NOT(ISERROR(AU11-AW11)), AND(AW11&lt;&gt;"", AU11&lt;&gt;"")), AU11-AW11, "")</f>
        <v/>
      </c>
      <c r="AY11" s="72"/>
      <c r="AZ11" s="78" t="str">
        <f t="shared" ref="AZ11:AZ56" si="20">IF((ISERROR((AY11/$H11)*100)), "", IF(AND(NOT(ISERROR((AY11/$H11)*100)),((AY11/$H11)*100) &lt;&gt; 0), (AY11/$H11)*100, ""))</f>
        <v/>
      </c>
      <c r="BA11" s="94"/>
      <c r="BB11" s="98" t="str">
        <f t="shared" ref="BB11:BB64" si="21">IF(AND(NOT(ISERROR(AY11-BA11)), AND(BA11&lt;&gt;"", AY11&lt;&gt;"")), AY11-BA11, "")</f>
        <v/>
      </c>
      <c r="BC11" s="70"/>
      <c r="BD11" s="77" t="str">
        <f t="shared" ref="BD11:BD56" si="22">IF((ISERROR((BC11/$H11)*100)), "", IF(AND(NOT(ISERROR((BC11/$H11)*100)),((BC11/$H11)*100) &lt;&gt; 0), (BC11/$H11)*100, ""))</f>
        <v/>
      </c>
      <c r="BE11" s="94"/>
      <c r="BF11" s="98" t="str">
        <f t="shared" ref="BF11:BF64" si="23">IF(AND(NOT(ISERROR(BC11-BE11)), AND(BE11&lt;&gt;"", BC11&lt;&gt;"")), BC11-BE11, "")</f>
        <v/>
      </c>
      <c r="BG11" s="70"/>
      <c r="BH11" s="77" t="str">
        <f t="shared" ref="BH11:BH56" si="24">IF((ISERROR((BG11/$H11)*100)), "", IF(AND(NOT(ISERROR((BG11/$H11)*100)),((BG11/$H11)*100) &lt;&gt; 0), (BG11/$H11)*100, ""))</f>
        <v/>
      </c>
      <c r="BI11" s="94"/>
      <c r="BJ11" s="98" t="str">
        <f t="shared" ref="BJ11:BJ64" si="25">IF(AND(NOT(ISERROR(BG11-BI11)), AND(BI11&lt;&gt;"", BG11&lt;&gt;"")), BG11-BI11, "")</f>
        <v/>
      </c>
      <c r="BK11" s="70"/>
      <c r="BL11" s="77" t="str">
        <f t="shared" ref="BL11:BL56" si="26">IF((ISERROR((BK11/$H11)*100)), "", IF(AND(NOT(ISERROR((BK11/$H11)*100)),((BK11/$H11)*100) &lt;&gt; 0), (BK11/$H11)*100, ""))</f>
        <v/>
      </c>
      <c r="BM11" s="94"/>
      <c r="BN11" s="98" t="str">
        <f t="shared" ref="BN11:BN64" si="27">IF(AND(NOT(ISERROR(BK11-BM11)), AND(BM11&lt;&gt;"", BK11&lt;&gt;"")), BK11-BM11, "")</f>
        <v/>
      </c>
      <c r="BO11" s="71"/>
      <c r="BP11" s="77" t="str">
        <f t="shared" ref="BP11:BP64" si="28">IF((ISERROR((BO11/$H11)*100)), "", IF(AND(NOT(ISERROR((BO11/$H11)*100)),((BO11/$H11)*100) &lt;&gt; 0), (BO11/$H11)*100, ""))</f>
        <v/>
      </c>
      <c r="BQ11" s="94"/>
      <c r="BR11" s="98" t="str">
        <f t="shared" ref="BR11:BR64" si="29">IF(AND(NOT(ISERROR(BO11-BQ11)), AND(BQ11&lt;&gt;"", BO11&lt;&gt;"")), BO11-BQ11, "")</f>
        <v/>
      </c>
      <c r="BS11" s="70"/>
      <c r="BT11" s="77" t="str">
        <f t="shared" ref="BT11:BT64" si="30">IF((ISERROR((BS11/$H11)*100)), "", IF(AND(NOT(ISERROR((BS11/$H11)*100)),((BS11/$H11)*100) &lt;&gt; 0), (BS11/$H11)*100, ""))</f>
        <v/>
      </c>
      <c r="BU11" s="94"/>
      <c r="BV11" s="98" t="str">
        <f t="shared" ref="BV11:BV64" si="31">IF(AND(NOT(ISERROR(BS11-BU11)), AND(BU11&lt;&gt;"", BS11&lt;&gt;"")), BS11-BU11, "")</f>
        <v/>
      </c>
      <c r="BW11" s="70"/>
      <c r="BX11" s="77" t="str">
        <f t="shared" ref="BX11:BX64" si="32">IF((ISERROR((BW11/$H11)*100)), "", IF(AND(NOT(ISERROR((BW11/$H11)*100)),((BW11/$H11)*100) &lt;&gt; 0), (BW11/$H11)*100, ""))</f>
        <v/>
      </c>
      <c r="BY11" s="94"/>
      <c r="BZ11" s="98" t="str">
        <f t="shared" ref="BZ11:BZ64" si="33">IF(AND(NOT(ISERROR(BW11-BY11)), AND(BY11&lt;&gt;"", BW11&lt;&gt;"")), BW11-BY11, "")</f>
        <v/>
      </c>
      <c r="CA11" s="70"/>
      <c r="CB11" s="77" t="str">
        <f t="shared" ref="CB11:CB64" si="34">IF((ISERROR((CA11/$H11)*100)), "", IF(AND(NOT(ISERROR((CA11/$H11)*100)),((CA11/$H11)*100) &lt;&gt; 0), (CA11/$H11)*100, ""))</f>
        <v/>
      </c>
      <c r="CC11" s="94"/>
      <c r="CD11" s="98" t="str">
        <f t="shared" ref="CD11:CD64" si="35">IF(AND(NOT(ISERROR(CA11-CC11)), AND(CC11&lt;&gt;"", CA11&lt;&gt;"")), CA11-CC11, "")</f>
        <v/>
      </c>
      <c r="CE11" s="70"/>
      <c r="CF11" s="77" t="str">
        <f t="shared" ref="CF11:CF64" si="36">IF((ISERROR((CE11/$H11)*100)), "", IF(AND(NOT(ISERROR((CE11/$H11)*100)),((CE11/$H11)*100) &lt;&gt; 0), (CE11/$H11)*100, ""))</f>
        <v/>
      </c>
      <c r="CG11" s="94"/>
      <c r="CH11" s="98" t="str">
        <f t="shared" ref="CH11:CH64" si="37">IF(AND(NOT(ISERROR(CE11-CG11)), AND(CG11&lt;&gt;"", CE11&lt;&gt;"")), CE11-CG11, "")</f>
        <v/>
      </c>
      <c r="CI11" s="70"/>
      <c r="CJ11" s="77" t="str">
        <f t="shared" ref="CJ11:CJ64" si="38">IF((ISERROR((CI11/$H11)*100)), "", IF(AND(NOT(ISERROR((CI11/$H11)*100)),((CI11/$H11)*100) &lt;&gt; 0), (CI11/$H11)*100, ""))</f>
        <v/>
      </c>
      <c r="CK11" s="94"/>
      <c r="CL11" s="98" t="str">
        <f t="shared" ref="CL11:CL64" si="39">IF(AND(NOT(ISERROR(CI11-CK11)), AND(CK11&lt;&gt;"", CI11&lt;&gt;"")), CI11-CK11, "")</f>
        <v/>
      </c>
      <c r="CM11" s="70"/>
      <c r="CN11" s="77" t="str">
        <f t="shared" ref="CN11:CN64" si="40">IF((ISERROR((CM11/$H11)*100)), "", IF(AND(NOT(ISERROR((CM11/$H11)*100)),((CM11/$H11)*100) &lt;&gt; 0), (CM11/$H11)*100, ""))</f>
        <v/>
      </c>
      <c r="CO11" s="94"/>
      <c r="CP11" s="98" t="str">
        <f t="shared" ref="CP11:CP64" si="41">IF(AND(NOT(ISERROR(CM11-CO11)), AND(CO11&lt;&gt;"", CM11&lt;&gt;"")), CM11-CO11, "")</f>
        <v/>
      </c>
      <c r="CQ11" s="62" t="s">
        <v>333</v>
      </c>
    </row>
    <row r="12" spans="1:95" customFormat="1" ht="20" customHeight="1" x14ac:dyDescent="0.2">
      <c r="A12" s="61"/>
      <c r="B12" s="83"/>
      <c r="C12" s="24" t="s">
        <v>85</v>
      </c>
      <c r="D12" s="23" t="s">
        <v>254</v>
      </c>
      <c r="E12" s="23" t="s">
        <v>255</v>
      </c>
      <c r="F12" s="24">
        <v>2016</v>
      </c>
      <c r="H12" s="89">
        <v>12</v>
      </c>
      <c r="I12" s="85" t="s">
        <v>335</v>
      </c>
      <c r="J12" s="86"/>
      <c r="K12" s="33"/>
      <c r="L12" s="36" t="str">
        <f t="shared" si="0"/>
        <v/>
      </c>
      <c r="M12" s="95"/>
      <c r="N12" s="95" t="str">
        <f t="shared" si="1"/>
        <v/>
      </c>
      <c r="O12" s="33"/>
      <c r="P12" s="36" t="str">
        <f t="shared" si="2"/>
        <v/>
      </c>
      <c r="Q12" s="95"/>
      <c r="R12" s="99" t="str">
        <f t="shared" si="3"/>
        <v/>
      </c>
      <c r="S12" s="76"/>
      <c r="T12" s="36" t="str">
        <f t="shared" si="4"/>
        <v/>
      </c>
      <c r="U12" s="95"/>
      <c r="V12" s="99" t="str">
        <f t="shared" si="5"/>
        <v/>
      </c>
      <c r="W12" s="33"/>
      <c r="X12" s="36" t="str">
        <f t="shared" si="6"/>
        <v/>
      </c>
      <c r="Y12" s="95"/>
      <c r="Z12" s="99" t="str">
        <f t="shared" si="7"/>
        <v/>
      </c>
      <c r="AA12" s="33"/>
      <c r="AB12" s="36" t="str">
        <f t="shared" si="8"/>
        <v/>
      </c>
      <c r="AC12" s="95"/>
      <c r="AD12" s="99" t="str">
        <f t="shared" si="9"/>
        <v/>
      </c>
      <c r="AE12" s="33"/>
      <c r="AF12" s="36" t="str">
        <f t="shared" si="10"/>
        <v/>
      </c>
      <c r="AG12" s="95"/>
      <c r="AH12" s="99" t="str">
        <f t="shared" si="11"/>
        <v/>
      </c>
      <c r="AI12" s="33"/>
      <c r="AJ12" s="36" t="str">
        <f t="shared" si="12"/>
        <v/>
      </c>
      <c r="AK12" s="95"/>
      <c r="AL12" s="99" t="str">
        <f t="shared" si="13"/>
        <v/>
      </c>
      <c r="AM12" s="33"/>
      <c r="AN12" s="36" t="str">
        <f t="shared" si="14"/>
        <v/>
      </c>
      <c r="AO12" s="95"/>
      <c r="AP12" s="99" t="str">
        <f t="shared" si="15"/>
        <v/>
      </c>
      <c r="AQ12" s="33"/>
      <c r="AR12" s="36" t="str">
        <f t="shared" si="16"/>
        <v/>
      </c>
      <c r="AS12" s="95"/>
      <c r="AT12" s="99" t="str">
        <f t="shared" si="17"/>
        <v/>
      </c>
      <c r="AU12" s="33"/>
      <c r="AV12" s="36" t="str">
        <f t="shared" si="18"/>
        <v/>
      </c>
      <c r="AW12" s="95"/>
      <c r="AX12" s="99" t="str">
        <f t="shared" si="19"/>
        <v/>
      </c>
      <c r="AY12" s="76"/>
      <c r="AZ12" s="36" t="str">
        <f t="shared" si="20"/>
        <v/>
      </c>
      <c r="BA12" s="95"/>
      <c r="BB12" s="99" t="str">
        <f t="shared" si="21"/>
        <v/>
      </c>
      <c r="BC12" s="33"/>
      <c r="BD12" s="36" t="str">
        <f t="shared" si="22"/>
        <v/>
      </c>
      <c r="BE12" s="95"/>
      <c r="BF12" s="99" t="str">
        <f t="shared" si="23"/>
        <v/>
      </c>
      <c r="BG12" s="33"/>
      <c r="BH12" s="36" t="str">
        <f t="shared" si="24"/>
        <v/>
      </c>
      <c r="BI12" s="95"/>
      <c r="BJ12" s="99" t="str">
        <f t="shared" si="25"/>
        <v/>
      </c>
      <c r="BK12" s="33"/>
      <c r="BL12" s="36" t="str">
        <f t="shared" si="26"/>
        <v/>
      </c>
      <c r="BM12" s="95"/>
      <c r="BN12" s="99" t="str">
        <f t="shared" si="27"/>
        <v/>
      </c>
      <c r="BO12" s="33"/>
      <c r="BP12" s="36" t="str">
        <f t="shared" si="28"/>
        <v/>
      </c>
      <c r="BQ12" s="95"/>
      <c r="BR12" s="99" t="str">
        <f t="shared" si="29"/>
        <v/>
      </c>
      <c r="BS12" s="33"/>
      <c r="BT12" s="36" t="str">
        <f t="shared" si="30"/>
        <v/>
      </c>
      <c r="BU12" s="95"/>
      <c r="BV12" s="99" t="str">
        <f t="shared" si="31"/>
        <v/>
      </c>
      <c r="BW12" s="33"/>
      <c r="BX12" s="36" t="str">
        <f t="shared" si="32"/>
        <v/>
      </c>
      <c r="BY12" s="95"/>
      <c r="BZ12" s="99" t="str">
        <f t="shared" si="33"/>
        <v/>
      </c>
      <c r="CA12" s="33"/>
      <c r="CB12" s="36" t="str">
        <f t="shared" si="34"/>
        <v/>
      </c>
      <c r="CC12" s="95"/>
      <c r="CD12" s="99" t="str">
        <f t="shared" si="35"/>
        <v/>
      </c>
      <c r="CE12" s="33"/>
      <c r="CF12" s="36" t="str">
        <f t="shared" si="36"/>
        <v/>
      </c>
      <c r="CG12" s="95"/>
      <c r="CH12" s="99" t="str">
        <f t="shared" si="37"/>
        <v/>
      </c>
      <c r="CI12" s="33"/>
      <c r="CJ12" s="36" t="str">
        <f t="shared" si="38"/>
        <v/>
      </c>
      <c r="CK12" s="95"/>
      <c r="CL12" s="99" t="str">
        <f t="shared" si="39"/>
        <v/>
      </c>
      <c r="CM12" s="33"/>
      <c r="CN12" s="36" t="str">
        <f t="shared" si="40"/>
        <v/>
      </c>
      <c r="CO12" s="95"/>
      <c r="CP12" s="99" t="str">
        <f t="shared" si="41"/>
        <v/>
      </c>
      <c r="CQ12" s="23" t="s">
        <v>336</v>
      </c>
    </row>
    <row r="13" spans="1:95" ht="20" customHeight="1" x14ac:dyDescent="0.2">
      <c r="A13" s="60"/>
      <c r="B13" s="82"/>
      <c r="C13" s="24" t="s">
        <v>85</v>
      </c>
      <c r="D13" s="23" t="s">
        <v>256</v>
      </c>
      <c r="E13" s="23" t="s">
        <v>257</v>
      </c>
      <c r="F13" s="24">
        <v>2008</v>
      </c>
      <c r="H13" s="89">
        <v>13</v>
      </c>
      <c r="I13" s="85" t="s">
        <v>220</v>
      </c>
      <c r="J13" s="86" t="s">
        <v>338</v>
      </c>
      <c r="K13" s="33"/>
      <c r="L13" s="36" t="str">
        <f t="shared" si="0"/>
        <v/>
      </c>
      <c r="M13" s="95"/>
      <c r="N13" s="95" t="str">
        <f t="shared" si="1"/>
        <v/>
      </c>
      <c r="O13" s="33"/>
      <c r="P13" s="36" t="str">
        <f t="shared" si="2"/>
        <v/>
      </c>
      <c r="Q13" s="95"/>
      <c r="R13" s="99" t="str">
        <f t="shared" si="3"/>
        <v/>
      </c>
      <c r="S13" s="76"/>
      <c r="T13" s="36" t="str">
        <f t="shared" si="4"/>
        <v/>
      </c>
      <c r="U13" s="95"/>
      <c r="V13" s="99" t="str">
        <f t="shared" si="5"/>
        <v/>
      </c>
      <c r="W13" s="33"/>
      <c r="X13" s="36" t="str">
        <f t="shared" si="6"/>
        <v/>
      </c>
      <c r="Y13" s="95"/>
      <c r="Z13" s="99" t="str">
        <f t="shared" si="7"/>
        <v/>
      </c>
      <c r="AA13" s="33"/>
      <c r="AB13" s="36" t="str">
        <f t="shared" si="8"/>
        <v/>
      </c>
      <c r="AC13" s="95"/>
      <c r="AD13" s="99" t="str">
        <f t="shared" si="9"/>
        <v/>
      </c>
      <c r="AE13" s="33"/>
      <c r="AF13" s="36" t="str">
        <f t="shared" si="10"/>
        <v/>
      </c>
      <c r="AG13" s="95"/>
      <c r="AH13" s="99" t="str">
        <f t="shared" si="11"/>
        <v/>
      </c>
      <c r="AI13" s="33"/>
      <c r="AJ13" s="36" t="str">
        <f t="shared" si="12"/>
        <v/>
      </c>
      <c r="AK13" s="95"/>
      <c r="AL13" s="99" t="str">
        <f t="shared" si="13"/>
        <v/>
      </c>
      <c r="AM13" s="33"/>
      <c r="AN13" s="36" t="str">
        <f t="shared" si="14"/>
        <v/>
      </c>
      <c r="AO13" s="95"/>
      <c r="AP13" s="99" t="str">
        <f t="shared" si="15"/>
        <v/>
      </c>
      <c r="AQ13" s="33">
        <v>1</v>
      </c>
      <c r="AR13" s="36">
        <f t="shared" si="16"/>
        <v>7.6923076923076925</v>
      </c>
      <c r="AS13" s="95">
        <v>0</v>
      </c>
      <c r="AT13" s="99">
        <f>IF(AND(NOT(ISERROR(AQ13-AS13)), AND(AS13&lt;&gt;"", AQ13&lt;&gt;"")), AQ13-AS13, "")</f>
        <v>1</v>
      </c>
      <c r="AU13" s="33"/>
      <c r="AV13" s="36" t="str">
        <f t="shared" si="18"/>
        <v/>
      </c>
      <c r="AW13" s="95"/>
      <c r="AX13" s="99" t="str">
        <f t="shared" si="19"/>
        <v/>
      </c>
      <c r="AY13" s="76"/>
      <c r="AZ13" s="36" t="str">
        <f t="shared" si="20"/>
        <v/>
      </c>
      <c r="BA13" s="95"/>
      <c r="BB13" s="99" t="str">
        <f t="shared" si="21"/>
        <v/>
      </c>
      <c r="BC13" s="33"/>
      <c r="BD13" s="36" t="str">
        <f t="shared" si="22"/>
        <v/>
      </c>
      <c r="BE13" s="95"/>
      <c r="BF13" s="99" t="str">
        <f t="shared" si="23"/>
        <v/>
      </c>
      <c r="BG13" s="33"/>
      <c r="BH13" s="36" t="str">
        <f t="shared" si="24"/>
        <v/>
      </c>
      <c r="BI13" s="95"/>
      <c r="BJ13" s="99" t="str">
        <f t="shared" si="25"/>
        <v/>
      </c>
      <c r="BK13" s="33"/>
      <c r="BL13" s="36" t="str">
        <f t="shared" si="26"/>
        <v/>
      </c>
      <c r="BM13" s="95"/>
      <c r="BN13" s="99" t="str">
        <f t="shared" si="27"/>
        <v/>
      </c>
      <c r="BO13" s="33"/>
      <c r="BP13" s="36" t="str">
        <f t="shared" si="28"/>
        <v/>
      </c>
      <c r="BQ13" s="95"/>
      <c r="BR13" s="99" t="str">
        <f t="shared" si="29"/>
        <v/>
      </c>
      <c r="BS13" s="33"/>
      <c r="BT13" s="36" t="str">
        <f t="shared" si="30"/>
        <v/>
      </c>
      <c r="BU13" s="95"/>
      <c r="BV13" s="99" t="str">
        <f t="shared" si="31"/>
        <v/>
      </c>
      <c r="BW13" s="33"/>
      <c r="BX13" s="36" t="str">
        <f t="shared" si="32"/>
        <v/>
      </c>
      <c r="BY13" s="95"/>
      <c r="BZ13" s="99" t="str">
        <f t="shared" si="33"/>
        <v/>
      </c>
      <c r="CA13" s="33"/>
      <c r="CB13" s="36" t="str">
        <f t="shared" si="34"/>
        <v/>
      </c>
      <c r="CC13" s="95"/>
      <c r="CD13" s="99" t="str">
        <f t="shared" si="35"/>
        <v/>
      </c>
      <c r="CE13" s="33"/>
      <c r="CF13" s="36" t="str">
        <f t="shared" si="36"/>
        <v/>
      </c>
      <c r="CG13" s="95"/>
      <c r="CH13" s="99" t="str">
        <f t="shared" si="37"/>
        <v/>
      </c>
      <c r="CI13" s="33"/>
      <c r="CJ13" s="36" t="str">
        <f t="shared" si="38"/>
        <v/>
      </c>
      <c r="CK13" s="95"/>
      <c r="CL13" s="99" t="str">
        <f t="shared" si="39"/>
        <v/>
      </c>
      <c r="CM13" s="33"/>
      <c r="CN13" s="36" t="str">
        <f t="shared" si="40"/>
        <v/>
      </c>
      <c r="CO13" s="95"/>
      <c r="CP13" s="99" t="str">
        <f t="shared" si="41"/>
        <v/>
      </c>
    </row>
    <row r="14" spans="1:95" ht="20" customHeight="1" x14ac:dyDescent="0.2">
      <c r="A14" s="61"/>
      <c r="B14" s="82"/>
      <c r="C14" s="24" t="s">
        <v>85</v>
      </c>
      <c r="D14" s="23" t="s">
        <v>36</v>
      </c>
      <c r="E14" s="23" t="s">
        <v>37</v>
      </c>
      <c r="F14" s="24">
        <v>2008</v>
      </c>
      <c r="G14" s="24">
        <v>40</v>
      </c>
      <c r="H14" s="89"/>
      <c r="I14" s="85"/>
      <c r="J14" s="86" t="s">
        <v>169</v>
      </c>
      <c r="K14" s="33"/>
      <c r="L14" s="36" t="str">
        <f t="shared" si="0"/>
        <v/>
      </c>
      <c r="M14" s="95"/>
      <c r="N14" s="95" t="str">
        <f t="shared" si="1"/>
        <v/>
      </c>
      <c r="O14" s="33"/>
      <c r="P14" s="36" t="str">
        <f t="shared" si="2"/>
        <v/>
      </c>
      <c r="Q14" s="95"/>
      <c r="R14" s="99" t="str">
        <f t="shared" si="3"/>
        <v/>
      </c>
      <c r="S14" s="76"/>
      <c r="T14" s="36" t="str">
        <f t="shared" si="4"/>
        <v/>
      </c>
      <c r="U14" s="95"/>
      <c r="V14" s="99" t="str">
        <f t="shared" si="5"/>
        <v/>
      </c>
      <c r="W14" s="33"/>
      <c r="X14" s="36" t="str">
        <f t="shared" si="6"/>
        <v/>
      </c>
      <c r="Y14" s="95"/>
      <c r="Z14" s="99" t="str">
        <f t="shared" si="7"/>
        <v/>
      </c>
      <c r="AA14" s="33"/>
      <c r="AB14" s="36" t="str">
        <f t="shared" si="8"/>
        <v/>
      </c>
      <c r="AC14" s="95"/>
      <c r="AD14" s="99" t="str">
        <f t="shared" si="9"/>
        <v/>
      </c>
      <c r="AE14" s="33"/>
      <c r="AF14" s="36" t="str">
        <f t="shared" si="10"/>
        <v/>
      </c>
      <c r="AG14" s="95"/>
      <c r="AH14" s="99" t="str">
        <f t="shared" si="11"/>
        <v/>
      </c>
      <c r="AI14" s="33"/>
      <c r="AJ14" s="36" t="str">
        <f t="shared" si="12"/>
        <v/>
      </c>
      <c r="AK14" s="95"/>
      <c r="AL14" s="99" t="str">
        <f t="shared" si="13"/>
        <v/>
      </c>
      <c r="AM14" s="33"/>
      <c r="AN14" s="36" t="str">
        <f t="shared" si="14"/>
        <v/>
      </c>
      <c r="AO14" s="95"/>
      <c r="AP14" s="99" t="str">
        <f t="shared" si="15"/>
        <v/>
      </c>
      <c r="AQ14" s="33"/>
      <c r="AR14" s="36" t="str">
        <f t="shared" si="16"/>
        <v/>
      </c>
      <c r="AS14" s="95"/>
      <c r="AT14" s="99" t="str">
        <f t="shared" ref="AT14:AT64" si="42">IF(AND(NOT(ISERROR(AQ14-AS14)), AND(AS14&lt;&gt;"", AQ14&lt;&gt;"")), AQ14-AS14, "")</f>
        <v/>
      </c>
      <c r="AU14" s="33"/>
      <c r="AV14" s="36" t="str">
        <f t="shared" si="18"/>
        <v/>
      </c>
      <c r="AW14" s="95"/>
      <c r="AX14" s="99" t="str">
        <f t="shared" si="19"/>
        <v/>
      </c>
      <c r="AY14" s="40"/>
      <c r="AZ14" s="39" t="str">
        <f t="shared" si="20"/>
        <v/>
      </c>
      <c r="BA14" s="119"/>
      <c r="BB14" s="120" t="str">
        <f t="shared" si="21"/>
        <v/>
      </c>
      <c r="BC14" s="33"/>
      <c r="BD14" s="36" t="str">
        <f t="shared" si="22"/>
        <v/>
      </c>
      <c r="BE14" s="95"/>
      <c r="BF14" s="99" t="str">
        <f t="shared" si="23"/>
        <v/>
      </c>
      <c r="BG14" s="33"/>
      <c r="BH14" s="36" t="str">
        <f t="shared" si="24"/>
        <v/>
      </c>
      <c r="BI14" s="95"/>
      <c r="BJ14" s="99" t="str">
        <f t="shared" si="25"/>
        <v/>
      </c>
      <c r="BK14" s="33"/>
      <c r="BL14" s="36" t="str">
        <f t="shared" si="26"/>
        <v/>
      </c>
      <c r="BM14" s="95"/>
      <c r="BN14" s="99" t="str">
        <f t="shared" si="27"/>
        <v/>
      </c>
      <c r="BO14" s="33"/>
      <c r="BP14" s="36" t="str">
        <f t="shared" si="28"/>
        <v/>
      </c>
      <c r="BQ14" s="95"/>
      <c r="BR14" s="99" t="str">
        <f t="shared" si="29"/>
        <v/>
      </c>
      <c r="BS14" s="33"/>
      <c r="BT14" s="36" t="str">
        <f t="shared" si="30"/>
        <v/>
      </c>
      <c r="BU14" s="95"/>
      <c r="BV14" s="99" t="str">
        <f t="shared" si="31"/>
        <v/>
      </c>
      <c r="BW14" s="33"/>
      <c r="BX14" s="36" t="str">
        <f t="shared" si="32"/>
        <v/>
      </c>
      <c r="BY14" s="95"/>
      <c r="BZ14" s="99" t="str">
        <f t="shared" si="33"/>
        <v/>
      </c>
      <c r="CA14" s="33"/>
      <c r="CB14" s="36" t="str">
        <f t="shared" si="34"/>
        <v/>
      </c>
      <c r="CC14" s="95"/>
      <c r="CD14" s="99" t="str">
        <f t="shared" si="35"/>
        <v/>
      </c>
      <c r="CE14" s="33"/>
      <c r="CF14" s="36" t="str">
        <f t="shared" si="36"/>
        <v/>
      </c>
      <c r="CG14" s="95"/>
      <c r="CH14" s="99" t="str">
        <f t="shared" si="37"/>
        <v/>
      </c>
      <c r="CI14" s="33"/>
      <c r="CJ14" s="36" t="str">
        <f t="shared" si="38"/>
        <v/>
      </c>
      <c r="CK14" s="95"/>
      <c r="CL14" s="99" t="str">
        <f t="shared" si="39"/>
        <v/>
      </c>
      <c r="CM14" s="33"/>
      <c r="CN14" s="36" t="str">
        <f t="shared" si="40"/>
        <v/>
      </c>
      <c r="CO14" s="95"/>
      <c r="CP14" s="99" t="str">
        <f t="shared" si="41"/>
        <v/>
      </c>
      <c r="CQ14" s="23" t="s">
        <v>171</v>
      </c>
    </row>
    <row r="15" spans="1:95" ht="20" customHeight="1" x14ac:dyDescent="0.2">
      <c r="A15" s="60"/>
      <c r="B15" s="82"/>
      <c r="C15" s="24" t="s">
        <v>85</v>
      </c>
      <c r="D15" s="23" t="s">
        <v>41</v>
      </c>
      <c r="E15" s="23" t="s">
        <v>42</v>
      </c>
      <c r="F15" s="24">
        <v>2004</v>
      </c>
      <c r="G15" s="24">
        <v>79</v>
      </c>
      <c r="H15" s="89">
        <v>12</v>
      </c>
      <c r="I15" s="85" t="s">
        <v>168</v>
      </c>
      <c r="J15" s="86" t="s">
        <v>169</v>
      </c>
      <c r="K15" s="33"/>
      <c r="L15" s="36" t="str">
        <f t="shared" si="0"/>
        <v/>
      </c>
      <c r="M15" s="95"/>
      <c r="N15" s="95" t="str">
        <f t="shared" si="1"/>
        <v/>
      </c>
      <c r="O15" s="33"/>
      <c r="P15" s="36" t="str">
        <f t="shared" si="2"/>
        <v/>
      </c>
      <c r="Q15" s="95"/>
      <c r="R15" s="99" t="str">
        <f t="shared" si="3"/>
        <v/>
      </c>
      <c r="S15" s="76"/>
      <c r="T15" s="36" t="str">
        <f t="shared" si="4"/>
        <v/>
      </c>
      <c r="U15" s="95"/>
      <c r="V15" s="99" t="str">
        <f t="shared" si="5"/>
        <v/>
      </c>
      <c r="W15" s="33"/>
      <c r="X15" s="36" t="str">
        <f t="shared" si="6"/>
        <v/>
      </c>
      <c r="Y15" s="95"/>
      <c r="Z15" s="99" t="str">
        <f t="shared" si="7"/>
        <v/>
      </c>
      <c r="AA15" s="33"/>
      <c r="AB15" s="36" t="str">
        <f t="shared" si="8"/>
        <v/>
      </c>
      <c r="AC15" s="95"/>
      <c r="AD15" s="99" t="str">
        <f t="shared" si="9"/>
        <v/>
      </c>
      <c r="AE15" s="33"/>
      <c r="AF15" s="36" t="str">
        <f t="shared" si="10"/>
        <v/>
      </c>
      <c r="AG15" s="95"/>
      <c r="AH15" s="99" t="str">
        <f t="shared" si="11"/>
        <v/>
      </c>
      <c r="AI15" s="33"/>
      <c r="AJ15" s="36" t="str">
        <f t="shared" si="12"/>
        <v/>
      </c>
      <c r="AK15" s="95"/>
      <c r="AL15" s="99" t="str">
        <f t="shared" si="13"/>
        <v/>
      </c>
      <c r="AM15" s="33"/>
      <c r="AN15" s="36" t="str">
        <f t="shared" si="14"/>
        <v/>
      </c>
      <c r="AO15" s="95"/>
      <c r="AP15" s="99" t="str">
        <f t="shared" si="15"/>
        <v/>
      </c>
      <c r="AQ15" s="33">
        <v>5</v>
      </c>
      <c r="AR15" s="36">
        <f t="shared" si="16"/>
        <v>41.666666666666671</v>
      </c>
      <c r="AS15" s="95">
        <v>3</v>
      </c>
      <c r="AT15" s="99">
        <f t="shared" si="42"/>
        <v>2</v>
      </c>
      <c r="AU15" s="33"/>
      <c r="AV15" s="36" t="str">
        <f t="shared" si="18"/>
        <v/>
      </c>
      <c r="AW15" s="95"/>
      <c r="AX15" s="99" t="str">
        <f t="shared" si="19"/>
        <v/>
      </c>
      <c r="AY15" s="76"/>
      <c r="AZ15" s="36" t="str">
        <f t="shared" si="20"/>
        <v/>
      </c>
      <c r="BA15" s="95"/>
      <c r="BB15" s="99" t="str">
        <f t="shared" si="21"/>
        <v/>
      </c>
      <c r="BC15" s="33"/>
      <c r="BD15" s="36" t="str">
        <f t="shared" si="22"/>
        <v/>
      </c>
      <c r="BE15" s="95"/>
      <c r="BF15" s="99" t="str">
        <f t="shared" si="23"/>
        <v/>
      </c>
      <c r="BG15" s="33"/>
      <c r="BH15" s="36" t="str">
        <f t="shared" si="24"/>
        <v/>
      </c>
      <c r="BI15" s="95"/>
      <c r="BJ15" s="99" t="str">
        <f t="shared" si="25"/>
        <v/>
      </c>
      <c r="BK15" s="33">
        <v>0</v>
      </c>
      <c r="BL15" s="36" t="str">
        <f t="shared" si="26"/>
        <v/>
      </c>
      <c r="BM15" s="95">
        <v>1</v>
      </c>
      <c r="BN15" s="102">
        <f t="shared" si="27"/>
        <v>-1</v>
      </c>
      <c r="BO15" s="33"/>
      <c r="BP15" s="36" t="str">
        <f t="shared" si="28"/>
        <v/>
      </c>
      <c r="BQ15" s="95"/>
      <c r="BR15" s="99" t="str">
        <f t="shared" si="29"/>
        <v/>
      </c>
      <c r="BS15" s="33"/>
      <c r="BT15" s="36" t="str">
        <f t="shared" si="30"/>
        <v/>
      </c>
      <c r="BU15" s="95"/>
      <c r="BV15" s="99" t="str">
        <f t="shared" si="31"/>
        <v/>
      </c>
      <c r="BW15" s="33"/>
      <c r="BX15" s="36" t="str">
        <f t="shared" si="32"/>
        <v/>
      </c>
      <c r="BY15" s="95"/>
      <c r="BZ15" s="99" t="str">
        <f t="shared" si="33"/>
        <v/>
      </c>
      <c r="CA15" s="33"/>
      <c r="CB15" s="36" t="str">
        <f t="shared" si="34"/>
        <v/>
      </c>
      <c r="CC15" s="95"/>
      <c r="CD15" s="99" t="str">
        <f t="shared" si="35"/>
        <v/>
      </c>
      <c r="CE15" s="33"/>
      <c r="CF15" s="36" t="str">
        <f t="shared" si="36"/>
        <v/>
      </c>
      <c r="CG15" s="95"/>
      <c r="CH15" s="99" t="str">
        <f t="shared" si="37"/>
        <v/>
      </c>
      <c r="CI15" s="33"/>
      <c r="CJ15" s="36" t="str">
        <f t="shared" si="38"/>
        <v/>
      </c>
      <c r="CK15" s="95"/>
      <c r="CL15" s="99" t="str">
        <f t="shared" si="39"/>
        <v/>
      </c>
      <c r="CM15" s="33"/>
      <c r="CN15" s="36" t="str">
        <f t="shared" si="40"/>
        <v/>
      </c>
      <c r="CO15" s="95"/>
      <c r="CP15" s="99" t="str">
        <f t="shared" si="41"/>
        <v/>
      </c>
      <c r="CQ15" s="23" t="s">
        <v>170</v>
      </c>
    </row>
    <row r="16" spans="1:95" ht="20" customHeight="1" x14ac:dyDescent="0.2">
      <c r="A16" s="60"/>
      <c r="B16" s="82"/>
      <c r="C16" s="24" t="s">
        <v>85</v>
      </c>
      <c r="D16" s="23" t="s">
        <v>43</v>
      </c>
      <c r="E16" s="23" t="s">
        <v>44</v>
      </c>
      <c r="F16" s="24">
        <v>1976</v>
      </c>
      <c r="G16" s="24">
        <v>179</v>
      </c>
      <c r="H16" s="89">
        <v>8</v>
      </c>
      <c r="I16" s="112" t="s">
        <v>339</v>
      </c>
      <c r="J16" s="86"/>
      <c r="K16" s="38">
        <v>5</v>
      </c>
      <c r="L16" s="39">
        <f t="shared" si="0"/>
        <v>62.5</v>
      </c>
      <c r="M16" s="119">
        <v>0</v>
      </c>
      <c r="N16" s="119">
        <f t="shared" si="1"/>
        <v>5</v>
      </c>
      <c r="O16" s="38">
        <v>2</v>
      </c>
      <c r="P16" s="39">
        <f t="shared" si="2"/>
        <v>25</v>
      </c>
      <c r="Q16" s="119">
        <v>0</v>
      </c>
      <c r="R16" s="120">
        <f t="shared" si="3"/>
        <v>2</v>
      </c>
      <c r="S16" s="76">
        <v>1</v>
      </c>
      <c r="T16" s="36">
        <f t="shared" si="4"/>
        <v>12.5</v>
      </c>
      <c r="U16" s="119">
        <v>0</v>
      </c>
      <c r="V16" s="120">
        <f t="shared" si="5"/>
        <v>1</v>
      </c>
      <c r="W16" s="38">
        <v>2</v>
      </c>
      <c r="X16" s="39">
        <f t="shared" si="6"/>
        <v>25</v>
      </c>
      <c r="Y16" s="119">
        <v>0</v>
      </c>
      <c r="Z16" s="120">
        <f t="shared" si="7"/>
        <v>2</v>
      </c>
      <c r="AA16" s="38">
        <v>1</v>
      </c>
      <c r="AB16" s="39">
        <f t="shared" si="8"/>
        <v>12.5</v>
      </c>
      <c r="AC16" s="119">
        <v>0</v>
      </c>
      <c r="AD16" s="120">
        <f t="shared" si="9"/>
        <v>1</v>
      </c>
      <c r="AE16" s="38">
        <v>1</v>
      </c>
      <c r="AF16" s="39">
        <f t="shared" si="10"/>
        <v>12.5</v>
      </c>
      <c r="AG16" s="119">
        <v>0</v>
      </c>
      <c r="AH16" s="120">
        <f t="shared" si="11"/>
        <v>1</v>
      </c>
      <c r="AI16" s="38">
        <v>1</v>
      </c>
      <c r="AJ16" s="39">
        <f t="shared" si="12"/>
        <v>12.5</v>
      </c>
      <c r="AK16" s="119">
        <v>0</v>
      </c>
      <c r="AL16" s="120">
        <f t="shared" si="13"/>
        <v>1</v>
      </c>
      <c r="AM16" s="38">
        <v>1</v>
      </c>
      <c r="AN16" s="39">
        <f t="shared" si="14"/>
        <v>12.5</v>
      </c>
      <c r="AO16" s="119">
        <v>0</v>
      </c>
      <c r="AP16" s="120">
        <f t="shared" si="15"/>
        <v>1</v>
      </c>
      <c r="AQ16" s="33"/>
      <c r="AR16" s="36" t="str">
        <f t="shared" si="16"/>
        <v/>
      </c>
      <c r="AS16" s="95"/>
      <c r="AT16" s="99" t="str">
        <f t="shared" si="42"/>
        <v/>
      </c>
      <c r="AU16" s="33"/>
      <c r="AV16" s="36" t="str">
        <f t="shared" si="18"/>
        <v/>
      </c>
      <c r="AW16" s="95"/>
      <c r="AX16" s="99" t="str">
        <f t="shared" si="19"/>
        <v/>
      </c>
      <c r="AY16" s="76"/>
      <c r="AZ16" s="36" t="str">
        <f t="shared" si="20"/>
        <v/>
      </c>
      <c r="BA16" s="95"/>
      <c r="BB16" s="99" t="str">
        <f t="shared" si="21"/>
        <v/>
      </c>
      <c r="BC16" s="33"/>
      <c r="BD16" s="36" t="str">
        <f t="shared" si="22"/>
        <v/>
      </c>
      <c r="BE16" s="95"/>
      <c r="BF16" s="99" t="str">
        <f t="shared" si="23"/>
        <v/>
      </c>
      <c r="BG16" s="38">
        <v>1</v>
      </c>
      <c r="BH16" s="39">
        <f t="shared" si="24"/>
        <v>12.5</v>
      </c>
      <c r="BI16" s="119">
        <v>0</v>
      </c>
      <c r="BJ16" s="120">
        <f t="shared" si="25"/>
        <v>1</v>
      </c>
      <c r="BK16" s="33"/>
      <c r="BL16" s="36" t="str">
        <f t="shared" si="26"/>
        <v/>
      </c>
      <c r="BM16" s="95"/>
      <c r="BN16" s="99" t="str">
        <f t="shared" si="27"/>
        <v/>
      </c>
      <c r="BO16" s="38">
        <v>1</v>
      </c>
      <c r="BP16" s="39">
        <f t="shared" si="28"/>
        <v>12.5</v>
      </c>
      <c r="BQ16" s="119">
        <v>0</v>
      </c>
      <c r="BR16" s="120">
        <f t="shared" si="29"/>
        <v>1</v>
      </c>
      <c r="BS16" s="33"/>
      <c r="BT16" s="36" t="str">
        <f t="shared" si="30"/>
        <v/>
      </c>
      <c r="BU16" s="95"/>
      <c r="BV16" s="99" t="str">
        <f t="shared" si="31"/>
        <v/>
      </c>
      <c r="BW16" s="38"/>
      <c r="BX16" s="39" t="str">
        <f t="shared" si="32"/>
        <v/>
      </c>
      <c r="BY16" s="119"/>
      <c r="BZ16" s="120" t="str">
        <f t="shared" si="33"/>
        <v/>
      </c>
      <c r="CA16" s="38"/>
      <c r="CB16" s="39" t="str">
        <f t="shared" si="34"/>
        <v/>
      </c>
      <c r="CC16" s="119"/>
      <c r="CD16" s="120" t="str">
        <f t="shared" si="35"/>
        <v/>
      </c>
      <c r="CE16" s="33"/>
      <c r="CF16" s="36" t="str">
        <f t="shared" si="36"/>
        <v/>
      </c>
      <c r="CG16" s="95"/>
      <c r="CH16" s="99" t="str">
        <f t="shared" si="37"/>
        <v/>
      </c>
      <c r="CI16" s="33"/>
      <c r="CJ16" s="36" t="str">
        <f t="shared" si="38"/>
        <v/>
      </c>
      <c r="CK16" s="95"/>
      <c r="CL16" s="99" t="str">
        <f t="shared" si="39"/>
        <v/>
      </c>
      <c r="CM16" s="33"/>
      <c r="CN16" s="36" t="str">
        <f t="shared" si="40"/>
        <v/>
      </c>
      <c r="CO16" s="95"/>
      <c r="CP16" s="99" t="str">
        <f t="shared" si="41"/>
        <v/>
      </c>
      <c r="CQ16" s="23" t="s">
        <v>184</v>
      </c>
    </row>
    <row r="17" spans="1:95" ht="20" customHeight="1" x14ac:dyDescent="0.2">
      <c r="A17" s="60"/>
      <c r="B17" s="83"/>
      <c r="C17" s="24" t="s">
        <v>85</v>
      </c>
      <c r="D17" s="23" t="s">
        <v>258</v>
      </c>
      <c r="E17" s="23" t="s">
        <v>259</v>
      </c>
      <c r="F17" s="24">
        <v>2014</v>
      </c>
      <c r="H17" s="89">
        <v>48</v>
      </c>
      <c r="I17" s="85" t="s">
        <v>216</v>
      </c>
      <c r="J17" s="86" t="s">
        <v>340</v>
      </c>
      <c r="K17" s="33"/>
      <c r="L17" s="36" t="str">
        <f t="shared" si="0"/>
        <v/>
      </c>
      <c r="M17" s="95"/>
      <c r="N17" s="95" t="str">
        <f t="shared" si="1"/>
        <v/>
      </c>
      <c r="O17" s="38"/>
      <c r="P17" s="38" t="str">
        <f t="shared" si="2"/>
        <v/>
      </c>
      <c r="Q17" s="119"/>
      <c r="R17" s="120" t="str">
        <f t="shared" si="3"/>
        <v/>
      </c>
      <c r="S17" s="76"/>
      <c r="T17" s="36" t="str">
        <f t="shared" si="4"/>
        <v/>
      </c>
      <c r="U17" s="95"/>
      <c r="V17" s="99" t="str">
        <f t="shared" si="5"/>
        <v/>
      </c>
      <c r="W17" s="33"/>
      <c r="X17" s="36" t="str">
        <f t="shared" si="6"/>
        <v/>
      </c>
      <c r="Y17" s="95"/>
      <c r="Z17" s="99" t="str">
        <f t="shared" si="7"/>
        <v/>
      </c>
      <c r="AA17" s="33"/>
      <c r="AB17" s="36" t="str">
        <f t="shared" si="8"/>
        <v/>
      </c>
      <c r="AC17" s="95"/>
      <c r="AD17" s="99" t="str">
        <f t="shared" si="9"/>
        <v/>
      </c>
      <c r="AE17" s="33"/>
      <c r="AF17" s="36" t="str">
        <f t="shared" si="10"/>
        <v/>
      </c>
      <c r="AG17" s="95"/>
      <c r="AH17" s="99" t="str">
        <f t="shared" si="11"/>
        <v/>
      </c>
      <c r="AI17" s="33"/>
      <c r="AJ17" s="36" t="str">
        <f t="shared" si="12"/>
        <v/>
      </c>
      <c r="AK17" s="95"/>
      <c r="AL17" s="99" t="str">
        <f t="shared" si="13"/>
        <v/>
      </c>
      <c r="AM17" s="33"/>
      <c r="AN17" s="36" t="str">
        <f t="shared" si="14"/>
        <v/>
      </c>
      <c r="AO17" s="95"/>
      <c r="AP17" s="99" t="str">
        <f t="shared" si="15"/>
        <v/>
      </c>
      <c r="AQ17" s="38"/>
      <c r="AR17" s="38" t="str">
        <f t="shared" si="16"/>
        <v/>
      </c>
      <c r="AS17" s="119"/>
      <c r="AT17" s="120" t="str">
        <f t="shared" si="42"/>
        <v/>
      </c>
      <c r="AU17" s="33"/>
      <c r="AV17" s="36" t="str">
        <f t="shared" si="18"/>
        <v/>
      </c>
      <c r="AW17" s="95"/>
      <c r="AX17" s="99" t="str">
        <f t="shared" si="19"/>
        <v/>
      </c>
      <c r="AY17" s="76"/>
      <c r="AZ17" s="36" t="str">
        <f t="shared" si="20"/>
        <v/>
      </c>
      <c r="BA17" s="95"/>
      <c r="BB17" s="99" t="str">
        <f t="shared" si="21"/>
        <v/>
      </c>
      <c r="BC17" s="33"/>
      <c r="BD17" s="36" t="str">
        <f t="shared" si="22"/>
        <v/>
      </c>
      <c r="BE17" s="95"/>
      <c r="BF17" s="99" t="str">
        <f t="shared" si="23"/>
        <v/>
      </c>
      <c r="BG17" s="33"/>
      <c r="BH17" s="36" t="str">
        <f t="shared" si="24"/>
        <v/>
      </c>
      <c r="BI17" s="95"/>
      <c r="BJ17" s="99" t="str">
        <f t="shared" si="25"/>
        <v/>
      </c>
      <c r="BK17" s="33"/>
      <c r="BL17" s="36" t="str">
        <f t="shared" si="26"/>
        <v/>
      </c>
      <c r="BM17" s="95"/>
      <c r="BN17" s="99" t="str">
        <f t="shared" si="27"/>
        <v/>
      </c>
      <c r="BO17" s="33"/>
      <c r="BP17" s="36" t="str">
        <f t="shared" si="28"/>
        <v/>
      </c>
      <c r="BQ17" s="95"/>
      <c r="BR17" s="99" t="str">
        <f t="shared" si="29"/>
        <v/>
      </c>
      <c r="BS17" s="33"/>
      <c r="BT17" s="36" t="str">
        <f t="shared" si="30"/>
        <v/>
      </c>
      <c r="BU17" s="95"/>
      <c r="BV17" s="99" t="str">
        <f t="shared" si="31"/>
        <v/>
      </c>
      <c r="BW17" s="33"/>
      <c r="BX17" s="36" t="str">
        <f t="shared" si="32"/>
        <v/>
      </c>
      <c r="BY17" s="95"/>
      <c r="BZ17" s="99" t="str">
        <f t="shared" si="33"/>
        <v/>
      </c>
      <c r="CA17" s="33"/>
      <c r="CB17" s="36" t="str">
        <f t="shared" si="34"/>
        <v/>
      </c>
      <c r="CC17" s="95"/>
      <c r="CD17" s="99" t="str">
        <f t="shared" si="35"/>
        <v/>
      </c>
      <c r="CE17" s="33"/>
      <c r="CF17" s="36" t="str">
        <f t="shared" si="36"/>
        <v/>
      </c>
      <c r="CG17" s="95"/>
      <c r="CH17" s="99" t="str">
        <f t="shared" si="37"/>
        <v/>
      </c>
      <c r="CI17" s="33"/>
      <c r="CJ17" s="36" t="str">
        <f t="shared" si="38"/>
        <v/>
      </c>
      <c r="CK17" s="95"/>
      <c r="CL17" s="99" t="str">
        <f t="shared" si="39"/>
        <v/>
      </c>
      <c r="CM17" s="33"/>
      <c r="CN17" s="36" t="str">
        <f t="shared" si="40"/>
        <v/>
      </c>
      <c r="CO17" s="95"/>
      <c r="CP17" s="99" t="str">
        <f t="shared" si="41"/>
        <v/>
      </c>
      <c r="CQ17" s="23" t="s">
        <v>404</v>
      </c>
    </row>
    <row r="18" spans="1:95" ht="20" customHeight="1" x14ac:dyDescent="0.2">
      <c r="A18" s="60"/>
      <c r="B18" s="24"/>
      <c r="D18" s="23" t="s">
        <v>260</v>
      </c>
      <c r="E18" s="23" t="s">
        <v>261</v>
      </c>
      <c r="F18" s="24">
        <v>2015</v>
      </c>
      <c r="H18" s="89"/>
      <c r="I18" s="85"/>
      <c r="J18" s="86"/>
      <c r="K18" s="33"/>
      <c r="L18" s="36" t="str">
        <f t="shared" si="0"/>
        <v/>
      </c>
      <c r="M18" s="95"/>
      <c r="N18" s="95" t="str">
        <f t="shared" si="1"/>
        <v/>
      </c>
      <c r="O18" s="33"/>
      <c r="P18" s="36" t="str">
        <f t="shared" si="2"/>
        <v/>
      </c>
      <c r="Q18" s="95"/>
      <c r="R18" s="99" t="str">
        <f t="shared" si="3"/>
        <v/>
      </c>
      <c r="S18" s="76"/>
      <c r="T18" s="36" t="str">
        <f t="shared" si="4"/>
        <v/>
      </c>
      <c r="U18" s="95"/>
      <c r="V18" s="99" t="str">
        <f t="shared" si="5"/>
        <v/>
      </c>
      <c r="W18" s="33"/>
      <c r="X18" s="36" t="str">
        <f t="shared" si="6"/>
        <v/>
      </c>
      <c r="Y18" s="95"/>
      <c r="Z18" s="99" t="str">
        <f t="shared" si="7"/>
        <v/>
      </c>
      <c r="AA18" s="33"/>
      <c r="AB18" s="36" t="str">
        <f t="shared" si="8"/>
        <v/>
      </c>
      <c r="AC18" s="95"/>
      <c r="AD18" s="99" t="str">
        <f t="shared" si="9"/>
        <v/>
      </c>
      <c r="AE18" s="33"/>
      <c r="AF18" s="36" t="str">
        <f t="shared" si="10"/>
        <v/>
      </c>
      <c r="AG18" s="95"/>
      <c r="AH18" s="99" t="str">
        <f t="shared" si="11"/>
        <v/>
      </c>
      <c r="AI18" s="33"/>
      <c r="AJ18" s="36" t="str">
        <f t="shared" si="12"/>
        <v/>
      </c>
      <c r="AK18" s="95"/>
      <c r="AL18" s="99" t="str">
        <f t="shared" si="13"/>
        <v/>
      </c>
      <c r="AM18" s="33"/>
      <c r="AN18" s="36" t="str">
        <f t="shared" si="14"/>
        <v/>
      </c>
      <c r="AO18" s="95"/>
      <c r="AP18" s="99" t="str">
        <f t="shared" si="15"/>
        <v/>
      </c>
      <c r="AQ18" s="33"/>
      <c r="AR18" s="36" t="str">
        <f t="shared" si="16"/>
        <v/>
      </c>
      <c r="AS18" s="95"/>
      <c r="AT18" s="99" t="str">
        <f t="shared" si="42"/>
        <v/>
      </c>
      <c r="AU18" s="33"/>
      <c r="AV18" s="36" t="str">
        <f t="shared" si="18"/>
        <v/>
      </c>
      <c r="AW18" s="95"/>
      <c r="AX18" s="99" t="str">
        <f t="shared" si="19"/>
        <v/>
      </c>
      <c r="AY18" s="76"/>
      <c r="AZ18" s="36" t="str">
        <f t="shared" si="20"/>
        <v/>
      </c>
      <c r="BA18" s="95"/>
      <c r="BB18" s="99" t="str">
        <f t="shared" si="21"/>
        <v/>
      </c>
      <c r="BC18" s="33"/>
      <c r="BD18" s="36" t="str">
        <f t="shared" si="22"/>
        <v/>
      </c>
      <c r="BE18" s="95"/>
      <c r="BF18" s="99" t="str">
        <f t="shared" si="23"/>
        <v/>
      </c>
      <c r="BG18" s="33"/>
      <c r="BH18" s="36" t="str">
        <f t="shared" si="24"/>
        <v/>
      </c>
      <c r="BI18" s="95"/>
      <c r="BJ18" s="99" t="str">
        <f t="shared" si="25"/>
        <v/>
      </c>
      <c r="BK18" s="33"/>
      <c r="BL18" s="36" t="str">
        <f t="shared" si="26"/>
        <v/>
      </c>
      <c r="BM18" s="95"/>
      <c r="BN18" s="99" t="str">
        <f t="shared" si="27"/>
        <v/>
      </c>
      <c r="BO18" s="33"/>
      <c r="BP18" s="36" t="str">
        <f t="shared" si="28"/>
        <v/>
      </c>
      <c r="BQ18" s="95"/>
      <c r="BR18" s="99" t="str">
        <f t="shared" si="29"/>
        <v/>
      </c>
      <c r="BS18" s="33"/>
      <c r="BT18" s="36" t="str">
        <f t="shared" si="30"/>
        <v/>
      </c>
      <c r="BU18" s="95"/>
      <c r="BV18" s="99" t="str">
        <f t="shared" si="31"/>
        <v/>
      </c>
      <c r="BW18" s="33"/>
      <c r="BX18" s="36" t="str">
        <f t="shared" si="32"/>
        <v/>
      </c>
      <c r="BY18" s="95"/>
      <c r="BZ18" s="99" t="str">
        <f t="shared" si="33"/>
        <v/>
      </c>
      <c r="CA18" s="33"/>
      <c r="CB18" s="36" t="str">
        <f t="shared" si="34"/>
        <v/>
      </c>
      <c r="CC18" s="95"/>
      <c r="CD18" s="99" t="str">
        <f t="shared" si="35"/>
        <v/>
      </c>
      <c r="CE18" s="33"/>
      <c r="CF18" s="36" t="str">
        <f t="shared" si="36"/>
        <v/>
      </c>
      <c r="CG18" s="95"/>
      <c r="CH18" s="99" t="str">
        <f t="shared" si="37"/>
        <v/>
      </c>
      <c r="CI18" s="33"/>
      <c r="CJ18" s="36" t="str">
        <f t="shared" si="38"/>
        <v/>
      </c>
      <c r="CK18" s="95"/>
      <c r="CL18" s="99" t="str">
        <f t="shared" si="39"/>
        <v/>
      </c>
      <c r="CM18" s="33"/>
      <c r="CN18" s="36" t="str">
        <f t="shared" si="40"/>
        <v/>
      </c>
      <c r="CO18" s="95"/>
      <c r="CP18" s="99" t="str">
        <f t="shared" si="41"/>
        <v/>
      </c>
    </row>
    <row r="19" spans="1:95" ht="20" customHeight="1" x14ac:dyDescent="0.2">
      <c r="A19" s="60"/>
      <c r="B19" s="83"/>
      <c r="C19" s="24" t="s">
        <v>85</v>
      </c>
      <c r="D19" s="23" t="s">
        <v>262</v>
      </c>
      <c r="E19" s="23" t="s">
        <v>263</v>
      </c>
      <c r="F19" s="24">
        <v>2012</v>
      </c>
      <c r="H19" s="89">
        <v>80</v>
      </c>
      <c r="I19" s="85" t="s">
        <v>216</v>
      </c>
      <c r="J19" s="86" t="s">
        <v>193</v>
      </c>
      <c r="K19" s="33"/>
      <c r="L19" s="36" t="str">
        <f t="shared" si="0"/>
        <v/>
      </c>
      <c r="M19" s="95"/>
      <c r="N19" s="95" t="str">
        <f t="shared" si="1"/>
        <v/>
      </c>
      <c r="O19" s="33"/>
      <c r="P19" s="36" t="str">
        <f t="shared" si="2"/>
        <v/>
      </c>
      <c r="Q19" s="95"/>
      <c r="R19" s="99" t="str">
        <f t="shared" si="3"/>
        <v/>
      </c>
      <c r="S19" s="76"/>
      <c r="T19" s="36" t="str">
        <f t="shared" si="4"/>
        <v/>
      </c>
      <c r="U19" s="95"/>
      <c r="V19" s="99" t="str">
        <f t="shared" si="5"/>
        <v/>
      </c>
      <c r="W19" s="33"/>
      <c r="X19" s="36" t="str">
        <f t="shared" si="6"/>
        <v/>
      </c>
      <c r="Y19" s="95"/>
      <c r="Z19" s="99" t="str">
        <f t="shared" si="7"/>
        <v/>
      </c>
      <c r="AA19" s="33"/>
      <c r="AB19" s="36" t="str">
        <f t="shared" si="8"/>
        <v/>
      </c>
      <c r="AC19" s="95"/>
      <c r="AD19" s="99" t="str">
        <f t="shared" si="9"/>
        <v/>
      </c>
      <c r="AE19" s="33"/>
      <c r="AF19" s="36" t="str">
        <f t="shared" si="10"/>
        <v/>
      </c>
      <c r="AG19" s="95"/>
      <c r="AH19" s="99" t="str">
        <f t="shared" si="11"/>
        <v/>
      </c>
      <c r="AI19" s="33"/>
      <c r="AJ19" s="36" t="str">
        <f t="shared" si="12"/>
        <v/>
      </c>
      <c r="AK19" s="95"/>
      <c r="AL19" s="99" t="str">
        <f t="shared" si="13"/>
        <v/>
      </c>
      <c r="AM19" s="33"/>
      <c r="AN19" s="36" t="str">
        <f t="shared" si="14"/>
        <v/>
      </c>
      <c r="AO19" s="95"/>
      <c r="AP19" s="99" t="str">
        <f t="shared" si="15"/>
        <v/>
      </c>
      <c r="AQ19" s="33"/>
      <c r="AR19" s="36" t="str">
        <f t="shared" si="16"/>
        <v/>
      </c>
      <c r="AS19" s="95"/>
      <c r="AT19" s="99" t="str">
        <f t="shared" si="42"/>
        <v/>
      </c>
      <c r="AU19" s="33"/>
      <c r="AV19" s="36" t="str">
        <f t="shared" si="18"/>
        <v/>
      </c>
      <c r="AW19" s="95"/>
      <c r="AX19" s="99" t="str">
        <f t="shared" si="19"/>
        <v/>
      </c>
      <c r="AY19" s="76"/>
      <c r="AZ19" s="36" t="str">
        <f t="shared" si="20"/>
        <v/>
      </c>
      <c r="BA19" s="95"/>
      <c r="BB19" s="99" t="str">
        <f t="shared" si="21"/>
        <v/>
      </c>
      <c r="BC19" s="33"/>
      <c r="BD19" s="36" t="str">
        <f t="shared" si="22"/>
        <v/>
      </c>
      <c r="BE19" s="95"/>
      <c r="BF19" s="99" t="str">
        <f t="shared" si="23"/>
        <v/>
      </c>
      <c r="BG19" s="33"/>
      <c r="BH19" s="36" t="str">
        <f t="shared" si="24"/>
        <v/>
      </c>
      <c r="BI19" s="95"/>
      <c r="BJ19" s="99" t="str">
        <f t="shared" si="25"/>
        <v/>
      </c>
      <c r="BK19" s="33"/>
      <c r="BL19" s="36" t="str">
        <f t="shared" si="26"/>
        <v/>
      </c>
      <c r="BM19" s="95"/>
      <c r="BN19" s="99" t="str">
        <f t="shared" si="27"/>
        <v/>
      </c>
      <c r="BO19" s="33"/>
      <c r="BP19" s="36" t="str">
        <f t="shared" si="28"/>
        <v/>
      </c>
      <c r="BQ19" s="95"/>
      <c r="BR19" s="99" t="str">
        <f t="shared" si="29"/>
        <v/>
      </c>
      <c r="BS19" s="33"/>
      <c r="BT19" s="36" t="str">
        <f t="shared" si="30"/>
        <v/>
      </c>
      <c r="BU19" s="95"/>
      <c r="BV19" s="99" t="str">
        <f t="shared" si="31"/>
        <v/>
      </c>
      <c r="BW19" s="33"/>
      <c r="BX19" s="36" t="str">
        <f t="shared" si="32"/>
        <v/>
      </c>
      <c r="BY19" s="95"/>
      <c r="BZ19" s="99" t="str">
        <f t="shared" si="33"/>
        <v/>
      </c>
      <c r="CA19" s="33"/>
      <c r="CB19" s="36" t="str">
        <f t="shared" si="34"/>
        <v/>
      </c>
      <c r="CC19" s="95"/>
      <c r="CD19" s="99" t="str">
        <f t="shared" si="35"/>
        <v/>
      </c>
      <c r="CE19" s="33"/>
      <c r="CF19" s="36" t="str">
        <f t="shared" si="36"/>
        <v/>
      </c>
      <c r="CG19" s="95"/>
      <c r="CH19" s="99" t="str">
        <f t="shared" si="37"/>
        <v/>
      </c>
      <c r="CI19" s="33"/>
      <c r="CJ19" s="36" t="str">
        <f t="shared" si="38"/>
        <v/>
      </c>
      <c r="CK19" s="95"/>
      <c r="CL19" s="99" t="str">
        <f t="shared" si="39"/>
        <v/>
      </c>
      <c r="CM19" s="33"/>
      <c r="CN19" s="36" t="str">
        <f t="shared" si="40"/>
        <v/>
      </c>
      <c r="CO19" s="95"/>
      <c r="CP19" s="99" t="str">
        <f t="shared" si="41"/>
        <v/>
      </c>
    </row>
    <row r="20" spans="1:95" ht="20" customHeight="1" x14ac:dyDescent="0.2">
      <c r="A20" s="60"/>
      <c r="B20" s="82"/>
      <c r="C20" s="24" t="s">
        <v>85</v>
      </c>
      <c r="D20" s="23" t="s">
        <v>264</v>
      </c>
      <c r="E20" s="23" t="s">
        <v>265</v>
      </c>
      <c r="F20" s="24">
        <v>2013</v>
      </c>
      <c r="H20" s="89">
        <v>12</v>
      </c>
      <c r="I20" s="85" t="s">
        <v>216</v>
      </c>
      <c r="J20" s="86" t="s">
        <v>341</v>
      </c>
      <c r="K20" s="33"/>
      <c r="L20" s="36" t="str">
        <f t="shared" si="0"/>
        <v/>
      </c>
      <c r="M20" s="95"/>
      <c r="N20" s="95" t="str">
        <f t="shared" si="1"/>
        <v/>
      </c>
      <c r="O20" s="33"/>
      <c r="P20" s="36" t="str">
        <f t="shared" si="2"/>
        <v/>
      </c>
      <c r="Q20" s="95"/>
      <c r="R20" s="99" t="str">
        <f t="shared" si="3"/>
        <v/>
      </c>
      <c r="S20" s="40"/>
      <c r="T20" s="39" t="str">
        <f t="shared" si="4"/>
        <v/>
      </c>
      <c r="U20" s="119"/>
      <c r="V20" s="120" t="str">
        <f t="shared" si="5"/>
        <v/>
      </c>
      <c r="W20" s="33"/>
      <c r="X20" s="36" t="str">
        <f t="shared" si="6"/>
        <v/>
      </c>
      <c r="Y20" s="95"/>
      <c r="Z20" s="99" t="str">
        <f t="shared" si="7"/>
        <v/>
      </c>
      <c r="AA20" s="38"/>
      <c r="AB20" s="39" t="str">
        <f t="shared" si="8"/>
        <v/>
      </c>
      <c r="AC20" s="119"/>
      <c r="AD20" s="120" t="str">
        <f t="shared" si="9"/>
        <v/>
      </c>
      <c r="AE20" s="33"/>
      <c r="AF20" s="36" t="str">
        <f t="shared" si="10"/>
        <v/>
      </c>
      <c r="AG20" s="95"/>
      <c r="AH20" s="99" t="str">
        <f t="shared" si="11"/>
        <v/>
      </c>
      <c r="AI20" s="33"/>
      <c r="AJ20" s="36" t="str">
        <f t="shared" si="12"/>
        <v/>
      </c>
      <c r="AK20" s="95"/>
      <c r="AL20" s="99" t="str">
        <f t="shared" si="13"/>
        <v/>
      </c>
      <c r="AM20" s="33"/>
      <c r="AN20" s="36" t="str">
        <f t="shared" si="14"/>
        <v/>
      </c>
      <c r="AO20" s="95"/>
      <c r="AP20" s="99" t="str">
        <f t="shared" si="15"/>
        <v/>
      </c>
      <c r="AQ20" s="33"/>
      <c r="AR20" s="36" t="str">
        <f t="shared" si="16"/>
        <v/>
      </c>
      <c r="AS20" s="95"/>
      <c r="AT20" s="99" t="str">
        <f t="shared" si="42"/>
        <v/>
      </c>
      <c r="AU20" s="33"/>
      <c r="AV20" s="36" t="str">
        <f t="shared" si="18"/>
        <v/>
      </c>
      <c r="AW20" s="95"/>
      <c r="AX20" s="99" t="str">
        <f t="shared" si="19"/>
        <v/>
      </c>
      <c r="AY20" s="76"/>
      <c r="AZ20" s="36" t="str">
        <f t="shared" si="20"/>
        <v/>
      </c>
      <c r="BA20" s="95"/>
      <c r="BB20" s="99" t="str">
        <f t="shared" si="21"/>
        <v/>
      </c>
      <c r="BC20" s="33"/>
      <c r="BD20" s="36" t="str">
        <f t="shared" si="22"/>
        <v/>
      </c>
      <c r="BE20" s="95"/>
      <c r="BF20" s="99" t="str">
        <f t="shared" si="23"/>
        <v/>
      </c>
      <c r="BG20" s="33"/>
      <c r="BH20" s="36" t="str">
        <f t="shared" si="24"/>
        <v/>
      </c>
      <c r="BI20" s="95"/>
      <c r="BJ20" s="99" t="str">
        <f t="shared" si="25"/>
        <v/>
      </c>
      <c r="BK20" s="33"/>
      <c r="BL20" s="36" t="str">
        <f t="shared" si="26"/>
        <v/>
      </c>
      <c r="BM20" s="95"/>
      <c r="BN20" s="99" t="str">
        <f t="shared" si="27"/>
        <v/>
      </c>
      <c r="BO20" s="33"/>
      <c r="BP20" s="36" t="str">
        <f t="shared" si="28"/>
        <v/>
      </c>
      <c r="BQ20" s="95"/>
      <c r="BR20" s="99" t="str">
        <f t="shared" si="29"/>
        <v/>
      </c>
      <c r="BS20" s="33"/>
      <c r="BT20" s="36" t="str">
        <f t="shared" si="30"/>
        <v/>
      </c>
      <c r="BU20" s="95"/>
      <c r="BV20" s="99" t="str">
        <f t="shared" si="31"/>
        <v/>
      </c>
      <c r="BW20" s="33"/>
      <c r="BX20" s="36" t="str">
        <f t="shared" si="32"/>
        <v/>
      </c>
      <c r="BY20" s="95"/>
      <c r="BZ20" s="99" t="str">
        <f t="shared" si="33"/>
        <v/>
      </c>
      <c r="CA20" s="33"/>
      <c r="CB20" s="36" t="str">
        <f t="shared" si="34"/>
        <v/>
      </c>
      <c r="CC20" s="95"/>
      <c r="CD20" s="99" t="str">
        <f t="shared" si="35"/>
        <v/>
      </c>
      <c r="CE20" s="33"/>
      <c r="CF20" s="36" t="str">
        <f t="shared" si="36"/>
        <v/>
      </c>
      <c r="CG20" s="95"/>
      <c r="CH20" s="99" t="str">
        <f t="shared" si="37"/>
        <v/>
      </c>
      <c r="CI20" s="33"/>
      <c r="CJ20" s="36" t="str">
        <f t="shared" si="38"/>
        <v/>
      </c>
      <c r="CK20" s="95"/>
      <c r="CL20" s="99" t="str">
        <f t="shared" si="39"/>
        <v/>
      </c>
      <c r="CM20" s="33"/>
      <c r="CN20" s="36" t="str">
        <f t="shared" si="40"/>
        <v/>
      </c>
      <c r="CO20" s="95"/>
      <c r="CP20" s="99" t="str">
        <f t="shared" si="41"/>
        <v/>
      </c>
      <c r="CQ20" s="23" t="s">
        <v>405</v>
      </c>
    </row>
    <row r="21" spans="1:95" ht="20" customHeight="1" x14ac:dyDescent="0.2">
      <c r="A21" s="60"/>
      <c r="B21" s="82"/>
      <c r="C21" s="24" t="s">
        <v>85</v>
      </c>
      <c r="D21" s="23" t="s">
        <v>406</v>
      </c>
      <c r="E21" s="23" t="s">
        <v>407</v>
      </c>
      <c r="F21" s="24">
        <v>2013</v>
      </c>
      <c r="H21" s="89">
        <v>38</v>
      </c>
      <c r="I21" s="85" t="s">
        <v>408</v>
      </c>
      <c r="J21" s="86" t="s">
        <v>169</v>
      </c>
      <c r="K21" s="33"/>
      <c r="L21" s="36" t="str">
        <f t="shared" si="0"/>
        <v/>
      </c>
      <c r="M21" s="95"/>
      <c r="N21" s="95"/>
      <c r="O21" s="33"/>
      <c r="P21" s="36" t="str">
        <f t="shared" si="2"/>
        <v/>
      </c>
      <c r="Q21" s="95"/>
      <c r="R21" s="99"/>
      <c r="S21" s="33"/>
      <c r="T21" s="36" t="str">
        <f t="shared" si="4"/>
        <v/>
      </c>
      <c r="U21" s="95"/>
      <c r="V21" s="99"/>
      <c r="W21" s="33"/>
      <c r="X21" s="36" t="str">
        <f t="shared" si="6"/>
        <v/>
      </c>
      <c r="Y21" s="95"/>
      <c r="Z21" s="99"/>
      <c r="AA21" s="33"/>
      <c r="AB21" s="36" t="str">
        <f t="shared" si="8"/>
        <v/>
      </c>
      <c r="AC21" s="95"/>
      <c r="AD21" s="99"/>
      <c r="AE21" s="33"/>
      <c r="AF21" s="36" t="str">
        <f t="shared" si="10"/>
        <v/>
      </c>
      <c r="AG21" s="95"/>
      <c r="AH21" s="99"/>
      <c r="AI21" s="33"/>
      <c r="AJ21" s="36" t="str">
        <f t="shared" si="12"/>
        <v/>
      </c>
      <c r="AK21" s="95"/>
      <c r="AL21" s="99"/>
      <c r="AM21" s="33"/>
      <c r="AN21" s="36" t="str">
        <f t="shared" si="14"/>
        <v/>
      </c>
      <c r="AO21" s="95"/>
      <c r="AP21" s="99"/>
      <c r="AQ21" s="33"/>
      <c r="AR21" s="36" t="str">
        <f t="shared" si="16"/>
        <v/>
      </c>
      <c r="AS21" s="95"/>
      <c r="AT21" s="99"/>
      <c r="AU21" s="33"/>
      <c r="AV21" s="36" t="str">
        <f t="shared" si="18"/>
        <v/>
      </c>
      <c r="AW21" s="95"/>
      <c r="AX21" s="99"/>
      <c r="AY21" s="76">
        <v>37</v>
      </c>
      <c r="AZ21" s="36">
        <f t="shared" si="20"/>
        <v>97.368421052631575</v>
      </c>
      <c r="BA21" s="95">
        <v>34</v>
      </c>
      <c r="BB21" s="99">
        <f t="shared" si="21"/>
        <v>3</v>
      </c>
      <c r="BC21" s="33"/>
      <c r="BD21" s="36" t="str">
        <f t="shared" si="22"/>
        <v/>
      </c>
      <c r="BE21" s="95"/>
      <c r="BF21" s="99"/>
      <c r="BG21" s="33"/>
      <c r="BH21" s="36" t="str">
        <f t="shared" si="24"/>
        <v/>
      </c>
      <c r="BI21" s="95"/>
      <c r="BJ21" s="99"/>
      <c r="BK21" s="33"/>
      <c r="BL21" s="36" t="str">
        <f t="shared" si="26"/>
        <v/>
      </c>
      <c r="BM21" s="95"/>
      <c r="BN21" s="99"/>
      <c r="BO21" s="33"/>
      <c r="BP21" s="36" t="str">
        <f t="shared" si="28"/>
        <v/>
      </c>
      <c r="BQ21" s="95"/>
      <c r="BR21" s="99"/>
      <c r="BS21" s="33"/>
      <c r="BT21" s="36" t="str">
        <f t="shared" si="30"/>
        <v/>
      </c>
      <c r="BU21" s="95"/>
      <c r="BV21" s="99"/>
      <c r="BW21" s="33"/>
      <c r="BX21" s="36" t="str">
        <f t="shared" si="32"/>
        <v/>
      </c>
      <c r="BY21" s="95"/>
      <c r="BZ21" s="99"/>
      <c r="CA21" s="33"/>
      <c r="CB21" s="36" t="str">
        <f t="shared" si="34"/>
        <v/>
      </c>
      <c r="CC21" s="95"/>
      <c r="CD21" s="99"/>
      <c r="CE21" s="33"/>
      <c r="CF21" s="36" t="str">
        <f t="shared" si="36"/>
        <v/>
      </c>
      <c r="CG21" s="95"/>
      <c r="CH21" s="99"/>
      <c r="CI21" s="33"/>
      <c r="CJ21" s="36" t="str">
        <f t="shared" si="38"/>
        <v/>
      </c>
      <c r="CK21" s="95"/>
      <c r="CL21" s="99"/>
      <c r="CM21" s="33"/>
      <c r="CN21" s="36" t="str">
        <f t="shared" si="40"/>
        <v/>
      </c>
      <c r="CO21" s="95"/>
      <c r="CP21" s="99"/>
      <c r="CQ21" s="23" t="s">
        <v>416</v>
      </c>
    </row>
    <row r="22" spans="1:95" ht="20" customHeight="1" x14ac:dyDescent="0.2">
      <c r="A22" s="61"/>
      <c r="B22" s="83"/>
      <c r="C22" s="24" t="s">
        <v>85</v>
      </c>
      <c r="D22" s="23" t="s">
        <v>52</v>
      </c>
      <c r="E22" s="23" t="s">
        <v>53</v>
      </c>
      <c r="F22" s="24">
        <v>2001</v>
      </c>
      <c r="G22" s="24">
        <v>118</v>
      </c>
      <c r="H22" s="89">
        <v>20</v>
      </c>
      <c r="I22" s="85"/>
      <c r="J22" s="86" t="s">
        <v>190</v>
      </c>
      <c r="K22" s="33"/>
      <c r="L22" s="36" t="str">
        <f t="shared" si="0"/>
        <v/>
      </c>
      <c r="M22" s="95"/>
      <c r="N22" s="95" t="str">
        <f t="shared" si="1"/>
        <v/>
      </c>
      <c r="O22" s="33"/>
      <c r="P22" s="36" t="str">
        <f t="shared" si="2"/>
        <v/>
      </c>
      <c r="Q22" s="95"/>
      <c r="R22" s="99" t="str">
        <f t="shared" si="3"/>
        <v/>
      </c>
      <c r="S22" s="76"/>
      <c r="T22" s="36" t="str">
        <f t="shared" si="4"/>
        <v/>
      </c>
      <c r="U22" s="95"/>
      <c r="V22" s="99" t="str">
        <f t="shared" si="5"/>
        <v/>
      </c>
      <c r="W22" s="33"/>
      <c r="X22" s="36" t="str">
        <f t="shared" si="6"/>
        <v/>
      </c>
      <c r="Y22" s="95"/>
      <c r="Z22" s="99" t="str">
        <f t="shared" si="7"/>
        <v/>
      </c>
      <c r="AA22" s="33"/>
      <c r="AB22" s="36" t="str">
        <f t="shared" si="8"/>
        <v/>
      </c>
      <c r="AC22" s="95"/>
      <c r="AD22" s="99" t="str">
        <f t="shared" si="9"/>
        <v/>
      </c>
      <c r="AE22" s="33"/>
      <c r="AF22" s="36" t="str">
        <f t="shared" si="10"/>
        <v/>
      </c>
      <c r="AG22" s="95"/>
      <c r="AH22" s="99" t="str">
        <f t="shared" si="11"/>
        <v/>
      </c>
      <c r="AI22" s="33"/>
      <c r="AJ22" s="36" t="str">
        <f t="shared" si="12"/>
        <v/>
      </c>
      <c r="AK22" s="95"/>
      <c r="AL22" s="99" t="str">
        <f t="shared" si="13"/>
        <v/>
      </c>
      <c r="AM22" s="33"/>
      <c r="AN22" s="36" t="str">
        <f t="shared" si="14"/>
        <v/>
      </c>
      <c r="AO22" s="95"/>
      <c r="AP22" s="99" t="str">
        <f t="shared" si="15"/>
        <v/>
      </c>
      <c r="AQ22" s="33"/>
      <c r="AR22" s="36" t="str">
        <f t="shared" si="16"/>
        <v/>
      </c>
      <c r="AS22" s="95"/>
      <c r="AT22" s="99" t="str">
        <f t="shared" si="42"/>
        <v/>
      </c>
      <c r="AU22" s="33"/>
      <c r="AV22" s="36" t="str">
        <f t="shared" si="18"/>
        <v/>
      </c>
      <c r="AW22" s="95"/>
      <c r="AX22" s="99" t="str">
        <f t="shared" si="19"/>
        <v/>
      </c>
      <c r="AY22" s="76"/>
      <c r="AZ22" s="36" t="str">
        <f t="shared" si="20"/>
        <v/>
      </c>
      <c r="BA22" s="95"/>
      <c r="BB22" s="99" t="str">
        <f t="shared" si="21"/>
        <v/>
      </c>
      <c r="BC22" s="33"/>
      <c r="BD22" s="36" t="str">
        <f t="shared" si="22"/>
        <v/>
      </c>
      <c r="BE22" s="95"/>
      <c r="BF22" s="99" t="str">
        <f t="shared" si="23"/>
        <v/>
      </c>
      <c r="BG22" s="33"/>
      <c r="BH22" s="36" t="str">
        <f t="shared" si="24"/>
        <v/>
      </c>
      <c r="BI22" s="95"/>
      <c r="BJ22" s="99" t="str">
        <f t="shared" si="25"/>
        <v/>
      </c>
      <c r="BK22" s="33"/>
      <c r="BL22" s="36" t="str">
        <f t="shared" si="26"/>
        <v/>
      </c>
      <c r="BM22" s="95"/>
      <c r="BN22" s="99" t="str">
        <f t="shared" si="27"/>
        <v/>
      </c>
      <c r="BO22" s="33"/>
      <c r="BP22" s="36" t="str">
        <f t="shared" si="28"/>
        <v/>
      </c>
      <c r="BQ22" s="95"/>
      <c r="BR22" s="99" t="str">
        <f t="shared" si="29"/>
        <v/>
      </c>
      <c r="BS22" s="33"/>
      <c r="BT22" s="36" t="str">
        <f t="shared" si="30"/>
        <v/>
      </c>
      <c r="BU22" s="95"/>
      <c r="BV22" s="99" t="str">
        <f t="shared" si="31"/>
        <v/>
      </c>
      <c r="BW22" s="33"/>
      <c r="BX22" s="36" t="str">
        <f t="shared" si="32"/>
        <v/>
      </c>
      <c r="BY22" s="95"/>
      <c r="BZ22" s="99" t="str">
        <f t="shared" si="33"/>
        <v/>
      </c>
      <c r="CA22" s="33"/>
      <c r="CB22" s="36" t="str">
        <f t="shared" si="34"/>
        <v/>
      </c>
      <c r="CC22" s="95"/>
      <c r="CD22" s="99" t="str">
        <f t="shared" si="35"/>
        <v/>
      </c>
      <c r="CE22" s="33"/>
      <c r="CF22" s="36" t="str">
        <f t="shared" si="36"/>
        <v/>
      </c>
      <c r="CG22" s="95"/>
      <c r="CH22" s="99" t="str">
        <f t="shared" si="37"/>
        <v/>
      </c>
      <c r="CI22" s="33"/>
      <c r="CJ22" s="36" t="str">
        <f t="shared" si="38"/>
        <v/>
      </c>
      <c r="CK22" s="95"/>
      <c r="CL22" s="99" t="str">
        <f t="shared" si="39"/>
        <v/>
      </c>
      <c r="CM22" s="33"/>
      <c r="CN22" s="36" t="str">
        <f t="shared" si="40"/>
        <v/>
      </c>
      <c r="CO22" s="95"/>
      <c r="CP22" s="99" t="str">
        <f t="shared" si="41"/>
        <v/>
      </c>
      <c r="CQ22" s="23" t="s">
        <v>181</v>
      </c>
    </row>
    <row r="23" spans="1:95" ht="20" customHeight="1" x14ac:dyDescent="0.2">
      <c r="A23" s="60"/>
      <c r="B23" s="82"/>
      <c r="C23" s="24" t="s">
        <v>85</v>
      </c>
      <c r="D23" s="23" t="s">
        <v>270</v>
      </c>
      <c r="E23" s="23" t="s">
        <v>271</v>
      </c>
      <c r="F23" s="24">
        <v>1994</v>
      </c>
      <c r="H23" s="89">
        <v>20</v>
      </c>
      <c r="I23" s="85" t="s">
        <v>343</v>
      </c>
      <c r="J23" s="86"/>
      <c r="K23" s="33"/>
      <c r="L23" s="36" t="str">
        <f t="shared" si="0"/>
        <v/>
      </c>
      <c r="M23" s="95"/>
      <c r="N23" s="95" t="str">
        <f t="shared" si="1"/>
        <v/>
      </c>
      <c r="O23" s="33"/>
      <c r="P23" s="36" t="str">
        <f t="shared" si="2"/>
        <v/>
      </c>
      <c r="Q23" s="95"/>
      <c r="R23" s="99" t="str">
        <f t="shared" si="3"/>
        <v/>
      </c>
      <c r="S23" s="40"/>
      <c r="T23" s="39" t="str">
        <f t="shared" si="4"/>
        <v/>
      </c>
      <c r="U23" s="119"/>
      <c r="V23" s="120" t="str">
        <f t="shared" si="5"/>
        <v/>
      </c>
      <c r="W23" s="33"/>
      <c r="X23" s="36" t="str">
        <f t="shared" si="6"/>
        <v/>
      </c>
      <c r="Y23" s="95"/>
      <c r="Z23" s="99" t="str">
        <f t="shared" si="7"/>
        <v/>
      </c>
      <c r="AA23" s="38"/>
      <c r="AB23" s="39" t="str">
        <f t="shared" si="8"/>
        <v/>
      </c>
      <c r="AC23" s="119"/>
      <c r="AD23" s="120" t="str">
        <f t="shared" si="9"/>
        <v/>
      </c>
      <c r="AE23" s="38"/>
      <c r="AF23" s="39" t="str">
        <f t="shared" si="10"/>
        <v/>
      </c>
      <c r="AG23" s="119"/>
      <c r="AH23" s="120" t="str">
        <f t="shared" si="11"/>
        <v/>
      </c>
      <c r="AI23" s="33"/>
      <c r="AJ23" s="36" t="str">
        <f t="shared" si="12"/>
        <v/>
      </c>
      <c r="AK23" s="95"/>
      <c r="AL23" s="99" t="str">
        <f t="shared" si="13"/>
        <v/>
      </c>
      <c r="AM23" s="33"/>
      <c r="AN23" s="36" t="str">
        <f t="shared" si="14"/>
        <v/>
      </c>
      <c r="AO23" s="95"/>
      <c r="AP23" s="99" t="str">
        <f t="shared" si="15"/>
        <v/>
      </c>
      <c r="AQ23" s="33"/>
      <c r="AR23" s="36" t="str">
        <f t="shared" si="16"/>
        <v/>
      </c>
      <c r="AS23" s="95"/>
      <c r="AT23" s="99" t="str">
        <f t="shared" si="42"/>
        <v/>
      </c>
      <c r="AU23" s="33"/>
      <c r="AV23" s="36" t="str">
        <f t="shared" si="18"/>
        <v/>
      </c>
      <c r="AW23" s="95"/>
      <c r="AX23" s="99" t="str">
        <f t="shared" si="19"/>
        <v/>
      </c>
      <c r="AY23" s="76"/>
      <c r="AZ23" s="36" t="str">
        <f t="shared" si="20"/>
        <v/>
      </c>
      <c r="BA23" s="95"/>
      <c r="BB23" s="99" t="str">
        <f t="shared" si="21"/>
        <v/>
      </c>
      <c r="BC23" s="33"/>
      <c r="BD23" s="36" t="str">
        <f t="shared" si="22"/>
        <v/>
      </c>
      <c r="BE23" s="95"/>
      <c r="BF23" s="99" t="str">
        <f t="shared" si="23"/>
        <v/>
      </c>
      <c r="BG23" s="33"/>
      <c r="BH23" s="36" t="str">
        <f t="shared" si="24"/>
        <v/>
      </c>
      <c r="BI23" s="95"/>
      <c r="BJ23" s="99" t="str">
        <f t="shared" si="25"/>
        <v/>
      </c>
      <c r="BK23" s="33"/>
      <c r="BL23" s="36" t="str">
        <f t="shared" si="26"/>
        <v/>
      </c>
      <c r="BM23" s="95"/>
      <c r="BN23" s="99" t="str">
        <f t="shared" si="27"/>
        <v/>
      </c>
      <c r="BO23" s="33"/>
      <c r="BP23" s="36" t="str">
        <f t="shared" si="28"/>
        <v/>
      </c>
      <c r="BQ23" s="95"/>
      <c r="BR23" s="99" t="str">
        <f t="shared" si="29"/>
        <v/>
      </c>
      <c r="BS23" s="33"/>
      <c r="BT23" s="36" t="str">
        <f t="shared" si="30"/>
        <v/>
      </c>
      <c r="BU23" s="95"/>
      <c r="BV23" s="99" t="str">
        <f t="shared" si="31"/>
        <v/>
      </c>
      <c r="BW23" s="33"/>
      <c r="BX23" s="36" t="str">
        <f t="shared" si="32"/>
        <v/>
      </c>
      <c r="BY23" s="95"/>
      <c r="BZ23" s="99" t="str">
        <f t="shared" si="33"/>
        <v/>
      </c>
      <c r="CA23" s="33"/>
      <c r="CB23" s="36" t="str">
        <f t="shared" si="34"/>
        <v/>
      </c>
      <c r="CC23" s="95"/>
      <c r="CD23" s="99" t="str">
        <f t="shared" si="35"/>
        <v/>
      </c>
      <c r="CE23" s="33"/>
      <c r="CF23" s="36" t="str">
        <f t="shared" si="36"/>
        <v/>
      </c>
      <c r="CG23" s="95"/>
      <c r="CH23" s="99" t="str">
        <f t="shared" si="37"/>
        <v/>
      </c>
      <c r="CI23" s="33"/>
      <c r="CJ23" s="36" t="str">
        <f t="shared" si="38"/>
        <v/>
      </c>
      <c r="CK23" s="95"/>
      <c r="CL23" s="99" t="str">
        <f t="shared" si="39"/>
        <v/>
      </c>
      <c r="CM23" s="33"/>
      <c r="CN23" s="36" t="str">
        <f t="shared" si="40"/>
        <v/>
      </c>
      <c r="CO23" s="95"/>
      <c r="CP23" s="99" t="str">
        <f t="shared" si="41"/>
        <v/>
      </c>
      <c r="CQ23" s="23" t="s">
        <v>409</v>
      </c>
    </row>
    <row r="24" spans="1:95" ht="20" customHeight="1" x14ac:dyDescent="0.2">
      <c r="A24" s="60"/>
      <c r="B24" s="83"/>
      <c r="C24" s="24" t="s">
        <v>85</v>
      </c>
      <c r="D24" s="23" t="s">
        <v>344</v>
      </c>
      <c r="E24" s="23" t="s">
        <v>345</v>
      </c>
      <c r="F24" s="24">
        <v>2008</v>
      </c>
      <c r="H24" s="89">
        <v>16</v>
      </c>
      <c r="I24" s="85" t="s">
        <v>177</v>
      </c>
      <c r="J24" s="86" t="s">
        <v>346</v>
      </c>
      <c r="K24" s="33"/>
      <c r="L24" s="36" t="str">
        <f t="shared" si="0"/>
        <v/>
      </c>
      <c r="M24" s="95"/>
      <c r="N24" s="95" t="str">
        <f t="shared" si="1"/>
        <v/>
      </c>
      <c r="O24" s="33"/>
      <c r="P24" s="36" t="str">
        <f t="shared" si="2"/>
        <v/>
      </c>
      <c r="Q24" s="95"/>
      <c r="R24" s="99" t="str">
        <f t="shared" si="3"/>
        <v/>
      </c>
      <c r="S24" s="76"/>
      <c r="T24" s="36" t="str">
        <f t="shared" si="4"/>
        <v/>
      </c>
      <c r="U24" s="95"/>
      <c r="V24" s="99" t="str">
        <f t="shared" si="5"/>
        <v/>
      </c>
      <c r="W24" s="33"/>
      <c r="X24" s="36" t="str">
        <f t="shared" si="6"/>
        <v/>
      </c>
      <c r="Y24" s="95"/>
      <c r="Z24" s="99" t="str">
        <f t="shared" si="7"/>
        <v/>
      </c>
      <c r="AA24" s="33"/>
      <c r="AB24" s="36" t="str">
        <f t="shared" si="8"/>
        <v/>
      </c>
      <c r="AC24" s="95"/>
      <c r="AD24" s="99" t="str">
        <f t="shared" si="9"/>
        <v/>
      </c>
      <c r="AE24" s="33"/>
      <c r="AF24" s="36" t="str">
        <f t="shared" si="10"/>
        <v/>
      </c>
      <c r="AG24" s="95"/>
      <c r="AH24" s="99" t="str">
        <f t="shared" si="11"/>
        <v/>
      </c>
      <c r="AI24" s="33"/>
      <c r="AJ24" s="36" t="str">
        <f t="shared" si="12"/>
        <v/>
      </c>
      <c r="AK24" s="95"/>
      <c r="AL24" s="99" t="str">
        <f t="shared" si="13"/>
        <v/>
      </c>
      <c r="AM24" s="33"/>
      <c r="AN24" s="36" t="str">
        <f t="shared" si="14"/>
        <v/>
      </c>
      <c r="AO24" s="95"/>
      <c r="AP24" s="99" t="str">
        <f t="shared" si="15"/>
        <v/>
      </c>
      <c r="AQ24" s="33"/>
      <c r="AR24" s="36" t="str">
        <f t="shared" si="16"/>
        <v/>
      </c>
      <c r="AS24" s="95"/>
      <c r="AT24" s="99" t="str">
        <f t="shared" si="42"/>
        <v/>
      </c>
      <c r="AU24" s="33"/>
      <c r="AV24" s="36" t="str">
        <f t="shared" si="18"/>
        <v/>
      </c>
      <c r="AW24" s="95"/>
      <c r="AX24" s="99" t="str">
        <f t="shared" si="19"/>
        <v/>
      </c>
      <c r="AY24" s="76"/>
      <c r="AZ24" s="36" t="str">
        <f t="shared" si="20"/>
        <v/>
      </c>
      <c r="BA24" s="95"/>
      <c r="BB24" s="99" t="str">
        <f t="shared" si="21"/>
        <v/>
      </c>
      <c r="BC24" s="33"/>
      <c r="BD24" s="36" t="str">
        <f t="shared" si="22"/>
        <v/>
      </c>
      <c r="BE24" s="95"/>
      <c r="BF24" s="99" t="str">
        <f t="shared" si="23"/>
        <v/>
      </c>
      <c r="BG24" s="33"/>
      <c r="BH24" s="36" t="str">
        <f t="shared" si="24"/>
        <v/>
      </c>
      <c r="BI24" s="95"/>
      <c r="BJ24" s="99" t="str">
        <f t="shared" si="25"/>
        <v/>
      </c>
      <c r="BK24" s="33"/>
      <c r="BL24" s="36" t="str">
        <f t="shared" si="26"/>
        <v/>
      </c>
      <c r="BM24" s="95"/>
      <c r="BN24" s="99" t="str">
        <f t="shared" si="27"/>
        <v/>
      </c>
      <c r="BO24" s="33"/>
      <c r="BP24" s="36" t="str">
        <f t="shared" si="28"/>
        <v/>
      </c>
      <c r="BQ24" s="95"/>
      <c r="BR24" s="99" t="str">
        <f t="shared" si="29"/>
        <v/>
      </c>
      <c r="BS24" s="33"/>
      <c r="BT24" s="36" t="str">
        <f t="shared" si="30"/>
        <v/>
      </c>
      <c r="BU24" s="95"/>
      <c r="BV24" s="99" t="str">
        <f t="shared" si="31"/>
        <v/>
      </c>
      <c r="BW24" s="33"/>
      <c r="BX24" s="36" t="str">
        <f t="shared" si="32"/>
        <v/>
      </c>
      <c r="BY24" s="95"/>
      <c r="BZ24" s="99" t="str">
        <f t="shared" si="33"/>
        <v/>
      </c>
      <c r="CA24" s="33"/>
      <c r="CB24" s="36" t="str">
        <f t="shared" si="34"/>
        <v/>
      </c>
      <c r="CC24" s="95"/>
      <c r="CD24" s="99" t="str">
        <f t="shared" si="35"/>
        <v/>
      </c>
      <c r="CE24" s="33"/>
      <c r="CF24" s="36" t="str">
        <f t="shared" si="36"/>
        <v/>
      </c>
      <c r="CG24" s="95"/>
      <c r="CH24" s="99" t="str">
        <f t="shared" si="37"/>
        <v/>
      </c>
      <c r="CI24" s="33"/>
      <c r="CJ24" s="36" t="str">
        <f t="shared" si="38"/>
        <v/>
      </c>
      <c r="CK24" s="95"/>
      <c r="CL24" s="99" t="str">
        <f t="shared" si="39"/>
        <v/>
      </c>
      <c r="CM24" s="33"/>
      <c r="CN24" s="36" t="str">
        <f t="shared" si="40"/>
        <v/>
      </c>
      <c r="CO24" s="95"/>
      <c r="CP24" s="99" t="str">
        <f t="shared" si="41"/>
        <v/>
      </c>
      <c r="CQ24" s="23" t="s">
        <v>417</v>
      </c>
    </row>
    <row r="25" spans="1:95" ht="20" customHeight="1" x14ac:dyDescent="0.2">
      <c r="A25" s="60"/>
      <c r="B25" s="82"/>
      <c r="C25" s="24" t="s">
        <v>85</v>
      </c>
      <c r="D25" s="23" t="s">
        <v>54</v>
      </c>
      <c r="E25" s="23" t="s">
        <v>55</v>
      </c>
      <c r="F25" s="24">
        <v>1996</v>
      </c>
      <c r="G25" s="24">
        <v>82</v>
      </c>
      <c r="H25" s="89">
        <v>15</v>
      </c>
      <c r="I25" s="85" t="s">
        <v>177</v>
      </c>
      <c r="J25" s="86" t="s">
        <v>179</v>
      </c>
      <c r="K25" s="33"/>
      <c r="L25" s="36" t="str">
        <f t="shared" si="0"/>
        <v/>
      </c>
      <c r="M25" s="95"/>
      <c r="N25" s="95" t="str">
        <f t="shared" si="1"/>
        <v/>
      </c>
      <c r="O25" s="33">
        <v>1</v>
      </c>
      <c r="P25" s="36">
        <f t="shared" si="2"/>
        <v>6.666666666666667</v>
      </c>
      <c r="Q25" s="119">
        <v>0</v>
      </c>
      <c r="R25" s="120">
        <f t="shared" si="3"/>
        <v>1</v>
      </c>
      <c r="S25" s="76">
        <v>1</v>
      </c>
      <c r="T25" s="36">
        <f t="shared" si="4"/>
        <v>6.666666666666667</v>
      </c>
      <c r="U25" s="119">
        <v>0</v>
      </c>
      <c r="V25" s="120">
        <f t="shared" si="5"/>
        <v>1</v>
      </c>
      <c r="W25" s="33"/>
      <c r="X25" s="36" t="str">
        <f t="shared" si="6"/>
        <v/>
      </c>
      <c r="Y25" s="95"/>
      <c r="Z25" s="99" t="str">
        <f t="shared" si="7"/>
        <v/>
      </c>
      <c r="AA25" s="33"/>
      <c r="AB25" s="36" t="str">
        <f t="shared" si="8"/>
        <v/>
      </c>
      <c r="AC25" s="95"/>
      <c r="AD25" s="99" t="str">
        <f t="shared" si="9"/>
        <v/>
      </c>
      <c r="AE25" s="33"/>
      <c r="AF25" s="36" t="str">
        <f t="shared" si="10"/>
        <v/>
      </c>
      <c r="AG25" s="95"/>
      <c r="AH25" s="99" t="str">
        <f t="shared" si="11"/>
        <v/>
      </c>
      <c r="AI25" s="33"/>
      <c r="AJ25" s="36" t="str">
        <f t="shared" si="12"/>
        <v/>
      </c>
      <c r="AK25" s="95"/>
      <c r="AL25" s="99" t="str">
        <f t="shared" si="13"/>
        <v/>
      </c>
      <c r="AM25" s="33"/>
      <c r="AN25" s="36" t="str">
        <f t="shared" si="14"/>
        <v/>
      </c>
      <c r="AO25" s="95"/>
      <c r="AP25" s="99" t="str">
        <f t="shared" si="15"/>
        <v/>
      </c>
      <c r="AQ25" s="33">
        <v>3</v>
      </c>
      <c r="AR25" s="36">
        <f t="shared" si="16"/>
        <v>20</v>
      </c>
      <c r="AS25" s="95">
        <v>0</v>
      </c>
      <c r="AT25" s="99">
        <f t="shared" si="42"/>
        <v>3</v>
      </c>
      <c r="AU25" s="33"/>
      <c r="AV25" s="36" t="str">
        <f t="shared" si="18"/>
        <v/>
      </c>
      <c r="AW25" s="95"/>
      <c r="AX25" s="99" t="str">
        <f t="shared" si="19"/>
        <v/>
      </c>
      <c r="AY25" s="76"/>
      <c r="AZ25" s="36" t="str">
        <f t="shared" si="20"/>
        <v/>
      </c>
      <c r="BA25" s="95"/>
      <c r="BB25" s="99" t="str">
        <f t="shared" si="21"/>
        <v/>
      </c>
      <c r="BC25" s="33">
        <v>1</v>
      </c>
      <c r="BD25" s="36">
        <f t="shared" si="22"/>
        <v>6.666666666666667</v>
      </c>
      <c r="BE25" s="95">
        <v>0</v>
      </c>
      <c r="BF25" s="99">
        <f t="shared" si="23"/>
        <v>1</v>
      </c>
      <c r="BG25" s="33"/>
      <c r="BH25" s="36" t="str">
        <f t="shared" si="24"/>
        <v/>
      </c>
      <c r="BI25" s="95"/>
      <c r="BJ25" s="99" t="str">
        <f t="shared" si="25"/>
        <v/>
      </c>
      <c r="BK25" s="33"/>
      <c r="BL25" s="36" t="str">
        <f t="shared" si="26"/>
        <v/>
      </c>
      <c r="BM25" s="95"/>
      <c r="BN25" s="99" t="str">
        <f t="shared" si="27"/>
        <v/>
      </c>
      <c r="BO25" s="33"/>
      <c r="BP25" s="36" t="str">
        <f t="shared" si="28"/>
        <v/>
      </c>
      <c r="BQ25" s="95"/>
      <c r="BR25" s="99" t="str">
        <f t="shared" si="29"/>
        <v/>
      </c>
      <c r="BS25" s="33"/>
      <c r="BT25" s="36" t="str">
        <f t="shared" si="30"/>
        <v/>
      </c>
      <c r="BU25" s="95"/>
      <c r="BV25" s="99" t="str">
        <f t="shared" si="31"/>
        <v/>
      </c>
      <c r="BW25" s="33"/>
      <c r="BX25" s="36" t="str">
        <f t="shared" si="32"/>
        <v/>
      </c>
      <c r="BY25" s="95"/>
      <c r="BZ25" s="99" t="str">
        <f t="shared" si="33"/>
        <v/>
      </c>
      <c r="CA25" s="33"/>
      <c r="CB25" s="36" t="str">
        <f t="shared" si="34"/>
        <v/>
      </c>
      <c r="CC25" s="95"/>
      <c r="CD25" s="99" t="str">
        <f t="shared" si="35"/>
        <v/>
      </c>
      <c r="CE25" s="33"/>
      <c r="CF25" s="36" t="str">
        <f t="shared" si="36"/>
        <v/>
      </c>
      <c r="CG25" s="95"/>
      <c r="CH25" s="99" t="str">
        <f t="shared" si="37"/>
        <v/>
      </c>
      <c r="CI25" s="33"/>
      <c r="CJ25" s="36" t="str">
        <f t="shared" si="38"/>
        <v/>
      </c>
      <c r="CK25" s="95"/>
      <c r="CL25" s="99" t="str">
        <f t="shared" si="39"/>
        <v/>
      </c>
      <c r="CM25" s="33"/>
      <c r="CN25" s="36" t="str">
        <f t="shared" si="40"/>
        <v/>
      </c>
      <c r="CO25" s="95"/>
      <c r="CP25" s="99" t="str">
        <f t="shared" si="41"/>
        <v/>
      </c>
      <c r="CQ25" s="23" t="s">
        <v>347</v>
      </c>
    </row>
    <row r="26" spans="1:95" ht="20" customHeight="1" x14ac:dyDescent="0.2">
      <c r="A26" s="61"/>
      <c r="B26" s="24"/>
      <c r="C26" s="24" t="s">
        <v>85</v>
      </c>
      <c r="D26" s="23" t="s">
        <v>57</v>
      </c>
      <c r="E26" s="23" t="s">
        <v>58</v>
      </c>
      <c r="F26" s="24">
        <v>2006</v>
      </c>
      <c r="G26" s="24">
        <v>132</v>
      </c>
      <c r="H26" s="89">
        <v>7</v>
      </c>
      <c r="I26" s="85"/>
      <c r="J26" s="86"/>
      <c r="K26" s="33"/>
      <c r="L26" s="36" t="str">
        <f t="shared" si="0"/>
        <v/>
      </c>
      <c r="M26" s="95"/>
      <c r="N26" s="95" t="str">
        <f t="shared" si="1"/>
        <v/>
      </c>
      <c r="O26" s="33"/>
      <c r="P26" s="36" t="str">
        <f t="shared" si="2"/>
        <v/>
      </c>
      <c r="Q26" s="95"/>
      <c r="R26" s="99" t="str">
        <f t="shared" si="3"/>
        <v/>
      </c>
      <c r="S26" s="76"/>
      <c r="T26" s="36" t="str">
        <f t="shared" si="4"/>
        <v/>
      </c>
      <c r="U26" s="95"/>
      <c r="V26" s="99" t="str">
        <f t="shared" si="5"/>
        <v/>
      </c>
      <c r="W26" s="33"/>
      <c r="X26" s="36" t="str">
        <f t="shared" si="6"/>
        <v/>
      </c>
      <c r="Y26" s="95"/>
      <c r="Z26" s="99" t="str">
        <f t="shared" si="7"/>
        <v/>
      </c>
      <c r="AA26" s="33"/>
      <c r="AB26" s="36" t="str">
        <f t="shared" si="8"/>
        <v/>
      </c>
      <c r="AC26" s="95"/>
      <c r="AD26" s="99" t="str">
        <f t="shared" si="9"/>
        <v/>
      </c>
      <c r="AE26" s="33"/>
      <c r="AF26" s="36" t="str">
        <f t="shared" si="10"/>
        <v/>
      </c>
      <c r="AG26" s="95"/>
      <c r="AH26" s="99" t="str">
        <f t="shared" si="11"/>
        <v/>
      </c>
      <c r="AI26" s="33"/>
      <c r="AJ26" s="36" t="str">
        <f t="shared" si="12"/>
        <v/>
      </c>
      <c r="AK26" s="95"/>
      <c r="AL26" s="99" t="str">
        <f t="shared" si="13"/>
        <v/>
      </c>
      <c r="AM26" s="33"/>
      <c r="AN26" s="36" t="str">
        <f t="shared" si="14"/>
        <v/>
      </c>
      <c r="AO26" s="95"/>
      <c r="AP26" s="99" t="str">
        <f t="shared" si="15"/>
        <v/>
      </c>
      <c r="AQ26" s="33"/>
      <c r="AR26" s="36" t="str">
        <f t="shared" si="16"/>
        <v/>
      </c>
      <c r="AS26" s="95"/>
      <c r="AT26" s="99" t="str">
        <f t="shared" si="42"/>
        <v/>
      </c>
      <c r="AU26" s="33"/>
      <c r="AV26" s="36" t="str">
        <f t="shared" si="18"/>
        <v/>
      </c>
      <c r="AW26" s="95"/>
      <c r="AX26" s="99" t="str">
        <f t="shared" si="19"/>
        <v/>
      </c>
      <c r="AY26" s="76"/>
      <c r="AZ26" s="36" t="str">
        <f t="shared" si="20"/>
        <v/>
      </c>
      <c r="BA26" s="95"/>
      <c r="BB26" s="99" t="str">
        <f t="shared" si="21"/>
        <v/>
      </c>
      <c r="BC26" s="33"/>
      <c r="BD26" s="36" t="str">
        <f t="shared" si="22"/>
        <v/>
      </c>
      <c r="BE26" s="95"/>
      <c r="BF26" s="99" t="str">
        <f t="shared" si="23"/>
        <v/>
      </c>
      <c r="BG26" s="33"/>
      <c r="BH26" s="36" t="str">
        <f t="shared" si="24"/>
        <v/>
      </c>
      <c r="BI26" s="95"/>
      <c r="BJ26" s="99" t="str">
        <f t="shared" si="25"/>
        <v/>
      </c>
      <c r="BK26" s="33"/>
      <c r="BL26" s="36" t="str">
        <f t="shared" si="26"/>
        <v/>
      </c>
      <c r="BM26" s="95"/>
      <c r="BN26" s="99" t="str">
        <f t="shared" si="27"/>
        <v/>
      </c>
      <c r="BO26" s="33"/>
      <c r="BP26" s="36" t="str">
        <f t="shared" si="28"/>
        <v/>
      </c>
      <c r="BQ26" s="95"/>
      <c r="BR26" s="99" t="str">
        <f t="shared" si="29"/>
        <v/>
      </c>
      <c r="BS26" s="33"/>
      <c r="BT26" s="36" t="str">
        <f t="shared" si="30"/>
        <v/>
      </c>
      <c r="BU26" s="95"/>
      <c r="BV26" s="99" t="str">
        <f t="shared" si="31"/>
        <v/>
      </c>
      <c r="BW26" s="33"/>
      <c r="BX26" s="36" t="str">
        <f t="shared" si="32"/>
        <v/>
      </c>
      <c r="BY26" s="95"/>
      <c r="BZ26" s="99" t="str">
        <f t="shared" si="33"/>
        <v/>
      </c>
      <c r="CA26" s="33"/>
      <c r="CB26" s="36" t="str">
        <f t="shared" si="34"/>
        <v/>
      </c>
      <c r="CC26" s="95"/>
      <c r="CD26" s="99" t="str">
        <f t="shared" si="35"/>
        <v/>
      </c>
      <c r="CE26" s="33"/>
      <c r="CF26" s="36" t="str">
        <f t="shared" si="36"/>
        <v/>
      </c>
      <c r="CG26" s="95"/>
      <c r="CH26" s="99" t="str">
        <f t="shared" si="37"/>
        <v/>
      </c>
      <c r="CI26" s="33"/>
      <c r="CJ26" s="36" t="str">
        <f t="shared" si="38"/>
        <v/>
      </c>
      <c r="CK26" s="95"/>
      <c r="CL26" s="99" t="str">
        <f t="shared" si="39"/>
        <v/>
      </c>
      <c r="CM26" s="33"/>
      <c r="CN26" s="36" t="str">
        <f t="shared" si="40"/>
        <v/>
      </c>
      <c r="CO26" s="95"/>
      <c r="CP26" s="99" t="str">
        <f t="shared" si="41"/>
        <v/>
      </c>
      <c r="CQ26" s="23" t="s">
        <v>351</v>
      </c>
    </row>
    <row r="27" spans="1:95" ht="20" customHeight="1" x14ac:dyDescent="0.2">
      <c r="A27" s="60"/>
      <c r="B27" s="83"/>
      <c r="C27" s="24" t="s">
        <v>85</v>
      </c>
      <c r="D27" s="23" t="s">
        <v>59</v>
      </c>
      <c r="E27" s="23" t="s">
        <v>60</v>
      </c>
      <c r="F27" s="24">
        <v>2009</v>
      </c>
      <c r="G27" s="24">
        <v>49</v>
      </c>
      <c r="H27" s="89">
        <v>22</v>
      </c>
      <c r="I27" s="85" t="s">
        <v>177</v>
      </c>
      <c r="J27" s="86" t="s">
        <v>191</v>
      </c>
      <c r="K27" s="33"/>
      <c r="L27" s="36" t="str">
        <f t="shared" si="0"/>
        <v/>
      </c>
      <c r="M27" s="95"/>
      <c r="N27" s="95" t="str">
        <f t="shared" si="1"/>
        <v/>
      </c>
      <c r="O27" s="33"/>
      <c r="P27" s="36" t="str">
        <f t="shared" si="2"/>
        <v/>
      </c>
      <c r="Q27" s="95"/>
      <c r="R27" s="99" t="str">
        <f t="shared" si="3"/>
        <v/>
      </c>
      <c r="S27" s="76"/>
      <c r="T27" s="36" t="str">
        <f t="shared" si="4"/>
        <v/>
      </c>
      <c r="U27" s="95"/>
      <c r="V27" s="99" t="str">
        <f t="shared" si="5"/>
        <v/>
      </c>
      <c r="W27" s="33"/>
      <c r="X27" s="36" t="str">
        <f t="shared" si="6"/>
        <v/>
      </c>
      <c r="Y27" s="95"/>
      <c r="Z27" s="99" t="str">
        <f t="shared" si="7"/>
        <v/>
      </c>
      <c r="AA27" s="33"/>
      <c r="AB27" s="36" t="str">
        <f t="shared" si="8"/>
        <v/>
      </c>
      <c r="AC27" s="95"/>
      <c r="AD27" s="99" t="str">
        <f t="shared" si="9"/>
        <v/>
      </c>
      <c r="AE27" s="33"/>
      <c r="AF27" s="36" t="str">
        <f t="shared" si="10"/>
        <v/>
      </c>
      <c r="AG27" s="95"/>
      <c r="AH27" s="99" t="str">
        <f t="shared" si="11"/>
        <v/>
      </c>
      <c r="AI27" s="33"/>
      <c r="AJ27" s="36" t="str">
        <f t="shared" si="12"/>
        <v/>
      </c>
      <c r="AK27" s="95"/>
      <c r="AL27" s="99" t="str">
        <f t="shared" si="13"/>
        <v/>
      </c>
      <c r="AM27" s="33"/>
      <c r="AN27" s="36" t="str">
        <f t="shared" si="14"/>
        <v/>
      </c>
      <c r="AO27" s="95"/>
      <c r="AP27" s="99" t="str">
        <f t="shared" si="15"/>
        <v/>
      </c>
      <c r="AQ27" s="33"/>
      <c r="AR27" s="36" t="str">
        <f t="shared" si="16"/>
        <v/>
      </c>
      <c r="AS27" s="95"/>
      <c r="AT27" s="99" t="str">
        <f t="shared" si="42"/>
        <v/>
      </c>
      <c r="AU27" s="33"/>
      <c r="AV27" s="36" t="str">
        <f t="shared" si="18"/>
        <v/>
      </c>
      <c r="AW27" s="95"/>
      <c r="AX27" s="99" t="str">
        <f t="shared" si="19"/>
        <v/>
      </c>
      <c r="AY27" s="76"/>
      <c r="AZ27" s="36" t="str">
        <f t="shared" si="20"/>
        <v/>
      </c>
      <c r="BA27" s="95"/>
      <c r="BB27" s="99" t="str">
        <f t="shared" si="21"/>
        <v/>
      </c>
      <c r="BC27" s="33"/>
      <c r="BD27" s="36" t="str">
        <f t="shared" si="22"/>
        <v/>
      </c>
      <c r="BE27" s="95"/>
      <c r="BF27" s="99" t="str">
        <f t="shared" si="23"/>
        <v/>
      </c>
      <c r="BG27" s="33"/>
      <c r="BH27" s="36" t="str">
        <f t="shared" si="24"/>
        <v/>
      </c>
      <c r="BI27" s="95"/>
      <c r="BJ27" s="99" t="str">
        <f t="shared" si="25"/>
        <v/>
      </c>
      <c r="BK27" s="33"/>
      <c r="BL27" s="36" t="str">
        <f t="shared" si="26"/>
        <v/>
      </c>
      <c r="BM27" s="95"/>
      <c r="BN27" s="99" t="str">
        <f t="shared" si="27"/>
        <v/>
      </c>
      <c r="BO27" s="33"/>
      <c r="BP27" s="36" t="str">
        <f t="shared" si="28"/>
        <v/>
      </c>
      <c r="BQ27" s="95"/>
      <c r="BR27" s="99" t="str">
        <f t="shared" si="29"/>
        <v/>
      </c>
      <c r="BS27" s="33"/>
      <c r="BT27" s="36" t="str">
        <f t="shared" si="30"/>
        <v/>
      </c>
      <c r="BU27" s="95"/>
      <c r="BV27" s="99" t="str">
        <f t="shared" si="31"/>
        <v/>
      </c>
      <c r="BW27" s="33"/>
      <c r="BX27" s="36" t="str">
        <f t="shared" si="32"/>
        <v/>
      </c>
      <c r="BY27" s="95"/>
      <c r="BZ27" s="99" t="str">
        <f t="shared" si="33"/>
        <v/>
      </c>
      <c r="CA27" s="33"/>
      <c r="CB27" s="36" t="str">
        <f t="shared" si="34"/>
        <v/>
      </c>
      <c r="CC27" s="95"/>
      <c r="CD27" s="99" t="str">
        <f t="shared" si="35"/>
        <v/>
      </c>
      <c r="CE27" s="33"/>
      <c r="CF27" s="36" t="str">
        <f t="shared" si="36"/>
        <v/>
      </c>
      <c r="CG27" s="95"/>
      <c r="CH27" s="99" t="str">
        <f t="shared" si="37"/>
        <v/>
      </c>
      <c r="CI27" s="33"/>
      <c r="CJ27" s="36" t="str">
        <f t="shared" si="38"/>
        <v/>
      </c>
      <c r="CK27" s="95"/>
      <c r="CL27" s="99" t="str">
        <f t="shared" si="39"/>
        <v/>
      </c>
      <c r="CM27" s="33"/>
      <c r="CN27" s="36" t="str">
        <f t="shared" si="40"/>
        <v/>
      </c>
      <c r="CO27" s="95"/>
      <c r="CP27" s="99" t="str">
        <f t="shared" si="41"/>
        <v/>
      </c>
      <c r="CQ27" s="23" t="s">
        <v>410</v>
      </c>
    </row>
    <row r="28" spans="1:95" ht="20" customHeight="1" x14ac:dyDescent="0.2">
      <c r="A28" s="60"/>
      <c r="B28" s="82"/>
      <c r="C28" s="24" t="s">
        <v>85</v>
      </c>
      <c r="D28" s="23" t="s">
        <v>276</v>
      </c>
      <c r="E28" s="23" t="s">
        <v>277</v>
      </c>
      <c r="F28" s="24">
        <v>2014</v>
      </c>
      <c r="H28" s="89">
        <v>39</v>
      </c>
      <c r="I28" s="85" t="s">
        <v>411</v>
      </c>
      <c r="J28" s="86" t="s">
        <v>346</v>
      </c>
      <c r="K28" s="33"/>
      <c r="L28" s="36" t="str">
        <f t="shared" si="0"/>
        <v/>
      </c>
      <c r="M28" s="95"/>
      <c r="N28" s="95" t="str">
        <f t="shared" si="1"/>
        <v/>
      </c>
      <c r="O28" s="33">
        <v>22</v>
      </c>
      <c r="P28" s="36">
        <f t="shared" si="2"/>
        <v>56.410256410256409</v>
      </c>
      <c r="Q28" s="95">
        <v>23</v>
      </c>
      <c r="R28" s="99">
        <f t="shared" si="3"/>
        <v>-1</v>
      </c>
      <c r="S28" s="76"/>
      <c r="T28" s="36" t="str">
        <f t="shared" si="4"/>
        <v/>
      </c>
      <c r="U28" s="95"/>
      <c r="V28" s="99" t="str">
        <f t="shared" si="5"/>
        <v/>
      </c>
      <c r="W28" s="33"/>
      <c r="X28" s="36" t="str">
        <f t="shared" si="6"/>
        <v/>
      </c>
      <c r="Y28" s="95"/>
      <c r="Z28" s="99" t="str">
        <f t="shared" si="7"/>
        <v/>
      </c>
      <c r="AA28" s="33">
        <v>22</v>
      </c>
      <c r="AB28" s="36">
        <f t="shared" si="8"/>
        <v>56.410256410256409</v>
      </c>
      <c r="AC28" s="95">
        <v>17</v>
      </c>
      <c r="AD28" s="99">
        <f t="shared" si="9"/>
        <v>5</v>
      </c>
      <c r="AE28" s="33">
        <v>23</v>
      </c>
      <c r="AF28" s="36">
        <f t="shared" si="10"/>
        <v>58.974358974358978</v>
      </c>
      <c r="AG28" s="95">
        <v>19</v>
      </c>
      <c r="AH28" s="99">
        <f t="shared" si="11"/>
        <v>4</v>
      </c>
      <c r="AI28" s="33"/>
      <c r="AJ28" s="36" t="str">
        <f t="shared" si="12"/>
        <v/>
      </c>
      <c r="AK28" s="95"/>
      <c r="AL28" s="99" t="str">
        <f t="shared" si="13"/>
        <v/>
      </c>
      <c r="AM28" s="33"/>
      <c r="AN28" s="36" t="str">
        <f t="shared" si="14"/>
        <v/>
      </c>
      <c r="AO28" s="95"/>
      <c r="AP28" s="99" t="str">
        <f t="shared" si="15"/>
        <v/>
      </c>
      <c r="AQ28" s="33"/>
      <c r="AR28" s="36" t="str">
        <f t="shared" si="16"/>
        <v/>
      </c>
      <c r="AS28" s="95"/>
      <c r="AT28" s="99" t="str">
        <f t="shared" si="42"/>
        <v/>
      </c>
      <c r="AU28" s="33">
        <v>8</v>
      </c>
      <c r="AV28" s="36">
        <f t="shared" si="18"/>
        <v>20.512820512820511</v>
      </c>
      <c r="AW28" s="95">
        <v>10</v>
      </c>
      <c r="AX28" s="99">
        <f t="shared" si="19"/>
        <v>-2</v>
      </c>
      <c r="AY28" s="76"/>
      <c r="AZ28" s="36" t="str">
        <f t="shared" si="20"/>
        <v/>
      </c>
      <c r="BA28" s="95"/>
      <c r="BB28" s="99" t="str">
        <f t="shared" si="21"/>
        <v/>
      </c>
      <c r="BC28" s="33"/>
      <c r="BD28" s="36" t="str">
        <f t="shared" si="22"/>
        <v/>
      </c>
      <c r="BE28" s="95"/>
      <c r="BF28" s="99" t="str">
        <f t="shared" si="23"/>
        <v/>
      </c>
      <c r="BG28" s="33"/>
      <c r="BH28" s="36" t="str">
        <f t="shared" si="24"/>
        <v/>
      </c>
      <c r="BI28" s="95"/>
      <c r="BJ28" s="99" t="str">
        <f t="shared" si="25"/>
        <v/>
      </c>
      <c r="BK28" s="33">
        <v>3</v>
      </c>
      <c r="BL28" s="36">
        <f t="shared" si="26"/>
        <v>7.6923076923076925</v>
      </c>
      <c r="BM28" s="95">
        <v>4</v>
      </c>
      <c r="BN28" s="99">
        <f t="shared" si="27"/>
        <v>-1</v>
      </c>
      <c r="BO28" s="33"/>
      <c r="BP28" s="36" t="str">
        <f t="shared" si="28"/>
        <v/>
      </c>
      <c r="BQ28" s="95"/>
      <c r="BR28" s="99" t="str">
        <f t="shared" si="29"/>
        <v/>
      </c>
      <c r="BS28" s="33"/>
      <c r="BT28" s="36" t="str">
        <f t="shared" si="30"/>
        <v/>
      </c>
      <c r="BU28" s="95"/>
      <c r="BV28" s="99" t="str">
        <f t="shared" si="31"/>
        <v/>
      </c>
      <c r="BW28" s="33"/>
      <c r="BX28" s="36" t="str">
        <f t="shared" si="32"/>
        <v/>
      </c>
      <c r="BY28" s="95"/>
      <c r="BZ28" s="99" t="str">
        <f t="shared" si="33"/>
        <v/>
      </c>
      <c r="CA28" s="33"/>
      <c r="CB28" s="36" t="str">
        <f t="shared" si="34"/>
        <v/>
      </c>
      <c r="CC28" s="95"/>
      <c r="CD28" s="99" t="str">
        <f t="shared" si="35"/>
        <v/>
      </c>
      <c r="CE28" s="33"/>
      <c r="CF28" s="36" t="str">
        <f t="shared" si="36"/>
        <v/>
      </c>
      <c r="CG28" s="95"/>
      <c r="CH28" s="99" t="str">
        <f t="shared" si="37"/>
        <v/>
      </c>
      <c r="CI28" s="33"/>
      <c r="CJ28" s="36" t="str">
        <f t="shared" si="38"/>
        <v/>
      </c>
      <c r="CK28" s="95"/>
      <c r="CL28" s="99" t="str">
        <f t="shared" si="39"/>
        <v/>
      </c>
      <c r="CM28" s="33"/>
      <c r="CN28" s="36" t="str">
        <f t="shared" si="40"/>
        <v/>
      </c>
      <c r="CO28" s="95"/>
      <c r="CP28" s="99" t="str">
        <f t="shared" si="41"/>
        <v/>
      </c>
      <c r="CQ28" s="23" t="s">
        <v>352</v>
      </c>
    </row>
    <row r="29" spans="1:95" ht="20" customHeight="1" x14ac:dyDescent="0.2">
      <c r="A29" s="60"/>
      <c r="B29" s="24"/>
      <c r="C29" s="24" t="s">
        <v>85</v>
      </c>
      <c r="D29" s="23" t="s">
        <v>278</v>
      </c>
      <c r="E29" s="23" t="s">
        <v>279</v>
      </c>
      <c r="F29" s="24">
        <v>2015</v>
      </c>
      <c r="H29" s="89">
        <v>8</v>
      </c>
      <c r="I29" s="85" t="s">
        <v>216</v>
      </c>
      <c r="J29" s="86" t="s">
        <v>353</v>
      </c>
      <c r="K29" s="33"/>
      <c r="L29" s="36" t="str">
        <f t="shared" si="0"/>
        <v/>
      </c>
      <c r="M29" s="95"/>
      <c r="N29" s="95" t="str">
        <f t="shared" si="1"/>
        <v/>
      </c>
      <c r="O29" s="33"/>
      <c r="P29" s="36" t="str">
        <f t="shared" si="2"/>
        <v/>
      </c>
      <c r="Q29" s="95"/>
      <c r="R29" s="99" t="str">
        <f t="shared" si="3"/>
        <v/>
      </c>
      <c r="S29" s="76"/>
      <c r="T29" s="36" t="str">
        <f t="shared" si="4"/>
        <v/>
      </c>
      <c r="U29" s="95"/>
      <c r="V29" s="99" t="str">
        <f t="shared" si="5"/>
        <v/>
      </c>
      <c r="W29" s="33"/>
      <c r="X29" s="36" t="str">
        <f t="shared" si="6"/>
        <v/>
      </c>
      <c r="Y29" s="95"/>
      <c r="Z29" s="99" t="str">
        <f t="shared" si="7"/>
        <v/>
      </c>
      <c r="AA29" s="33">
        <v>2</v>
      </c>
      <c r="AB29" s="36">
        <f t="shared" si="8"/>
        <v>25</v>
      </c>
      <c r="AC29" s="119">
        <v>0</v>
      </c>
      <c r="AD29" s="120">
        <f t="shared" si="9"/>
        <v>2</v>
      </c>
      <c r="AE29" s="33"/>
      <c r="AF29" s="36" t="str">
        <f t="shared" si="10"/>
        <v/>
      </c>
      <c r="AG29" s="95"/>
      <c r="AH29" s="99" t="str">
        <f t="shared" si="11"/>
        <v/>
      </c>
      <c r="AI29" s="33"/>
      <c r="AJ29" s="36" t="str">
        <f t="shared" si="12"/>
        <v/>
      </c>
      <c r="AK29" s="95"/>
      <c r="AL29" s="99" t="str">
        <f t="shared" si="13"/>
        <v/>
      </c>
      <c r="AM29" s="33"/>
      <c r="AN29" s="36" t="str">
        <f t="shared" si="14"/>
        <v/>
      </c>
      <c r="AO29" s="95"/>
      <c r="AP29" s="99" t="str">
        <f t="shared" si="15"/>
        <v/>
      </c>
      <c r="AQ29" s="33"/>
      <c r="AR29" s="36" t="str">
        <f t="shared" si="16"/>
        <v/>
      </c>
      <c r="AS29" s="95"/>
      <c r="AT29" s="99" t="str">
        <f t="shared" si="42"/>
        <v/>
      </c>
      <c r="AU29" s="33"/>
      <c r="AV29" s="36" t="str">
        <f t="shared" si="18"/>
        <v/>
      </c>
      <c r="AW29" s="95"/>
      <c r="AX29" s="99" t="str">
        <f t="shared" si="19"/>
        <v/>
      </c>
      <c r="AY29" s="76"/>
      <c r="AZ29" s="36" t="str">
        <f t="shared" si="20"/>
        <v/>
      </c>
      <c r="BA29" s="95"/>
      <c r="BB29" s="99" t="str">
        <f t="shared" si="21"/>
        <v/>
      </c>
      <c r="BC29" s="33"/>
      <c r="BD29" s="36" t="str">
        <f t="shared" si="22"/>
        <v/>
      </c>
      <c r="BE29" s="95"/>
      <c r="BF29" s="99" t="str">
        <f t="shared" si="23"/>
        <v/>
      </c>
      <c r="BG29" s="33"/>
      <c r="BH29" s="36" t="str">
        <f t="shared" si="24"/>
        <v/>
      </c>
      <c r="BI29" s="95"/>
      <c r="BJ29" s="99" t="str">
        <f t="shared" si="25"/>
        <v/>
      </c>
      <c r="BK29" s="33"/>
      <c r="BL29" s="36" t="str">
        <f t="shared" si="26"/>
        <v/>
      </c>
      <c r="BM29" s="95"/>
      <c r="BN29" s="99" t="str">
        <f t="shared" si="27"/>
        <v/>
      </c>
      <c r="BO29" s="33"/>
      <c r="BP29" s="36" t="str">
        <f t="shared" si="28"/>
        <v/>
      </c>
      <c r="BQ29" s="95"/>
      <c r="BR29" s="99" t="str">
        <f t="shared" si="29"/>
        <v/>
      </c>
      <c r="BS29" s="33"/>
      <c r="BT29" s="36" t="str">
        <f t="shared" si="30"/>
        <v/>
      </c>
      <c r="BU29" s="95"/>
      <c r="BV29" s="99" t="str">
        <f t="shared" si="31"/>
        <v/>
      </c>
      <c r="BW29" s="33"/>
      <c r="BX29" s="36" t="str">
        <f t="shared" si="32"/>
        <v/>
      </c>
      <c r="BY29" s="95"/>
      <c r="BZ29" s="99" t="str">
        <f t="shared" si="33"/>
        <v/>
      </c>
      <c r="CA29" s="33"/>
      <c r="CB29" s="36" t="str">
        <f t="shared" si="34"/>
        <v/>
      </c>
      <c r="CC29" s="95"/>
      <c r="CD29" s="99" t="str">
        <f t="shared" si="35"/>
        <v/>
      </c>
      <c r="CE29" s="33"/>
      <c r="CF29" s="36" t="str">
        <f t="shared" si="36"/>
        <v/>
      </c>
      <c r="CG29" s="95"/>
      <c r="CH29" s="99" t="str">
        <f t="shared" si="37"/>
        <v/>
      </c>
      <c r="CI29" s="33"/>
      <c r="CJ29" s="36" t="str">
        <f t="shared" si="38"/>
        <v/>
      </c>
      <c r="CK29" s="95"/>
      <c r="CL29" s="99" t="str">
        <f t="shared" si="39"/>
        <v/>
      </c>
      <c r="CM29" s="33"/>
      <c r="CN29" s="36" t="str">
        <f t="shared" si="40"/>
        <v/>
      </c>
      <c r="CO29" s="95"/>
      <c r="CP29" s="99" t="str">
        <f t="shared" si="41"/>
        <v/>
      </c>
      <c r="CQ29" s="23" t="s">
        <v>412</v>
      </c>
    </row>
    <row r="30" spans="1:95" ht="20" customHeight="1" x14ac:dyDescent="0.2">
      <c r="A30" s="61"/>
      <c r="B30" s="82"/>
      <c r="C30" s="24" t="s">
        <v>85</v>
      </c>
      <c r="D30" s="23" t="s">
        <v>280</v>
      </c>
      <c r="E30" s="23" t="s">
        <v>281</v>
      </c>
      <c r="F30" s="24">
        <v>2001</v>
      </c>
      <c r="H30" s="89">
        <v>9</v>
      </c>
      <c r="I30" s="85"/>
      <c r="J30" s="86" t="s">
        <v>354</v>
      </c>
      <c r="K30" s="33"/>
      <c r="L30" s="36" t="str">
        <f t="shared" si="0"/>
        <v/>
      </c>
      <c r="M30" s="95"/>
      <c r="N30" s="95" t="str">
        <f t="shared" si="1"/>
        <v/>
      </c>
      <c r="O30" s="33"/>
      <c r="P30" s="36" t="str">
        <f t="shared" si="2"/>
        <v/>
      </c>
      <c r="Q30" s="95"/>
      <c r="R30" s="99" t="str">
        <f t="shared" si="3"/>
        <v/>
      </c>
      <c r="S30" s="40"/>
      <c r="T30" s="39" t="str">
        <f t="shared" si="4"/>
        <v/>
      </c>
      <c r="U30" s="119"/>
      <c r="V30" s="120" t="str">
        <f t="shared" si="5"/>
        <v/>
      </c>
      <c r="W30" s="33"/>
      <c r="X30" s="36" t="str">
        <f t="shared" si="6"/>
        <v/>
      </c>
      <c r="Y30" s="95"/>
      <c r="Z30" s="99" t="str">
        <f t="shared" si="7"/>
        <v/>
      </c>
      <c r="AA30" s="33"/>
      <c r="AB30" s="36" t="str">
        <f t="shared" si="8"/>
        <v/>
      </c>
      <c r="AC30" s="95"/>
      <c r="AD30" s="99" t="str">
        <f t="shared" si="9"/>
        <v/>
      </c>
      <c r="AE30" s="33"/>
      <c r="AF30" s="36" t="str">
        <f t="shared" si="10"/>
        <v/>
      </c>
      <c r="AG30" s="95"/>
      <c r="AH30" s="99" t="str">
        <f t="shared" si="11"/>
        <v/>
      </c>
      <c r="AI30" s="33"/>
      <c r="AJ30" s="36" t="str">
        <f t="shared" si="12"/>
        <v/>
      </c>
      <c r="AK30" s="95"/>
      <c r="AL30" s="99" t="str">
        <f t="shared" si="13"/>
        <v/>
      </c>
      <c r="AM30" s="33"/>
      <c r="AN30" s="36" t="str">
        <f t="shared" si="14"/>
        <v/>
      </c>
      <c r="AO30" s="95"/>
      <c r="AP30" s="99" t="str">
        <f t="shared" si="15"/>
        <v/>
      </c>
      <c r="AQ30" s="33"/>
      <c r="AR30" s="36" t="str">
        <f t="shared" si="16"/>
        <v/>
      </c>
      <c r="AS30" s="95"/>
      <c r="AT30" s="99" t="str">
        <f t="shared" si="42"/>
        <v/>
      </c>
      <c r="AU30" s="33"/>
      <c r="AV30" s="36" t="str">
        <f t="shared" si="18"/>
        <v/>
      </c>
      <c r="AW30" s="95"/>
      <c r="AX30" s="99" t="str">
        <f t="shared" si="19"/>
        <v/>
      </c>
      <c r="AY30" s="76"/>
      <c r="AZ30" s="36" t="str">
        <f t="shared" si="20"/>
        <v/>
      </c>
      <c r="BA30" s="95"/>
      <c r="BB30" s="99" t="str">
        <f t="shared" si="21"/>
        <v/>
      </c>
      <c r="BC30" s="33"/>
      <c r="BD30" s="36" t="str">
        <f t="shared" si="22"/>
        <v/>
      </c>
      <c r="BE30" s="95"/>
      <c r="BF30" s="99" t="str">
        <f t="shared" si="23"/>
        <v/>
      </c>
      <c r="BG30" s="33"/>
      <c r="BH30" s="36" t="str">
        <f t="shared" si="24"/>
        <v/>
      </c>
      <c r="BI30" s="95"/>
      <c r="BJ30" s="99" t="str">
        <f t="shared" si="25"/>
        <v/>
      </c>
      <c r="BK30" s="33"/>
      <c r="BL30" s="36" t="str">
        <f t="shared" si="26"/>
        <v/>
      </c>
      <c r="BM30" s="95"/>
      <c r="BN30" s="99" t="str">
        <f t="shared" si="27"/>
        <v/>
      </c>
      <c r="BO30" s="33"/>
      <c r="BP30" s="36" t="str">
        <f t="shared" si="28"/>
        <v/>
      </c>
      <c r="BQ30" s="95"/>
      <c r="BR30" s="99" t="str">
        <f t="shared" si="29"/>
        <v/>
      </c>
      <c r="BS30" s="33"/>
      <c r="BT30" s="36" t="str">
        <f t="shared" si="30"/>
        <v/>
      </c>
      <c r="BU30" s="95"/>
      <c r="BV30" s="99" t="str">
        <f t="shared" si="31"/>
        <v/>
      </c>
      <c r="BW30" s="33"/>
      <c r="BX30" s="36" t="str">
        <f t="shared" si="32"/>
        <v/>
      </c>
      <c r="BY30" s="95"/>
      <c r="BZ30" s="99" t="str">
        <f t="shared" si="33"/>
        <v/>
      </c>
      <c r="CA30" s="33"/>
      <c r="CB30" s="36" t="str">
        <f t="shared" si="34"/>
        <v/>
      </c>
      <c r="CC30" s="95"/>
      <c r="CD30" s="99" t="str">
        <f t="shared" si="35"/>
        <v/>
      </c>
      <c r="CE30" s="33"/>
      <c r="CF30" s="36" t="str">
        <f t="shared" si="36"/>
        <v/>
      </c>
      <c r="CG30" s="95"/>
      <c r="CH30" s="99" t="str">
        <f t="shared" si="37"/>
        <v/>
      </c>
      <c r="CI30" s="33"/>
      <c r="CJ30" s="36" t="str">
        <f t="shared" si="38"/>
        <v/>
      </c>
      <c r="CK30" s="95"/>
      <c r="CL30" s="99" t="str">
        <f t="shared" si="39"/>
        <v/>
      </c>
      <c r="CM30" s="33"/>
      <c r="CN30" s="36" t="str">
        <f t="shared" si="40"/>
        <v/>
      </c>
      <c r="CO30" s="95"/>
      <c r="CP30" s="99" t="str">
        <f t="shared" si="41"/>
        <v/>
      </c>
      <c r="CQ30" s="23" t="s">
        <v>355</v>
      </c>
    </row>
    <row r="31" spans="1:95" ht="20" customHeight="1" x14ac:dyDescent="0.2">
      <c r="A31" s="60"/>
      <c r="B31" s="82"/>
      <c r="C31" s="24" t="s">
        <v>85</v>
      </c>
      <c r="D31" s="23" t="s">
        <v>63</v>
      </c>
      <c r="E31" s="23" t="s">
        <v>64</v>
      </c>
      <c r="F31" s="24">
        <v>2012</v>
      </c>
      <c r="G31" s="24">
        <v>83</v>
      </c>
      <c r="H31" s="89">
        <v>70</v>
      </c>
      <c r="I31" s="85" t="s">
        <v>183</v>
      </c>
      <c r="J31" s="86" t="s">
        <v>193</v>
      </c>
      <c r="K31" s="33"/>
      <c r="L31" s="36" t="str">
        <f t="shared" si="0"/>
        <v/>
      </c>
      <c r="M31" s="95"/>
      <c r="N31" s="95" t="str">
        <f t="shared" si="1"/>
        <v/>
      </c>
      <c r="O31" s="33"/>
      <c r="P31" s="36" t="str">
        <f t="shared" si="2"/>
        <v/>
      </c>
      <c r="Q31" s="95"/>
      <c r="R31" s="99" t="str">
        <f t="shared" si="3"/>
        <v/>
      </c>
      <c r="S31" s="76">
        <v>31</v>
      </c>
      <c r="T31" s="36">
        <f t="shared" si="4"/>
        <v>44.285714285714285</v>
      </c>
      <c r="U31" s="95">
        <v>40</v>
      </c>
      <c r="V31" s="99">
        <f t="shared" si="5"/>
        <v>-9</v>
      </c>
      <c r="W31" s="33"/>
      <c r="X31" s="36" t="str">
        <f t="shared" si="6"/>
        <v/>
      </c>
      <c r="Y31" s="95"/>
      <c r="Z31" s="99" t="str">
        <f t="shared" si="7"/>
        <v/>
      </c>
      <c r="AA31" s="33">
        <v>9</v>
      </c>
      <c r="AB31" s="36">
        <f t="shared" si="8"/>
        <v>12.857142857142856</v>
      </c>
      <c r="AC31" s="95">
        <v>10</v>
      </c>
      <c r="AD31" s="99">
        <f t="shared" si="9"/>
        <v>-1</v>
      </c>
      <c r="AE31" s="33">
        <v>8</v>
      </c>
      <c r="AF31" s="36">
        <f t="shared" si="10"/>
        <v>11.428571428571429</v>
      </c>
      <c r="AG31" s="95">
        <v>8</v>
      </c>
      <c r="AH31" s="99">
        <f t="shared" si="11"/>
        <v>0</v>
      </c>
      <c r="AI31" s="33"/>
      <c r="AJ31" s="36" t="str">
        <f t="shared" si="12"/>
        <v/>
      </c>
      <c r="AK31" s="95"/>
      <c r="AL31" s="99" t="str">
        <f t="shared" si="13"/>
        <v/>
      </c>
      <c r="AM31" s="33"/>
      <c r="AN31" s="36" t="str">
        <f t="shared" si="14"/>
        <v/>
      </c>
      <c r="AO31" s="95"/>
      <c r="AP31" s="99" t="str">
        <f t="shared" si="15"/>
        <v/>
      </c>
      <c r="AQ31" s="33">
        <v>10</v>
      </c>
      <c r="AR31" s="36">
        <f t="shared" si="16"/>
        <v>14.285714285714285</v>
      </c>
      <c r="AS31" s="95">
        <v>7</v>
      </c>
      <c r="AT31" s="99">
        <f t="shared" si="42"/>
        <v>3</v>
      </c>
      <c r="AU31" s="33">
        <v>1</v>
      </c>
      <c r="AV31" s="36">
        <f t="shared" si="18"/>
        <v>1.4285714285714286</v>
      </c>
      <c r="AW31" s="95">
        <v>5</v>
      </c>
      <c r="AX31" s="99">
        <f t="shared" si="19"/>
        <v>-4</v>
      </c>
      <c r="AY31" s="76">
        <v>1</v>
      </c>
      <c r="AZ31" s="36">
        <f t="shared" si="20"/>
        <v>1.4285714285714286</v>
      </c>
      <c r="BA31" s="95">
        <v>1</v>
      </c>
      <c r="BB31" s="99">
        <f t="shared" si="21"/>
        <v>0</v>
      </c>
      <c r="BC31" s="33"/>
      <c r="BD31" s="36" t="str">
        <f t="shared" si="22"/>
        <v/>
      </c>
      <c r="BE31" s="95"/>
      <c r="BF31" s="99" t="str">
        <f t="shared" si="23"/>
        <v/>
      </c>
      <c r="BG31" s="33"/>
      <c r="BH31" s="36" t="str">
        <f t="shared" si="24"/>
        <v/>
      </c>
      <c r="BI31" s="95"/>
      <c r="BJ31" s="99" t="str">
        <f t="shared" si="25"/>
        <v/>
      </c>
      <c r="BK31" s="33">
        <v>3</v>
      </c>
      <c r="BL31" s="36">
        <f t="shared" si="26"/>
        <v>4.2857142857142856</v>
      </c>
      <c r="BM31" s="95">
        <v>11</v>
      </c>
      <c r="BN31" s="99">
        <f t="shared" si="27"/>
        <v>-8</v>
      </c>
      <c r="BO31" s="33"/>
      <c r="BP31" s="36" t="str">
        <f t="shared" si="28"/>
        <v/>
      </c>
      <c r="BQ31" s="95"/>
      <c r="BR31" s="99" t="str">
        <f t="shared" si="29"/>
        <v/>
      </c>
      <c r="BS31" s="33">
        <v>0</v>
      </c>
      <c r="BT31" s="36" t="str">
        <f t="shared" si="30"/>
        <v/>
      </c>
      <c r="BU31" s="95">
        <v>1</v>
      </c>
      <c r="BV31" s="99">
        <f t="shared" si="31"/>
        <v>-1</v>
      </c>
      <c r="BW31" s="33"/>
      <c r="BX31" s="36" t="str">
        <f t="shared" si="32"/>
        <v/>
      </c>
      <c r="BY31" s="95"/>
      <c r="BZ31" s="99" t="str">
        <f t="shared" si="33"/>
        <v/>
      </c>
      <c r="CA31" s="33"/>
      <c r="CB31" s="36" t="str">
        <f t="shared" si="34"/>
        <v/>
      </c>
      <c r="CC31" s="95"/>
      <c r="CD31" s="99" t="str">
        <f t="shared" si="35"/>
        <v/>
      </c>
      <c r="CE31" s="33"/>
      <c r="CF31" s="36" t="str">
        <f t="shared" si="36"/>
        <v/>
      </c>
      <c r="CG31" s="95"/>
      <c r="CH31" s="99" t="str">
        <f t="shared" si="37"/>
        <v/>
      </c>
      <c r="CI31" s="33"/>
      <c r="CJ31" s="36" t="str">
        <f t="shared" si="38"/>
        <v/>
      </c>
      <c r="CK31" s="95"/>
      <c r="CL31" s="99" t="str">
        <f t="shared" si="39"/>
        <v/>
      </c>
      <c r="CM31" s="33"/>
      <c r="CN31" s="36" t="str">
        <f t="shared" si="40"/>
        <v/>
      </c>
      <c r="CO31" s="95"/>
      <c r="CP31" s="99" t="str">
        <f t="shared" si="41"/>
        <v/>
      </c>
      <c r="CQ31" s="23" t="s">
        <v>418</v>
      </c>
    </row>
    <row r="32" spans="1:95" ht="20" customHeight="1" x14ac:dyDescent="0.2">
      <c r="A32" s="60"/>
      <c r="B32" s="84"/>
      <c r="C32" s="24" t="s">
        <v>85</v>
      </c>
      <c r="D32" s="23" t="s">
        <v>69</v>
      </c>
      <c r="E32" s="23" t="s">
        <v>70</v>
      </c>
      <c r="F32" s="24">
        <v>2004</v>
      </c>
      <c r="G32" s="24">
        <v>61</v>
      </c>
      <c r="H32" s="89">
        <v>15</v>
      </c>
      <c r="I32" s="85" t="s">
        <v>185</v>
      </c>
      <c r="J32" s="86" t="s">
        <v>194</v>
      </c>
      <c r="K32" s="33"/>
      <c r="L32" s="36" t="str">
        <f t="shared" si="0"/>
        <v/>
      </c>
      <c r="M32" s="95"/>
      <c r="N32" s="95" t="str">
        <f t="shared" si="1"/>
        <v/>
      </c>
      <c r="O32" s="33"/>
      <c r="P32" s="36" t="str">
        <f t="shared" si="2"/>
        <v/>
      </c>
      <c r="Q32" s="95"/>
      <c r="R32" s="99" t="str">
        <f t="shared" si="3"/>
        <v/>
      </c>
      <c r="S32" s="76">
        <v>13</v>
      </c>
      <c r="T32" s="36">
        <f t="shared" si="4"/>
        <v>86.666666666666671</v>
      </c>
      <c r="U32" s="95">
        <v>4</v>
      </c>
      <c r="V32" s="99">
        <f t="shared" si="5"/>
        <v>9</v>
      </c>
      <c r="W32" s="33"/>
      <c r="X32" s="36" t="str">
        <f t="shared" si="6"/>
        <v/>
      </c>
      <c r="Y32" s="95"/>
      <c r="Z32" s="99" t="str">
        <f t="shared" si="7"/>
        <v/>
      </c>
      <c r="AA32" s="33"/>
      <c r="AB32" s="36" t="str">
        <f t="shared" si="8"/>
        <v/>
      </c>
      <c r="AC32" s="95"/>
      <c r="AD32" s="99" t="str">
        <f t="shared" si="9"/>
        <v/>
      </c>
      <c r="AE32" s="33"/>
      <c r="AF32" s="36" t="str">
        <f t="shared" si="10"/>
        <v/>
      </c>
      <c r="AG32" s="95"/>
      <c r="AH32" s="99" t="str">
        <f t="shared" si="11"/>
        <v/>
      </c>
      <c r="AI32" s="33"/>
      <c r="AJ32" s="36" t="str">
        <f t="shared" si="12"/>
        <v/>
      </c>
      <c r="AK32" s="95"/>
      <c r="AL32" s="99" t="str">
        <f t="shared" si="13"/>
        <v/>
      </c>
      <c r="AM32" s="33"/>
      <c r="AN32" s="36" t="str">
        <f t="shared" si="14"/>
        <v/>
      </c>
      <c r="AO32" s="95"/>
      <c r="AP32" s="99" t="str">
        <f t="shared" si="15"/>
        <v/>
      </c>
      <c r="AQ32" s="33"/>
      <c r="AR32" s="36" t="str">
        <f t="shared" si="16"/>
        <v/>
      </c>
      <c r="AS32" s="95"/>
      <c r="AT32" s="99" t="str">
        <f t="shared" si="42"/>
        <v/>
      </c>
      <c r="AU32" s="33"/>
      <c r="AV32" s="36" t="str">
        <f t="shared" si="18"/>
        <v/>
      </c>
      <c r="AW32" s="95"/>
      <c r="AX32" s="99" t="str">
        <f t="shared" si="19"/>
        <v/>
      </c>
      <c r="AY32" s="76"/>
      <c r="AZ32" s="36" t="str">
        <f t="shared" si="20"/>
        <v/>
      </c>
      <c r="BA32" s="95"/>
      <c r="BB32" s="99" t="str">
        <f t="shared" si="21"/>
        <v/>
      </c>
      <c r="BC32" s="33"/>
      <c r="BD32" s="36" t="str">
        <f t="shared" si="22"/>
        <v/>
      </c>
      <c r="BE32" s="95"/>
      <c r="BF32" s="99" t="str">
        <f t="shared" si="23"/>
        <v/>
      </c>
      <c r="BG32" s="33"/>
      <c r="BH32" s="36" t="str">
        <f t="shared" si="24"/>
        <v/>
      </c>
      <c r="BI32" s="95"/>
      <c r="BJ32" s="99" t="str">
        <f t="shared" si="25"/>
        <v/>
      </c>
      <c r="BK32" s="33"/>
      <c r="BL32" s="36" t="str">
        <f t="shared" si="26"/>
        <v/>
      </c>
      <c r="BM32" s="95"/>
      <c r="BN32" s="99" t="str">
        <f t="shared" si="27"/>
        <v/>
      </c>
      <c r="BO32" s="33"/>
      <c r="BP32" s="36" t="str">
        <f t="shared" si="28"/>
        <v/>
      </c>
      <c r="BQ32" s="95"/>
      <c r="BR32" s="99" t="str">
        <f t="shared" si="29"/>
        <v/>
      </c>
      <c r="BS32" s="33"/>
      <c r="BT32" s="36" t="str">
        <f t="shared" si="30"/>
        <v/>
      </c>
      <c r="BU32" s="95"/>
      <c r="BV32" s="99" t="str">
        <f t="shared" si="31"/>
        <v/>
      </c>
      <c r="BW32" s="33"/>
      <c r="BX32" s="36" t="str">
        <f t="shared" si="32"/>
        <v/>
      </c>
      <c r="BY32" s="95"/>
      <c r="BZ32" s="99" t="str">
        <f t="shared" si="33"/>
        <v/>
      </c>
      <c r="CA32" s="33"/>
      <c r="CB32" s="36" t="str">
        <f t="shared" si="34"/>
        <v/>
      </c>
      <c r="CC32" s="95"/>
      <c r="CD32" s="99" t="str">
        <f t="shared" si="35"/>
        <v/>
      </c>
      <c r="CE32" s="33"/>
      <c r="CF32" s="36" t="str">
        <f t="shared" si="36"/>
        <v/>
      </c>
      <c r="CG32" s="95"/>
      <c r="CH32" s="99" t="str">
        <f t="shared" si="37"/>
        <v/>
      </c>
      <c r="CI32" s="33"/>
      <c r="CJ32" s="36" t="str">
        <f t="shared" si="38"/>
        <v/>
      </c>
      <c r="CK32" s="95"/>
      <c r="CL32" s="99" t="str">
        <f t="shared" si="39"/>
        <v/>
      </c>
      <c r="CM32" s="33"/>
      <c r="CN32" s="36" t="str">
        <f t="shared" si="40"/>
        <v/>
      </c>
      <c r="CO32" s="95"/>
      <c r="CP32" s="99" t="str">
        <f t="shared" si="41"/>
        <v/>
      </c>
      <c r="CQ32" s="23" t="s">
        <v>419</v>
      </c>
    </row>
    <row r="33" spans="1:95" ht="20" customHeight="1" x14ac:dyDescent="0.2">
      <c r="A33" s="60"/>
      <c r="B33" s="83"/>
      <c r="C33" s="50" t="s">
        <v>85</v>
      </c>
      <c r="D33" s="49" t="s">
        <v>71</v>
      </c>
      <c r="E33" s="49" t="s">
        <v>70</v>
      </c>
      <c r="F33" s="50">
        <v>2004</v>
      </c>
      <c r="G33" s="50">
        <v>45</v>
      </c>
      <c r="H33" s="89">
        <v>15</v>
      </c>
      <c r="I33" s="85" t="s">
        <v>185</v>
      </c>
      <c r="J33" s="86" t="s">
        <v>194</v>
      </c>
      <c r="K33" s="33"/>
      <c r="L33" s="36" t="str">
        <f t="shared" si="0"/>
        <v/>
      </c>
      <c r="M33" s="95"/>
      <c r="N33" s="95" t="str">
        <f t="shared" si="1"/>
        <v/>
      </c>
      <c r="O33" s="33"/>
      <c r="P33" s="36" t="str">
        <f t="shared" si="2"/>
        <v/>
      </c>
      <c r="Q33" s="95"/>
      <c r="R33" s="99" t="str">
        <f t="shared" si="3"/>
        <v/>
      </c>
      <c r="S33" s="76"/>
      <c r="T33" s="36" t="str">
        <f t="shared" si="4"/>
        <v/>
      </c>
      <c r="U33" s="95"/>
      <c r="V33" s="99" t="str">
        <f t="shared" si="5"/>
        <v/>
      </c>
      <c r="W33" s="33"/>
      <c r="X33" s="36" t="str">
        <f t="shared" si="6"/>
        <v/>
      </c>
      <c r="Y33" s="95"/>
      <c r="Z33" s="99" t="str">
        <f t="shared" si="7"/>
        <v/>
      </c>
      <c r="AA33" s="33"/>
      <c r="AB33" s="36" t="str">
        <f t="shared" si="8"/>
        <v/>
      </c>
      <c r="AC33" s="95"/>
      <c r="AD33" s="99" t="str">
        <f t="shared" si="9"/>
        <v/>
      </c>
      <c r="AE33" s="33"/>
      <c r="AF33" s="36" t="str">
        <f t="shared" si="10"/>
        <v/>
      </c>
      <c r="AG33" s="95"/>
      <c r="AH33" s="99" t="str">
        <f t="shared" si="11"/>
        <v/>
      </c>
      <c r="AI33" s="33"/>
      <c r="AJ33" s="36" t="str">
        <f t="shared" si="12"/>
        <v/>
      </c>
      <c r="AK33" s="95"/>
      <c r="AL33" s="99" t="str">
        <f t="shared" si="13"/>
        <v/>
      </c>
      <c r="AM33" s="33"/>
      <c r="AN33" s="36" t="str">
        <f t="shared" si="14"/>
        <v/>
      </c>
      <c r="AO33" s="95"/>
      <c r="AP33" s="99" t="str">
        <f t="shared" si="15"/>
        <v/>
      </c>
      <c r="AQ33" s="33"/>
      <c r="AR33" s="36" t="str">
        <f t="shared" si="16"/>
        <v/>
      </c>
      <c r="AS33" s="95"/>
      <c r="AT33" s="99" t="str">
        <f t="shared" si="42"/>
        <v/>
      </c>
      <c r="AU33" s="33"/>
      <c r="AV33" s="36" t="str">
        <f t="shared" si="18"/>
        <v/>
      </c>
      <c r="AW33" s="95"/>
      <c r="AX33" s="99" t="str">
        <f t="shared" si="19"/>
        <v/>
      </c>
      <c r="AY33" s="76"/>
      <c r="AZ33" s="36" t="str">
        <f t="shared" si="20"/>
        <v/>
      </c>
      <c r="BA33" s="95"/>
      <c r="BB33" s="99" t="str">
        <f t="shared" si="21"/>
        <v/>
      </c>
      <c r="BC33" s="33"/>
      <c r="BD33" s="36" t="str">
        <f t="shared" si="22"/>
        <v/>
      </c>
      <c r="BE33" s="95"/>
      <c r="BF33" s="99" t="str">
        <f t="shared" si="23"/>
        <v/>
      </c>
      <c r="BG33" s="33"/>
      <c r="BH33" s="36" t="str">
        <f t="shared" si="24"/>
        <v/>
      </c>
      <c r="BI33" s="95"/>
      <c r="BJ33" s="99" t="str">
        <f t="shared" si="25"/>
        <v/>
      </c>
      <c r="BK33" s="33"/>
      <c r="BL33" s="36" t="str">
        <f t="shared" si="26"/>
        <v/>
      </c>
      <c r="BM33" s="95"/>
      <c r="BN33" s="99" t="str">
        <f t="shared" si="27"/>
        <v/>
      </c>
      <c r="BO33" s="33"/>
      <c r="BP33" s="36" t="str">
        <f t="shared" si="28"/>
        <v/>
      </c>
      <c r="BQ33" s="95"/>
      <c r="BR33" s="99" t="str">
        <f t="shared" si="29"/>
        <v/>
      </c>
      <c r="BS33" s="33"/>
      <c r="BT33" s="36" t="str">
        <f t="shared" si="30"/>
        <v/>
      </c>
      <c r="BU33" s="95"/>
      <c r="BV33" s="99" t="str">
        <f t="shared" si="31"/>
        <v/>
      </c>
      <c r="BW33" s="33"/>
      <c r="BX33" s="36" t="str">
        <f t="shared" si="32"/>
        <v/>
      </c>
      <c r="BY33" s="95"/>
      <c r="BZ33" s="99" t="str">
        <f t="shared" si="33"/>
        <v/>
      </c>
      <c r="CA33" s="33"/>
      <c r="CB33" s="36" t="str">
        <f t="shared" si="34"/>
        <v/>
      </c>
      <c r="CC33" s="95"/>
      <c r="CD33" s="99" t="str">
        <f t="shared" si="35"/>
        <v/>
      </c>
      <c r="CE33" s="33"/>
      <c r="CF33" s="36" t="str">
        <f t="shared" si="36"/>
        <v/>
      </c>
      <c r="CG33" s="95"/>
      <c r="CH33" s="99" t="str">
        <f t="shared" si="37"/>
        <v/>
      </c>
      <c r="CI33" s="33"/>
      <c r="CJ33" s="36" t="str">
        <f t="shared" si="38"/>
        <v/>
      </c>
      <c r="CK33" s="95"/>
      <c r="CL33" s="99" t="str">
        <f t="shared" si="39"/>
        <v/>
      </c>
      <c r="CM33" s="33"/>
      <c r="CN33" s="36" t="str">
        <f t="shared" si="40"/>
        <v/>
      </c>
      <c r="CO33" s="95"/>
      <c r="CP33" s="99" t="str">
        <f t="shared" si="41"/>
        <v/>
      </c>
      <c r="CQ33" s="23" t="s">
        <v>420</v>
      </c>
    </row>
    <row r="34" spans="1:95" ht="20" customHeight="1" x14ac:dyDescent="0.2">
      <c r="A34" s="60"/>
      <c r="B34" s="83"/>
      <c r="C34" s="24" t="s">
        <v>85</v>
      </c>
      <c r="D34" s="23" t="s">
        <v>283</v>
      </c>
      <c r="E34" s="23" t="s">
        <v>284</v>
      </c>
      <c r="F34" s="24">
        <v>2013</v>
      </c>
      <c r="H34" s="89">
        <v>23</v>
      </c>
      <c r="I34" s="85"/>
      <c r="J34" s="86"/>
      <c r="K34" s="33"/>
      <c r="L34" s="36" t="str">
        <f t="shared" si="0"/>
        <v/>
      </c>
      <c r="M34" s="95"/>
      <c r="N34" s="95" t="str">
        <f t="shared" si="1"/>
        <v/>
      </c>
      <c r="O34" s="33"/>
      <c r="P34" s="36" t="str">
        <f t="shared" si="2"/>
        <v/>
      </c>
      <c r="Q34" s="95"/>
      <c r="R34" s="99" t="str">
        <f t="shared" si="3"/>
        <v/>
      </c>
      <c r="S34" s="76"/>
      <c r="T34" s="36" t="str">
        <f t="shared" si="4"/>
        <v/>
      </c>
      <c r="U34" s="95"/>
      <c r="V34" s="99" t="str">
        <f t="shared" si="5"/>
        <v/>
      </c>
      <c r="W34" s="33"/>
      <c r="X34" s="36" t="str">
        <f t="shared" si="6"/>
        <v/>
      </c>
      <c r="Y34" s="95"/>
      <c r="Z34" s="99" t="str">
        <f t="shared" si="7"/>
        <v/>
      </c>
      <c r="AA34" s="33"/>
      <c r="AB34" s="36" t="str">
        <f t="shared" si="8"/>
        <v/>
      </c>
      <c r="AC34" s="95"/>
      <c r="AD34" s="99" t="str">
        <f t="shared" si="9"/>
        <v/>
      </c>
      <c r="AE34" s="33"/>
      <c r="AF34" s="36" t="str">
        <f t="shared" si="10"/>
        <v/>
      </c>
      <c r="AG34" s="95"/>
      <c r="AH34" s="99" t="str">
        <f t="shared" si="11"/>
        <v/>
      </c>
      <c r="AI34" s="33"/>
      <c r="AJ34" s="36" t="str">
        <f t="shared" si="12"/>
        <v/>
      </c>
      <c r="AK34" s="95"/>
      <c r="AL34" s="99" t="str">
        <f t="shared" si="13"/>
        <v/>
      </c>
      <c r="AM34" s="33"/>
      <c r="AN34" s="36" t="str">
        <f t="shared" si="14"/>
        <v/>
      </c>
      <c r="AO34" s="95"/>
      <c r="AP34" s="99" t="str">
        <f t="shared" si="15"/>
        <v/>
      </c>
      <c r="AQ34" s="33"/>
      <c r="AR34" s="36" t="str">
        <f t="shared" si="16"/>
        <v/>
      </c>
      <c r="AS34" s="95"/>
      <c r="AT34" s="99" t="str">
        <f t="shared" si="42"/>
        <v/>
      </c>
      <c r="AU34" s="33"/>
      <c r="AV34" s="36" t="str">
        <f t="shared" si="18"/>
        <v/>
      </c>
      <c r="AW34" s="95"/>
      <c r="AX34" s="99" t="str">
        <f t="shared" si="19"/>
        <v/>
      </c>
      <c r="AY34" s="76"/>
      <c r="AZ34" s="36" t="str">
        <f t="shared" si="20"/>
        <v/>
      </c>
      <c r="BA34" s="95"/>
      <c r="BB34" s="99" t="str">
        <f t="shared" si="21"/>
        <v/>
      </c>
      <c r="BC34" s="33"/>
      <c r="BD34" s="36" t="str">
        <f t="shared" si="22"/>
        <v/>
      </c>
      <c r="BE34" s="95"/>
      <c r="BF34" s="99" t="str">
        <f t="shared" si="23"/>
        <v/>
      </c>
      <c r="BG34" s="33"/>
      <c r="BH34" s="36" t="str">
        <f t="shared" si="24"/>
        <v/>
      </c>
      <c r="BI34" s="95"/>
      <c r="BJ34" s="99" t="str">
        <f t="shared" si="25"/>
        <v/>
      </c>
      <c r="BK34" s="33"/>
      <c r="BL34" s="36" t="str">
        <f t="shared" si="26"/>
        <v/>
      </c>
      <c r="BM34" s="95"/>
      <c r="BN34" s="99" t="str">
        <f t="shared" si="27"/>
        <v/>
      </c>
      <c r="BO34" s="33"/>
      <c r="BP34" s="36" t="str">
        <f t="shared" si="28"/>
        <v/>
      </c>
      <c r="BQ34" s="95"/>
      <c r="BR34" s="99" t="str">
        <f t="shared" si="29"/>
        <v/>
      </c>
      <c r="BS34" s="33"/>
      <c r="BT34" s="36" t="str">
        <f t="shared" si="30"/>
        <v/>
      </c>
      <c r="BU34" s="95"/>
      <c r="BV34" s="99" t="str">
        <f t="shared" si="31"/>
        <v/>
      </c>
      <c r="BW34" s="33"/>
      <c r="BX34" s="36" t="str">
        <f t="shared" si="32"/>
        <v/>
      </c>
      <c r="BY34" s="95"/>
      <c r="BZ34" s="99" t="str">
        <f t="shared" si="33"/>
        <v/>
      </c>
      <c r="CA34" s="33"/>
      <c r="CB34" s="36" t="str">
        <f t="shared" si="34"/>
        <v/>
      </c>
      <c r="CC34" s="95"/>
      <c r="CD34" s="99" t="str">
        <f t="shared" si="35"/>
        <v/>
      </c>
      <c r="CE34" s="33"/>
      <c r="CF34" s="36" t="str">
        <f t="shared" si="36"/>
        <v/>
      </c>
      <c r="CG34" s="95"/>
      <c r="CH34" s="99" t="str">
        <f t="shared" si="37"/>
        <v/>
      </c>
      <c r="CI34" s="33"/>
      <c r="CJ34" s="36" t="str">
        <f t="shared" si="38"/>
        <v/>
      </c>
      <c r="CK34" s="95"/>
      <c r="CL34" s="99" t="str">
        <f t="shared" si="39"/>
        <v/>
      </c>
      <c r="CM34" s="33"/>
      <c r="CN34" s="36" t="str">
        <f t="shared" si="40"/>
        <v/>
      </c>
      <c r="CO34" s="95"/>
      <c r="CP34" s="99" t="str">
        <f t="shared" si="41"/>
        <v/>
      </c>
      <c r="CQ34" s="23" t="s">
        <v>421</v>
      </c>
    </row>
    <row r="35" spans="1:95" ht="20" customHeight="1" x14ac:dyDescent="0.2">
      <c r="A35" s="61"/>
      <c r="B35" s="24"/>
      <c r="C35" s="50" t="s">
        <v>85</v>
      </c>
      <c r="D35" s="49" t="s">
        <v>357</v>
      </c>
      <c r="E35" s="49" t="s">
        <v>72</v>
      </c>
      <c r="F35" s="50">
        <v>2014</v>
      </c>
      <c r="G35" s="50">
        <v>23</v>
      </c>
      <c r="H35" s="89">
        <v>28</v>
      </c>
      <c r="I35" s="85" t="s">
        <v>186</v>
      </c>
      <c r="J35" s="86" t="s">
        <v>195</v>
      </c>
      <c r="K35" s="33"/>
      <c r="L35" s="36" t="str">
        <f t="shared" si="0"/>
        <v/>
      </c>
      <c r="M35" s="95"/>
      <c r="N35" s="95" t="str">
        <f t="shared" si="1"/>
        <v/>
      </c>
      <c r="O35" s="33"/>
      <c r="P35" s="36" t="str">
        <f t="shared" si="2"/>
        <v/>
      </c>
      <c r="Q35" s="95"/>
      <c r="R35" s="99" t="str">
        <f t="shared" si="3"/>
        <v/>
      </c>
      <c r="S35" s="76"/>
      <c r="T35" s="36" t="str">
        <f t="shared" si="4"/>
        <v/>
      </c>
      <c r="U35" s="95"/>
      <c r="V35" s="99" t="str">
        <f t="shared" si="5"/>
        <v/>
      </c>
      <c r="W35" s="33"/>
      <c r="X35" s="36" t="str">
        <f t="shared" si="6"/>
        <v/>
      </c>
      <c r="Y35" s="95"/>
      <c r="Z35" s="99" t="str">
        <f t="shared" si="7"/>
        <v/>
      </c>
      <c r="AA35" s="33"/>
      <c r="AB35" s="36" t="str">
        <f t="shared" si="8"/>
        <v/>
      </c>
      <c r="AC35" s="95"/>
      <c r="AD35" s="99" t="str">
        <f t="shared" si="9"/>
        <v/>
      </c>
      <c r="AE35" s="33"/>
      <c r="AF35" s="36" t="str">
        <f t="shared" si="10"/>
        <v/>
      </c>
      <c r="AG35" s="95"/>
      <c r="AH35" s="99" t="str">
        <f t="shared" si="11"/>
        <v/>
      </c>
      <c r="AI35" s="33"/>
      <c r="AJ35" s="36" t="str">
        <f t="shared" si="12"/>
        <v/>
      </c>
      <c r="AK35" s="95"/>
      <c r="AL35" s="99" t="str">
        <f t="shared" si="13"/>
        <v/>
      </c>
      <c r="AM35" s="33"/>
      <c r="AN35" s="36" t="str">
        <f t="shared" si="14"/>
        <v/>
      </c>
      <c r="AO35" s="95"/>
      <c r="AP35" s="99" t="str">
        <f t="shared" si="15"/>
        <v/>
      </c>
      <c r="AQ35" s="33"/>
      <c r="AR35" s="36" t="str">
        <f t="shared" si="16"/>
        <v/>
      </c>
      <c r="AS35" s="95"/>
      <c r="AT35" s="99" t="str">
        <f t="shared" si="42"/>
        <v/>
      </c>
      <c r="AU35" s="33"/>
      <c r="AV35" s="36" t="str">
        <f t="shared" si="18"/>
        <v/>
      </c>
      <c r="AW35" s="95"/>
      <c r="AX35" s="99" t="str">
        <f t="shared" si="19"/>
        <v/>
      </c>
      <c r="AY35" s="76"/>
      <c r="AZ35" s="36" t="str">
        <f t="shared" si="20"/>
        <v/>
      </c>
      <c r="BA35" s="95"/>
      <c r="BB35" s="99" t="str">
        <f t="shared" si="21"/>
        <v/>
      </c>
      <c r="BC35" s="33"/>
      <c r="BD35" s="36" t="str">
        <f t="shared" si="22"/>
        <v/>
      </c>
      <c r="BE35" s="95"/>
      <c r="BF35" s="99" t="str">
        <f t="shared" si="23"/>
        <v/>
      </c>
      <c r="BG35" s="33"/>
      <c r="BH35" s="36" t="str">
        <f t="shared" si="24"/>
        <v/>
      </c>
      <c r="BI35" s="95"/>
      <c r="BJ35" s="99" t="str">
        <f t="shared" si="25"/>
        <v/>
      </c>
      <c r="BK35" s="33"/>
      <c r="BL35" s="36" t="str">
        <f t="shared" si="26"/>
        <v/>
      </c>
      <c r="BM35" s="95"/>
      <c r="BN35" s="99" t="str">
        <f t="shared" si="27"/>
        <v/>
      </c>
      <c r="BO35" s="33"/>
      <c r="BP35" s="36" t="str">
        <f t="shared" si="28"/>
        <v/>
      </c>
      <c r="BQ35" s="95"/>
      <c r="BR35" s="99" t="str">
        <f t="shared" si="29"/>
        <v/>
      </c>
      <c r="BS35" s="33"/>
      <c r="BT35" s="36" t="str">
        <f t="shared" si="30"/>
        <v/>
      </c>
      <c r="BU35" s="95"/>
      <c r="BV35" s="99" t="str">
        <f t="shared" si="31"/>
        <v/>
      </c>
      <c r="BW35" s="33"/>
      <c r="BX35" s="36" t="str">
        <f t="shared" si="32"/>
        <v/>
      </c>
      <c r="BY35" s="95"/>
      <c r="BZ35" s="99" t="str">
        <f t="shared" si="33"/>
        <v/>
      </c>
      <c r="CA35" s="33"/>
      <c r="CB35" s="36" t="str">
        <f t="shared" si="34"/>
        <v/>
      </c>
      <c r="CC35" s="95"/>
      <c r="CD35" s="99" t="str">
        <f t="shared" si="35"/>
        <v/>
      </c>
      <c r="CE35" s="33"/>
      <c r="CF35" s="36" t="str">
        <f t="shared" si="36"/>
        <v/>
      </c>
      <c r="CG35" s="95"/>
      <c r="CH35" s="99" t="str">
        <f t="shared" si="37"/>
        <v/>
      </c>
      <c r="CI35" s="33"/>
      <c r="CJ35" s="36" t="str">
        <f t="shared" si="38"/>
        <v/>
      </c>
      <c r="CK35" s="95"/>
      <c r="CL35" s="99" t="str">
        <f t="shared" si="39"/>
        <v/>
      </c>
      <c r="CM35" s="33"/>
      <c r="CN35" s="36" t="str">
        <f t="shared" si="40"/>
        <v/>
      </c>
      <c r="CO35" s="95"/>
      <c r="CP35" s="99" t="str">
        <f t="shared" si="41"/>
        <v/>
      </c>
      <c r="CQ35" s="23" t="s">
        <v>422</v>
      </c>
    </row>
    <row r="36" spans="1:95" ht="20" customHeight="1" x14ac:dyDescent="0.2">
      <c r="A36" s="60"/>
      <c r="B36" s="82"/>
      <c r="C36" s="24" t="s">
        <v>85</v>
      </c>
      <c r="D36" s="23" t="s">
        <v>286</v>
      </c>
      <c r="E36" s="23" t="s">
        <v>287</v>
      </c>
      <c r="F36" s="24">
        <v>2014</v>
      </c>
      <c r="H36" s="89">
        <v>28</v>
      </c>
      <c r="I36" s="85" t="s">
        <v>186</v>
      </c>
      <c r="J36" s="86" t="s">
        <v>195</v>
      </c>
      <c r="K36" s="33"/>
      <c r="L36" s="36" t="str">
        <f t="shared" si="0"/>
        <v/>
      </c>
      <c r="M36" s="95"/>
      <c r="N36" s="95" t="str">
        <f t="shared" si="1"/>
        <v/>
      </c>
      <c r="O36" s="33"/>
      <c r="P36" s="36" t="str">
        <f t="shared" si="2"/>
        <v/>
      </c>
      <c r="Q36" s="95"/>
      <c r="R36" s="99" t="str">
        <f t="shared" si="3"/>
        <v/>
      </c>
      <c r="S36" s="76">
        <v>3</v>
      </c>
      <c r="T36" s="36">
        <f t="shared" si="4"/>
        <v>10.714285714285714</v>
      </c>
      <c r="U36" s="95">
        <v>3</v>
      </c>
      <c r="V36" s="99">
        <f t="shared" si="5"/>
        <v>0</v>
      </c>
      <c r="W36" s="33"/>
      <c r="X36" s="36" t="str">
        <f t="shared" si="6"/>
        <v/>
      </c>
      <c r="Y36" s="95"/>
      <c r="Z36" s="99" t="str">
        <f t="shared" si="7"/>
        <v/>
      </c>
      <c r="AA36" s="33"/>
      <c r="AB36" s="36" t="str">
        <f t="shared" si="8"/>
        <v/>
      </c>
      <c r="AC36" s="95"/>
      <c r="AD36" s="99" t="str">
        <f t="shared" si="9"/>
        <v/>
      </c>
      <c r="AE36" s="33"/>
      <c r="AF36" s="36" t="str">
        <f t="shared" si="10"/>
        <v/>
      </c>
      <c r="AG36" s="95"/>
      <c r="AH36" s="99" t="str">
        <f t="shared" si="11"/>
        <v/>
      </c>
      <c r="AI36" s="33"/>
      <c r="AJ36" s="36" t="str">
        <f t="shared" si="12"/>
        <v/>
      </c>
      <c r="AK36" s="95"/>
      <c r="AL36" s="99" t="str">
        <f t="shared" si="13"/>
        <v/>
      </c>
      <c r="AM36" s="33"/>
      <c r="AN36" s="36" t="str">
        <f t="shared" si="14"/>
        <v/>
      </c>
      <c r="AO36" s="95"/>
      <c r="AP36" s="99" t="str">
        <f t="shared" si="15"/>
        <v/>
      </c>
      <c r="AQ36" s="33">
        <v>3</v>
      </c>
      <c r="AR36" s="36">
        <f t="shared" si="16"/>
        <v>10.714285714285714</v>
      </c>
      <c r="AS36" s="95">
        <v>7</v>
      </c>
      <c r="AT36" s="99">
        <f t="shared" si="42"/>
        <v>-4</v>
      </c>
      <c r="AU36" s="33">
        <v>4</v>
      </c>
      <c r="AV36" s="36">
        <f t="shared" si="18"/>
        <v>14.285714285714285</v>
      </c>
      <c r="AW36" s="95"/>
      <c r="AX36" s="99" t="str">
        <f t="shared" si="19"/>
        <v/>
      </c>
      <c r="AY36" s="76">
        <v>5</v>
      </c>
      <c r="AZ36" s="36">
        <f t="shared" si="20"/>
        <v>17.857142857142858</v>
      </c>
      <c r="BA36" s="95"/>
      <c r="BB36" s="99" t="str">
        <f t="shared" si="21"/>
        <v/>
      </c>
      <c r="BC36" s="33"/>
      <c r="BD36" s="36" t="str">
        <f t="shared" si="22"/>
        <v/>
      </c>
      <c r="BE36" s="95"/>
      <c r="BF36" s="99" t="str">
        <f t="shared" si="23"/>
        <v/>
      </c>
      <c r="BG36" s="33"/>
      <c r="BH36" s="36" t="str">
        <f t="shared" si="24"/>
        <v/>
      </c>
      <c r="BI36" s="95"/>
      <c r="BJ36" s="99" t="str">
        <f t="shared" si="25"/>
        <v/>
      </c>
      <c r="BK36" s="33">
        <v>0</v>
      </c>
      <c r="BL36" s="36" t="str">
        <f t="shared" si="26"/>
        <v/>
      </c>
      <c r="BM36" s="95">
        <v>3</v>
      </c>
      <c r="BN36" s="99">
        <f t="shared" si="27"/>
        <v>-3</v>
      </c>
      <c r="BO36" s="33"/>
      <c r="BP36" s="36" t="str">
        <f t="shared" si="28"/>
        <v/>
      </c>
      <c r="BQ36" s="95"/>
      <c r="BR36" s="99" t="str">
        <f t="shared" si="29"/>
        <v/>
      </c>
      <c r="BS36" s="33"/>
      <c r="BT36" s="36" t="str">
        <f t="shared" si="30"/>
        <v/>
      </c>
      <c r="BU36" s="95"/>
      <c r="BV36" s="99" t="str">
        <f t="shared" si="31"/>
        <v/>
      </c>
      <c r="BW36" s="33"/>
      <c r="BX36" s="36" t="str">
        <f t="shared" si="32"/>
        <v/>
      </c>
      <c r="BY36" s="95"/>
      <c r="BZ36" s="99" t="str">
        <f t="shared" si="33"/>
        <v/>
      </c>
      <c r="CA36" s="33"/>
      <c r="CB36" s="36" t="str">
        <f t="shared" si="34"/>
        <v/>
      </c>
      <c r="CC36" s="95"/>
      <c r="CD36" s="99" t="str">
        <f t="shared" si="35"/>
        <v/>
      </c>
      <c r="CE36" s="33"/>
      <c r="CF36" s="36" t="str">
        <f t="shared" si="36"/>
        <v/>
      </c>
      <c r="CG36" s="95"/>
      <c r="CH36" s="99" t="str">
        <f t="shared" si="37"/>
        <v/>
      </c>
      <c r="CI36" s="33"/>
      <c r="CJ36" s="36" t="str">
        <f t="shared" si="38"/>
        <v/>
      </c>
      <c r="CK36" s="95"/>
      <c r="CL36" s="99" t="str">
        <f t="shared" si="39"/>
        <v/>
      </c>
      <c r="CM36" s="33"/>
      <c r="CN36" s="36" t="str">
        <f t="shared" si="40"/>
        <v/>
      </c>
      <c r="CO36" s="95"/>
      <c r="CP36" s="99" t="str">
        <f t="shared" si="41"/>
        <v/>
      </c>
      <c r="CQ36" s="23" t="s">
        <v>358</v>
      </c>
    </row>
    <row r="37" spans="1:95" ht="20" customHeight="1" x14ac:dyDescent="0.2">
      <c r="A37" s="60"/>
      <c r="B37" s="83"/>
      <c r="C37" s="24" t="s">
        <v>85</v>
      </c>
      <c r="D37" s="23" t="s">
        <v>290</v>
      </c>
      <c r="E37" s="23" t="s">
        <v>291</v>
      </c>
      <c r="F37" s="24">
        <v>2015</v>
      </c>
      <c r="H37" s="89">
        <v>10</v>
      </c>
      <c r="I37" s="85" t="s">
        <v>348</v>
      </c>
      <c r="J37" s="86" t="s">
        <v>359</v>
      </c>
      <c r="K37" s="33"/>
      <c r="L37" s="36" t="str">
        <f t="shared" si="0"/>
        <v/>
      </c>
      <c r="M37" s="95"/>
      <c r="N37" s="95" t="str">
        <f t="shared" si="1"/>
        <v/>
      </c>
      <c r="O37" s="33"/>
      <c r="P37" s="36" t="str">
        <f t="shared" si="2"/>
        <v/>
      </c>
      <c r="Q37" s="95"/>
      <c r="R37" s="99" t="str">
        <f t="shared" si="3"/>
        <v/>
      </c>
      <c r="S37" s="76"/>
      <c r="T37" s="36" t="str">
        <f t="shared" si="4"/>
        <v/>
      </c>
      <c r="U37" s="95"/>
      <c r="V37" s="99" t="str">
        <f t="shared" si="5"/>
        <v/>
      </c>
      <c r="W37" s="33"/>
      <c r="X37" s="36" t="str">
        <f t="shared" si="6"/>
        <v/>
      </c>
      <c r="Y37" s="95"/>
      <c r="Z37" s="99" t="str">
        <f t="shared" si="7"/>
        <v/>
      </c>
      <c r="AA37" s="33"/>
      <c r="AB37" s="36" t="str">
        <f t="shared" si="8"/>
        <v/>
      </c>
      <c r="AC37" s="95"/>
      <c r="AD37" s="99" t="str">
        <f t="shared" si="9"/>
        <v/>
      </c>
      <c r="AE37" s="33"/>
      <c r="AF37" s="36" t="str">
        <f t="shared" si="10"/>
        <v/>
      </c>
      <c r="AG37" s="95"/>
      <c r="AH37" s="99" t="str">
        <f t="shared" si="11"/>
        <v/>
      </c>
      <c r="AI37" s="33"/>
      <c r="AJ37" s="36" t="str">
        <f t="shared" si="12"/>
        <v/>
      </c>
      <c r="AK37" s="95"/>
      <c r="AL37" s="99" t="str">
        <f t="shared" si="13"/>
        <v/>
      </c>
      <c r="AM37" s="33"/>
      <c r="AN37" s="36" t="str">
        <f t="shared" si="14"/>
        <v/>
      </c>
      <c r="AO37" s="95"/>
      <c r="AP37" s="99" t="str">
        <f t="shared" si="15"/>
        <v/>
      </c>
      <c r="AQ37" s="33"/>
      <c r="AR37" s="36" t="str">
        <f t="shared" si="16"/>
        <v/>
      </c>
      <c r="AS37" s="95"/>
      <c r="AT37" s="99" t="str">
        <f t="shared" si="42"/>
        <v/>
      </c>
      <c r="AU37" s="33"/>
      <c r="AV37" s="36" t="str">
        <f t="shared" si="18"/>
        <v/>
      </c>
      <c r="AW37" s="95"/>
      <c r="AX37" s="99" t="str">
        <f t="shared" si="19"/>
        <v/>
      </c>
      <c r="AY37" s="76"/>
      <c r="AZ37" s="36" t="str">
        <f t="shared" si="20"/>
        <v/>
      </c>
      <c r="BA37" s="95"/>
      <c r="BB37" s="99" t="str">
        <f t="shared" si="21"/>
        <v/>
      </c>
      <c r="BC37" s="33"/>
      <c r="BD37" s="36" t="str">
        <f t="shared" si="22"/>
        <v/>
      </c>
      <c r="BE37" s="95"/>
      <c r="BF37" s="99" t="str">
        <f t="shared" si="23"/>
        <v/>
      </c>
      <c r="BG37" s="33"/>
      <c r="BH37" s="36" t="str">
        <f t="shared" si="24"/>
        <v/>
      </c>
      <c r="BI37" s="95"/>
      <c r="BJ37" s="99" t="str">
        <f t="shared" si="25"/>
        <v/>
      </c>
      <c r="BK37" s="33"/>
      <c r="BL37" s="36" t="str">
        <f t="shared" si="26"/>
        <v/>
      </c>
      <c r="BM37" s="95"/>
      <c r="BN37" s="99" t="str">
        <f t="shared" si="27"/>
        <v/>
      </c>
      <c r="BO37" s="33"/>
      <c r="BP37" s="36" t="str">
        <f t="shared" si="28"/>
        <v/>
      </c>
      <c r="BQ37" s="95"/>
      <c r="BR37" s="99" t="str">
        <f t="shared" si="29"/>
        <v/>
      </c>
      <c r="BS37" s="33"/>
      <c r="BT37" s="36" t="str">
        <f t="shared" si="30"/>
        <v/>
      </c>
      <c r="BU37" s="95"/>
      <c r="BV37" s="99" t="str">
        <f t="shared" si="31"/>
        <v/>
      </c>
      <c r="BW37" s="33"/>
      <c r="BX37" s="36" t="str">
        <f t="shared" si="32"/>
        <v/>
      </c>
      <c r="BY37" s="95"/>
      <c r="BZ37" s="99" t="str">
        <f t="shared" si="33"/>
        <v/>
      </c>
      <c r="CA37" s="33"/>
      <c r="CB37" s="36" t="str">
        <f t="shared" si="34"/>
        <v/>
      </c>
      <c r="CC37" s="95"/>
      <c r="CD37" s="99" t="str">
        <f t="shared" si="35"/>
        <v/>
      </c>
      <c r="CE37" s="33"/>
      <c r="CF37" s="36" t="str">
        <f t="shared" si="36"/>
        <v/>
      </c>
      <c r="CG37" s="95"/>
      <c r="CH37" s="99" t="str">
        <f t="shared" si="37"/>
        <v/>
      </c>
      <c r="CI37" s="33"/>
      <c r="CJ37" s="36" t="str">
        <f t="shared" si="38"/>
        <v/>
      </c>
      <c r="CK37" s="95"/>
      <c r="CL37" s="99" t="str">
        <f t="shared" si="39"/>
        <v/>
      </c>
      <c r="CM37" s="33"/>
      <c r="CN37" s="36" t="str">
        <f t="shared" si="40"/>
        <v/>
      </c>
      <c r="CO37" s="95"/>
      <c r="CP37" s="99" t="str">
        <f t="shared" si="41"/>
        <v/>
      </c>
    </row>
    <row r="38" spans="1:95" ht="20" customHeight="1" x14ac:dyDescent="0.2">
      <c r="A38" s="60"/>
      <c r="B38" s="82"/>
      <c r="C38" s="24" t="s">
        <v>85</v>
      </c>
      <c r="D38" s="23" t="s">
        <v>79</v>
      </c>
      <c r="E38" s="23" t="s">
        <v>80</v>
      </c>
      <c r="F38" s="24">
        <v>2015</v>
      </c>
      <c r="G38" s="24">
        <v>10</v>
      </c>
      <c r="H38" s="89">
        <v>11</v>
      </c>
      <c r="I38" s="85" t="s">
        <v>197</v>
      </c>
      <c r="J38" s="86" t="s">
        <v>169</v>
      </c>
      <c r="K38" s="33"/>
      <c r="L38" s="36" t="str">
        <f t="shared" si="0"/>
        <v/>
      </c>
      <c r="M38" s="95"/>
      <c r="N38" s="95" t="str">
        <f t="shared" si="1"/>
        <v/>
      </c>
      <c r="O38" s="33"/>
      <c r="P38" s="36" t="str">
        <f t="shared" si="2"/>
        <v/>
      </c>
      <c r="Q38" s="95"/>
      <c r="R38" s="99" t="str">
        <f t="shared" si="3"/>
        <v/>
      </c>
      <c r="S38" s="76"/>
      <c r="T38" s="36" t="str">
        <f t="shared" si="4"/>
        <v/>
      </c>
      <c r="U38" s="95"/>
      <c r="V38" s="99" t="str">
        <f t="shared" si="5"/>
        <v/>
      </c>
      <c r="W38" s="33"/>
      <c r="X38" s="36" t="str">
        <f t="shared" si="6"/>
        <v/>
      </c>
      <c r="Y38" s="95"/>
      <c r="Z38" s="99" t="str">
        <f t="shared" si="7"/>
        <v/>
      </c>
      <c r="AA38" s="33"/>
      <c r="AB38" s="36" t="str">
        <f t="shared" si="8"/>
        <v/>
      </c>
      <c r="AC38" s="95"/>
      <c r="AD38" s="99" t="str">
        <f t="shared" si="9"/>
        <v/>
      </c>
      <c r="AE38" s="33"/>
      <c r="AF38" s="36" t="str">
        <f t="shared" si="10"/>
        <v/>
      </c>
      <c r="AG38" s="95"/>
      <c r="AH38" s="99" t="str">
        <f t="shared" si="11"/>
        <v/>
      </c>
      <c r="AI38" s="33"/>
      <c r="AJ38" s="36" t="str">
        <f t="shared" si="12"/>
        <v/>
      </c>
      <c r="AK38" s="95"/>
      <c r="AL38" s="99" t="str">
        <f t="shared" si="13"/>
        <v/>
      </c>
      <c r="AM38" s="33"/>
      <c r="AN38" s="36" t="str">
        <f t="shared" si="14"/>
        <v/>
      </c>
      <c r="AO38" s="95"/>
      <c r="AP38" s="99" t="str">
        <f t="shared" si="15"/>
        <v/>
      </c>
      <c r="AQ38" s="38">
        <v>1</v>
      </c>
      <c r="AR38" s="39">
        <f t="shared" si="16"/>
        <v>9.0909090909090917</v>
      </c>
      <c r="AS38" s="119">
        <v>0</v>
      </c>
      <c r="AT38" s="120">
        <f t="shared" si="42"/>
        <v>1</v>
      </c>
      <c r="AU38" s="33"/>
      <c r="AV38" s="36" t="str">
        <f t="shared" si="18"/>
        <v/>
      </c>
      <c r="AW38" s="95"/>
      <c r="AX38" s="99" t="str">
        <f t="shared" si="19"/>
        <v/>
      </c>
      <c r="AY38" s="76">
        <v>3</v>
      </c>
      <c r="AZ38" s="36">
        <f t="shared" si="20"/>
        <v>27.27272727272727</v>
      </c>
      <c r="BA38" s="95">
        <v>2</v>
      </c>
      <c r="BB38" s="99">
        <f t="shared" si="21"/>
        <v>1</v>
      </c>
      <c r="BC38" s="33"/>
      <c r="BD38" s="36" t="str">
        <f t="shared" si="22"/>
        <v/>
      </c>
      <c r="BE38" s="95"/>
      <c r="BF38" s="99" t="str">
        <f t="shared" si="23"/>
        <v/>
      </c>
      <c r="BG38" s="33"/>
      <c r="BH38" s="36" t="str">
        <f t="shared" si="24"/>
        <v/>
      </c>
      <c r="BI38" s="95"/>
      <c r="BJ38" s="99" t="str">
        <f t="shared" si="25"/>
        <v/>
      </c>
      <c r="BK38" s="33"/>
      <c r="BL38" s="36" t="str">
        <f t="shared" si="26"/>
        <v/>
      </c>
      <c r="BM38" s="95"/>
      <c r="BN38" s="99" t="str">
        <f t="shared" si="27"/>
        <v/>
      </c>
      <c r="BO38" s="33"/>
      <c r="BP38" s="36" t="str">
        <f t="shared" si="28"/>
        <v/>
      </c>
      <c r="BQ38" s="95"/>
      <c r="BR38" s="99" t="str">
        <f t="shared" si="29"/>
        <v/>
      </c>
      <c r="BS38" s="33"/>
      <c r="BT38" s="36" t="str">
        <f t="shared" si="30"/>
        <v/>
      </c>
      <c r="BU38" s="95"/>
      <c r="BV38" s="99" t="str">
        <f t="shared" si="31"/>
        <v/>
      </c>
      <c r="BW38" s="33"/>
      <c r="BX38" s="36" t="str">
        <f t="shared" si="32"/>
        <v/>
      </c>
      <c r="BY38" s="95"/>
      <c r="BZ38" s="99" t="str">
        <f t="shared" si="33"/>
        <v/>
      </c>
      <c r="CA38" s="33"/>
      <c r="CB38" s="36" t="str">
        <f t="shared" si="34"/>
        <v/>
      </c>
      <c r="CC38" s="95"/>
      <c r="CD38" s="99" t="str">
        <f t="shared" si="35"/>
        <v/>
      </c>
      <c r="CE38" s="33"/>
      <c r="CF38" s="36" t="str">
        <f t="shared" si="36"/>
        <v/>
      </c>
      <c r="CG38" s="95"/>
      <c r="CH38" s="99" t="str">
        <f t="shared" si="37"/>
        <v/>
      </c>
      <c r="CI38" s="33"/>
      <c r="CJ38" s="36" t="str">
        <f t="shared" si="38"/>
        <v/>
      </c>
      <c r="CK38" s="95"/>
      <c r="CL38" s="99" t="str">
        <f t="shared" si="39"/>
        <v/>
      </c>
      <c r="CM38" s="33"/>
      <c r="CN38" s="36" t="str">
        <f t="shared" si="40"/>
        <v/>
      </c>
      <c r="CO38" s="95"/>
      <c r="CP38" s="99" t="str">
        <f t="shared" si="41"/>
        <v/>
      </c>
      <c r="CQ38" s="23" t="s">
        <v>196</v>
      </c>
    </row>
    <row r="39" spans="1:95" ht="20" customHeight="1" x14ac:dyDescent="0.2">
      <c r="A39" s="61"/>
      <c r="B39" s="83"/>
      <c r="C39" s="24" t="s">
        <v>85</v>
      </c>
      <c r="D39" s="23" t="s">
        <v>91</v>
      </c>
      <c r="E39" s="23" t="s">
        <v>92</v>
      </c>
      <c r="F39" s="24">
        <v>2001</v>
      </c>
      <c r="G39" s="24">
        <v>170</v>
      </c>
      <c r="H39" s="89">
        <v>22</v>
      </c>
      <c r="I39" s="85" t="s">
        <v>177</v>
      </c>
      <c r="J39" s="86" t="s">
        <v>169</v>
      </c>
      <c r="K39" s="33"/>
      <c r="L39" s="36" t="str">
        <f t="shared" si="0"/>
        <v/>
      </c>
      <c r="M39" s="95"/>
      <c r="N39" s="95" t="str">
        <f t="shared" si="1"/>
        <v/>
      </c>
      <c r="O39" s="33"/>
      <c r="P39" s="36" t="str">
        <f t="shared" si="2"/>
        <v/>
      </c>
      <c r="Q39" s="95"/>
      <c r="R39" s="99" t="str">
        <f t="shared" si="3"/>
        <v/>
      </c>
      <c r="S39" s="76"/>
      <c r="T39" s="36" t="str">
        <f t="shared" si="4"/>
        <v/>
      </c>
      <c r="U39" s="95"/>
      <c r="V39" s="99" t="str">
        <f t="shared" si="5"/>
        <v/>
      </c>
      <c r="W39" s="33"/>
      <c r="X39" s="36" t="str">
        <f t="shared" si="6"/>
        <v/>
      </c>
      <c r="Y39" s="95"/>
      <c r="Z39" s="99" t="str">
        <f t="shared" si="7"/>
        <v/>
      </c>
      <c r="AA39" s="33"/>
      <c r="AB39" s="36" t="str">
        <f t="shared" si="8"/>
        <v/>
      </c>
      <c r="AC39" s="95"/>
      <c r="AD39" s="99" t="str">
        <f t="shared" si="9"/>
        <v/>
      </c>
      <c r="AE39" s="33"/>
      <c r="AF39" s="36" t="str">
        <f t="shared" si="10"/>
        <v/>
      </c>
      <c r="AG39" s="95"/>
      <c r="AH39" s="99" t="str">
        <f t="shared" si="11"/>
        <v/>
      </c>
      <c r="AI39" s="33"/>
      <c r="AJ39" s="36" t="str">
        <f t="shared" si="12"/>
        <v/>
      </c>
      <c r="AK39" s="95"/>
      <c r="AL39" s="99" t="str">
        <f t="shared" si="13"/>
        <v/>
      </c>
      <c r="AM39" s="33"/>
      <c r="AN39" s="36" t="str">
        <f t="shared" si="14"/>
        <v/>
      </c>
      <c r="AO39" s="95"/>
      <c r="AP39" s="99" t="str">
        <f t="shared" si="15"/>
        <v/>
      </c>
      <c r="AQ39" s="33"/>
      <c r="AR39" s="36" t="str">
        <f t="shared" si="16"/>
        <v/>
      </c>
      <c r="AS39" s="95"/>
      <c r="AT39" s="99" t="str">
        <f t="shared" si="42"/>
        <v/>
      </c>
      <c r="AU39" s="33"/>
      <c r="AV39" s="36" t="str">
        <f t="shared" si="18"/>
        <v/>
      </c>
      <c r="AW39" s="95"/>
      <c r="AX39" s="99" t="str">
        <f t="shared" si="19"/>
        <v/>
      </c>
      <c r="AY39" s="76"/>
      <c r="AZ39" s="36" t="str">
        <f t="shared" si="20"/>
        <v/>
      </c>
      <c r="BA39" s="95"/>
      <c r="BB39" s="99" t="str">
        <f t="shared" si="21"/>
        <v/>
      </c>
      <c r="BC39" s="33"/>
      <c r="BD39" s="36" t="str">
        <f t="shared" si="22"/>
        <v/>
      </c>
      <c r="BE39" s="95"/>
      <c r="BF39" s="99" t="str">
        <f t="shared" si="23"/>
        <v/>
      </c>
      <c r="BG39" s="33"/>
      <c r="BH39" s="36" t="str">
        <f t="shared" si="24"/>
        <v/>
      </c>
      <c r="BI39" s="95"/>
      <c r="BJ39" s="99" t="str">
        <f t="shared" si="25"/>
        <v/>
      </c>
      <c r="BK39" s="33"/>
      <c r="BL39" s="36" t="str">
        <f t="shared" si="26"/>
        <v/>
      </c>
      <c r="BM39" s="95"/>
      <c r="BN39" s="99" t="str">
        <f t="shared" si="27"/>
        <v/>
      </c>
      <c r="BO39" s="33"/>
      <c r="BP39" s="36" t="str">
        <f t="shared" si="28"/>
        <v/>
      </c>
      <c r="BQ39" s="95"/>
      <c r="BR39" s="99" t="str">
        <f t="shared" si="29"/>
        <v/>
      </c>
      <c r="BS39" s="33"/>
      <c r="BT39" s="36" t="str">
        <f t="shared" si="30"/>
        <v/>
      </c>
      <c r="BU39" s="95"/>
      <c r="BV39" s="99" t="str">
        <f t="shared" si="31"/>
        <v/>
      </c>
      <c r="BW39" s="33"/>
      <c r="BX39" s="36" t="str">
        <f t="shared" si="32"/>
        <v/>
      </c>
      <c r="BY39" s="95"/>
      <c r="BZ39" s="99" t="str">
        <f t="shared" si="33"/>
        <v/>
      </c>
      <c r="CA39" s="33"/>
      <c r="CB39" s="36" t="str">
        <f t="shared" si="34"/>
        <v/>
      </c>
      <c r="CC39" s="95"/>
      <c r="CD39" s="99" t="str">
        <f t="shared" si="35"/>
        <v/>
      </c>
      <c r="CE39" s="33"/>
      <c r="CF39" s="36" t="str">
        <f t="shared" si="36"/>
        <v/>
      </c>
      <c r="CG39" s="95"/>
      <c r="CH39" s="99" t="str">
        <f t="shared" si="37"/>
        <v/>
      </c>
      <c r="CI39" s="33"/>
      <c r="CJ39" s="36" t="str">
        <f t="shared" si="38"/>
        <v/>
      </c>
      <c r="CK39" s="95"/>
      <c r="CL39" s="99" t="str">
        <f t="shared" si="39"/>
        <v/>
      </c>
      <c r="CM39" s="33"/>
      <c r="CN39" s="36" t="str">
        <f t="shared" si="40"/>
        <v/>
      </c>
      <c r="CO39" s="95"/>
      <c r="CP39" s="99" t="str">
        <f t="shared" si="41"/>
        <v/>
      </c>
      <c r="CQ39" s="23" t="s">
        <v>182</v>
      </c>
    </row>
    <row r="40" spans="1:95" ht="20" customHeight="1" x14ac:dyDescent="0.2">
      <c r="A40" s="60"/>
      <c r="B40" s="83"/>
      <c r="C40" s="24" t="s">
        <v>85</v>
      </c>
      <c r="D40" s="23" t="s">
        <v>294</v>
      </c>
      <c r="E40" s="23" t="s">
        <v>295</v>
      </c>
      <c r="F40" s="24">
        <v>2009</v>
      </c>
      <c r="H40" s="89">
        <v>20</v>
      </c>
      <c r="I40" s="85" t="s">
        <v>216</v>
      </c>
      <c r="J40" s="86" t="s">
        <v>193</v>
      </c>
      <c r="K40" s="33"/>
      <c r="L40" s="36" t="str">
        <f t="shared" si="0"/>
        <v/>
      </c>
      <c r="M40" s="95"/>
      <c r="N40" s="95" t="str">
        <f t="shared" si="1"/>
        <v/>
      </c>
      <c r="O40" s="33"/>
      <c r="P40" s="36" t="str">
        <f t="shared" si="2"/>
        <v/>
      </c>
      <c r="Q40" s="95"/>
      <c r="R40" s="99" t="str">
        <f t="shared" si="3"/>
        <v/>
      </c>
      <c r="S40" s="76"/>
      <c r="T40" s="36" t="str">
        <f t="shared" si="4"/>
        <v/>
      </c>
      <c r="U40" s="95"/>
      <c r="V40" s="99" t="str">
        <f t="shared" si="5"/>
        <v/>
      </c>
      <c r="W40" s="33"/>
      <c r="X40" s="36" t="str">
        <f t="shared" si="6"/>
        <v/>
      </c>
      <c r="Y40" s="95"/>
      <c r="Z40" s="99" t="str">
        <f t="shared" si="7"/>
        <v/>
      </c>
      <c r="AA40" s="33"/>
      <c r="AB40" s="36" t="str">
        <f t="shared" si="8"/>
        <v/>
      </c>
      <c r="AC40" s="95"/>
      <c r="AD40" s="99" t="str">
        <f t="shared" si="9"/>
        <v/>
      </c>
      <c r="AE40" s="33"/>
      <c r="AF40" s="36" t="str">
        <f t="shared" si="10"/>
        <v/>
      </c>
      <c r="AG40" s="95"/>
      <c r="AH40" s="99" t="str">
        <f t="shared" si="11"/>
        <v/>
      </c>
      <c r="AI40" s="33"/>
      <c r="AJ40" s="36" t="str">
        <f t="shared" si="12"/>
        <v/>
      </c>
      <c r="AK40" s="95"/>
      <c r="AL40" s="99" t="str">
        <f t="shared" si="13"/>
        <v/>
      </c>
      <c r="AM40" s="33"/>
      <c r="AN40" s="36" t="str">
        <f t="shared" si="14"/>
        <v/>
      </c>
      <c r="AO40" s="95"/>
      <c r="AP40" s="99" t="str">
        <f t="shared" si="15"/>
        <v/>
      </c>
      <c r="AQ40" s="33"/>
      <c r="AR40" s="36" t="str">
        <f t="shared" si="16"/>
        <v/>
      </c>
      <c r="AS40" s="95"/>
      <c r="AT40" s="99" t="str">
        <f t="shared" si="42"/>
        <v/>
      </c>
      <c r="AU40" s="33"/>
      <c r="AV40" s="36" t="str">
        <f t="shared" si="18"/>
        <v/>
      </c>
      <c r="AW40" s="95"/>
      <c r="AX40" s="99" t="str">
        <f t="shared" si="19"/>
        <v/>
      </c>
      <c r="AY40" s="76"/>
      <c r="AZ40" s="36" t="str">
        <f t="shared" si="20"/>
        <v/>
      </c>
      <c r="BA40" s="95"/>
      <c r="BB40" s="99" t="str">
        <f t="shared" si="21"/>
        <v/>
      </c>
      <c r="BC40" s="33"/>
      <c r="BD40" s="36" t="str">
        <f t="shared" si="22"/>
        <v/>
      </c>
      <c r="BE40" s="95"/>
      <c r="BF40" s="99" t="str">
        <f t="shared" si="23"/>
        <v/>
      </c>
      <c r="BG40" s="33"/>
      <c r="BH40" s="36" t="str">
        <f t="shared" si="24"/>
        <v/>
      </c>
      <c r="BI40" s="95"/>
      <c r="BJ40" s="99" t="str">
        <f t="shared" si="25"/>
        <v/>
      </c>
      <c r="BK40" s="33"/>
      <c r="BL40" s="36" t="str">
        <f t="shared" si="26"/>
        <v/>
      </c>
      <c r="BM40" s="95"/>
      <c r="BN40" s="99" t="str">
        <f t="shared" si="27"/>
        <v/>
      </c>
      <c r="BO40" s="33"/>
      <c r="BP40" s="36" t="str">
        <f t="shared" si="28"/>
        <v/>
      </c>
      <c r="BQ40" s="95"/>
      <c r="BR40" s="99" t="str">
        <f t="shared" si="29"/>
        <v/>
      </c>
      <c r="BS40" s="33"/>
      <c r="BT40" s="36" t="str">
        <f t="shared" si="30"/>
        <v/>
      </c>
      <c r="BU40" s="95"/>
      <c r="BV40" s="99" t="str">
        <f t="shared" si="31"/>
        <v/>
      </c>
      <c r="BW40" s="33"/>
      <c r="BX40" s="36" t="str">
        <f t="shared" si="32"/>
        <v/>
      </c>
      <c r="BY40" s="95"/>
      <c r="BZ40" s="99" t="str">
        <f t="shared" si="33"/>
        <v/>
      </c>
      <c r="CA40" s="33"/>
      <c r="CB40" s="36" t="str">
        <f t="shared" si="34"/>
        <v/>
      </c>
      <c r="CC40" s="95"/>
      <c r="CD40" s="99" t="str">
        <f t="shared" si="35"/>
        <v/>
      </c>
      <c r="CE40" s="33"/>
      <c r="CF40" s="36" t="str">
        <f t="shared" si="36"/>
        <v/>
      </c>
      <c r="CG40" s="95"/>
      <c r="CH40" s="99" t="str">
        <f t="shared" si="37"/>
        <v/>
      </c>
      <c r="CI40" s="33"/>
      <c r="CJ40" s="36" t="str">
        <f t="shared" si="38"/>
        <v/>
      </c>
      <c r="CK40" s="95"/>
      <c r="CL40" s="99" t="str">
        <f t="shared" si="39"/>
        <v/>
      </c>
      <c r="CM40" s="33"/>
      <c r="CN40" s="36" t="str">
        <f t="shared" si="40"/>
        <v/>
      </c>
      <c r="CO40" s="95"/>
      <c r="CP40" s="99" t="str">
        <f t="shared" si="41"/>
        <v/>
      </c>
      <c r="CQ40" s="23" t="s">
        <v>363</v>
      </c>
    </row>
    <row r="41" spans="1:95" ht="20" customHeight="1" x14ac:dyDescent="0.2">
      <c r="A41" s="60"/>
      <c r="B41" s="24"/>
      <c r="C41" s="24" t="s">
        <v>85</v>
      </c>
      <c r="D41" s="23" t="s">
        <v>296</v>
      </c>
      <c r="E41" s="23" t="s">
        <v>297</v>
      </c>
      <c r="F41" s="24">
        <v>2006</v>
      </c>
      <c r="H41" s="89">
        <v>10</v>
      </c>
      <c r="I41" s="85" t="s">
        <v>364</v>
      </c>
      <c r="J41" s="86" t="s">
        <v>169</v>
      </c>
      <c r="K41" s="33"/>
      <c r="L41" s="36" t="str">
        <f t="shared" si="0"/>
        <v/>
      </c>
      <c r="M41" s="95"/>
      <c r="N41" s="95" t="str">
        <f t="shared" si="1"/>
        <v/>
      </c>
      <c r="O41" s="33"/>
      <c r="P41" s="36" t="str">
        <f t="shared" si="2"/>
        <v/>
      </c>
      <c r="Q41" s="95"/>
      <c r="R41" s="99" t="str">
        <f t="shared" si="3"/>
        <v/>
      </c>
      <c r="S41" s="76"/>
      <c r="T41" s="36" t="str">
        <f t="shared" si="4"/>
        <v/>
      </c>
      <c r="U41" s="95"/>
      <c r="V41" s="99" t="str">
        <f t="shared" si="5"/>
        <v/>
      </c>
      <c r="W41" s="33"/>
      <c r="X41" s="36" t="str">
        <f t="shared" si="6"/>
        <v/>
      </c>
      <c r="Y41" s="95"/>
      <c r="Z41" s="99" t="str">
        <f t="shared" si="7"/>
        <v/>
      </c>
      <c r="AA41" s="38"/>
      <c r="AB41" s="39" t="str">
        <f t="shared" si="8"/>
        <v/>
      </c>
      <c r="AC41" s="119"/>
      <c r="AD41" s="120" t="str">
        <f t="shared" si="9"/>
        <v/>
      </c>
      <c r="AE41" s="33"/>
      <c r="AF41" s="36" t="str">
        <f t="shared" si="10"/>
        <v/>
      </c>
      <c r="AG41" s="95"/>
      <c r="AH41" s="99" t="str">
        <f t="shared" si="11"/>
        <v/>
      </c>
      <c r="AI41" s="33"/>
      <c r="AJ41" s="36" t="str">
        <f t="shared" si="12"/>
        <v/>
      </c>
      <c r="AK41" s="95"/>
      <c r="AL41" s="99" t="str">
        <f t="shared" si="13"/>
        <v/>
      </c>
      <c r="AM41" s="33"/>
      <c r="AN41" s="36" t="str">
        <f t="shared" si="14"/>
        <v/>
      </c>
      <c r="AO41" s="95"/>
      <c r="AP41" s="99" t="str">
        <f t="shared" si="15"/>
        <v/>
      </c>
      <c r="AQ41" s="33"/>
      <c r="AR41" s="36" t="str">
        <f t="shared" si="16"/>
        <v/>
      </c>
      <c r="AS41" s="95"/>
      <c r="AT41" s="99" t="str">
        <f t="shared" si="42"/>
        <v/>
      </c>
      <c r="AU41" s="33"/>
      <c r="AV41" s="36" t="str">
        <f t="shared" si="18"/>
        <v/>
      </c>
      <c r="AW41" s="95"/>
      <c r="AX41" s="99" t="str">
        <f t="shared" si="19"/>
        <v/>
      </c>
      <c r="AY41" s="76"/>
      <c r="AZ41" s="36" t="str">
        <f t="shared" si="20"/>
        <v/>
      </c>
      <c r="BA41" s="95"/>
      <c r="BB41" s="99" t="str">
        <f t="shared" si="21"/>
        <v/>
      </c>
      <c r="BC41" s="33"/>
      <c r="BD41" s="36" t="str">
        <f t="shared" si="22"/>
        <v/>
      </c>
      <c r="BE41" s="95"/>
      <c r="BF41" s="99" t="str">
        <f t="shared" si="23"/>
        <v/>
      </c>
      <c r="BG41" s="33"/>
      <c r="BH41" s="36" t="str">
        <f t="shared" si="24"/>
        <v/>
      </c>
      <c r="BI41" s="95"/>
      <c r="BJ41" s="99" t="str">
        <f t="shared" si="25"/>
        <v/>
      </c>
      <c r="BK41" s="33"/>
      <c r="BL41" s="36" t="str">
        <f t="shared" si="26"/>
        <v/>
      </c>
      <c r="BM41" s="95"/>
      <c r="BN41" s="99" t="str">
        <f t="shared" si="27"/>
        <v/>
      </c>
      <c r="BO41" s="33"/>
      <c r="BP41" s="36" t="str">
        <f t="shared" si="28"/>
        <v/>
      </c>
      <c r="BQ41" s="95"/>
      <c r="BR41" s="99" t="str">
        <f t="shared" si="29"/>
        <v/>
      </c>
      <c r="BS41" s="33"/>
      <c r="BT41" s="36" t="str">
        <f t="shared" si="30"/>
        <v/>
      </c>
      <c r="BU41" s="95"/>
      <c r="BV41" s="99" t="str">
        <f t="shared" si="31"/>
        <v/>
      </c>
      <c r="BW41" s="33"/>
      <c r="BX41" s="36" t="str">
        <f t="shared" si="32"/>
        <v/>
      </c>
      <c r="BY41" s="95"/>
      <c r="BZ41" s="99" t="str">
        <f t="shared" si="33"/>
        <v/>
      </c>
      <c r="CA41" s="33"/>
      <c r="CB41" s="36" t="str">
        <f t="shared" si="34"/>
        <v/>
      </c>
      <c r="CC41" s="95"/>
      <c r="CD41" s="99" t="str">
        <f t="shared" si="35"/>
        <v/>
      </c>
      <c r="CE41" s="33"/>
      <c r="CF41" s="36" t="str">
        <f t="shared" si="36"/>
        <v/>
      </c>
      <c r="CG41" s="95"/>
      <c r="CH41" s="99" t="str">
        <f t="shared" si="37"/>
        <v/>
      </c>
      <c r="CI41" s="33"/>
      <c r="CJ41" s="36" t="str">
        <f t="shared" si="38"/>
        <v/>
      </c>
      <c r="CK41" s="95"/>
      <c r="CL41" s="99" t="str">
        <f t="shared" si="39"/>
        <v/>
      </c>
      <c r="CM41" s="33"/>
      <c r="CN41" s="36" t="str">
        <f t="shared" si="40"/>
        <v/>
      </c>
      <c r="CO41" s="95"/>
      <c r="CP41" s="99" t="str">
        <f t="shared" si="41"/>
        <v/>
      </c>
      <c r="CQ41" s="23" t="s">
        <v>365</v>
      </c>
    </row>
    <row r="42" spans="1:95" ht="20" customHeight="1" x14ac:dyDescent="0.2">
      <c r="A42" s="61"/>
      <c r="B42" s="24"/>
      <c r="C42" s="24" t="s">
        <v>85</v>
      </c>
      <c r="D42" s="23" t="s">
        <v>300</v>
      </c>
      <c r="E42" s="23" t="s">
        <v>301</v>
      </c>
      <c r="F42" s="24">
        <v>2016</v>
      </c>
      <c r="H42" s="89">
        <v>25</v>
      </c>
      <c r="I42" s="85" t="s">
        <v>216</v>
      </c>
      <c r="J42" s="86" t="s">
        <v>194</v>
      </c>
      <c r="K42" s="33"/>
      <c r="L42" s="36" t="str">
        <f t="shared" si="0"/>
        <v/>
      </c>
      <c r="M42" s="95"/>
      <c r="N42" s="95" t="str">
        <f t="shared" si="1"/>
        <v/>
      </c>
      <c r="O42" s="33"/>
      <c r="P42" s="36" t="str">
        <f t="shared" si="2"/>
        <v/>
      </c>
      <c r="Q42" s="95"/>
      <c r="R42" s="99" t="str">
        <f t="shared" si="3"/>
        <v/>
      </c>
      <c r="S42" s="76"/>
      <c r="T42" s="36" t="str">
        <f t="shared" si="4"/>
        <v/>
      </c>
      <c r="U42" s="95"/>
      <c r="V42" s="99" t="str">
        <f t="shared" si="5"/>
        <v/>
      </c>
      <c r="W42" s="33"/>
      <c r="X42" s="36" t="str">
        <f t="shared" si="6"/>
        <v/>
      </c>
      <c r="Y42" s="95"/>
      <c r="Z42" s="99" t="str">
        <f t="shared" si="7"/>
        <v/>
      </c>
      <c r="AA42" s="33"/>
      <c r="AB42" s="36" t="str">
        <f t="shared" si="8"/>
        <v/>
      </c>
      <c r="AC42" s="95"/>
      <c r="AD42" s="99" t="str">
        <f t="shared" si="9"/>
        <v/>
      </c>
      <c r="AE42" s="33"/>
      <c r="AF42" s="36" t="str">
        <f t="shared" si="10"/>
        <v/>
      </c>
      <c r="AG42" s="95"/>
      <c r="AH42" s="99" t="str">
        <f t="shared" si="11"/>
        <v/>
      </c>
      <c r="AI42" s="33"/>
      <c r="AJ42" s="36" t="str">
        <f t="shared" si="12"/>
        <v/>
      </c>
      <c r="AK42" s="95"/>
      <c r="AL42" s="99" t="str">
        <f t="shared" si="13"/>
        <v/>
      </c>
      <c r="AM42" s="33"/>
      <c r="AN42" s="36" t="str">
        <f t="shared" si="14"/>
        <v/>
      </c>
      <c r="AO42" s="95"/>
      <c r="AP42" s="99" t="str">
        <f t="shared" si="15"/>
        <v/>
      </c>
      <c r="AQ42" s="33"/>
      <c r="AR42" s="36" t="str">
        <f t="shared" si="16"/>
        <v/>
      </c>
      <c r="AS42" s="95"/>
      <c r="AT42" s="99" t="str">
        <f t="shared" si="42"/>
        <v/>
      </c>
      <c r="AU42" s="33"/>
      <c r="AV42" s="36" t="str">
        <f t="shared" si="18"/>
        <v/>
      </c>
      <c r="AW42" s="95"/>
      <c r="AX42" s="99" t="str">
        <f t="shared" si="19"/>
        <v/>
      </c>
      <c r="AY42" s="76"/>
      <c r="AZ42" s="36" t="str">
        <f t="shared" si="20"/>
        <v/>
      </c>
      <c r="BA42" s="95"/>
      <c r="BB42" s="99" t="str">
        <f t="shared" si="21"/>
        <v/>
      </c>
      <c r="BC42" s="33"/>
      <c r="BD42" s="36" t="str">
        <f t="shared" si="22"/>
        <v/>
      </c>
      <c r="BE42" s="95"/>
      <c r="BF42" s="99" t="str">
        <f t="shared" si="23"/>
        <v/>
      </c>
      <c r="BG42" s="33"/>
      <c r="BH42" s="36" t="str">
        <f t="shared" si="24"/>
        <v/>
      </c>
      <c r="BI42" s="95"/>
      <c r="BJ42" s="99" t="str">
        <f t="shared" si="25"/>
        <v/>
      </c>
      <c r="BK42" s="33"/>
      <c r="BL42" s="36" t="str">
        <f t="shared" si="26"/>
        <v/>
      </c>
      <c r="BM42" s="95"/>
      <c r="BN42" s="99" t="str">
        <f t="shared" si="27"/>
        <v/>
      </c>
      <c r="BO42" s="33"/>
      <c r="BP42" s="36" t="str">
        <f t="shared" si="28"/>
        <v/>
      </c>
      <c r="BQ42" s="95"/>
      <c r="BR42" s="99" t="str">
        <f t="shared" si="29"/>
        <v/>
      </c>
      <c r="BS42" s="33"/>
      <c r="BT42" s="36" t="str">
        <f t="shared" si="30"/>
        <v/>
      </c>
      <c r="BU42" s="95"/>
      <c r="BV42" s="99" t="str">
        <f t="shared" si="31"/>
        <v/>
      </c>
      <c r="BW42" s="33"/>
      <c r="BX42" s="36" t="str">
        <f t="shared" si="32"/>
        <v/>
      </c>
      <c r="BY42" s="95"/>
      <c r="BZ42" s="99" t="str">
        <f t="shared" si="33"/>
        <v/>
      </c>
      <c r="CA42" s="33"/>
      <c r="CB42" s="36" t="str">
        <f t="shared" si="34"/>
        <v/>
      </c>
      <c r="CC42" s="95"/>
      <c r="CD42" s="99" t="str">
        <f t="shared" si="35"/>
        <v/>
      </c>
      <c r="CE42" s="33"/>
      <c r="CF42" s="36" t="str">
        <f t="shared" si="36"/>
        <v/>
      </c>
      <c r="CG42" s="95"/>
      <c r="CH42" s="99" t="str">
        <f t="shared" si="37"/>
        <v/>
      </c>
      <c r="CI42" s="33"/>
      <c r="CJ42" s="36" t="str">
        <f t="shared" si="38"/>
        <v/>
      </c>
      <c r="CK42" s="95"/>
      <c r="CL42" s="99" t="str">
        <f t="shared" si="39"/>
        <v/>
      </c>
      <c r="CM42" s="33"/>
      <c r="CN42" s="36" t="str">
        <f t="shared" si="40"/>
        <v/>
      </c>
      <c r="CO42" s="95"/>
      <c r="CP42" s="99" t="str">
        <f t="shared" si="41"/>
        <v/>
      </c>
    </row>
    <row r="43" spans="1:95" ht="20" customHeight="1" x14ac:dyDescent="0.2">
      <c r="A43" s="60"/>
      <c r="B43" s="82"/>
      <c r="C43" s="24" t="s">
        <v>85</v>
      </c>
      <c r="D43" s="23" t="s">
        <v>99</v>
      </c>
      <c r="E43" s="23" t="s">
        <v>100</v>
      </c>
      <c r="F43" s="24">
        <v>2002</v>
      </c>
      <c r="G43" s="24">
        <v>103</v>
      </c>
      <c r="H43" s="89">
        <v>8</v>
      </c>
      <c r="I43" s="85"/>
      <c r="J43" s="86"/>
      <c r="K43" s="33"/>
      <c r="L43" s="36" t="str">
        <f t="shared" si="0"/>
        <v/>
      </c>
      <c r="M43" s="95"/>
      <c r="N43" s="95" t="str">
        <f t="shared" si="1"/>
        <v/>
      </c>
      <c r="O43" s="33"/>
      <c r="P43" s="36" t="str">
        <f t="shared" si="2"/>
        <v/>
      </c>
      <c r="Q43" s="95"/>
      <c r="R43" s="99" t="str">
        <f t="shared" si="3"/>
        <v/>
      </c>
      <c r="S43" s="76">
        <v>2</v>
      </c>
      <c r="T43" s="36">
        <f t="shared" si="4"/>
        <v>25</v>
      </c>
      <c r="U43" s="95"/>
      <c r="V43" s="99" t="str">
        <f t="shared" si="5"/>
        <v/>
      </c>
      <c r="W43" s="33"/>
      <c r="X43" s="36" t="str">
        <f t="shared" si="6"/>
        <v/>
      </c>
      <c r="Y43" s="95"/>
      <c r="Z43" s="99" t="str">
        <f t="shared" si="7"/>
        <v/>
      </c>
      <c r="AA43" s="33"/>
      <c r="AB43" s="36" t="str">
        <f t="shared" si="8"/>
        <v/>
      </c>
      <c r="AC43" s="95"/>
      <c r="AD43" s="99" t="str">
        <f t="shared" si="9"/>
        <v/>
      </c>
      <c r="AE43" s="33"/>
      <c r="AF43" s="36" t="str">
        <f t="shared" si="10"/>
        <v/>
      </c>
      <c r="AG43" s="95"/>
      <c r="AH43" s="99" t="str">
        <f t="shared" si="11"/>
        <v/>
      </c>
      <c r="AI43" s="33"/>
      <c r="AJ43" s="36" t="str">
        <f t="shared" si="12"/>
        <v/>
      </c>
      <c r="AK43" s="95"/>
      <c r="AL43" s="99" t="str">
        <f t="shared" si="13"/>
        <v/>
      </c>
      <c r="AM43" s="33"/>
      <c r="AN43" s="36" t="str">
        <f t="shared" si="14"/>
        <v/>
      </c>
      <c r="AO43" s="95"/>
      <c r="AP43" s="99" t="str">
        <f t="shared" si="15"/>
        <v/>
      </c>
      <c r="AQ43" s="33"/>
      <c r="AR43" s="36" t="str">
        <f t="shared" si="16"/>
        <v/>
      </c>
      <c r="AS43" s="95"/>
      <c r="AT43" s="99" t="str">
        <f t="shared" si="42"/>
        <v/>
      </c>
      <c r="AU43" s="33"/>
      <c r="AV43" s="36" t="str">
        <f t="shared" si="18"/>
        <v/>
      </c>
      <c r="AW43" s="95"/>
      <c r="AX43" s="99" t="str">
        <f t="shared" si="19"/>
        <v/>
      </c>
      <c r="AY43" s="76"/>
      <c r="AZ43" s="36" t="str">
        <f t="shared" si="20"/>
        <v/>
      </c>
      <c r="BA43" s="95"/>
      <c r="BB43" s="99" t="str">
        <f t="shared" si="21"/>
        <v/>
      </c>
      <c r="BC43" s="33"/>
      <c r="BD43" s="36" t="str">
        <f t="shared" si="22"/>
        <v/>
      </c>
      <c r="BE43" s="95"/>
      <c r="BF43" s="99" t="str">
        <f t="shared" si="23"/>
        <v/>
      </c>
      <c r="BG43" s="33"/>
      <c r="BH43" s="36" t="str">
        <f t="shared" si="24"/>
        <v/>
      </c>
      <c r="BI43" s="95"/>
      <c r="BJ43" s="99" t="str">
        <f t="shared" si="25"/>
        <v/>
      </c>
      <c r="BK43" s="33"/>
      <c r="BL43" s="36" t="str">
        <f t="shared" si="26"/>
        <v/>
      </c>
      <c r="BM43" s="95"/>
      <c r="BN43" s="99" t="str">
        <f t="shared" si="27"/>
        <v/>
      </c>
      <c r="BO43" s="33"/>
      <c r="BP43" s="36" t="str">
        <f t="shared" si="28"/>
        <v/>
      </c>
      <c r="BQ43" s="95"/>
      <c r="BR43" s="99" t="str">
        <f t="shared" si="29"/>
        <v/>
      </c>
      <c r="BS43" s="33"/>
      <c r="BT43" s="36" t="str">
        <f t="shared" si="30"/>
        <v/>
      </c>
      <c r="BU43" s="95"/>
      <c r="BV43" s="99" t="str">
        <f t="shared" si="31"/>
        <v/>
      </c>
      <c r="BW43" s="33"/>
      <c r="BX43" s="36" t="str">
        <f t="shared" si="32"/>
        <v/>
      </c>
      <c r="BY43" s="95"/>
      <c r="BZ43" s="99" t="str">
        <f t="shared" si="33"/>
        <v/>
      </c>
      <c r="CA43" s="33"/>
      <c r="CB43" s="36" t="str">
        <f t="shared" si="34"/>
        <v/>
      </c>
      <c r="CC43" s="95"/>
      <c r="CD43" s="99" t="str">
        <f t="shared" si="35"/>
        <v/>
      </c>
      <c r="CE43" s="33"/>
      <c r="CF43" s="36" t="str">
        <f t="shared" si="36"/>
        <v/>
      </c>
      <c r="CG43" s="95"/>
      <c r="CH43" s="99" t="str">
        <f t="shared" si="37"/>
        <v/>
      </c>
      <c r="CI43" s="33"/>
      <c r="CJ43" s="36" t="str">
        <f t="shared" si="38"/>
        <v/>
      </c>
      <c r="CK43" s="95"/>
      <c r="CL43" s="99" t="str">
        <f t="shared" si="39"/>
        <v/>
      </c>
      <c r="CM43" s="33"/>
      <c r="CN43" s="36" t="str">
        <f t="shared" si="40"/>
        <v/>
      </c>
      <c r="CO43" s="95"/>
      <c r="CP43" s="99" t="str">
        <f t="shared" si="41"/>
        <v/>
      </c>
      <c r="CQ43" s="23" t="s">
        <v>203</v>
      </c>
    </row>
    <row r="44" spans="1:95" ht="20" customHeight="1" x14ac:dyDescent="0.2">
      <c r="A44" s="60"/>
      <c r="B44" s="83"/>
      <c r="C44" s="24" t="s">
        <v>85</v>
      </c>
      <c r="D44" s="23" t="s">
        <v>304</v>
      </c>
      <c r="E44" s="23" t="s">
        <v>305</v>
      </c>
      <c r="F44" s="24">
        <v>2015</v>
      </c>
      <c r="H44" s="89">
        <v>41</v>
      </c>
      <c r="I44" s="85" t="s">
        <v>186</v>
      </c>
      <c r="J44" s="86"/>
      <c r="K44" s="33"/>
      <c r="L44" s="36" t="str">
        <f t="shared" si="0"/>
        <v/>
      </c>
      <c r="M44" s="95"/>
      <c r="N44" s="95" t="str">
        <f t="shared" si="1"/>
        <v/>
      </c>
      <c r="O44" s="33"/>
      <c r="P44" s="36" t="str">
        <f t="shared" si="2"/>
        <v/>
      </c>
      <c r="Q44" s="95"/>
      <c r="R44" s="99" t="str">
        <f t="shared" si="3"/>
        <v/>
      </c>
      <c r="S44" s="76"/>
      <c r="T44" s="36" t="str">
        <f t="shared" si="4"/>
        <v/>
      </c>
      <c r="U44" s="95"/>
      <c r="V44" s="99" t="str">
        <f t="shared" si="5"/>
        <v/>
      </c>
      <c r="W44" s="33"/>
      <c r="X44" s="36" t="str">
        <f t="shared" si="6"/>
        <v/>
      </c>
      <c r="Y44" s="95"/>
      <c r="Z44" s="99" t="str">
        <f t="shared" si="7"/>
        <v/>
      </c>
      <c r="AA44" s="33"/>
      <c r="AB44" s="36" t="str">
        <f t="shared" si="8"/>
        <v/>
      </c>
      <c r="AC44" s="95"/>
      <c r="AD44" s="99" t="str">
        <f t="shared" si="9"/>
        <v/>
      </c>
      <c r="AE44" s="33"/>
      <c r="AF44" s="36" t="str">
        <f t="shared" si="10"/>
        <v/>
      </c>
      <c r="AG44" s="95"/>
      <c r="AH44" s="99" t="str">
        <f t="shared" si="11"/>
        <v/>
      </c>
      <c r="AI44" s="33"/>
      <c r="AJ44" s="36" t="str">
        <f t="shared" si="12"/>
        <v/>
      </c>
      <c r="AK44" s="95"/>
      <c r="AL44" s="99" t="str">
        <f t="shared" si="13"/>
        <v/>
      </c>
      <c r="AM44" s="33"/>
      <c r="AN44" s="36" t="str">
        <f t="shared" si="14"/>
        <v/>
      </c>
      <c r="AO44" s="95"/>
      <c r="AP44" s="99" t="str">
        <f t="shared" si="15"/>
        <v/>
      </c>
      <c r="AQ44" s="33"/>
      <c r="AR44" s="36" t="str">
        <f t="shared" si="16"/>
        <v/>
      </c>
      <c r="AS44" s="95"/>
      <c r="AT44" s="99" t="str">
        <f t="shared" si="42"/>
        <v/>
      </c>
      <c r="AU44" s="33"/>
      <c r="AV44" s="36" t="str">
        <f t="shared" si="18"/>
        <v/>
      </c>
      <c r="AW44" s="95"/>
      <c r="AX44" s="99" t="str">
        <f t="shared" si="19"/>
        <v/>
      </c>
      <c r="AY44" s="76"/>
      <c r="AZ44" s="36" t="str">
        <f t="shared" si="20"/>
        <v/>
      </c>
      <c r="BA44" s="95"/>
      <c r="BB44" s="99" t="str">
        <f t="shared" si="21"/>
        <v/>
      </c>
      <c r="BC44" s="33"/>
      <c r="BD44" s="36" t="str">
        <f t="shared" si="22"/>
        <v/>
      </c>
      <c r="BE44" s="95"/>
      <c r="BF44" s="99" t="str">
        <f t="shared" si="23"/>
        <v/>
      </c>
      <c r="BG44" s="33"/>
      <c r="BH44" s="36" t="str">
        <f t="shared" si="24"/>
        <v/>
      </c>
      <c r="BI44" s="95"/>
      <c r="BJ44" s="99" t="str">
        <f t="shared" si="25"/>
        <v/>
      </c>
      <c r="BK44" s="33"/>
      <c r="BL44" s="36" t="str">
        <f t="shared" si="26"/>
        <v/>
      </c>
      <c r="BM44" s="95"/>
      <c r="BN44" s="99" t="str">
        <f t="shared" si="27"/>
        <v/>
      </c>
      <c r="BO44" s="33"/>
      <c r="BP44" s="36" t="str">
        <f t="shared" si="28"/>
        <v/>
      </c>
      <c r="BQ44" s="95"/>
      <c r="BR44" s="99" t="str">
        <f t="shared" si="29"/>
        <v/>
      </c>
      <c r="BS44" s="33"/>
      <c r="BT44" s="36" t="str">
        <f t="shared" si="30"/>
        <v/>
      </c>
      <c r="BU44" s="95"/>
      <c r="BV44" s="99" t="str">
        <f t="shared" si="31"/>
        <v/>
      </c>
      <c r="BW44" s="33"/>
      <c r="BX44" s="36" t="str">
        <f t="shared" si="32"/>
        <v/>
      </c>
      <c r="BY44" s="95"/>
      <c r="BZ44" s="99" t="str">
        <f t="shared" si="33"/>
        <v/>
      </c>
      <c r="CA44" s="33"/>
      <c r="CB44" s="36" t="str">
        <f t="shared" si="34"/>
        <v/>
      </c>
      <c r="CC44" s="95"/>
      <c r="CD44" s="99" t="str">
        <f t="shared" si="35"/>
        <v/>
      </c>
      <c r="CE44" s="33"/>
      <c r="CF44" s="36" t="str">
        <f t="shared" si="36"/>
        <v/>
      </c>
      <c r="CG44" s="95"/>
      <c r="CH44" s="99" t="str">
        <f t="shared" si="37"/>
        <v/>
      </c>
      <c r="CI44" s="33"/>
      <c r="CJ44" s="36" t="str">
        <f t="shared" si="38"/>
        <v/>
      </c>
      <c r="CK44" s="95"/>
      <c r="CL44" s="99" t="str">
        <f t="shared" si="39"/>
        <v/>
      </c>
      <c r="CM44" s="33"/>
      <c r="CN44" s="36" t="str">
        <f t="shared" si="40"/>
        <v/>
      </c>
      <c r="CO44" s="95"/>
      <c r="CP44" s="99" t="str">
        <f t="shared" si="41"/>
        <v/>
      </c>
      <c r="CQ44" s="23" t="s">
        <v>367</v>
      </c>
    </row>
    <row r="45" spans="1:95" ht="20" customHeight="1" x14ac:dyDescent="0.2">
      <c r="A45" s="60"/>
      <c r="B45" s="83"/>
      <c r="C45" s="24" t="s">
        <v>85</v>
      </c>
      <c r="D45" s="23" t="s">
        <v>306</v>
      </c>
      <c r="E45" s="23" t="s">
        <v>307</v>
      </c>
      <c r="F45" s="24">
        <v>2009</v>
      </c>
      <c r="H45" s="89">
        <v>68</v>
      </c>
      <c r="I45" s="85" t="s">
        <v>216</v>
      </c>
      <c r="J45" s="86" t="s">
        <v>368</v>
      </c>
      <c r="K45" s="33"/>
      <c r="L45" s="36" t="str">
        <f t="shared" si="0"/>
        <v/>
      </c>
      <c r="M45" s="95"/>
      <c r="N45" s="95" t="str">
        <f t="shared" si="1"/>
        <v/>
      </c>
      <c r="O45" s="33"/>
      <c r="P45" s="36" t="str">
        <f t="shared" si="2"/>
        <v/>
      </c>
      <c r="Q45" s="95"/>
      <c r="R45" s="99" t="str">
        <f t="shared" si="3"/>
        <v/>
      </c>
      <c r="S45" s="76"/>
      <c r="T45" s="36"/>
      <c r="U45" s="95"/>
      <c r="V45" s="99"/>
      <c r="W45" s="33"/>
      <c r="X45" s="36" t="str">
        <f t="shared" si="6"/>
        <v/>
      </c>
      <c r="Y45" s="95"/>
      <c r="Z45" s="99" t="str">
        <f t="shared" si="7"/>
        <v/>
      </c>
      <c r="AA45" s="33"/>
      <c r="AB45" s="36" t="str">
        <f t="shared" si="8"/>
        <v/>
      </c>
      <c r="AC45" s="95"/>
      <c r="AD45" s="99" t="str">
        <f t="shared" si="9"/>
        <v/>
      </c>
      <c r="AE45" s="33"/>
      <c r="AF45" s="36" t="str">
        <f t="shared" si="10"/>
        <v/>
      </c>
      <c r="AG45" s="95"/>
      <c r="AH45" s="99" t="str">
        <f t="shared" si="11"/>
        <v/>
      </c>
      <c r="AI45" s="33"/>
      <c r="AJ45" s="36" t="str">
        <f t="shared" si="12"/>
        <v/>
      </c>
      <c r="AK45" s="95"/>
      <c r="AL45" s="99" t="str">
        <f t="shared" si="13"/>
        <v/>
      </c>
      <c r="AM45" s="33"/>
      <c r="AN45" s="36" t="str">
        <f t="shared" si="14"/>
        <v/>
      </c>
      <c r="AO45" s="95"/>
      <c r="AP45" s="99" t="str">
        <f t="shared" si="15"/>
        <v/>
      </c>
      <c r="AQ45" s="33"/>
      <c r="AR45" s="36" t="str">
        <f t="shared" si="16"/>
        <v/>
      </c>
      <c r="AS45" s="95"/>
      <c r="AT45" s="99" t="str">
        <f t="shared" si="42"/>
        <v/>
      </c>
      <c r="AU45" s="33"/>
      <c r="AV45" s="36" t="str">
        <f t="shared" si="18"/>
        <v/>
      </c>
      <c r="AW45" s="95"/>
      <c r="AX45" s="99" t="str">
        <f t="shared" si="19"/>
        <v/>
      </c>
      <c r="AY45" s="76"/>
      <c r="AZ45" s="36" t="str">
        <f t="shared" si="20"/>
        <v/>
      </c>
      <c r="BA45" s="95"/>
      <c r="BB45" s="99" t="str">
        <f t="shared" si="21"/>
        <v/>
      </c>
      <c r="BC45" s="33"/>
      <c r="BD45" s="36" t="str">
        <f t="shared" si="22"/>
        <v/>
      </c>
      <c r="BE45" s="95"/>
      <c r="BF45" s="99" t="str">
        <f t="shared" si="23"/>
        <v/>
      </c>
      <c r="BG45" s="33"/>
      <c r="BH45" s="36" t="str">
        <f t="shared" si="24"/>
        <v/>
      </c>
      <c r="BI45" s="95"/>
      <c r="BJ45" s="99" t="str">
        <f t="shared" si="25"/>
        <v/>
      </c>
      <c r="BK45" s="33"/>
      <c r="BL45" s="36" t="str">
        <f t="shared" si="26"/>
        <v/>
      </c>
      <c r="BM45" s="95"/>
      <c r="BN45" s="99" t="str">
        <f t="shared" si="27"/>
        <v/>
      </c>
      <c r="BO45" s="33"/>
      <c r="BP45" s="36" t="str">
        <f t="shared" si="28"/>
        <v/>
      </c>
      <c r="BQ45" s="95"/>
      <c r="BR45" s="99" t="str">
        <f t="shared" si="29"/>
        <v/>
      </c>
      <c r="BS45" s="33"/>
      <c r="BT45" s="36" t="str">
        <f t="shared" si="30"/>
        <v/>
      </c>
      <c r="BU45" s="95"/>
      <c r="BV45" s="99" t="str">
        <f t="shared" si="31"/>
        <v/>
      </c>
      <c r="BW45" s="33"/>
      <c r="BX45" s="36" t="str">
        <f t="shared" si="32"/>
        <v/>
      </c>
      <c r="BY45" s="95"/>
      <c r="BZ45" s="99" t="str">
        <f t="shared" si="33"/>
        <v/>
      </c>
      <c r="CA45" s="33"/>
      <c r="CB45" s="36" t="str">
        <f t="shared" si="34"/>
        <v/>
      </c>
      <c r="CC45" s="95"/>
      <c r="CD45" s="99" t="str">
        <f t="shared" si="35"/>
        <v/>
      </c>
      <c r="CE45" s="33"/>
      <c r="CF45" s="36" t="str">
        <f t="shared" si="36"/>
        <v/>
      </c>
      <c r="CG45" s="95"/>
      <c r="CH45" s="99" t="str">
        <f t="shared" si="37"/>
        <v/>
      </c>
      <c r="CI45" s="33"/>
      <c r="CJ45" s="36" t="str">
        <f t="shared" si="38"/>
        <v/>
      </c>
      <c r="CK45" s="95"/>
      <c r="CL45" s="99" t="str">
        <f t="shared" si="39"/>
        <v/>
      </c>
      <c r="CM45" s="33"/>
      <c r="CN45" s="36" t="str">
        <f t="shared" si="40"/>
        <v/>
      </c>
      <c r="CO45" s="95"/>
      <c r="CP45" s="99" t="str">
        <f t="shared" si="41"/>
        <v/>
      </c>
      <c r="CQ45" s="23" t="s">
        <v>423</v>
      </c>
    </row>
    <row r="46" spans="1:95" ht="20" customHeight="1" x14ac:dyDescent="0.2">
      <c r="A46" s="61"/>
      <c r="B46" s="24"/>
      <c r="C46" s="24" t="s">
        <v>85</v>
      </c>
      <c r="D46" s="23" t="s">
        <v>105</v>
      </c>
      <c r="E46" s="23" t="s">
        <v>106</v>
      </c>
      <c r="F46" s="24">
        <v>1989</v>
      </c>
      <c r="G46" s="24">
        <v>27</v>
      </c>
      <c r="H46" s="89"/>
      <c r="I46" s="85" t="s">
        <v>211</v>
      </c>
      <c r="J46" s="86" t="s">
        <v>179</v>
      </c>
      <c r="K46" s="33"/>
      <c r="L46" s="36" t="str">
        <f t="shared" si="0"/>
        <v/>
      </c>
      <c r="M46" s="95"/>
      <c r="N46" s="95" t="str">
        <f t="shared" si="1"/>
        <v/>
      </c>
      <c r="O46" s="33"/>
      <c r="P46" s="36" t="str">
        <f t="shared" si="2"/>
        <v/>
      </c>
      <c r="Q46" s="95"/>
      <c r="R46" s="99" t="str">
        <f t="shared" si="3"/>
        <v/>
      </c>
      <c r="S46" s="76"/>
      <c r="T46" s="36" t="str">
        <f t="shared" ref="T46:T56" si="43">IF((ISERROR((S46/$H46)*100)), "", IF(AND(NOT(ISERROR((S46/$H46)*100)),((S46/$H46)*100) &lt;&gt; 0), (S46/$H46)*100, ""))</f>
        <v/>
      </c>
      <c r="U46" s="95"/>
      <c r="V46" s="99" t="str">
        <f t="shared" si="5"/>
        <v/>
      </c>
      <c r="W46" s="33"/>
      <c r="X46" s="36" t="str">
        <f t="shared" si="6"/>
        <v/>
      </c>
      <c r="Y46" s="95"/>
      <c r="Z46" s="99" t="str">
        <f t="shared" si="7"/>
        <v/>
      </c>
      <c r="AA46" s="33"/>
      <c r="AB46" s="36" t="str">
        <f t="shared" si="8"/>
        <v/>
      </c>
      <c r="AC46" s="95"/>
      <c r="AD46" s="99" t="str">
        <f t="shared" si="9"/>
        <v/>
      </c>
      <c r="AE46" s="38"/>
      <c r="AF46" s="39" t="str">
        <f t="shared" si="10"/>
        <v/>
      </c>
      <c r="AG46" s="119"/>
      <c r="AH46" s="120" t="str">
        <f t="shared" si="11"/>
        <v/>
      </c>
      <c r="AI46" s="33"/>
      <c r="AJ46" s="36" t="str">
        <f t="shared" si="12"/>
        <v/>
      </c>
      <c r="AK46" s="95"/>
      <c r="AL46" s="99" t="str">
        <f t="shared" si="13"/>
        <v/>
      </c>
      <c r="AM46" s="33"/>
      <c r="AN46" s="36" t="str">
        <f t="shared" si="14"/>
        <v/>
      </c>
      <c r="AO46" s="95"/>
      <c r="AP46" s="99" t="str">
        <f t="shared" si="15"/>
        <v/>
      </c>
      <c r="AQ46" s="33"/>
      <c r="AR46" s="36" t="str">
        <f t="shared" si="16"/>
        <v/>
      </c>
      <c r="AS46" s="95"/>
      <c r="AT46" s="99" t="str">
        <f t="shared" si="42"/>
        <v/>
      </c>
      <c r="AU46" s="33"/>
      <c r="AV46" s="36" t="str">
        <f t="shared" si="18"/>
        <v/>
      </c>
      <c r="AW46" s="95"/>
      <c r="AX46" s="99" t="str">
        <f t="shared" si="19"/>
        <v/>
      </c>
      <c r="AY46" s="76"/>
      <c r="AZ46" s="36" t="str">
        <f t="shared" si="20"/>
        <v/>
      </c>
      <c r="BA46" s="95"/>
      <c r="BB46" s="99" t="str">
        <f t="shared" si="21"/>
        <v/>
      </c>
      <c r="BC46" s="33"/>
      <c r="BD46" s="36" t="str">
        <f t="shared" si="22"/>
        <v/>
      </c>
      <c r="BE46" s="95"/>
      <c r="BF46" s="99" t="str">
        <f t="shared" si="23"/>
        <v/>
      </c>
      <c r="BG46" s="33"/>
      <c r="BH46" s="36" t="str">
        <f t="shared" si="24"/>
        <v/>
      </c>
      <c r="BI46" s="95"/>
      <c r="BJ46" s="99" t="str">
        <f t="shared" si="25"/>
        <v/>
      </c>
      <c r="BK46" s="33"/>
      <c r="BL46" s="36" t="str">
        <f t="shared" si="26"/>
        <v/>
      </c>
      <c r="BM46" s="95"/>
      <c r="BN46" s="99" t="str">
        <f t="shared" si="27"/>
        <v/>
      </c>
      <c r="BO46" s="33"/>
      <c r="BP46" s="36" t="str">
        <f t="shared" si="28"/>
        <v/>
      </c>
      <c r="BQ46" s="95"/>
      <c r="BR46" s="99" t="str">
        <f t="shared" si="29"/>
        <v/>
      </c>
      <c r="BS46" s="33"/>
      <c r="BT46" s="36" t="str">
        <f t="shared" si="30"/>
        <v/>
      </c>
      <c r="BU46" s="95"/>
      <c r="BV46" s="99" t="str">
        <f t="shared" si="31"/>
        <v/>
      </c>
      <c r="BW46" s="33"/>
      <c r="BX46" s="36" t="str">
        <f t="shared" si="32"/>
        <v/>
      </c>
      <c r="BY46" s="95"/>
      <c r="BZ46" s="99" t="str">
        <f t="shared" si="33"/>
        <v/>
      </c>
      <c r="CA46" s="33"/>
      <c r="CB46" s="36" t="str">
        <f t="shared" si="34"/>
        <v/>
      </c>
      <c r="CC46" s="95"/>
      <c r="CD46" s="99" t="str">
        <f t="shared" si="35"/>
        <v/>
      </c>
      <c r="CE46" s="33"/>
      <c r="CF46" s="36" t="str">
        <f t="shared" si="36"/>
        <v/>
      </c>
      <c r="CG46" s="95"/>
      <c r="CH46" s="99" t="str">
        <f t="shared" si="37"/>
        <v/>
      </c>
      <c r="CI46" s="33"/>
      <c r="CJ46" s="36" t="str">
        <f t="shared" si="38"/>
        <v/>
      </c>
      <c r="CK46" s="95"/>
      <c r="CL46" s="99" t="str">
        <f t="shared" si="39"/>
        <v/>
      </c>
      <c r="CM46" s="33"/>
      <c r="CN46" s="36" t="str">
        <f t="shared" si="40"/>
        <v/>
      </c>
      <c r="CO46" s="95"/>
      <c r="CP46" s="99" t="str">
        <f t="shared" si="41"/>
        <v/>
      </c>
    </row>
    <row r="47" spans="1:95" ht="20" customHeight="1" x14ac:dyDescent="0.2">
      <c r="A47" s="61"/>
      <c r="B47" s="83"/>
      <c r="C47" s="24" t="s">
        <v>85</v>
      </c>
      <c r="D47" s="23" t="s">
        <v>308</v>
      </c>
      <c r="E47" s="23" t="s">
        <v>309</v>
      </c>
      <c r="F47" s="24">
        <v>2011</v>
      </c>
      <c r="H47" s="89"/>
      <c r="I47" s="85"/>
      <c r="J47" s="86"/>
      <c r="K47" s="33"/>
      <c r="L47" s="36" t="str">
        <f t="shared" si="0"/>
        <v/>
      </c>
      <c r="M47" s="95"/>
      <c r="N47" s="95" t="str">
        <f t="shared" si="1"/>
        <v/>
      </c>
      <c r="O47" s="33"/>
      <c r="P47" s="36" t="str">
        <f t="shared" si="2"/>
        <v/>
      </c>
      <c r="Q47" s="95"/>
      <c r="R47" s="99" t="str">
        <f t="shared" si="3"/>
        <v/>
      </c>
      <c r="S47" s="76"/>
      <c r="T47" s="36" t="str">
        <f t="shared" si="43"/>
        <v/>
      </c>
      <c r="U47" s="95"/>
      <c r="V47" s="99" t="str">
        <f t="shared" si="5"/>
        <v/>
      </c>
      <c r="W47" s="33"/>
      <c r="X47" s="36" t="str">
        <f t="shared" si="6"/>
        <v/>
      </c>
      <c r="Y47" s="95"/>
      <c r="Z47" s="99" t="str">
        <f t="shared" si="7"/>
        <v/>
      </c>
      <c r="AA47" s="33"/>
      <c r="AB47" s="36" t="str">
        <f t="shared" si="8"/>
        <v/>
      </c>
      <c r="AC47" s="95"/>
      <c r="AD47" s="99" t="str">
        <f t="shared" si="9"/>
        <v/>
      </c>
      <c r="AE47" s="33"/>
      <c r="AF47" s="36" t="str">
        <f t="shared" si="10"/>
        <v/>
      </c>
      <c r="AG47" s="95"/>
      <c r="AH47" s="99" t="str">
        <f t="shared" si="11"/>
        <v/>
      </c>
      <c r="AI47" s="33"/>
      <c r="AJ47" s="36" t="str">
        <f t="shared" si="12"/>
        <v/>
      </c>
      <c r="AK47" s="95"/>
      <c r="AL47" s="99" t="str">
        <f t="shared" si="13"/>
        <v/>
      </c>
      <c r="AM47" s="33"/>
      <c r="AN47" s="36" t="str">
        <f t="shared" si="14"/>
        <v/>
      </c>
      <c r="AO47" s="95"/>
      <c r="AP47" s="99" t="str">
        <f t="shared" si="15"/>
        <v/>
      </c>
      <c r="AQ47" s="33"/>
      <c r="AR47" s="36" t="str">
        <f t="shared" si="16"/>
        <v/>
      </c>
      <c r="AS47" s="95"/>
      <c r="AT47" s="99" t="str">
        <f t="shared" si="42"/>
        <v/>
      </c>
      <c r="AU47" s="33"/>
      <c r="AV47" s="36" t="str">
        <f t="shared" si="18"/>
        <v/>
      </c>
      <c r="AW47" s="95"/>
      <c r="AX47" s="99" t="str">
        <f t="shared" si="19"/>
        <v/>
      </c>
      <c r="AY47" s="76"/>
      <c r="AZ47" s="36" t="str">
        <f t="shared" si="20"/>
        <v/>
      </c>
      <c r="BA47" s="95"/>
      <c r="BB47" s="99" t="str">
        <f t="shared" si="21"/>
        <v/>
      </c>
      <c r="BC47" s="33"/>
      <c r="BD47" s="36" t="str">
        <f t="shared" si="22"/>
        <v/>
      </c>
      <c r="BE47" s="95"/>
      <c r="BF47" s="99" t="str">
        <f t="shared" si="23"/>
        <v/>
      </c>
      <c r="BG47" s="33"/>
      <c r="BH47" s="36" t="str">
        <f t="shared" si="24"/>
        <v/>
      </c>
      <c r="BI47" s="95"/>
      <c r="BJ47" s="99" t="str">
        <f t="shared" si="25"/>
        <v/>
      </c>
      <c r="BK47" s="33"/>
      <c r="BL47" s="36" t="str">
        <f t="shared" si="26"/>
        <v/>
      </c>
      <c r="BM47" s="95"/>
      <c r="BN47" s="99" t="str">
        <f t="shared" si="27"/>
        <v/>
      </c>
      <c r="BO47" s="33"/>
      <c r="BP47" s="36" t="str">
        <f t="shared" si="28"/>
        <v/>
      </c>
      <c r="BQ47" s="95"/>
      <c r="BR47" s="99" t="str">
        <f t="shared" si="29"/>
        <v/>
      </c>
      <c r="BS47" s="33"/>
      <c r="BT47" s="36" t="str">
        <f t="shared" si="30"/>
        <v/>
      </c>
      <c r="BU47" s="95"/>
      <c r="BV47" s="99" t="str">
        <f t="shared" si="31"/>
        <v/>
      </c>
      <c r="BW47" s="33"/>
      <c r="BX47" s="36" t="str">
        <f t="shared" si="32"/>
        <v/>
      </c>
      <c r="BY47" s="95"/>
      <c r="BZ47" s="99" t="str">
        <f t="shared" si="33"/>
        <v/>
      </c>
      <c r="CA47" s="33"/>
      <c r="CB47" s="36" t="str">
        <f t="shared" si="34"/>
        <v/>
      </c>
      <c r="CC47" s="95"/>
      <c r="CD47" s="99" t="str">
        <f t="shared" si="35"/>
        <v/>
      </c>
      <c r="CE47" s="33"/>
      <c r="CF47" s="36" t="str">
        <f t="shared" si="36"/>
        <v/>
      </c>
      <c r="CG47" s="95"/>
      <c r="CH47" s="99" t="str">
        <f t="shared" si="37"/>
        <v/>
      </c>
      <c r="CI47" s="33"/>
      <c r="CJ47" s="36" t="str">
        <f t="shared" si="38"/>
        <v/>
      </c>
      <c r="CK47" s="95"/>
      <c r="CL47" s="99" t="str">
        <f t="shared" si="39"/>
        <v/>
      </c>
      <c r="CM47" s="33"/>
      <c r="CN47" s="36" t="str">
        <f t="shared" si="40"/>
        <v/>
      </c>
      <c r="CO47" s="95"/>
      <c r="CP47" s="99" t="str">
        <f t="shared" si="41"/>
        <v/>
      </c>
      <c r="CQ47" s="23" t="s">
        <v>369</v>
      </c>
    </row>
    <row r="48" spans="1:95" ht="20" customHeight="1" x14ac:dyDescent="0.2">
      <c r="A48" s="60"/>
      <c r="B48" s="82"/>
      <c r="C48" s="24" t="s">
        <v>85</v>
      </c>
      <c r="D48" s="23" t="s">
        <v>107</v>
      </c>
      <c r="E48" s="23" t="s">
        <v>108</v>
      </c>
      <c r="F48" s="24">
        <v>2008</v>
      </c>
      <c r="G48" s="24">
        <v>54</v>
      </c>
      <c r="H48" s="89">
        <v>12</v>
      </c>
      <c r="I48" s="85" t="s">
        <v>168</v>
      </c>
      <c r="J48" s="86" t="s">
        <v>212</v>
      </c>
      <c r="K48" s="33"/>
      <c r="L48" s="36" t="str">
        <f t="shared" si="0"/>
        <v/>
      </c>
      <c r="M48" s="95"/>
      <c r="N48" s="95" t="str">
        <f t="shared" si="1"/>
        <v/>
      </c>
      <c r="O48" s="33"/>
      <c r="P48" s="36" t="str">
        <f t="shared" si="2"/>
        <v/>
      </c>
      <c r="Q48" s="95"/>
      <c r="R48" s="99" t="str">
        <f t="shared" si="3"/>
        <v/>
      </c>
      <c r="S48" s="76">
        <v>0</v>
      </c>
      <c r="T48" s="36" t="str">
        <f t="shared" si="43"/>
        <v/>
      </c>
      <c r="U48" s="95">
        <v>1</v>
      </c>
      <c r="V48" s="99">
        <f t="shared" si="5"/>
        <v>-1</v>
      </c>
      <c r="W48" s="33"/>
      <c r="X48" s="36" t="str">
        <f t="shared" si="6"/>
        <v/>
      </c>
      <c r="Y48" s="95"/>
      <c r="Z48" s="99" t="str">
        <f t="shared" si="7"/>
        <v/>
      </c>
      <c r="AA48" s="33"/>
      <c r="AB48" s="36" t="str">
        <f t="shared" si="8"/>
        <v/>
      </c>
      <c r="AC48" s="95"/>
      <c r="AD48" s="99" t="str">
        <f t="shared" si="9"/>
        <v/>
      </c>
      <c r="AE48" s="33"/>
      <c r="AF48" s="36" t="str">
        <f t="shared" si="10"/>
        <v/>
      </c>
      <c r="AG48" s="95"/>
      <c r="AH48" s="99" t="str">
        <f t="shared" si="11"/>
        <v/>
      </c>
      <c r="AI48" s="33"/>
      <c r="AJ48" s="36" t="str">
        <f t="shared" si="12"/>
        <v/>
      </c>
      <c r="AK48" s="95"/>
      <c r="AL48" s="99" t="str">
        <f t="shared" si="13"/>
        <v/>
      </c>
      <c r="AM48" s="33">
        <v>0</v>
      </c>
      <c r="AN48" s="36" t="str">
        <f t="shared" si="14"/>
        <v/>
      </c>
      <c r="AO48" s="95">
        <v>1</v>
      </c>
      <c r="AP48" s="99">
        <f t="shared" si="15"/>
        <v>-1</v>
      </c>
      <c r="AQ48" s="33">
        <v>1</v>
      </c>
      <c r="AR48" s="36">
        <f t="shared" si="16"/>
        <v>8.3333333333333321</v>
      </c>
      <c r="AS48" s="95"/>
      <c r="AT48" s="99" t="str">
        <f t="shared" si="42"/>
        <v/>
      </c>
      <c r="AU48" s="33"/>
      <c r="AV48" s="36" t="str">
        <f t="shared" si="18"/>
        <v/>
      </c>
      <c r="AW48" s="95"/>
      <c r="AX48" s="99" t="str">
        <f t="shared" si="19"/>
        <v/>
      </c>
      <c r="AY48" s="76"/>
      <c r="AZ48" s="36" t="str">
        <f t="shared" si="20"/>
        <v/>
      </c>
      <c r="BA48" s="95"/>
      <c r="BB48" s="99" t="str">
        <f t="shared" si="21"/>
        <v/>
      </c>
      <c r="BC48" s="33">
        <v>1</v>
      </c>
      <c r="BD48" s="36">
        <f t="shared" si="22"/>
        <v>8.3333333333333321</v>
      </c>
      <c r="BE48" s="95">
        <v>1</v>
      </c>
      <c r="BF48" s="99">
        <f t="shared" si="23"/>
        <v>0</v>
      </c>
      <c r="BG48" s="33"/>
      <c r="BH48" s="36" t="str">
        <f t="shared" si="24"/>
        <v/>
      </c>
      <c r="BI48" s="95"/>
      <c r="BJ48" s="99" t="str">
        <f t="shared" si="25"/>
        <v/>
      </c>
      <c r="BK48" s="33"/>
      <c r="BL48" s="36" t="str">
        <f t="shared" si="26"/>
        <v/>
      </c>
      <c r="BM48" s="95"/>
      <c r="BN48" s="99" t="str">
        <f t="shared" si="27"/>
        <v/>
      </c>
      <c r="BO48" s="33"/>
      <c r="BP48" s="36" t="str">
        <f t="shared" si="28"/>
        <v/>
      </c>
      <c r="BQ48" s="95"/>
      <c r="BR48" s="99" t="str">
        <f t="shared" si="29"/>
        <v/>
      </c>
      <c r="BS48" s="33"/>
      <c r="BT48" s="36" t="str">
        <f t="shared" si="30"/>
        <v/>
      </c>
      <c r="BU48" s="95"/>
      <c r="BV48" s="99" t="str">
        <f t="shared" si="31"/>
        <v/>
      </c>
      <c r="BW48" s="33"/>
      <c r="BX48" s="36" t="str">
        <f t="shared" si="32"/>
        <v/>
      </c>
      <c r="BY48" s="95"/>
      <c r="BZ48" s="99" t="str">
        <f t="shared" si="33"/>
        <v/>
      </c>
      <c r="CA48" s="33"/>
      <c r="CB48" s="36" t="str">
        <f t="shared" si="34"/>
        <v/>
      </c>
      <c r="CC48" s="95"/>
      <c r="CD48" s="99" t="str">
        <f t="shared" si="35"/>
        <v/>
      </c>
      <c r="CE48" s="33"/>
      <c r="CF48" s="36" t="str">
        <f t="shared" si="36"/>
        <v/>
      </c>
      <c r="CG48" s="95"/>
      <c r="CH48" s="99" t="str">
        <f t="shared" si="37"/>
        <v/>
      </c>
      <c r="CI48" s="33"/>
      <c r="CJ48" s="36" t="str">
        <f t="shared" si="38"/>
        <v/>
      </c>
      <c r="CK48" s="95"/>
      <c r="CL48" s="99" t="str">
        <f t="shared" si="39"/>
        <v/>
      </c>
      <c r="CM48" s="33"/>
      <c r="CN48" s="36" t="str">
        <f t="shared" si="40"/>
        <v/>
      </c>
      <c r="CO48" s="95"/>
      <c r="CP48" s="99" t="str">
        <f t="shared" si="41"/>
        <v/>
      </c>
      <c r="CQ48" s="23" t="s">
        <v>424</v>
      </c>
    </row>
    <row r="49" spans="1:95" ht="20" customHeight="1" x14ac:dyDescent="0.2">
      <c r="A49" s="60"/>
      <c r="B49" s="83"/>
      <c r="C49" s="24" t="s">
        <v>85</v>
      </c>
      <c r="D49" s="23" t="s">
        <v>109</v>
      </c>
      <c r="E49" s="23" t="s">
        <v>110</v>
      </c>
      <c r="F49" s="24">
        <v>1999</v>
      </c>
      <c r="G49" s="24">
        <v>76</v>
      </c>
      <c r="H49" s="89">
        <v>7</v>
      </c>
      <c r="I49" s="85" t="s">
        <v>177</v>
      </c>
      <c r="J49" s="86" t="s">
        <v>194</v>
      </c>
      <c r="K49" s="33"/>
      <c r="L49" s="36" t="str">
        <f t="shared" si="0"/>
        <v/>
      </c>
      <c r="M49" s="95"/>
      <c r="N49" s="95" t="str">
        <f t="shared" si="1"/>
        <v/>
      </c>
      <c r="O49" s="33"/>
      <c r="P49" s="36" t="str">
        <f t="shared" si="2"/>
        <v/>
      </c>
      <c r="Q49" s="95"/>
      <c r="R49" s="99" t="str">
        <f t="shared" si="3"/>
        <v/>
      </c>
      <c r="S49" s="76"/>
      <c r="T49" s="36" t="str">
        <f t="shared" si="43"/>
        <v/>
      </c>
      <c r="U49" s="95"/>
      <c r="V49" s="99" t="str">
        <f t="shared" si="5"/>
        <v/>
      </c>
      <c r="W49" s="33"/>
      <c r="X49" s="36" t="str">
        <f t="shared" si="6"/>
        <v/>
      </c>
      <c r="Y49" s="95"/>
      <c r="Z49" s="99" t="str">
        <f t="shared" si="7"/>
        <v/>
      </c>
      <c r="AA49" s="33"/>
      <c r="AB49" s="36" t="str">
        <f t="shared" si="8"/>
        <v/>
      </c>
      <c r="AC49" s="95"/>
      <c r="AD49" s="99" t="str">
        <f t="shared" si="9"/>
        <v/>
      </c>
      <c r="AE49" s="33"/>
      <c r="AF49" s="36" t="str">
        <f t="shared" si="10"/>
        <v/>
      </c>
      <c r="AG49" s="95"/>
      <c r="AH49" s="99" t="str">
        <f t="shared" si="11"/>
        <v/>
      </c>
      <c r="AI49" s="33"/>
      <c r="AJ49" s="36" t="str">
        <f t="shared" si="12"/>
        <v/>
      </c>
      <c r="AK49" s="95"/>
      <c r="AL49" s="99" t="str">
        <f t="shared" si="13"/>
        <v/>
      </c>
      <c r="AM49" s="33"/>
      <c r="AN49" s="36" t="str">
        <f t="shared" si="14"/>
        <v/>
      </c>
      <c r="AO49" s="95"/>
      <c r="AP49" s="99" t="str">
        <f t="shared" si="15"/>
        <v/>
      </c>
      <c r="AQ49" s="33"/>
      <c r="AR49" s="36" t="str">
        <f t="shared" si="16"/>
        <v/>
      </c>
      <c r="AS49" s="95"/>
      <c r="AT49" s="99" t="str">
        <f t="shared" si="42"/>
        <v/>
      </c>
      <c r="AU49" s="33"/>
      <c r="AV49" s="36" t="str">
        <f t="shared" si="18"/>
        <v/>
      </c>
      <c r="AW49" s="95"/>
      <c r="AX49" s="99" t="str">
        <f t="shared" si="19"/>
        <v/>
      </c>
      <c r="AY49" s="76"/>
      <c r="AZ49" s="36" t="str">
        <f t="shared" si="20"/>
        <v/>
      </c>
      <c r="BA49" s="95"/>
      <c r="BB49" s="99" t="str">
        <f t="shared" si="21"/>
        <v/>
      </c>
      <c r="BC49" s="33"/>
      <c r="BD49" s="36" t="str">
        <f t="shared" si="22"/>
        <v/>
      </c>
      <c r="BE49" s="95"/>
      <c r="BF49" s="99" t="str">
        <f t="shared" si="23"/>
        <v/>
      </c>
      <c r="BG49" s="33"/>
      <c r="BH49" s="36" t="str">
        <f t="shared" si="24"/>
        <v/>
      </c>
      <c r="BI49" s="95"/>
      <c r="BJ49" s="99" t="str">
        <f t="shared" si="25"/>
        <v/>
      </c>
      <c r="BK49" s="33"/>
      <c r="BL49" s="36" t="str">
        <f t="shared" si="26"/>
        <v/>
      </c>
      <c r="BM49" s="95"/>
      <c r="BN49" s="99" t="str">
        <f t="shared" si="27"/>
        <v/>
      </c>
      <c r="BO49" s="33"/>
      <c r="BP49" s="36" t="str">
        <f t="shared" si="28"/>
        <v/>
      </c>
      <c r="BQ49" s="95"/>
      <c r="BR49" s="99" t="str">
        <f t="shared" si="29"/>
        <v/>
      </c>
      <c r="BS49" s="33"/>
      <c r="BT49" s="36" t="str">
        <f t="shared" si="30"/>
        <v/>
      </c>
      <c r="BU49" s="95"/>
      <c r="BV49" s="99" t="str">
        <f t="shared" si="31"/>
        <v/>
      </c>
      <c r="BW49" s="33"/>
      <c r="BX49" s="36" t="str">
        <f t="shared" si="32"/>
        <v/>
      </c>
      <c r="BY49" s="95"/>
      <c r="BZ49" s="99" t="str">
        <f t="shared" si="33"/>
        <v/>
      </c>
      <c r="CA49" s="33"/>
      <c r="CB49" s="36" t="str">
        <f t="shared" si="34"/>
        <v/>
      </c>
      <c r="CC49" s="95"/>
      <c r="CD49" s="99" t="str">
        <f t="shared" si="35"/>
        <v/>
      </c>
      <c r="CE49" s="33"/>
      <c r="CF49" s="36" t="str">
        <f t="shared" si="36"/>
        <v/>
      </c>
      <c r="CG49" s="95"/>
      <c r="CH49" s="99" t="str">
        <f t="shared" si="37"/>
        <v/>
      </c>
      <c r="CI49" s="33"/>
      <c r="CJ49" s="36" t="str">
        <f t="shared" si="38"/>
        <v/>
      </c>
      <c r="CK49" s="95"/>
      <c r="CL49" s="99" t="str">
        <f t="shared" si="39"/>
        <v/>
      </c>
      <c r="CM49" s="33"/>
      <c r="CN49" s="36" t="str">
        <f t="shared" si="40"/>
        <v/>
      </c>
      <c r="CO49" s="95"/>
      <c r="CP49" s="99" t="str">
        <f t="shared" si="41"/>
        <v/>
      </c>
      <c r="CQ49" s="23" t="s">
        <v>182</v>
      </c>
    </row>
    <row r="50" spans="1:95" ht="20" customHeight="1" x14ac:dyDescent="0.2">
      <c r="A50" s="61"/>
      <c r="B50" s="83"/>
      <c r="C50" s="24" t="s">
        <v>85</v>
      </c>
      <c r="D50" s="23" t="s">
        <v>111</v>
      </c>
      <c r="E50" s="23" t="s">
        <v>112</v>
      </c>
      <c r="F50" s="24">
        <v>2008</v>
      </c>
      <c r="G50" s="24">
        <v>101</v>
      </c>
      <c r="H50" s="89">
        <v>16</v>
      </c>
      <c r="I50" s="85" t="s">
        <v>213</v>
      </c>
      <c r="J50" s="86"/>
      <c r="K50" s="33"/>
      <c r="L50" s="36" t="str">
        <f t="shared" si="0"/>
        <v/>
      </c>
      <c r="M50" s="95"/>
      <c r="N50" s="95" t="str">
        <f t="shared" si="1"/>
        <v/>
      </c>
      <c r="O50" s="33"/>
      <c r="P50" s="36" t="str">
        <f t="shared" si="2"/>
        <v/>
      </c>
      <c r="Q50" s="95"/>
      <c r="R50" s="99" t="str">
        <f t="shared" si="3"/>
        <v/>
      </c>
      <c r="S50" s="76"/>
      <c r="T50" s="36" t="str">
        <f t="shared" si="43"/>
        <v/>
      </c>
      <c r="U50" s="95"/>
      <c r="V50" s="99" t="str">
        <f t="shared" si="5"/>
        <v/>
      </c>
      <c r="W50" s="33"/>
      <c r="X50" s="36" t="str">
        <f t="shared" si="6"/>
        <v/>
      </c>
      <c r="Y50" s="95"/>
      <c r="Z50" s="99" t="str">
        <f t="shared" si="7"/>
        <v/>
      </c>
      <c r="AA50" s="33"/>
      <c r="AB50" s="36" t="str">
        <f t="shared" si="8"/>
        <v/>
      </c>
      <c r="AC50" s="95"/>
      <c r="AD50" s="99" t="str">
        <f t="shared" si="9"/>
        <v/>
      </c>
      <c r="AE50" s="33"/>
      <c r="AF50" s="36" t="str">
        <f t="shared" si="10"/>
        <v/>
      </c>
      <c r="AG50" s="95"/>
      <c r="AH50" s="99" t="str">
        <f t="shared" si="11"/>
        <v/>
      </c>
      <c r="AI50" s="33"/>
      <c r="AJ50" s="36" t="str">
        <f t="shared" si="12"/>
        <v/>
      </c>
      <c r="AK50" s="95"/>
      <c r="AL50" s="99" t="str">
        <f t="shared" si="13"/>
        <v/>
      </c>
      <c r="AM50" s="33"/>
      <c r="AN50" s="36" t="str">
        <f t="shared" si="14"/>
        <v/>
      </c>
      <c r="AO50" s="95"/>
      <c r="AP50" s="99" t="str">
        <f t="shared" si="15"/>
        <v/>
      </c>
      <c r="AQ50" s="33"/>
      <c r="AR50" s="36" t="str">
        <f t="shared" si="16"/>
        <v/>
      </c>
      <c r="AS50" s="95"/>
      <c r="AT50" s="99" t="str">
        <f t="shared" si="42"/>
        <v/>
      </c>
      <c r="AU50" s="33"/>
      <c r="AV50" s="36" t="str">
        <f t="shared" si="18"/>
        <v/>
      </c>
      <c r="AW50" s="95"/>
      <c r="AX50" s="99" t="str">
        <f t="shared" si="19"/>
        <v/>
      </c>
      <c r="AY50" s="76"/>
      <c r="AZ50" s="36" t="str">
        <f t="shared" si="20"/>
        <v/>
      </c>
      <c r="BA50" s="95"/>
      <c r="BB50" s="99" t="str">
        <f t="shared" si="21"/>
        <v/>
      </c>
      <c r="BC50" s="33"/>
      <c r="BD50" s="36" t="str">
        <f t="shared" si="22"/>
        <v/>
      </c>
      <c r="BE50" s="95"/>
      <c r="BF50" s="99" t="str">
        <f t="shared" si="23"/>
        <v/>
      </c>
      <c r="BG50" s="33"/>
      <c r="BH50" s="36" t="str">
        <f t="shared" si="24"/>
        <v/>
      </c>
      <c r="BI50" s="95"/>
      <c r="BJ50" s="99" t="str">
        <f t="shared" si="25"/>
        <v/>
      </c>
      <c r="BK50" s="33"/>
      <c r="BL50" s="36" t="str">
        <f t="shared" si="26"/>
        <v/>
      </c>
      <c r="BM50" s="95"/>
      <c r="BN50" s="99" t="str">
        <f t="shared" si="27"/>
        <v/>
      </c>
      <c r="BO50" s="33"/>
      <c r="BP50" s="36" t="str">
        <f t="shared" si="28"/>
        <v/>
      </c>
      <c r="BQ50" s="95"/>
      <c r="BR50" s="99" t="str">
        <f t="shared" si="29"/>
        <v/>
      </c>
      <c r="BS50" s="33"/>
      <c r="BT50" s="36" t="str">
        <f t="shared" si="30"/>
        <v/>
      </c>
      <c r="BU50" s="95"/>
      <c r="BV50" s="99" t="str">
        <f t="shared" si="31"/>
        <v/>
      </c>
      <c r="BW50" s="33"/>
      <c r="BX50" s="36" t="str">
        <f t="shared" si="32"/>
        <v/>
      </c>
      <c r="BY50" s="95"/>
      <c r="BZ50" s="99" t="str">
        <f t="shared" si="33"/>
        <v/>
      </c>
      <c r="CA50" s="33"/>
      <c r="CB50" s="36" t="str">
        <f t="shared" si="34"/>
        <v/>
      </c>
      <c r="CC50" s="95"/>
      <c r="CD50" s="99" t="str">
        <f t="shared" si="35"/>
        <v/>
      </c>
      <c r="CE50" s="33"/>
      <c r="CF50" s="36" t="str">
        <f t="shared" si="36"/>
        <v/>
      </c>
      <c r="CG50" s="95"/>
      <c r="CH50" s="99" t="str">
        <f t="shared" si="37"/>
        <v/>
      </c>
      <c r="CI50" s="33"/>
      <c r="CJ50" s="36" t="str">
        <f t="shared" si="38"/>
        <v/>
      </c>
      <c r="CK50" s="95"/>
      <c r="CL50" s="99" t="str">
        <f t="shared" si="39"/>
        <v/>
      </c>
      <c r="CM50" s="33"/>
      <c r="CN50" s="36" t="str">
        <f t="shared" si="40"/>
        <v/>
      </c>
      <c r="CO50" s="95"/>
      <c r="CP50" s="99" t="str">
        <f t="shared" si="41"/>
        <v/>
      </c>
      <c r="CQ50" s="23" t="s">
        <v>391</v>
      </c>
    </row>
    <row r="51" spans="1:95" ht="20" customHeight="1" x14ac:dyDescent="0.2">
      <c r="A51" s="60"/>
      <c r="B51" s="82"/>
      <c r="C51" s="24" t="s">
        <v>85</v>
      </c>
      <c r="D51" s="23" t="s">
        <v>119</v>
      </c>
      <c r="E51" s="23" t="s">
        <v>120</v>
      </c>
      <c r="F51" s="24">
        <v>2003</v>
      </c>
      <c r="G51" s="24">
        <v>45</v>
      </c>
      <c r="H51" s="89">
        <v>16</v>
      </c>
      <c r="I51" s="85" t="s">
        <v>177</v>
      </c>
      <c r="J51" s="86" t="s">
        <v>425</v>
      </c>
      <c r="K51" s="33"/>
      <c r="L51" s="36" t="str">
        <f t="shared" si="0"/>
        <v/>
      </c>
      <c r="M51" s="95"/>
      <c r="N51" s="95" t="str">
        <f t="shared" si="1"/>
        <v/>
      </c>
      <c r="O51" s="33"/>
      <c r="P51" s="36" t="str">
        <f t="shared" si="2"/>
        <v/>
      </c>
      <c r="Q51" s="95"/>
      <c r="R51" s="99" t="str">
        <f t="shared" si="3"/>
        <v/>
      </c>
      <c r="S51" s="38"/>
      <c r="T51" s="39" t="str">
        <f t="shared" si="43"/>
        <v/>
      </c>
      <c r="U51" s="119"/>
      <c r="V51" s="120" t="str">
        <f t="shared" si="5"/>
        <v/>
      </c>
      <c r="W51" s="33"/>
      <c r="X51" s="36" t="str">
        <f t="shared" si="6"/>
        <v/>
      </c>
      <c r="Y51" s="95"/>
      <c r="Z51" s="99" t="str">
        <f t="shared" si="7"/>
        <v/>
      </c>
      <c r="AA51" s="38"/>
      <c r="AB51" s="39" t="str">
        <f t="shared" si="8"/>
        <v/>
      </c>
      <c r="AC51" s="119"/>
      <c r="AD51" s="120" t="str">
        <f t="shared" si="9"/>
        <v/>
      </c>
      <c r="AE51" s="33"/>
      <c r="AF51" s="36" t="str">
        <f t="shared" si="10"/>
        <v/>
      </c>
      <c r="AG51" s="95"/>
      <c r="AH51" s="99" t="str">
        <f t="shared" si="11"/>
        <v/>
      </c>
      <c r="AI51" s="33"/>
      <c r="AJ51" s="36" t="str">
        <f t="shared" si="12"/>
        <v/>
      </c>
      <c r="AK51" s="95"/>
      <c r="AL51" s="99" t="str">
        <f t="shared" si="13"/>
        <v/>
      </c>
      <c r="AM51" s="33"/>
      <c r="AN51" s="36" t="str">
        <f t="shared" si="14"/>
        <v/>
      </c>
      <c r="AO51" s="95"/>
      <c r="AP51" s="99" t="str">
        <f t="shared" si="15"/>
        <v/>
      </c>
      <c r="AQ51" s="33"/>
      <c r="AR51" s="36" t="str">
        <f t="shared" si="16"/>
        <v/>
      </c>
      <c r="AS51" s="95"/>
      <c r="AT51" s="99" t="str">
        <f t="shared" si="42"/>
        <v/>
      </c>
      <c r="AU51" s="33"/>
      <c r="AV51" s="36" t="str">
        <f t="shared" si="18"/>
        <v/>
      </c>
      <c r="AW51" s="95"/>
      <c r="AX51" s="99" t="str">
        <f t="shared" si="19"/>
        <v/>
      </c>
      <c r="AY51" s="76"/>
      <c r="AZ51" s="36" t="str">
        <f t="shared" si="20"/>
        <v/>
      </c>
      <c r="BA51" s="95"/>
      <c r="BB51" s="99" t="str">
        <f t="shared" si="21"/>
        <v/>
      </c>
      <c r="BC51" s="33"/>
      <c r="BD51" s="36" t="str">
        <f t="shared" si="22"/>
        <v/>
      </c>
      <c r="BE51" s="95"/>
      <c r="BF51" s="99" t="str">
        <f t="shared" si="23"/>
        <v/>
      </c>
      <c r="BG51" s="33"/>
      <c r="BH51" s="36" t="str">
        <f t="shared" si="24"/>
        <v/>
      </c>
      <c r="BI51" s="95"/>
      <c r="BJ51" s="99" t="str">
        <f t="shared" si="25"/>
        <v/>
      </c>
      <c r="BK51" s="33"/>
      <c r="BL51" s="36" t="str">
        <f t="shared" si="26"/>
        <v/>
      </c>
      <c r="BM51" s="95"/>
      <c r="BN51" s="99" t="str">
        <f t="shared" si="27"/>
        <v/>
      </c>
      <c r="BO51" s="33"/>
      <c r="BP51" s="36" t="str">
        <f t="shared" si="28"/>
        <v/>
      </c>
      <c r="BQ51" s="95"/>
      <c r="BR51" s="99" t="str">
        <f t="shared" si="29"/>
        <v/>
      </c>
      <c r="BS51" s="33"/>
      <c r="BT51" s="36" t="str">
        <f t="shared" si="30"/>
        <v/>
      </c>
      <c r="BU51" s="95"/>
      <c r="BV51" s="99" t="str">
        <f t="shared" si="31"/>
        <v/>
      </c>
      <c r="BW51" s="33"/>
      <c r="BX51" s="36" t="str">
        <f t="shared" si="32"/>
        <v/>
      </c>
      <c r="BY51" s="95"/>
      <c r="BZ51" s="99" t="str">
        <f t="shared" si="33"/>
        <v/>
      </c>
      <c r="CA51" s="33"/>
      <c r="CB51" s="36" t="str">
        <f t="shared" si="34"/>
        <v/>
      </c>
      <c r="CC51" s="95"/>
      <c r="CD51" s="99" t="str">
        <f t="shared" si="35"/>
        <v/>
      </c>
      <c r="CE51" s="33"/>
      <c r="CF51" s="36" t="str">
        <f t="shared" si="36"/>
        <v/>
      </c>
      <c r="CG51" s="95"/>
      <c r="CH51" s="99" t="str">
        <f t="shared" si="37"/>
        <v/>
      </c>
      <c r="CI51" s="33"/>
      <c r="CJ51" s="36" t="str">
        <f t="shared" si="38"/>
        <v/>
      </c>
      <c r="CK51" s="95"/>
      <c r="CL51" s="99" t="str">
        <f t="shared" si="39"/>
        <v/>
      </c>
      <c r="CM51" s="33"/>
      <c r="CN51" s="36" t="str">
        <f t="shared" si="40"/>
        <v/>
      </c>
      <c r="CO51" s="95"/>
      <c r="CP51" s="99" t="str">
        <f t="shared" si="41"/>
        <v/>
      </c>
      <c r="CQ51" s="23" t="s">
        <v>413</v>
      </c>
    </row>
    <row r="52" spans="1:95" ht="20" customHeight="1" x14ac:dyDescent="0.2">
      <c r="A52" s="60"/>
      <c r="B52" s="82"/>
      <c r="C52" s="24" t="s">
        <v>85</v>
      </c>
      <c r="D52" s="23" t="s">
        <v>312</v>
      </c>
      <c r="E52" s="23" t="s">
        <v>313</v>
      </c>
      <c r="F52" s="24">
        <v>2015</v>
      </c>
      <c r="H52" s="89">
        <v>5</v>
      </c>
      <c r="I52" s="85" t="s">
        <v>213</v>
      </c>
      <c r="J52" s="86" t="s">
        <v>190</v>
      </c>
      <c r="K52" s="33"/>
      <c r="L52" s="36" t="str">
        <f t="shared" si="0"/>
        <v/>
      </c>
      <c r="M52" s="95"/>
      <c r="N52" s="95" t="str">
        <f t="shared" si="1"/>
        <v/>
      </c>
      <c r="O52" s="33"/>
      <c r="P52" s="36" t="str">
        <f t="shared" si="2"/>
        <v/>
      </c>
      <c r="Q52" s="95"/>
      <c r="R52" s="99" t="str">
        <f t="shared" si="3"/>
        <v/>
      </c>
      <c r="S52" s="76"/>
      <c r="T52" s="36" t="str">
        <f t="shared" si="43"/>
        <v/>
      </c>
      <c r="U52" s="95"/>
      <c r="V52" s="99" t="str">
        <f t="shared" si="5"/>
        <v/>
      </c>
      <c r="W52" s="33"/>
      <c r="X52" s="36" t="str">
        <f t="shared" si="6"/>
        <v/>
      </c>
      <c r="Y52" s="95"/>
      <c r="Z52" s="99" t="str">
        <f t="shared" si="7"/>
        <v/>
      </c>
      <c r="AA52" s="33"/>
      <c r="AB52" s="36" t="str">
        <f t="shared" si="8"/>
        <v/>
      </c>
      <c r="AC52" s="95"/>
      <c r="AD52" s="99" t="str">
        <f t="shared" si="9"/>
        <v/>
      </c>
      <c r="AE52" s="33"/>
      <c r="AF52" s="36" t="str">
        <f t="shared" si="10"/>
        <v/>
      </c>
      <c r="AG52" s="95"/>
      <c r="AH52" s="99" t="str">
        <f t="shared" si="11"/>
        <v/>
      </c>
      <c r="AI52" s="33"/>
      <c r="AJ52" s="36" t="str">
        <f t="shared" si="12"/>
        <v/>
      </c>
      <c r="AK52" s="95"/>
      <c r="AL52" s="99" t="str">
        <f t="shared" si="13"/>
        <v/>
      </c>
      <c r="AM52" s="33"/>
      <c r="AN52" s="36" t="str">
        <f t="shared" si="14"/>
        <v/>
      </c>
      <c r="AO52" s="95"/>
      <c r="AP52" s="99" t="str">
        <f t="shared" si="15"/>
        <v/>
      </c>
      <c r="AQ52" s="33"/>
      <c r="AR52" s="36" t="str">
        <f t="shared" si="16"/>
        <v/>
      </c>
      <c r="AS52" s="95"/>
      <c r="AT52" s="99" t="str">
        <f t="shared" si="42"/>
        <v/>
      </c>
      <c r="AU52" s="33"/>
      <c r="AV52" s="36" t="str">
        <f t="shared" si="18"/>
        <v/>
      </c>
      <c r="AW52" s="95"/>
      <c r="AX52" s="99" t="str">
        <f t="shared" si="19"/>
        <v/>
      </c>
      <c r="AY52" s="76">
        <v>1</v>
      </c>
      <c r="AZ52" s="36">
        <f t="shared" si="20"/>
        <v>20</v>
      </c>
      <c r="BA52" s="95">
        <v>2</v>
      </c>
      <c r="BB52" s="99">
        <f t="shared" si="21"/>
        <v>-1</v>
      </c>
      <c r="BC52" s="33"/>
      <c r="BD52" s="36" t="str">
        <f t="shared" si="22"/>
        <v/>
      </c>
      <c r="BE52" s="95"/>
      <c r="BF52" s="99" t="str">
        <f t="shared" si="23"/>
        <v/>
      </c>
      <c r="BG52" s="33"/>
      <c r="BH52" s="36" t="str">
        <f t="shared" si="24"/>
        <v/>
      </c>
      <c r="BI52" s="95"/>
      <c r="BJ52" s="99" t="str">
        <f t="shared" si="25"/>
        <v/>
      </c>
      <c r="BK52" s="33"/>
      <c r="BL52" s="36" t="str">
        <f t="shared" si="26"/>
        <v/>
      </c>
      <c r="BM52" s="95"/>
      <c r="BN52" s="99" t="str">
        <f t="shared" si="27"/>
        <v/>
      </c>
      <c r="BO52" s="33"/>
      <c r="BP52" s="36" t="str">
        <f t="shared" si="28"/>
        <v/>
      </c>
      <c r="BQ52" s="95"/>
      <c r="BR52" s="99" t="str">
        <f t="shared" si="29"/>
        <v/>
      </c>
      <c r="BS52" s="33"/>
      <c r="BT52" s="36" t="str">
        <f t="shared" si="30"/>
        <v/>
      </c>
      <c r="BU52" s="95"/>
      <c r="BV52" s="99" t="str">
        <f t="shared" si="31"/>
        <v/>
      </c>
      <c r="BW52" s="33"/>
      <c r="BX52" s="36" t="str">
        <f t="shared" si="32"/>
        <v/>
      </c>
      <c r="BY52" s="95"/>
      <c r="BZ52" s="99" t="str">
        <f t="shared" si="33"/>
        <v/>
      </c>
      <c r="CA52" s="33"/>
      <c r="CB52" s="36" t="str">
        <f t="shared" si="34"/>
        <v/>
      </c>
      <c r="CC52" s="95"/>
      <c r="CD52" s="99" t="str">
        <f t="shared" si="35"/>
        <v/>
      </c>
      <c r="CE52" s="33"/>
      <c r="CF52" s="36" t="str">
        <f t="shared" si="36"/>
        <v/>
      </c>
      <c r="CG52" s="95"/>
      <c r="CH52" s="99" t="str">
        <f t="shared" si="37"/>
        <v/>
      </c>
      <c r="CI52" s="33"/>
      <c r="CJ52" s="36" t="str">
        <f t="shared" si="38"/>
        <v/>
      </c>
      <c r="CK52" s="95"/>
      <c r="CL52" s="99" t="str">
        <f t="shared" si="39"/>
        <v/>
      </c>
      <c r="CM52" s="33"/>
      <c r="CN52" s="36" t="str">
        <f t="shared" si="40"/>
        <v/>
      </c>
      <c r="CO52" s="95"/>
      <c r="CP52" s="99" t="str">
        <f t="shared" si="41"/>
        <v/>
      </c>
      <c r="CQ52" s="23" t="s">
        <v>426</v>
      </c>
    </row>
    <row r="53" spans="1:95" ht="20" customHeight="1" x14ac:dyDescent="0.2">
      <c r="A53" s="60"/>
      <c r="B53" s="83"/>
      <c r="C53" s="24" t="s">
        <v>85</v>
      </c>
      <c r="D53" s="23" t="s">
        <v>314</v>
      </c>
      <c r="E53" s="23" t="s">
        <v>315</v>
      </c>
      <c r="F53" s="24">
        <v>2008</v>
      </c>
      <c r="H53" s="89">
        <v>86</v>
      </c>
      <c r="I53" s="85" t="s">
        <v>177</v>
      </c>
      <c r="J53" s="86"/>
      <c r="K53" s="33"/>
      <c r="L53" s="36" t="str">
        <f t="shared" si="0"/>
        <v/>
      </c>
      <c r="M53" s="95"/>
      <c r="N53" s="95" t="str">
        <f t="shared" si="1"/>
        <v/>
      </c>
      <c r="O53" s="33"/>
      <c r="P53" s="36" t="str">
        <f t="shared" si="2"/>
        <v/>
      </c>
      <c r="Q53" s="95"/>
      <c r="R53" s="99" t="str">
        <f t="shared" si="3"/>
        <v/>
      </c>
      <c r="S53" s="76"/>
      <c r="T53" s="36" t="str">
        <f t="shared" si="43"/>
        <v/>
      </c>
      <c r="U53" s="95"/>
      <c r="V53" s="99" t="str">
        <f t="shared" si="5"/>
        <v/>
      </c>
      <c r="W53" s="33"/>
      <c r="X53" s="36" t="str">
        <f t="shared" si="6"/>
        <v/>
      </c>
      <c r="Y53" s="95"/>
      <c r="Z53" s="99" t="str">
        <f t="shared" si="7"/>
        <v/>
      </c>
      <c r="AA53" s="33"/>
      <c r="AB53" s="36" t="str">
        <f t="shared" si="8"/>
        <v/>
      </c>
      <c r="AC53" s="95"/>
      <c r="AD53" s="99" t="str">
        <f t="shared" si="9"/>
        <v/>
      </c>
      <c r="AE53" s="33"/>
      <c r="AF53" s="36" t="str">
        <f t="shared" si="10"/>
        <v/>
      </c>
      <c r="AG53" s="95"/>
      <c r="AH53" s="99" t="str">
        <f t="shared" si="11"/>
        <v/>
      </c>
      <c r="AI53" s="33"/>
      <c r="AJ53" s="36" t="str">
        <f t="shared" si="12"/>
        <v/>
      </c>
      <c r="AK53" s="95"/>
      <c r="AL53" s="99" t="str">
        <f t="shared" si="13"/>
        <v/>
      </c>
      <c r="AM53" s="33"/>
      <c r="AN53" s="36" t="str">
        <f t="shared" si="14"/>
        <v/>
      </c>
      <c r="AO53" s="95"/>
      <c r="AP53" s="99" t="str">
        <f t="shared" si="15"/>
        <v/>
      </c>
      <c r="AQ53" s="33"/>
      <c r="AR53" s="36" t="str">
        <f t="shared" si="16"/>
        <v/>
      </c>
      <c r="AS53" s="95"/>
      <c r="AT53" s="99" t="str">
        <f t="shared" si="42"/>
        <v/>
      </c>
      <c r="AU53" s="33"/>
      <c r="AV53" s="36" t="str">
        <f t="shared" si="18"/>
        <v/>
      </c>
      <c r="AW53" s="95"/>
      <c r="AX53" s="99" t="str">
        <f t="shared" si="19"/>
        <v/>
      </c>
      <c r="AY53" s="76"/>
      <c r="AZ53" s="36" t="str">
        <f t="shared" si="20"/>
        <v/>
      </c>
      <c r="BA53" s="95"/>
      <c r="BB53" s="99" t="str">
        <f t="shared" si="21"/>
        <v/>
      </c>
      <c r="BC53" s="33"/>
      <c r="BD53" s="36" t="str">
        <f t="shared" si="22"/>
        <v/>
      </c>
      <c r="BE53" s="95"/>
      <c r="BF53" s="99" t="str">
        <f t="shared" si="23"/>
        <v/>
      </c>
      <c r="BG53" s="33"/>
      <c r="BH53" s="36" t="str">
        <f t="shared" si="24"/>
        <v/>
      </c>
      <c r="BI53" s="95"/>
      <c r="BJ53" s="99" t="str">
        <f t="shared" si="25"/>
        <v/>
      </c>
      <c r="BK53" s="33"/>
      <c r="BL53" s="36" t="str">
        <f t="shared" si="26"/>
        <v/>
      </c>
      <c r="BM53" s="95"/>
      <c r="BN53" s="99" t="str">
        <f t="shared" si="27"/>
        <v/>
      </c>
      <c r="BO53" s="33"/>
      <c r="BP53" s="36" t="str">
        <f t="shared" si="28"/>
        <v/>
      </c>
      <c r="BQ53" s="95"/>
      <c r="BR53" s="99" t="str">
        <f t="shared" si="29"/>
        <v/>
      </c>
      <c r="BS53" s="33"/>
      <c r="BT53" s="36" t="str">
        <f t="shared" si="30"/>
        <v/>
      </c>
      <c r="BU53" s="95"/>
      <c r="BV53" s="99" t="str">
        <f t="shared" si="31"/>
        <v/>
      </c>
      <c r="BW53" s="33"/>
      <c r="BX53" s="36" t="str">
        <f t="shared" si="32"/>
        <v/>
      </c>
      <c r="BY53" s="95"/>
      <c r="BZ53" s="99" t="str">
        <f t="shared" si="33"/>
        <v/>
      </c>
      <c r="CA53" s="33"/>
      <c r="CB53" s="36" t="str">
        <f t="shared" si="34"/>
        <v/>
      </c>
      <c r="CC53" s="95"/>
      <c r="CD53" s="99" t="str">
        <f t="shared" si="35"/>
        <v/>
      </c>
      <c r="CE53" s="33"/>
      <c r="CF53" s="36" t="str">
        <f t="shared" si="36"/>
        <v/>
      </c>
      <c r="CG53" s="95"/>
      <c r="CH53" s="99" t="str">
        <f t="shared" si="37"/>
        <v/>
      </c>
      <c r="CI53" s="33"/>
      <c r="CJ53" s="36" t="str">
        <f t="shared" si="38"/>
        <v/>
      </c>
      <c r="CK53" s="95"/>
      <c r="CL53" s="99" t="str">
        <f t="shared" si="39"/>
        <v/>
      </c>
      <c r="CM53" s="33"/>
      <c r="CN53" s="36" t="str">
        <f t="shared" si="40"/>
        <v/>
      </c>
      <c r="CO53" s="95"/>
      <c r="CP53" s="99" t="str">
        <f t="shared" si="41"/>
        <v/>
      </c>
      <c r="CQ53" s="23" t="s">
        <v>372</v>
      </c>
    </row>
    <row r="54" spans="1:95" ht="20" customHeight="1" x14ac:dyDescent="0.2">
      <c r="A54" s="60"/>
      <c r="B54" s="83"/>
      <c r="C54" s="24" t="s">
        <v>85</v>
      </c>
      <c r="D54" s="23" t="s">
        <v>316</v>
      </c>
      <c r="E54" s="23" t="s">
        <v>317</v>
      </c>
      <c r="F54" s="24">
        <v>2012</v>
      </c>
      <c r="H54" s="89"/>
      <c r="I54" s="85" t="s">
        <v>373</v>
      </c>
      <c r="J54" s="86" t="s">
        <v>212</v>
      </c>
      <c r="K54" s="33"/>
      <c r="L54" s="36" t="str">
        <f t="shared" si="0"/>
        <v/>
      </c>
      <c r="M54" s="95"/>
      <c r="N54" s="95" t="str">
        <f t="shared" si="1"/>
        <v/>
      </c>
      <c r="O54" s="33"/>
      <c r="P54" s="36" t="str">
        <f t="shared" si="2"/>
        <v/>
      </c>
      <c r="Q54" s="95"/>
      <c r="R54" s="99" t="str">
        <f t="shared" si="3"/>
        <v/>
      </c>
      <c r="S54" s="76"/>
      <c r="T54" s="36" t="str">
        <f t="shared" si="43"/>
        <v/>
      </c>
      <c r="U54" s="95"/>
      <c r="V54" s="99" t="str">
        <f t="shared" si="5"/>
        <v/>
      </c>
      <c r="W54" s="33"/>
      <c r="X54" s="36" t="str">
        <f t="shared" si="6"/>
        <v/>
      </c>
      <c r="Y54" s="95"/>
      <c r="Z54" s="99" t="str">
        <f t="shared" si="7"/>
        <v/>
      </c>
      <c r="AA54" s="33"/>
      <c r="AB54" s="36" t="str">
        <f t="shared" si="8"/>
        <v/>
      </c>
      <c r="AC54" s="95"/>
      <c r="AD54" s="99" t="str">
        <f t="shared" si="9"/>
        <v/>
      </c>
      <c r="AE54" s="33"/>
      <c r="AF54" s="36" t="str">
        <f t="shared" si="10"/>
        <v/>
      </c>
      <c r="AG54" s="95"/>
      <c r="AH54" s="99" t="str">
        <f t="shared" si="11"/>
        <v/>
      </c>
      <c r="AI54" s="33"/>
      <c r="AJ54" s="36" t="str">
        <f t="shared" si="12"/>
        <v/>
      </c>
      <c r="AK54" s="95"/>
      <c r="AL54" s="99" t="str">
        <f t="shared" si="13"/>
        <v/>
      </c>
      <c r="AM54" s="33"/>
      <c r="AN54" s="36" t="str">
        <f t="shared" si="14"/>
        <v/>
      </c>
      <c r="AO54" s="95"/>
      <c r="AP54" s="99" t="str">
        <f t="shared" si="15"/>
        <v/>
      </c>
      <c r="AQ54" s="33"/>
      <c r="AR54" s="36" t="str">
        <f t="shared" si="16"/>
        <v/>
      </c>
      <c r="AS54" s="95"/>
      <c r="AT54" s="99" t="str">
        <f t="shared" si="42"/>
        <v/>
      </c>
      <c r="AU54" s="33"/>
      <c r="AV54" s="36" t="str">
        <f t="shared" si="18"/>
        <v/>
      </c>
      <c r="AW54" s="95"/>
      <c r="AX54" s="99" t="str">
        <f t="shared" si="19"/>
        <v/>
      </c>
      <c r="AY54" s="76"/>
      <c r="AZ54" s="36" t="str">
        <f t="shared" si="20"/>
        <v/>
      </c>
      <c r="BA54" s="95"/>
      <c r="BB54" s="99" t="str">
        <f t="shared" si="21"/>
        <v/>
      </c>
      <c r="BC54" s="33"/>
      <c r="BD54" s="36" t="str">
        <f t="shared" si="22"/>
        <v/>
      </c>
      <c r="BE54" s="95"/>
      <c r="BF54" s="99" t="str">
        <f t="shared" si="23"/>
        <v/>
      </c>
      <c r="BG54" s="33"/>
      <c r="BH54" s="36" t="str">
        <f t="shared" si="24"/>
        <v/>
      </c>
      <c r="BI54" s="95"/>
      <c r="BJ54" s="99" t="str">
        <f t="shared" si="25"/>
        <v/>
      </c>
      <c r="BK54" s="33"/>
      <c r="BL54" s="36" t="str">
        <f t="shared" si="26"/>
        <v/>
      </c>
      <c r="BM54" s="95"/>
      <c r="BN54" s="99" t="str">
        <f t="shared" si="27"/>
        <v/>
      </c>
      <c r="BO54" s="33"/>
      <c r="BP54" s="36" t="str">
        <f t="shared" si="28"/>
        <v/>
      </c>
      <c r="BQ54" s="95"/>
      <c r="BR54" s="99" t="str">
        <f t="shared" si="29"/>
        <v/>
      </c>
      <c r="BS54" s="33"/>
      <c r="BT54" s="36" t="str">
        <f t="shared" si="30"/>
        <v/>
      </c>
      <c r="BU54" s="95"/>
      <c r="BV54" s="99" t="str">
        <f t="shared" si="31"/>
        <v/>
      </c>
      <c r="BW54" s="33"/>
      <c r="BX54" s="36" t="str">
        <f t="shared" si="32"/>
        <v/>
      </c>
      <c r="BY54" s="95"/>
      <c r="BZ54" s="99" t="str">
        <f t="shared" si="33"/>
        <v/>
      </c>
      <c r="CA54" s="33"/>
      <c r="CB54" s="36" t="str">
        <f t="shared" si="34"/>
        <v/>
      </c>
      <c r="CC54" s="95"/>
      <c r="CD54" s="99" t="str">
        <f t="shared" si="35"/>
        <v/>
      </c>
      <c r="CE54" s="33"/>
      <c r="CF54" s="36" t="str">
        <f t="shared" si="36"/>
        <v/>
      </c>
      <c r="CG54" s="95"/>
      <c r="CH54" s="99" t="str">
        <f t="shared" si="37"/>
        <v/>
      </c>
      <c r="CI54" s="33"/>
      <c r="CJ54" s="36" t="str">
        <f t="shared" si="38"/>
        <v/>
      </c>
      <c r="CK54" s="95"/>
      <c r="CL54" s="99" t="str">
        <f t="shared" si="39"/>
        <v/>
      </c>
      <c r="CM54" s="33"/>
      <c r="CN54" s="36" t="str">
        <f t="shared" si="40"/>
        <v/>
      </c>
      <c r="CO54" s="95"/>
      <c r="CP54" s="99" t="str">
        <f t="shared" si="41"/>
        <v/>
      </c>
    </row>
    <row r="55" spans="1:95" ht="20" customHeight="1" x14ac:dyDescent="0.2">
      <c r="A55" s="61"/>
      <c r="B55" s="24"/>
      <c r="C55" s="24" t="s">
        <v>85</v>
      </c>
      <c r="D55" s="23" t="s">
        <v>127</v>
      </c>
      <c r="E55" s="23" t="s">
        <v>128</v>
      </c>
      <c r="F55" s="24">
        <v>2000</v>
      </c>
      <c r="G55" s="24">
        <v>252</v>
      </c>
      <c r="H55" s="89">
        <v>30</v>
      </c>
      <c r="I55" s="85" t="s">
        <v>220</v>
      </c>
      <c r="J55" s="86" t="s">
        <v>169</v>
      </c>
      <c r="K55" s="33"/>
      <c r="L55" s="36" t="str">
        <f t="shared" si="0"/>
        <v/>
      </c>
      <c r="M55" s="95"/>
      <c r="N55" s="95" t="str">
        <f t="shared" si="1"/>
        <v/>
      </c>
      <c r="O55" s="33"/>
      <c r="P55" s="36" t="str">
        <f t="shared" si="2"/>
        <v/>
      </c>
      <c r="Q55" s="95"/>
      <c r="R55" s="99" t="str">
        <f t="shared" si="3"/>
        <v/>
      </c>
      <c r="S55" s="76"/>
      <c r="T55" s="36" t="str">
        <f t="shared" si="43"/>
        <v/>
      </c>
      <c r="U55" s="95"/>
      <c r="V55" s="99" t="str">
        <f t="shared" si="5"/>
        <v/>
      </c>
      <c r="W55" s="33"/>
      <c r="X55" s="36" t="str">
        <f t="shared" si="6"/>
        <v/>
      </c>
      <c r="Y55" s="95"/>
      <c r="Z55" s="99" t="str">
        <f t="shared" si="7"/>
        <v/>
      </c>
      <c r="AA55" s="33"/>
      <c r="AB55" s="36" t="str">
        <f t="shared" si="8"/>
        <v/>
      </c>
      <c r="AC55" s="95"/>
      <c r="AD55" s="99" t="str">
        <f t="shared" si="9"/>
        <v/>
      </c>
      <c r="AE55" s="33"/>
      <c r="AF55" s="36" t="str">
        <f t="shared" si="10"/>
        <v/>
      </c>
      <c r="AG55" s="95"/>
      <c r="AH55" s="99" t="str">
        <f t="shared" si="11"/>
        <v/>
      </c>
      <c r="AI55" s="33"/>
      <c r="AJ55" s="36" t="str">
        <f t="shared" si="12"/>
        <v/>
      </c>
      <c r="AK55" s="95"/>
      <c r="AL55" s="99" t="str">
        <f t="shared" si="13"/>
        <v/>
      </c>
      <c r="AM55" s="33"/>
      <c r="AN55" s="36" t="str">
        <f t="shared" si="14"/>
        <v/>
      </c>
      <c r="AO55" s="95"/>
      <c r="AP55" s="99" t="str">
        <f t="shared" si="15"/>
        <v/>
      </c>
      <c r="AQ55" s="33"/>
      <c r="AR55" s="36" t="str">
        <f t="shared" si="16"/>
        <v/>
      </c>
      <c r="AS55" s="95"/>
      <c r="AT55" s="99" t="str">
        <f t="shared" si="42"/>
        <v/>
      </c>
      <c r="AU55" s="33"/>
      <c r="AV55" s="36" t="str">
        <f t="shared" si="18"/>
        <v/>
      </c>
      <c r="AW55" s="95"/>
      <c r="AX55" s="99" t="str">
        <f t="shared" si="19"/>
        <v/>
      </c>
      <c r="AY55" s="76"/>
      <c r="AZ55" s="36" t="str">
        <f t="shared" si="20"/>
        <v/>
      </c>
      <c r="BA55" s="95"/>
      <c r="BB55" s="99" t="str">
        <f t="shared" si="21"/>
        <v/>
      </c>
      <c r="BC55" s="33"/>
      <c r="BD55" s="36" t="str">
        <f t="shared" si="22"/>
        <v/>
      </c>
      <c r="BE55" s="95"/>
      <c r="BF55" s="99" t="str">
        <f t="shared" si="23"/>
        <v/>
      </c>
      <c r="BG55" s="33"/>
      <c r="BH55" s="36" t="str">
        <f t="shared" si="24"/>
        <v/>
      </c>
      <c r="BI55" s="95"/>
      <c r="BJ55" s="99" t="str">
        <f t="shared" si="25"/>
        <v/>
      </c>
      <c r="BK55" s="33"/>
      <c r="BL55" s="36" t="str">
        <f t="shared" si="26"/>
        <v/>
      </c>
      <c r="BM55" s="95"/>
      <c r="BN55" s="99" t="str">
        <f t="shared" si="27"/>
        <v/>
      </c>
      <c r="BO55" s="33"/>
      <c r="BP55" s="36" t="str">
        <f t="shared" si="28"/>
        <v/>
      </c>
      <c r="BQ55" s="95"/>
      <c r="BR55" s="99" t="str">
        <f t="shared" si="29"/>
        <v/>
      </c>
      <c r="BS55" s="33"/>
      <c r="BT55" s="36" t="str">
        <f t="shared" si="30"/>
        <v/>
      </c>
      <c r="BU55" s="95"/>
      <c r="BV55" s="99" t="str">
        <f t="shared" si="31"/>
        <v/>
      </c>
      <c r="BW55" s="33"/>
      <c r="BX55" s="36" t="str">
        <f t="shared" si="32"/>
        <v/>
      </c>
      <c r="BY55" s="95"/>
      <c r="BZ55" s="99" t="str">
        <f t="shared" si="33"/>
        <v/>
      </c>
      <c r="CA55" s="33"/>
      <c r="CB55" s="36" t="str">
        <f t="shared" si="34"/>
        <v/>
      </c>
      <c r="CC55" s="95"/>
      <c r="CD55" s="99" t="str">
        <f t="shared" si="35"/>
        <v/>
      </c>
      <c r="CE55" s="33"/>
      <c r="CF55" s="36" t="str">
        <f t="shared" si="36"/>
        <v/>
      </c>
      <c r="CG55" s="95"/>
      <c r="CH55" s="99" t="str">
        <f t="shared" si="37"/>
        <v/>
      </c>
      <c r="CI55" s="33"/>
      <c r="CJ55" s="36" t="str">
        <f t="shared" si="38"/>
        <v/>
      </c>
      <c r="CK55" s="95"/>
      <c r="CL55" s="99" t="str">
        <f t="shared" si="39"/>
        <v/>
      </c>
      <c r="CM55" s="33"/>
      <c r="CN55" s="36" t="str">
        <f t="shared" si="40"/>
        <v/>
      </c>
      <c r="CO55" s="95"/>
      <c r="CP55" s="99" t="str">
        <f t="shared" si="41"/>
        <v/>
      </c>
      <c r="CQ55" s="23" t="s">
        <v>427</v>
      </c>
    </row>
    <row r="56" spans="1:95" ht="20" customHeight="1" x14ac:dyDescent="0.2">
      <c r="A56" s="61"/>
      <c r="B56" s="82"/>
      <c r="C56" s="24" t="s">
        <v>85</v>
      </c>
      <c r="D56" s="23" t="s">
        <v>133</v>
      </c>
      <c r="E56" s="23" t="s">
        <v>134</v>
      </c>
      <c r="F56" s="24">
        <v>2001</v>
      </c>
      <c r="G56" s="24">
        <v>192</v>
      </c>
      <c r="H56" s="89"/>
      <c r="I56" s="85" t="s">
        <v>177</v>
      </c>
      <c r="J56" s="86" t="s">
        <v>169</v>
      </c>
      <c r="K56" s="33"/>
      <c r="L56" s="36" t="str">
        <f t="shared" si="0"/>
        <v/>
      </c>
      <c r="M56" s="95"/>
      <c r="N56" s="95" t="str">
        <f t="shared" si="1"/>
        <v/>
      </c>
      <c r="O56" s="33"/>
      <c r="P56" s="36" t="str">
        <f t="shared" si="2"/>
        <v/>
      </c>
      <c r="Q56" s="95"/>
      <c r="R56" s="99" t="str">
        <f t="shared" si="3"/>
        <v/>
      </c>
      <c r="S56" s="76"/>
      <c r="T56" s="36" t="str">
        <f t="shared" si="43"/>
        <v/>
      </c>
      <c r="U56" s="95"/>
      <c r="V56" s="99" t="str">
        <f t="shared" si="5"/>
        <v/>
      </c>
      <c r="W56" s="33"/>
      <c r="X56" s="36" t="str">
        <f t="shared" si="6"/>
        <v/>
      </c>
      <c r="Y56" s="95"/>
      <c r="Z56" s="99" t="str">
        <f t="shared" si="7"/>
        <v/>
      </c>
      <c r="AA56" s="33"/>
      <c r="AB56" s="36" t="str">
        <f t="shared" si="8"/>
        <v/>
      </c>
      <c r="AC56" s="95"/>
      <c r="AD56" s="99" t="str">
        <f t="shared" si="9"/>
        <v/>
      </c>
      <c r="AE56" s="33"/>
      <c r="AF56" s="36" t="str">
        <f t="shared" si="10"/>
        <v/>
      </c>
      <c r="AG56" s="95"/>
      <c r="AH56" s="99" t="str">
        <f t="shared" si="11"/>
        <v/>
      </c>
      <c r="AI56" s="33"/>
      <c r="AJ56" s="36" t="str">
        <f t="shared" si="12"/>
        <v/>
      </c>
      <c r="AK56" s="95"/>
      <c r="AL56" s="99" t="str">
        <f t="shared" si="13"/>
        <v/>
      </c>
      <c r="AM56" s="33"/>
      <c r="AN56" s="36" t="str">
        <f t="shared" si="14"/>
        <v/>
      </c>
      <c r="AO56" s="95"/>
      <c r="AP56" s="99" t="str">
        <f t="shared" si="15"/>
        <v/>
      </c>
      <c r="AQ56" s="33">
        <v>2</v>
      </c>
      <c r="AR56" s="36" t="str">
        <f t="shared" si="16"/>
        <v/>
      </c>
      <c r="AS56" s="95"/>
      <c r="AT56" s="99" t="str">
        <f t="shared" si="42"/>
        <v/>
      </c>
      <c r="AU56" s="33"/>
      <c r="AV56" s="36" t="str">
        <f t="shared" si="18"/>
        <v/>
      </c>
      <c r="AW56" s="95"/>
      <c r="AX56" s="99" t="str">
        <f t="shared" si="19"/>
        <v/>
      </c>
      <c r="AY56" s="76"/>
      <c r="AZ56" s="36" t="str">
        <f t="shared" si="20"/>
        <v/>
      </c>
      <c r="BA56" s="95"/>
      <c r="BB56" s="99" t="str">
        <f t="shared" si="21"/>
        <v/>
      </c>
      <c r="BC56" s="33"/>
      <c r="BD56" s="36" t="str">
        <f t="shared" si="22"/>
        <v/>
      </c>
      <c r="BE56" s="95"/>
      <c r="BF56" s="99" t="str">
        <f t="shared" si="23"/>
        <v/>
      </c>
      <c r="BG56" s="33"/>
      <c r="BH56" s="36" t="str">
        <f t="shared" si="24"/>
        <v/>
      </c>
      <c r="BI56" s="95"/>
      <c r="BJ56" s="99" t="str">
        <f t="shared" si="25"/>
        <v/>
      </c>
      <c r="BK56" s="33"/>
      <c r="BL56" s="36" t="str">
        <f t="shared" si="26"/>
        <v/>
      </c>
      <c r="BM56" s="95"/>
      <c r="BN56" s="99" t="str">
        <f t="shared" si="27"/>
        <v/>
      </c>
      <c r="BO56" s="33"/>
      <c r="BP56" s="36" t="str">
        <f t="shared" si="28"/>
        <v/>
      </c>
      <c r="BQ56" s="95"/>
      <c r="BR56" s="99" t="str">
        <f t="shared" si="29"/>
        <v/>
      </c>
      <c r="BS56" s="38">
        <v>1</v>
      </c>
      <c r="BT56" s="39" t="str">
        <f t="shared" si="30"/>
        <v/>
      </c>
      <c r="BU56" s="119">
        <v>0</v>
      </c>
      <c r="BV56" s="120">
        <f t="shared" si="31"/>
        <v>1</v>
      </c>
      <c r="BW56" s="33"/>
      <c r="BX56" s="36" t="str">
        <f t="shared" si="32"/>
        <v/>
      </c>
      <c r="BY56" s="95"/>
      <c r="BZ56" s="99" t="str">
        <f t="shared" si="33"/>
        <v/>
      </c>
      <c r="CA56" s="33"/>
      <c r="CB56" s="36" t="str">
        <f t="shared" si="34"/>
        <v/>
      </c>
      <c r="CC56" s="95"/>
      <c r="CD56" s="99" t="str">
        <f t="shared" si="35"/>
        <v/>
      </c>
      <c r="CE56" s="33"/>
      <c r="CF56" s="36" t="str">
        <f t="shared" si="36"/>
        <v/>
      </c>
      <c r="CG56" s="95"/>
      <c r="CH56" s="99" t="str">
        <f t="shared" si="37"/>
        <v/>
      </c>
      <c r="CI56" s="33"/>
      <c r="CJ56" s="36" t="str">
        <f t="shared" si="38"/>
        <v/>
      </c>
      <c r="CK56" s="95"/>
      <c r="CL56" s="99" t="str">
        <f t="shared" si="39"/>
        <v/>
      </c>
      <c r="CM56" s="33"/>
      <c r="CN56" s="36" t="str">
        <f t="shared" si="40"/>
        <v/>
      </c>
      <c r="CO56" s="95"/>
      <c r="CP56" s="99" t="str">
        <f t="shared" si="41"/>
        <v/>
      </c>
      <c r="CQ56" s="23" t="s">
        <v>395</v>
      </c>
    </row>
    <row r="57" spans="1:95" ht="20" customHeight="1" x14ac:dyDescent="0.2">
      <c r="A57" s="61"/>
      <c r="B57" s="82"/>
      <c r="D57" s="23" t="s">
        <v>151</v>
      </c>
      <c r="E57" s="23" t="s">
        <v>428</v>
      </c>
      <c r="F57" s="24">
        <v>1999</v>
      </c>
      <c r="H57" s="89">
        <v>30</v>
      </c>
      <c r="I57" s="85" t="s">
        <v>429</v>
      </c>
      <c r="J57" s="86" t="s">
        <v>222</v>
      </c>
      <c r="K57" s="33"/>
      <c r="L57" s="36"/>
      <c r="M57" s="95"/>
      <c r="N57" s="95"/>
      <c r="O57" s="33"/>
      <c r="P57" s="36"/>
      <c r="Q57" s="95"/>
      <c r="R57" s="99"/>
      <c r="S57" s="76"/>
      <c r="T57" s="36"/>
      <c r="U57" s="95"/>
      <c r="V57" s="99"/>
      <c r="W57" s="33"/>
      <c r="X57" s="36"/>
      <c r="Y57" s="95"/>
      <c r="Z57" s="99"/>
      <c r="AA57" s="33"/>
      <c r="AB57" s="36"/>
      <c r="AC57" s="95"/>
      <c r="AD57" s="99"/>
      <c r="AE57" s="33"/>
      <c r="AF57" s="36"/>
      <c r="AG57" s="95"/>
      <c r="AH57" s="99"/>
      <c r="AI57" s="33"/>
      <c r="AJ57" s="36"/>
      <c r="AK57" s="95"/>
      <c r="AL57" s="99"/>
      <c r="AM57" s="33"/>
      <c r="AN57" s="36"/>
      <c r="AO57" s="95"/>
      <c r="AP57" s="99"/>
      <c r="AQ57" s="33"/>
      <c r="AR57" s="36"/>
      <c r="AS57" s="95"/>
      <c r="AT57" s="99"/>
      <c r="AU57" s="33"/>
      <c r="AV57" s="36"/>
      <c r="AW57" s="95"/>
      <c r="AX57" s="99"/>
      <c r="AY57" s="76"/>
      <c r="AZ57" s="36"/>
      <c r="BA57" s="95"/>
      <c r="BB57" s="99"/>
      <c r="BC57" s="33"/>
      <c r="BD57" s="36"/>
      <c r="BE57" s="95"/>
      <c r="BF57" s="99"/>
      <c r="BG57" s="33"/>
      <c r="BH57" s="36"/>
      <c r="BI57" s="95"/>
      <c r="BJ57" s="99"/>
      <c r="BK57" s="33"/>
      <c r="BL57" s="36"/>
      <c r="BM57" s="95"/>
      <c r="BN57" s="99"/>
      <c r="BO57" s="33"/>
      <c r="BP57" s="36"/>
      <c r="BQ57" s="95"/>
      <c r="BR57" s="99"/>
      <c r="BS57" s="33"/>
      <c r="BT57" s="36"/>
      <c r="BU57" s="95"/>
      <c r="BV57" s="99"/>
      <c r="BW57" s="33"/>
      <c r="BX57" s="36"/>
      <c r="BY57" s="95"/>
      <c r="BZ57" s="99"/>
      <c r="CA57" s="33"/>
      <c r="CB57" s="36"/>
      <c r="CC57" s="95"/>
      <c r="CD57" s="99"/>
      <c r="CE57" s="33"/>
      <c r="CF57" s="36"/>
      <c r="CG57" s="95"/>
      <c r="CH57" s="99"/>
      <c r="CI57" s="33"/>
      <c r="CJ57" s="36"/>
      <c r="CK57" s="95"/>
      <c r="CL57" s="99"/>
      <c r="CM57" s="33"/>
      <c r="CN57" s="36"/>
      <c r="CO57" s="95"/>
      <c r="CP57" s="99"/>
      <c r="CQ57" s="23" t="s">
        <v>396</v>
      </c>
    </row>
    <row r="58" spans="1:95" ht="20" customHeight="1" x14ac:dyDescent="0.2">
      <c r="A58" s="61"/>
      <c r="B58" s="24"/>
      <c r="C58" s="24" t="s">
        <v>85</v>
      </c>
      <c r="D58" s="23" t="s">
        <v>135</v>
      </c>
      <c r="E58" s="23" t="s">
        <v>136</v>
      </c>
      <c r="F58" s="24">
        <v>2007</v>
      </c>
      <c r="G58" s="24">
        <v>240</v>
      </c>
      <c r="H58" s="89"/>
      <c r="I58" s="85" t="s">
        <v>223</v>
      </c>
      <c r="J58" s="86" t="s">
        <v>169</v>
      </c>
      <c r="K58" s="33"/>
      <c r="L58" s="36" t="str">
        <f t="shared" si="0"/>
        <v/>
      </c>
      <c r="M58" s="95"/>
      <c r="N58" s="95" t="str">
        <f t="shared" si="1"/>
        <v/>
      </c>
      <c r="O58" s="33"/>
      <c r="P58" s="36" t="str">
        <f t="shared" ref="P58:P64" si="44">IF((ISERROR((O58/$H58)*100)), "", IF(AND(NOT(ISERROR((O58/$H58)*100)),((O58/$H58)*100) &lt;&gt; 0), (O58/$H58)*100, ""))</f>
        <v/>
      </c>
      <c r="Q58" s="95"/>
      <c r="R58" s="99" t="str">
        <f t="shared" si="3"/>
        <v/>
      </c>
      <c r="S58" s="76"/>
      <c r="T58" s="36" t="str">
        <f t="shared" ref="T58:T64" si="45">IF((ISERROR((S58/$H58)*100)), "", IF(AND(NOT(ISERROR((S58/$H58)*100)),((S58/$H58)*100) &lt;&gt; 0), (S58/$H58)*100, ""))</f>
        <v/>
      </c>
      <c r="U58" s="95"/>
      <c r="V58" s="99" t="str">
        <f t="shared" si="5"/>
        <v/>
      </c>
      <c r="W58" s="33"/>
      <c r="X58" s="36" t="str">
        <f t="shared" ref="X58:X64" si="46">IF((ISERROR((W58/$H58)*100)), "", IF(AND(NOT(ISERROR((W58/$H58)*100)),((W58/$H58)*100) &lt;&gt; 0), (W58/$H58)*100, ""))</f>
        <v/>
      </c>
      <c r="Y58" s="95"/>
      <c r="Z58" s="99" t="str">
        <f t="shared" si="7"/>
        <v/>
      </c>
      <c r="AA58" s="33"/>
      <c r="AB58" s="36" t="str">
        <f t="shared" ref="AB58:AB64" si="47">IF((ISERROR((AA58/$H58)*100)), "", IF(AND(NOT(ISERROR((AA58/$H58)*100)),((AA58/$H58)*100) &lt;&gt; 0), (AA58/$H58)*100, ""))</f>
        <v/>
      </c>
      <c r="AC58" s="95"/>
      <c r="AD58" s="99" t="str">
        <f t="shared" si="9"/>
        <v/>
      </c>
      <c r="AE58" s="33"/>
      <c r="AF58" s="36" t="str">
        <f t="shared" si="10"/>
        <v/>
      </c>
      <c r="AG58" s="95"/>
      <c r="AH58" s="99" t="str">
        <f t="shared" si="11"/>
        <v/>
      </c>
      <c r="AI58" s="33"/>
      <c r="AJ58" s="36" t="str">
        <f t="shared" ref="AJ58:AJ64" si="48">IF((ISERROR((AI58/$H58)*100)), "", IF(AND(NOT(ISERROR((AI58/$H58)*100)),((AI58/$H58)*100) &lt;&gt; 0), (AI58/$H58)*100, ""))</f>
        <v/>
      </c>
      <c r="AK58" s="95"/>
      <c r="AL58" s="99" t="str">
        <f t="shared" si="13"/>
        <v/>
      </c>
      <c r="AM58" s="33"/>
      <c r="AN58" s="36" t="str">
        <f>IF((ISERROR((AM58/$H58)*100)), "", IF(AND(NOT(ISERROR((AM58/$H58)*100)),((AM58/$H58)*100) &lt;&gt; 0), (AM58/$H58)*100, ""))</f>
        <v/>
      </c>
      <c r="AO58" s="95"/>
      <c r="AP58" s="99" t="str">
        <f t="shared" si="15"/>
        <v/>
      </c>
      <c r="AQ58" s="33"/>
      <c r="AR58" s="36" t="str">
        <f t="shared" ref="AR58:AR64" si="49">IF((ISERROR((AQ58/$H58)*100)), "", IF(AND(NOT(ISERROR((AQ58/$H58)*100)),((AQ58/$H58)*100) &lt;&gt; 0), (AQ58/$H58)*100, ""))</f>
        <v/>
      </c>
      <c r="AS58" s="95"/>
      <c r="AT58" s="99" t="str">
        <f t="shared" si="42"/>
        <v/>
      </c>
      <c r="AU58" s="33"/>
      <c r="AV58" s="36" t="str">
        <f t="shared" si="18"/>
        <v/>
      </c>
      <c r="AW58" s="95"/>
      <c r="AX58" s="99" t="str">
        <f t="shared" si="19"/>
        <v/>
      </c>
      <c r="AY58" s="76"/>
      <c r="AZ58" s="36" t="str">
        <f t="shared" ref="AZ58:AZ64" si="50">IF((ISERROR((AY58/$H58)*100)), "", IF(AND(NOT(ISERROR((AY58/$H58)*100)),((AY58/$H58)*100) &lt;&gt; 0), (AY58/$H58)*100, ""))</f>
        <v/>
      </c>
      <c r="BA58" s="95"/>
      <c r="BB58" s="99" t="str">
        <f t="shared" si="21"/>
        <v/>
      </c>
      <c r="BC58" s="33"/>
      <c r="BD58" s="36" t="str">
        <f t="shared" ref="BD58:BD64" si="51">IF((ISERROR((BC58/$H58)*100)), "", IF(AND(NOT(ISERROR((BC58/$H58)*100)),((BC58/$H58)*100) &lt;&gt; 0), (BC58/$H58)*100, ""))</f>
        <v/>
      </c>
      <c r="BE58" s="95"/>
      <c r="BF58" s="99" t="str">
        <f t="shared" si="23"/>
        <v/>
      </c>
      <c r="BG58" s="33"/>
      <c r="BH58" s="36" t="str">
        <f t="shared" ref="BH58:BH64" si="52">IF((ISERROR((BG58/$H58)*100)), "", IF(AND(NOT(ISERROR((BG58/$H58)*100)),((BG58/$H58)*100) &lt;&gt; 0), (BG58/$H58)*100, ""))</f>
        <v/>
      </c>
      <c r="BI58" s="95"/>
      <c r="BJ58" s="99" t="str">
        <f t="shared" si="25"/>
        <v/>
      </c>
      <c r="BK58" s="33"/>
      <c r="BL58" s="36" t="str">
        <f t="shared" ref="BL58:BL64" si="53">IF((ISERROR((BK58/$H58)*100)), "", IF(AND(NOT(ISERROR((BK58/$H58)*100)),((BK58/$H58)*100) &lt;&gt; 0), (BK58/$H58)*100, ""))</f>
        <v/>
      </c>
      <c r="BM58" s="95"/>
      <c r="BN58" s="99" t="str">
        <f t="shared" si="27"/>
        <v/>
      </c>
      <c r="BO58" s="33"/>
      <c r="BP58" s="36" t="str">
        <f t="shared" si="28"/>
        <v/>
      </c>
      <c r="BQ58" s="95"/>
      <c r="BR58" s="99" t="str">
        <f t="shared" si="29"/>
        <v/>
      </c>
      <c r="BS58" s="33"/>
      <c r="BT58" s="36" t="str">
        <f t="shared" si="30"/>
        <v/>
      </c>
      <c r="BU58" s="95"/>
      <c r="BV58" s="99" t="str">
        <f t="shared" si="31"/>
        <v/>
      </c>
      <c r="BW58" s="33"/>
      <c r="BX58" s="36" t="str">
        <f t="shared" si="32"/>
        <v/>
      </c>
      <c r="BY58" s="95"/>
      <c r="BZ58" s="99" t="str">
        <f t="shared" si="33"/>
        <v/>
      </c>
      <c r="CA58" s="33"/>
      <c r="CB58" s="36" t="str">
        <f t="shared" si="34"/>
        <v/>
      </c>
      <c r="CC58" s="95"/>
      <c r="CD58" s="99" t="str">
        <f t="shared" si="35"/>
        <v/>
      </c>
      <c r="CE58" s="33"/>
      <c r="CF58" s="36" t="str">
        <f t="shared" si="36"/>
        <v/>
      </c>
      <c r="CG58" s="95"/>
      <c r="CH58" s="99" t="str">
        <f t="shared" si="37"/>
        <v/>
      </c>
      <c r="CI58" s="33"/>
      <c r="CJ58" s="36" t="str">
        <f t="shared" si="38"/>
        <v/>
      </c>
      <c r="CK58" s="95"/>
      <c r="CL58" s="99" t="str">
        <f t="shared" si="39"/>
        <v/>
      </c>
      <c r="CM58" s="33"/>
      <c r="CN58" s="36" t="str">
        <f t="shared" si="40"/>
        <v/>
      </c>
      <c r="CO58" s="95"/>
      <c r="CP58" s="99" t="str">
        <f t="shared" si="41"/>
        <v/>
      </c>
      <c r="CQ58" s="23" t="s">
        <v>224</v>
      </c>
    </row>
    <row r="59" spans="1:95" ht="20" customHeight="1" x14ac:dyDescent="0.2">
      <c r="A59" s="60"/>
      <c r="B59" s="82"/>
      <c r="C59" s="24" t="s">
        <v>85</v>
      </c>
      <c r="D59" s="23" t="s">
        <v>318</v>
      </c>
      <c r="E59" s="23" t="s">
        <v>319</v>
      </c>
      <c r="F59" s="24">
        <v>2010</v>
      </c>
      <c r="H59" s="89">
        <v>53</v>
      </c>
      <c r="I59" s="112" t="s">
        <v>374</v>
      </c>
      <c r="J59" s="86" t="s">
        <v>414</v>
      </c>
      <c r="K59" s="33"/>
      <c r="L59" s="36" t="str">
        <f t="shared" si="0"/>
        <v/>
      </c>
      <c r="M59" s="95"/>
      <c r="N59" s="95" t="str">
        <f t="shared" si="1"/>
        <v/>
      </c>
      <c r="O59" s="33"/>
      <c r="P59" s="36" t="str">
        <f t="shared" si="44"/>
        <v/>
      </c>
      <c r="Q59" s="95"/>
      <c r="R59" s="99" t="str">
        <f t="shared" si="3"/>
        <v/>
      </c>
      <c r="S59" s="76">
        <v>15</v>
      </c>
      <c r="T59" s="36">
        <f t="shared" si="45"/>
        <v>28.30188679245283</v>
      </c>
      <c r="U59" s="95">
        <v>1</v>
      </c>
      <c r="V59" s="99">
        <f t="shared" si="5"/>
        <v>14</v>
      </c>
      <c r="W59" s="33"/>
      <c r="X59" s="36" t="str">
        <f t="shared" si="46"/>
        <v/>
      </c>
      <c r="Y59" s="95"/>
      <c r="Z59" s="99" t="str">
        <f t="shared" si="7"/>
        <v/>
      </c>
      <c r="AA59" s="33">
        <v>15</v>
      </c>
      <c r="AB59" s="36">
        <f t="shared" si="47"/>
        <v>28.30188679245283</v>
      </c>
      <c r="AC59" s="95"/>
      <c r="AD59" s="99" t="str">
        <f t="shared" si="9"/>
        <v/>
      </c>
      <c r="AE59" s="33"/>
      <c r="AF59" s="36" t="str">
        <f t="shared" si="10"/>
        <v/>
      </c>
      <c r="AG59" s="95"/>
      <c r="AH59" s="99" t="str">
        <f t="shared" si="11"/>
        <v/>
      </c>
      <c r="AI59" s="33"/>
      <c r="AJ59" s="36" t="str">
        <f t="shared" si="48"/>
        <v/>
      </c>
      <c r="AK59" s="95"/>
      <c r="AL59" s="99" t="str">
        <f t="shared" si="13"/>
        <v/>
      </c>
      <c r="AM59" s="33"/>
      <c r="AN59" s="36" t="str">
        <f>IF((ISERROR((AM59/$H59)*100)), "", IF(AND(NOT(ISERROR((AM59/$H59)*100)),((AM59/$H59)*100) &lt;&gt; 0), (AM59/$H59)*100, ""))</f>
        <v/>
      </c>
      <c r="AO59" s="95"/>
      <c r="AP59" s="99" t="str">
        <f t="shared" si="15"/>
        <v/>
      </c>
      <c r="AQ59" s="33">
        <v>2</v>
      </c>
      <c r="AR59" s="36">
        <f t="shared" si="49"/>
        <v>3.7735849056603774</v>
      </c>
      <c r="AS59" s="95">
        <v>1</v>
      </c>
      <c r="AT59" s="99">
        <f t="shared" si="42"/>
        <v>1</v>
      </c>
      <c r="AU59" s="33">
        <v>9</v>
      </c>
      <c r="AV59" s="36">
        <f t="shared" si="18"/>
        <v>16.981132075471699</v>
      </c>
      <c r="AW59" s="95">
        <v>0</v>
      </c>
      <c r="AX59" s="99">
        <f t="shared" si="19"/>
        <v>9</v>
      </c>
      <c r="AY59" s="76"/>
      <c r="AZ59" s="36" t="str">
        <f t="shared" si="50"/>
        <v/>
      </c>
      <c r="BA59" s="95"/>
      <c r="BB59" s="99" t="str">
        <f t="shared" si="21"/>
        <v/>
      </c>
      <c r="BC59" s="33"/>
      <c r="BD59" s="36" t="str">
        <f t="shared" si="51"/>
        <v/>
      </c>
      <c r="BE59" s="95"/>
      <c r="BF59" s="99" t="str">
        <f t="shared" si="23"/>
        <v/>
      </c>
      <c r="BG59" s="33">
        <v>3</v>
      </c>
      <c r="BH59" s="36">
        <f t="shared" si="52"/>
        <v>5.6603773584905666</v>
      </c>
      <c r="BI59" s="119">
        <v>0</v>
      </c>
      <c r="BJ59" s="120">
        <f t="shared" si="25"/>
        <v>3</v>
      </c>
      <c r="BK59" s="33">
        <v>2</v>
      </c>
      <c r="BL59" s="36">
        <f t="shared" si="53"/>
        <v>3.7735849056603774</v>
      </c>
      <c r="BM59" s="119">
        <v>0</v>
      </c>
      <c r="BN59" s="120">
        <f t="shared" si="27"/>
        <v>2</v>
      </c>
      <c r="BO59" s="33"/>
      <c r="BP59" s="36" t="str">
        <f t="shared" si="28"/>
        <v/>
      </c>
      <c r="BQ59" s="95"/>
      <c r="BR59" s="99" t="str">
        <f t="shared" si="29"/>
        <v/>
      </c>
      <c r="BS59" s="33"/>
      <c r="BT59" s="36" t="str">
        <f t="shared" si="30"/>
        <v/>
      </c>
      <c r="BU59" s="95"/>
      <c r="BV59" s="99" t="str">
        <f t="shared" si="31"/>
        <v/>
      </c>
      <c r="BW59" s="33"/>
      <c r="BX59" s="36" t="str">
        <f t="shared" si="32"/>
        <v/>
      </c>
      <c r="BY59" s="95"/>
      <c r="BZ59" s="99" t="str">
        <f t="shared" si="33"/>
        <v/>
      </c>
      <c r="CA59" s="33"/>
      <c r="CB59" s="36" t="str">
        <f t="shared" si="34"/>
        <v/>
      </c>
      <c r="CC59" s="95"/>
      <c r="CD59" s="99" t="str">
        <f t="shared" si="35"/>
        <v/>
      </c>
      <c r="CE59" s="33"/>
      <c r="CF59" s="36" t="str">
        <f t="shared" si="36"/>
        <v/>
      </c>
      <c r="CG59" s="95"/>
      <c r="CH59" s="99" t="str">
        <f t="shared" si="37"/>
        <v/>
      </c>
      <c r="CI59" s="33"/>
      <c r="CJ59" s="36" t="str">
        <f t="shared" si="38"/>
        <v/>
      </c>
      <c r="CK59" s="95"/>
      <c r="CL59" s="99" t="str">
        <f t="shared" si="39"/>
        <v/>
      </c>
      <c r="CM59" s="33"/>
      <c r="CN59" s="36" t="str">
        <f t="shared" si="40"/>
        <v/>
      </c>
      <c r="CO59" s="95"/>
      <c r="CP59" s="99" t="str">
        <f t="shared" si="41"/>
        <v/>
      </c>
      <c r="CQ59" s="23" t="s">
        <v>375</v>
      </c>
    </row>
    <row r="60" spans="1:95" ht="20" customHeight="1" x14ac:dyDescent="0.2">
      <c r="A60" s="60"/>
      <c r="B60" s="82"/>
      <c r="C60" s="24" t="s">
        <v>85</v>
      </c>
      <c r="D60" s="23" t="s">
        <v>320</v>
      </c>
      <c r="E60" s="23" t="s">
        <v>321</v>
      </c>
      <c r="F60" s="24">
        <v>2014</v>
      </c>
      <c r="H60" s="89">
        <v>39</v>
      </c>
      <c r="I60" s="85" t="s">
        <v>213</v>
      </c>
      <c r="J60" s="86" t="s">
        <v>376</v>
      </c>
      <c r="K60" s="33"/>
      <c r="L60" s="36" t="str">
        <f t="shared" si="0"/>
        <v/>
      </c>
      <c r="M60" s="95"/>
      <c r="N60" s="95" t="str">
        <f t="shared" si="1"/>
        <v/>
      </c>
      <c r="O60" s="33"/>
      <c r="P60" s="36" t="str">
        <f t="shared" si="44"/>
        <v/>
      </c>
      <c r="Q60" s="95"/>
      <c r="R60" s="99" t="str">
        <f t="shared" si="3"/>
        <v/>
      </c>
      <c r="S60" s="76">
        <v>6</v>
      </c>
      <c r="T60" s="36">
        <f t="shared" si="45"/>
        <v>15.384615384615385</v>
      </c>
      <c r="U60" s="95">
        <v>0</v>
      </c>
      <c r="V60" s="99">
        <f t="shared" si="5"/>
        <v>6</v>
      </c>
      <c r="W60" s="33"/>
      <c r="X60" s="36" t="str">
        <f t="shared" si="46"/>
        <v/>
      </c>
      <c r="Y60" s="95"/>
      <c r="Z60" s="99" t="str">
        <f t="shared" si="7"/>
        <v/>
      </c>
      <c r="AA60" s="33">
        <v>1</v>
      </c>
      <c r="AB60" s="36">
        <f t="shared" si="47"/>
        <v>2.5641025641025639</v>
      </c>
      <c r="AC60" s="95"/>
      <c r="AD60" s="99" t="str">
        <f t="shared" si="9"/>
        <v/>
      </c>
      <c r="AE60" s="33">
        <v>2</v>
      </c>
      <c r="AF60" s="36">
        <f t="shared" si="10"/>
        <v>5.1282051282051277</v>
      </c>
      <c r="AG60" s="95">
        <v>1</v>
      </c>
      <c r="AH60" s="99">
        <f t="shared" si="11"/>
        <v>1</v>
      </c>
      <c r="AI60" s="33"/>
      <c r="AJ60" s="36" t="str">
        <f t="shared" si="48"/>
        <v/>
      </c>
      <c r="AK60" s="95"/>
      <c r="AL60" s="99" t="str">
        <f t="shared" si="13"/>
        <v/>
      </c>
      <c r="AM60" s="33"/>
      <c r="AN60" s="36"/>
      <c r="AO60" s="95"/>
      <c r="AP60" s="99" t="str">
        <f t="shared" si="15"/>
        <v/>
      </c>
      <c r="AQ60" s="33">
        <v>0</v>
      </c>
      <c r="AR60" s="36" t="str">
        <f t="shared" si="49"/>
        <v/>
      </c>
      <c r="AS60" s="95">
        <v>1</v>
      </c>
      <c r="AT60" s="99">
        <f t="shared" si="42"/>
        <v>-1</v>
      </c>
      <c r="AU60" s="33"/>
      <c r="AV60" s="36" t="str">
        <f t="shared" si="18"/>
        <v/>
      </c>
      <c r="AW60" s="95"/>
      <c r="AX60" s="99" t="str">
        <f t="shared" si="19"/>
        <v/>
      </c>
      <c r="AY60" s="76"/>
      <c r="AZ60" s="36" t="str">
        <f t="shared" si="50"/>
        <v/>
      </c>
      <c r="BA60" s="95"/>
      <c r="BB60" s="99" t="str">
        <f t="shared" si="21"/>
        <v/>
      </c>
      <c r="BC60" s="33"/>
      <c r="BD60" s="36" t="str">
        <f t="shared" si="51"/>
        <v/>
      </c>
      <c r="BE60" s="95"/>
      <c r="BF60" s="99" t="str">
        <f t="shared" si="23"/>
        <v/>
      </c>
      <c r="BG60" s="33"/>
      <c r="BH60" s="36" t="str">
        <f t="shared" si="52"/>
        <v/>
      </c>
      <c r="BI60" s="95"/>
      <c r="BJ60" s="99" t="str">
        <f t="shared" si="25"/>
        <v/>
      </c>
      <c r="BK60" s="33"/>
      <c r="BL60" s="36" t="str">
        <f t="shared" si="53"/>
        <v/>
      </c>
      <c r="BM60" s="95"/>
      <c r="BN60" s="99" t="str">
        <f t="shared" si="27"/>
        <v/>
      </c>
      <c r="BO60" s="33">
        <v>1</v>
      </c>
      <c r="BP60" s="36">
        <f t="shared" si="28"/>
        <v>2.5641025641025639</v>
      </c>
      <c r="BQ60" s="95">
        <v>0</v>
      </c>
      <c r="BR60" s="99">
        <f t="shared" si="29"/>
        <v>1</v>
      </c>
      <c r="BS60" s="33"/>
      <c r="BT60" s="36" t="str">
        <f t="shared" si="30"/>
        <v/>
      </c>
      <c r="BU60" s="95"/>
      <c r="BV60" s="99" t="str">
        <f t="shared" si="31"/>
        <v/>
      </c>
      <c r="BW60" s="33"/>
      <c r="BX60" s="36" t="str">
        <f t="shared" si="32"/>
        <v/>
      </c>
      <c r="BY60" s="95"/>
      <c r="BZ60" s="99" t="str">
        <f t="shared" si="33"/>
        <v/>
      </c>
      <c r="CA60" s="33"/>
      <c r="CB60" s="36" t="str">
        <f t="shared" si="34"/>
        <v/>
      </c>
      <c r="CC60" s="95"/>
      <c r="CD60" s="99" t="str">
        <f t="shared" si="35"/>
        <v/>
      </c>
      <c r="CE60" s="33"/>
      <c r="CF60" s="36" t="str">
        <f t="shared" si="36"/>
        <v/>
      </c>
      <c r="CG60" s="95"/>
      <c r="CH60" s="99" t="str">
        <f t="shared" si="37"/>
        <v/>
      </c>
      <c r="CI60" s="33"/>
      <c r="CJ60" s="36" t="str">
        <f t="shared" si="38"/>
        <v/>
      </c>
      <c r="CK60" s="95"/>
      <c r="CL60" s="99" t="str">
        <f t="shared" si="39"/>
        <v/>
      </c>
      <c r="CM60" s="33"/>
      <c r="CN60" s="36" t="str">
        <f t="shared" si="40"/>
        <v/>
      </c>
      <c r="CO60" s="95"/>
      <c r="CP60" s="99" t="str">
        <f t="shared" si="41"/>
        <v/>
      </c>
      <c r="CQ60" s="23" t="s">
        <v>415</v>
      </c>
    </row>
    <row r="61" spans="1:95" ht="20" customHeight="1" x14ac:dyDescent="0.2">
      <c r="A61" s="60"/>
      <c r="B61" s="82"/>
      <c r="C61" s="24" t="s">
        <v>85</v>
      </c>
      <c r="D61" s="23" t="s">
        <v>322</v>
      </c>
      <c r="E61" s="23" t="s">
        <v>323</v>
      </c>
      <c r="F61" s="24">
        <v>2010</v>
      </c>
      <c r="H61" s="89">
        <v>789</v>
      </c>
      <c r="I61" s="85" t="s">
        <v>213</v>
      </c>
      <c r="J61" s="86" t="s">
        <v>378</v>
      </c>
      <c r="K61" s="33"/>
      <c r="L61" s="36" t="str">
        <f t="shared" si="0"/>
        <v/>
      </c>
      <c r="M61" s="95"/>
      <c r="N61" s="95" t="str">
        <f t="shared" si="1"/>
        <v/>
      </c>
      <c r="O61" s="33"/>
      <c r="P61" s="36" t="str">
        <f t="shared" si="44"/>
        <v/>
      </c>
      <c r="Q61" s="95"/>
      <c r="R61" s="99" t="str">
        <f t="shared" si="3"/>
        <v/>
      </c>
      <c r="S61" s="76"/>
      <c r="T61" s="36" t="str">
        <f t="shared" si="45"/>
        <v/>
      </c>
      <c r="U61" s="95"/>
      <c r="V61" s="99" t="str">
        <f t="shared" si="5"/>
        <v/>
      </c>
      <c r="W61" s="33"/>
      <c r="X61" s="36" t="str">
        <f t="shared" si="46"/>
        <v/>
      </c>
      <c r="Y61" s="95"/>
      <c r="Z61" s="99" t="str">
        <f t="shared" si="7"/>
        <v/>
      </c>
      <c r="AA61" s="33"/>
      <c r="AB61" s="36" t="str">
        <f t="shared" si="47"/>
        <v/>
      </c>
      <c r="AC61" s="95"/>
      <c r="AD61" s="99" t="str">
        <f t="shared" si="9"/>
        <v/>
      </c>
      <c r="AE61" s="33"/>
      <c r="AF61" s="36" t="str">
        <f>IF((ISERROR((AE61/$H61)*100)), "", IF(AND(NOT(ISERROR((AE61/$H61)*100)),((AE61/$H61)*100) &lt;&gt; 0), (AE61/$H61)*100, ""))</f>
        <v/>
      </c>
      <c r="AG61" s="95"/>
      <c r="AH61" s="99" t="str">
        <f t="shared" si="11"/>
        <v/>
      </c>
      <c r="AI61" s="33"/>
      <c r="AJ61" s="36" t="str">
        <f t="shared" si="48"/>
        <v/>
      </c>
      <c r="AK61" s="95"/>
      <c r="AL61" s="99" t="str">
        <f t="shared" si="13"/>
        <v/>
      </c>
      <c r="AM61" s="33"/>
      <c r="AN61" s="36" t="str">
        <f>IF((ISERROR((AM61/$H61)*100)), "", IF(AND(NOT(ISERROR((AM61/$H61)*100)),((AM61/$H61)*100) &lt;&gt; 0), (AM61/$H61)*100, ""))</f>
        <v/>
      </c>
      <c r="AO61" s="95"/>
      <c r="AP61" s="99" t="str">
        <f t="shared" si="15"/>
        <v/>
      </c>
      <c r="AQ61" s="33"/>
      <c r="AR61" s="36" t="str">
        <f t="shared" si="49"/>
        <v/>
      </c>
      <c r="AS61" s="95"/>
      <c r="AT61" s="99" t="str">
        <f t="shared" si="42"/>
        <v/>
      </c>
      <c r="AU61" s="33"/>
      <c r="AV61" s="36" t="str">
        <f t="shared" si="18"/>
        <v/>
      </c>
      <c r="AW61" s="95"/>
      <c r="AX61" s="99" t="str">
        <f t="shared" si="19"/>
        <v/>
      </c>
      <c r="AY61" s="76">
        <v>43</v>
      </c>
      <c r="AZ61" s="36">
        <f t="shared" si="50"/>
        <v>5.4499366286438535</v>
      </c>
      <c r="BA61" s="95">
        <v>74</v>
      </c>
      <c r="BB61" s="99">
        <f t="shared" si="21"/>
        <v>-31</v>
      </c>
      <c r="BC61" s="33"/>
      <c r="BD61" s="36" t="str">
        <f t="shared" si="51"/>
        <v/>
      </c>
      <c r="BE61" s="95"/>
      <c r="BF61" s="99" t="str">
        <f t="shared" si="23"/>
        <v/>
      </c>
      <c r="BG61" s="33"/>
      <c r="BH61" s="36" t="str">
        <f t="shared" si="52"/>
        <v/>
      </c>
      <c r="BI61" s="95"/>
      <c r="BJ61" s="99" t="str">
        <f t="shared" si="25"/>
        <v/>
      </c>
      <c r="BK61" s="33"/>
      <c r="BL61" s="36" t="str">
        <f t="shared" si="53"/>
        <v/>
      </c>
      <c r="BM61" s="95"/>
      <c r="BN61" s="99" t="str">
        <f t="shared" si="27"/>
        <v/>
      </c>
      <c r="BO61" s="33"/>
      <c r="BP61" s="36" t="str">
        <f t="shared" si="28"/>
        <v/>
      </c>
      <c r="BQ61" s="95"/>
      <c r="BR61" s="99" t="str">
        <f t="shared" si="29"/>
        <v/>
      </c>
      <c r="BS61" s="33"/>
      <c r="BT61" s="36" t="str">
        <f t="shared" si="30"/>
        <v/>
      </c>
      <c r="BU61" s="95"/>
      <c r="BV61" s="99" t="str">
        <f t="shared" si="31"/>
        <v/>
      </c>
      <c r="BW61" s="33"/>
      <c r="BX61" s="36" t="str">
        <f t="shared" si="32"/>
        <v/>
      </c>
      <c r="BY61" s="95"/>
      <c r="BZ61" s="99" t="str">
        <f t="shared" si="33"/>
        <v/>
      </c>
      <c r="CA61" s="33"/>
      <c r="CB61" s="36" t="str">
        <f t="shared" si="34"/>
        <v/>
      </c>
      <c r="CC61" s="95"/>
      <c r="CD61" s="99" t="str">
        <f t="shared" si="35"/>
        <v/>
      </c>
      <c r="CE61" s="33"/>
      <c r="CF61" s="36" t="str">
        <f t="shared" si="36"/>
        <v/>
      </c>
      <c r="CG61" s="95"/>
      <c r="CH61" s="99" t="str">
        <f t="shared" si="37"/>
        <v/>
      </c>
      <c r="CI61" s="33"/>
      <c r="CJ61" s="36" t="str">
        <f t="shared" si="38"/>
        <v/>
      </c>
      <c r="CK61" s="95"/>
      <c r="CL61" s="99" t="str">
        <f t="shared" si="39"/>
        <v/>
      </c>
      <c r="CM61" s="33"/>
      <c r="CN61" s="36" t="str">
        <f t="shared" si="40"/>
        <v/>
      </c>
      <c r="CO61" s="95"/>
      <c r="CP61" s="99" t="str">
        <f t="shared" si="41"/>
        <v/>
      </c>
      <c r="CQ61" s="23" t="s">
        <v>377</v>
      </c>
    </row>
    <row r="62" spans="1:95" ht="20" customHeight="1" x14ac:dyDescent="0.2">
      <c r="A62" s="61"/>
      <c r="B62" s="24"/>
      <c r="C62" s="24" t="s">
        <v>85</v>
      </c>
      <c r="D62" s="23" t="s">
        <v>143</v>
      </c>
      <c r="E62" s="23" t="s">
        <v>144</v>
      </c>
      <c r="F62" s="24">
        <v>2008</v>
      </c>
      <c r="G62" s="24">
        <v>156</v>
      </c>
      <c r="H62" s="89">
        <v>50</v>
      </c>
      <c r="I62" s="85" t="s">
        <v>177</v>
      </c>
      <c r="J62" s="86"/>
      <c r="K62" s="33"/>
      <c r="L62" s="36" t="str">
        <f t="shared" si="0"/>
        <v/>
      </c>
      <c r="M62" s="95"/>
      <c r="N62" s="95" t="str">
        <f t="shared" si="1"/>
        <v/>
      </c>
      <c r="O62" s="33"/>
      <c r="P62" s="36" t="str">
        <f t="shared" si="44"/>
        <v/>
      </c>
      <c r="Q62" s="95"/>
      <c r="R62" s="99" t="str">
        <f t="shared" si="3"/>
        <v/>
      </c>
      <c r="S62" s="76"/>
      <c r="T62" s="36" t="str">
        <f t="shared" si="45"/>
        <v/>
      </c>
      <c r="U62" s="95"/>
      <c r="V62" s="99" t="str">
        <f t="shared" si="5"/>
        <v/>
      </c>
      <c r="W62" s="33"/>
      <c r="X62" s="36" t="str">
        <f t="shared" si="46"/>
        <v/>
      </c>
      <c r="Y62" s="95"/>
      <c r="Z62" s="99" t="str">
        <f t="shared" si="7"/>
        <v/>
      </c>
      <c r="AA62" s="33"/>
      <c r="AB62" s="36" t="str">
        <f t="shared" si="47"/>
        <v/>
      </c>
      <c r="AC62" s="95"/>
      <c r="AD62" s="99" t="str">
        <f t="shared" si="9"/>
        <v/>
      </c>
      <c r="AE62" s="33"/>
      <c r="AF62" s="36" t="str">
        <f>IF((ISERROR((AE62/$H62)*100)), "", IF(AND(NOT(ISERROR((AE62/$H62)*100)),((AE62/$H62)*100) &lt;&gt; 0), (AE62/$H62)*100, ""))</f>
        <v/>
      </c>
      <c r="AG62" s="95"/>
      <c r="AH62" s="99" t="str">
        <f t="shared" si="11"/>
        <v/>
      </c>
      <c r="AI62" s="33"/>
      <c r="AJ62" s="36" t="str">
        <f t="shared" si="48"/>
        <v/>
      </c>
      <c r="AK62" s="95"/>
      <c r="AL62" s="99" t="str">
        <f t="shared" si="13"/>
        <v/>
      </c>
      <c r="AM62" s="33"/>
      <c r="AN62" s="36" t="str">
        <f>IF((ISERROR((AM62/$H62)*100)), "", IF(AND(NOT(ISERROR((AM62/$H62)*100)),((AM62/$H62)*100) &lt;&gt; 0), (AM62/$H62)*100, ""))</f>
        <v/>
      </c>
      <c r="AO62" s="95"/>
      <c r="AP62" s="99" t="str">
        <f t="shared" si="15"/>
        <v/>
      </c>
      <c r="AQ62" s="33"/>
      <c r="AR62" s="36" t="str">
        <f t="shared" si="49"/>
        <v/>
      </c>
      <c r="AS62" s="95"/>
      <c r="AT62" s="99" t="str">
        <f t="shared" si="42"/>
        <v/>
      </c>
      <c r="AU62" s="33"/>
      <c r="AV62" s="36" t="str">
        <f t="shared" si="18"/>
        <v/>
      </c>
      <c r="AW62" s="95"/>
      <c r="AX62" s="99" t="str">
        <f t="shared" si="19"/>
        <v/>
      </c>
      <c r="AY62" s="76"/>
      <c r="AZ62" s="36" t="str">
        <f t="shared" si="50"/>
        <v/>
      </c>
      <c r="BA62" s="95"/>
      <c r="BB62" s="99" t="str">
        <f t="shared" si="21"/>
        <v/>
      </c>
      <c r="BC62" s="33"/>
      <c r="BD62" s="36" t="str">
        <f t="shared" si="51"/>
        <v/>
      </c>
      <c r="BE62" s="95"/>
      <c r="BF62" s="99" t="str">
        <f t="shared" si="23"/>
        <v/>
      </c>
      <c r="BG62" s="33"/>
      <c r="BH62" s="36" t="str">
        <f t="shared" si="52"/>
        <v/>
      </c>
      <c r="BI62" s="95"/>
      <c r="BJ62" s="99" t="str">
        <f t="shared" si="25"/>
        <v/>
      </c>
      <c r="BK62" s="33"/>
      <c r="BL62" s="36" t="str">
        <f t="shared" si="53"/>
        <v/>
      </c>
      <c r="BM62" s="95"/>
      <c r="BN62" s="99" t="str">
        <f t="shared" si="27"/>
        <v/>
      </c>
      <c r="BO62" s="33"/>
      <c r="BP62" s="36" t="str">
        <f t="shared" si="28"/>
        <v/>
      </c>
      <c r="BQ62" s="95"/>
      <c r="BR62" s="99" t="str">
        <f t="shared" si="29"/>
        <v/>
      </c>
      <c r="BS62" s="33"/>
      <c r="BT62" s="36" t="str">
        <f t="shared" si="30"/>
        <v/>
      </c>
      <c r="BU62" s="95"/>
      <c r="BV62" s="99" t="str">
        <f t="shared" si="31"/>
        <v/>
      </c>
      <c r="BW62" s="33"/>
      <c r="BX62" s="36" t="str">
        <f t="shared" si="32"/>
        <v/>
      </c>
      <c r="BY62" s="95"/>
      <c r="BZ62" s="99" t="str">
        <f t="shared" si="33"/>
        <v/>
      </c>
      <c r="CA62" s="33"/>
      <c r="CB62" s="36" t="str">
        <f t="shared" si="34"/>
        <v/>
      </c>
      <c r="CC62" s="95"/>
      <c r="CD62" s="99" t="str">
        <f t="shared" si="35"/>
        <v/>
      </c>
      <c r="CE62" s="33"/>
      <c r="CF62" s="36" t="str">
        <f t="shared" si="36"/>
        <v/>
      </c>
      <c r="CG62" s="95"/>
      <c r="CH62" s="99" t="str">
        <f t="shared" si="37"/>
        <v/>
      </c>
      <c r="CI62" s="33"/>
      <c r="CJ62" s="36" t="str">
        <f t="shared" si="38"/>
        <v/>
      </c>
      <c r="CK62" s="95"/>
      <c r="CL62" s="99" t="str">
        <f t="shared" si="39"/>
        <v/>
      </c>
      <c r="CM62" s="33"/>
      <c r="CN62" s="36" t="str">
        <f t="shared" si="40"/>
        <v/>
      </c>
      <c r="CO62" s="95"/>
      <c r="CP62" s="99" t="str">
        <f t="shared" si="41"/>
        <v/>
      </c>
      <c r="CQ62" s="23" t="s">
        <v>231</v>
      </c>
    </row>
    <row r="63" spans="1:95" ht="20" customHeight="1" x14ac:dyDescent="0.2">
      <c r="A63" s="60"/>
      <c r="B63" s="83"/>
      <c r="C63" s="24" t="s">
        <v>85</v>
      </c>
      <c r="D63" s="23" t="s">
        <v>326</v>
      </c>
      <c r="E63" s="23" t="s">
        <v>327</v>
      </c>
      <c r="F63" s="24">
        <v>2009</v>
      </c>
      <c r="H63" s="89">
        <v>12</v>
      </c>
      <c r="I63" s="85" t="s">
        <v>216</v>
      </c>
      <c r="J63" s="86" t="s">
        <v>194</v>
      </c>
      <c r="K63" s="73"/>
      <c r="L63" s="74" t="str">
        <f t="shared" si="0"/>
        <v/>
      </c>
      <c r="M63" s="96"/>
      <c r="N63" s="95" t="str">
        <f t="shared" si="1"/>
        <v/>
      </c>
      <c r="O63" s="73"/>
      <c r="P63" s="74" t="str">
        <f t="shared" si="44"/>
        <v/>
      </c>
      <c r="Q63" s="96"/>
      <c r="R63" s="100" t="str">
        <f t="shared" si="3"/>
        <v/>
      </c>
      <c r="S63" s="75"/>
      <c r="T63" s="74" t="str">
        <f t="shared" si="45"/>
        <v/>
      </c>
      <c r="U63" s="96"/>
      <c r="V63" s="100" t="str">
        <f t="shared" si="5"/>
        <v/>
      </c>
      <c r="W63" s="73"/>
      <c r="X63" s="74" t="str">
        <f t="shared" si="46"/>
        <v/>
      </c>
      <c r="Y63" s="96"/>
      <c r="Z63" s="100" t="str">
        <f t="shared" si="7"/>
        <v/>
      </c>
      <c r="AA63" s="73"/>
      <c r="AB63" s="74" t="str">
        <f t="shared" si="47"/>
        <v/>
      </c>
      <c r="AC63" s="96"/>
      <c r="AD63" s="100" t="str">
        <f t="shared" si="9"/>
        <v/>
      </c>
      <c r="AE63" s="73"/>
      <c r="AF63" s="74" t="str">
        <f>IF((ISERROR((AE63/$H63)*100)), "", IF(AND(NOT(ISERROR((AE63/$H63)*100)),((AE63/$H63)*100) &lt;&gt; 0), (AE63/$H63)*100, ""))</f>
        <v/>
      </c>
      <c r="AG63" s="96"/>
      <c r="AH63" s="100" t="str">
        <f t="shared" si="11"/>
        <v/>
      </c>
      <c r="AI63" s="73"/>
      <c r="AJ63" s="74" t="str">
        <f t="shared" si="48"/>
        <v/>
      </c>
      <c r="AK63" s="96"/>
      <c r="AL63" s="100" t="str">
        <f t="shared" si="13"/>
        <v/>
      </c>
      <c r="AM63" s="73"/>
      <c r="AN63" s="74" t="str">
        <f>IF((ISERROR((AM63/$H63)*100)), "", IF(AND(NOT(ISERROR((AM63/$H63)*100)),((AM63/$H63)*100) &lt;&gt; 0), (AM63/$H63)*100, ""))</f>
        <v/>
      </c>
      <c r="AO63" s="96"/>
      <c r="AP63" s="100" t="str">
        <f t="shared" si="15"/>
        <v/>
      </c>
      <c r="AQ63" s="73"/>
      <c r="AR63" s="74" t="str">
        <f t="shared" si="49"/>
        <v/>
      </c>
      <c r="AS63" s="96"/>
      <c r="AT63" s="100" t="str">
        <f t="shared" si="42"/>
        <v/>
      </c>
      <c r="AU63" s="73"/>
      <c r="AV63" s="74" t="str">
        <f t="shared" si="18"/>
        <v/>
      </c>
      <c r="AW63" s="96"/>
      <c r="AX63" s="100" t="str">
        <f t="shared" si="19"/>
        <v/>
      </c>
      <c r="AY63" s="75"/>
      <c r="AZ63" s="74" t="str">
        <f t="shared" si="50"/>
        <v/>
      </c>
      <c r="BA63" s="96"/>
      <c r="BB63" s="100" t="str">
        <f t="shared" si="21"/>
        <v/>
      </c>
      <c r="BC63" s="73"/>
      <c r="BD63" s="74" t="str">
        <f t="shared" si="51"/>
        <v/>
      </c>
      <c r="BE63" s="96"/>
      <c r="BF63" s="100" t="str">
        <f t="shared" si="23"/>
        <v/>
      </c>
      <c r="BG63" s="73"/>
      <c r="BH63" s="74" t="str">
        <f t="shared" si="52"/>
        <v/>
      </c>
      <c r="BI63" s="96"/>
      <c r="BJ63" s="100" t="str">
        <f t="shared" si="25"/>
        <v/>
      </c>
      <c r="BK63" s="73"/>
      <c r="BL63" s="74" t="str">
        <f t="shared" si="53"/>
        <v/>
      </c>
      <c r="BM63" s="96"/>
      <c r="BN63" s="100" t="str">
        <f t="shared" si="27"/>
        <v/>
      </c>
      <c r="BO63" s="73"/>
      <c r="BP63" s="74" t="str">
        <f t="shared" si="28"/>
        <v/>
      </c>
      <c r="BQ63" s="96"/>
      <c r="BR63" s="100" t="str">
        <f t="shared" si="29"/>
        <v/>
      </c>
      <c r="BS63" s="73"/>
      <c r="BT63" s="74" t="str">
        <f t="shared" si="30"/>
        <v/>
      </c>
      <c r="BU63" s="96"/>
      <c r="BV63" s="100" t="str">
        <f t="shared" si="31"/>
        <v/>
      </c>
      <c r="BW63" s="73"/>
      <c r="BX63" s="74" t="str">
        <f t="shared" si="32"/>
        <v/>
      </c>
      <c r="BY63" s="96"/>
      <c r="BZ63" s="100" t="str">
        <f t="shared" si="33"/>
        <v/>
      </c>
      <c r="CA63" s="73"/>
      <c r="CB63" s="74" t="str">
        <f t="shared" si="34"/>
        <v/>
      </c>
      <c r="CC63" s="96"/>
      <c r="CD63" s="100" t="str">
        <f t="shared" si="35"/>
        <v/>
      </c>
      <c r="CE63" s="73"/>
      <c r="CF63" s="74" t="str">
        <f t="shared" si="36"/>
        <v/>
      </c>
      <c r="CG63" s="96"/>
      <c r="CH63" s="100" t="str">
        <f t="shared" si="37"/>
        <v/>
      </c>
      <c r="CI63" s="73"/>
      <c r="CJ63" s="74" t="str">
        <f t="shared" si="38"/>
        <v/>
      </c>
      <c r="CK63" s="96"/>
      <c r="CL63" s="100" t="str">
        <f t="shared" si="39"/>
        <v/>
      </c>
      <c r="CM63" s="73"/>
      <c r="CN63" s="74" t="str">
        <f t="shared" si="40"/>
        <v/>
      </c>
      <c r="CO63" s="96"/>
      <c r="CP63" s="100" t="str">
        <f t="shared" si="41"/>
        <v/>
      </c>
      <c r="CQ63" s="23" t="s">
        <v>181</v>
      </c>
    </row>
    <row r="64" spans="1:95" ht="20" customHeight="1" thickBot="1" x14ac:dyDescent="0.25">
      <c r="A64" s="61"/>
      <c r="B64" s="24"/>
      <c r="C64" s="24" t="s">
        <v>85</v>
      </c>
      <c r="D64" s="23" t="s">
        <v>147</v>
      </c>
      <c r="E64" s="23" t="s">
        <v>148</v>
      </c>
      <c r="F64" s="24">
        <v>2011</v>
      </c>
      <c r="G64" s="24">
        <v>112</v>
      </c>
      <c r="H64" s="90">
        <v>22</v>
      </c>
      <c r="I64" s="87" t="s">
        <v>220</v>
      </c>
      <c r="J64" s="88" t="s">
        <v>195</v>
      </c>
      <c r="K64" s="34"/>
      <c r="L64" s="37" t="str">
        <f t="shared" si="0"/>
        <v/>
      </c>
      <c r="M64" s="97"/>
      <c r="N64" s="97" t="str">
        <f t="shared" si="1"/>
        <v/>
      </c>
      <c r="O64" s="34"/>
      <c r="P64" s="37" t="str">
        <f t="shared" si="44"/>
        <v/>
      </c>
      <c r="Q64" s="97"/>
      <c r="R64" s="101" t="str">
        <f t="shared" si="3"/>
        <v/>
      </c>
      <c r="S64" s="35"/>
      <c r="T64" s="37" t="str">
        <f t="shared" si="45"/>
        <v/>
      </c>
      <c r="U64" s="97"/>
      <c r="V64" s="101" t="str">
        <f t="shared" si="5"/>
        <v/>
      </c>
      <c r="W64" s="34"/>
      <c r="X64" s="37" t="str">
        <f t="shared" si="46"/>
        <v/>
      </c>
      <c r="Y64" s="97"/>
      <c r="Z64" s="101" t="str">
        <f t="shared" si="7"/>
        <v/>
      </c>
      <c r="AA64" s="34"/>
      <c r="AB64" s="37" t="str">
        <f t="shared" si="47"/>
        <v/>
      </c>
      <c r="AC64" s="97"/>
      <c r="AD64" s="101" t="str">
        <f t="shared" si="9"/>
        <v/>
      </c>
      <c r="AE64" s="34"/>
      <c r="AF64" s="37" t="str">
        <f>IF((ISERROR((AE64/$H64)*100)), "", IF(AND(NOT(ISERROR((AE64/$H64)*100)),((AE64/$H64)*100) &lt;&gt; 0), (AE64/$H64)*100, ""))</f>
        <v/>
      </c>
      <c r="AG64" s="97"/>
      <c r="AH64" s="101" t="str">
        <f t="shared" si="11"/>
        <v/>
      </c>
      <c r="AI64" s="34"/>
      <c r="AJ64" s="37" t="str">
        <f t="shared" si="48"/>
        <v/>
      </c>
      <c r="AK64" s="97"/>
      <c r="AL64" s="101" t="str">
        <f t="shared" si="13"/>
        <v/>
      </c>
      <c r="AM64" s="34"/>
      <c r="AN64" s="37" t="str">
        <f>IF((ISERROR((AM64/$H64)*100)), "", IF(AND(NOT(ISERROR((AM64/$H64)*100)),((AM64/$H64)*100) &lt;&gt; 0), (AM64/$H64)*100, ""))</f>
        <v/>
      </c>
      <c r="AO64" s="97"/>
      <c r="AP64" s="101" t="str">
        <f t="shared" si="15"/>
        <v/>
      </c>
      <c r="AQ64" s="34"/>
      <c r="AR64" s="37" t="str">
        <f t="shared" si="49"/>
        <v/>
      </c>
      <c r="AS64" s="97"/>
      <c r="AT64" s="101" t="str">
        <f t="shared" si="42"/>
        <v/>
      </c>
      <c r="AU64" s="34"/>
      <c r="AV64" s="37" t="str">
        <f t="shared" si="18"/>
        <v/>
      </c>
      <c r="AW64" s="97"/>
      <c r="AX64" s="101" t="str">
        <f t="shared" si="19"/>
        <v/>
      </c>
      <c r="AY64" s="35"/>
      <c r="AZ64" s="37" t="str">
        <f t="shared" si="50"/>
        <v/>
      </c>
      <c r="BA64" s="97"/>
      <c r="BB64" s="101" t="str">
        <f t="shared" si="21"/>
        <v/>
      </c>
      <c r="BC64" s="34"/>
      <c r="BD64" s="37" t="str">
        <f t="shared" si="51"/>
        <v/>
      </c>
      <c r="BE64" s="97"/>
      <c r="BF64" s="101" t="str">
        <f t="shared" si="23"/>
        <v/>
      </c>
      <c r="BG64" s="34"/>
      <c r="BH64" s="37" t="str">
        <f t="shared" si="52"/>
        <v/>
      </c>
      <c r="BI64" s="97"/>
      <c r="BJ64" s="101" t="str">
        <f t="shared" si="25"/>
        <v/>
      </c>
      <c r="BK64" s="34"/>
      <c r="BL64" s="37" t="str">
        <f t="shared" si="53"/>
        <v/>
      </c>
      <c r="BM64" s="97"/>
      <c r="BN64" s="101" t="str">
        <f t="shared" si="27"/>
        <v/>
      </c>
      <c r="BO64" s="34"/>
      <c r="BP64" s="37" t="str">
        <f t="shared" si="28"/>
        <v/>
      </c>
      <c r="BQ64" s="97"/>
      <c r="BR64" s="101" t="str">
        <f t="shared" si="29"/>
        <v/>
      </c>
      <c r="BS64" s="34"/>
      <c r="BT64" s="37" t="str">
        <f t="shared" si="30"/>
        <v/>
      </c>
      <c r="BU64" s="97"/>
      <c r="BV64" s="101" t="str">
        <f t="shared" si="31"/>
        <v/>
      </c>
      <c r="BW64" s="34"/>
      <c r="BX64" s="37" t="str">
        <f t="shared" si="32"/>
        <v/>
      </c>
      <c r="BY64" s="97"/>
      <c r="BZ64" s="101" t="str">
        <f t="shared" si="33"/>
        <v/>
      </c>
      <c r="CA64" s="34"/>
      <c r="CB64" s="37" t="str">
        <f t="shared" si="34"/>
        <v/>
      </c>
      <c r="CC64" s="97"/>
      <c r="CD64" s="101" t="str">
        <f t="shared" si="35"/>
        <v/>
      </c>
      <c r="CE64" s="34"/>
      <c r="CF64" s="37" t="str">
        <f t="shared" si="36"/>
        <v/>
      </c>
      <c r="CG64" s="97"/>
      <c r="CH64" s="101" t="str">
        <f t="shared" si="37"/>
        <v/>
      </c>
      <c r="CI64" s="34"/>
      <c r="CJ64" s="37" t="str">
        <f t="shared" si="38"/>
        <v/>
      </c>
      <c r="CK64" s="97"/>
      <c r="CL64" s="101" t="str">
        <f t="shared" si="39"/>
        <v/>
      </c>
      <c r="CM64" s="34"/>
      <c r="CN64" s="37" t="str">
        <f t="shared" si="40"/>
        <v/>
      </c>
      <c r="CO64" s="97"/>
      <c r="CP64" s="101" t="str">
        <f t="shared" si="41"/>
        <v/>
      </c>
      <c r="CQ64" s="23" t="s">
        <v>233</v>
      </c>
    </row>
    <row r="66" spans="3:94" ht="17" thickBot="1" x14ac:dyDescent="0.25"/>
    <row r="67" spans="3:94" s="22" customFormat="1" x14ac:dyDescent="0.2">
      <c r="C67" s="41"/>
      <c r="F67" s="24"/>
      <c r="G67" s="43" t="s">
        <v>246</v>
      </c>
      <c r="H67" s="405">
        <f>SUM(H11:H64)</f>
        <v>1980</v>
      </c>
      <c r="I67" s="404" t="s">
        <v>454</v>
      </c>
      <c r="J67" s="406" t="s">
        <v>243</v>
      </c>
      <c r="K67" s="407">
        <f>IF((SUM(K11:K64)&lt;&gt;0), SUMIF($H11:$H64, "&gt;0", K11:K64), "")</f>
        <v>5</v>
      </c>
      <c r="L67" s="408">
        <f>IF(ISERROR((K67/$H67)*100), "", IF(((K67/$H67)*100) &lt;&gt; 0, (K67/$H67)*100, ""))</f>
        <v>0.25252525252525254</v>
      </c>
      <c r="M67" s="404">
        <f>IF((SUM(N11:N64)&lt;&gt;0), SUMIF($H11:$H64, "&gt;0", N11:N64), "")</f>
        <v>5</v>
      </c>
      <c r="N67" s="408">
        <f>IF(ISERROR((M67/$H67)*100), "", IF(((M67/$H67)*100) &lt;&gt; 0, (M67/$H67)*100, ""))</f>
        <v>0.25252525252525254</v>
      </c>
      <c r="O67" s="407">
        <f>IF((SUM(O11:O64)&lt;&gt;0), SUMIF($H11:$H64, "&gt;0", O11:O64), "")</f>
        <v>25</v>
      </c>
      <c r="P67" s="408">
        <f>IF(ISERROR((O67/$H67)*100), "", IF(((O67/$H67)*100) &lt;&gt; 0, (O67/$H67)*100, ""))</f>
        <v>1.2626262626262625</v>
      </c>
      <c r="Q67" s="404">
        <f>IF((SUM(R11:R64)&lt;&gt;0), SUMIF($H11:$H64, "&gt;0", R11:R64), "")</f>
        <v>2</v>
      </c>
      <c r="R67" s="408">
        <f>IF(ISERROR((Q67/$H67)*100), "", IF(((Q67/$H67)*100) &lt;&gt; 0, (Q67/$H67)*100, ""))</f>
        <v>0.10101010101010101</v>
      </c>
      <c r="S67" s="407">
        <f>IF((SUM(S11:S64)&lt;&gt;0), SUMIF($H11:$H64, "&gt;0", S11:S64), "")</f>
        <v>72</v>
      </c>
      <c r="T67" s="408">
        <f>IF(ISERROR((S67/$H67)*100), "", IF(((S67/$H67)*100) &lt;&gt; 0, (S67/$H67)*100, ""))</f>
        <v>3.6363636363636362</v>
      </c>
      <c r="U67" s="404">
        <f>IF((SUM(V11:V64)&lt;&gt;0), SUMIF($H11:$H64, "&gt;0", V11:V64), "")</f>
        <v>21</v>
      </c>
      <c r="V67" s="408">
        <f>IF(ISERROR((U67/$H67)*100), "", IF(((U67/$H67)*100) &lt;&gt; 0, (U67/$H67)*100, ""))</f>
        <v>1.0606060606060608</v>
      </c>
      <c r="W67" s="407">
        <f>IF((SUM(W11:W64)&lt;&gt;0), SUMIF($H11:$H64, "&gt;0", W11:W64), "")</f>
        <v>2</v>
      </c>
      <c r="X67" s="408">
        <f>IF(ISERROR((W67/$H67)*100), "", IF(((W67/$H67)*100) &lt;&gt; 0, (W67/$H67)*100, ""))</f>
        <v>0.10101010101010101</v>
      </c>
      <c r="Y67" s="404">
        <f>IF((SUM(Z11:Z64)&lt;&gt;0), SUMIF($H11:$H64, "&gt;0", Z11:Z64), "")</f>
        <v>2</v>
      </c>
      <c r="Z67" s="408">
        <f>IF(ISERROR((Y67/$H67)*100), "", IF(((Y67/$H67)*100) &lt;&gt; 0, (Y67/$H67)*100, ""))</f>
        <v>0.10101010101010101</v>
      </c>
      <c r="AA67" s="407">
        <f>IF((SUM(AA11:AA64)&lt;&gt;0), SUMIF($H11:$H64, "&gt;0", AA11:AA64), "")</f>
        <v>50</v>
      </c>
      <c r="AB67" s="408">
        <f>IF(ISERROR((AA67/$H67)*100), "", IF(((AA67/$H67)*100) &lt;&gt; 0, (AA67/$H67)*100, ""))</f>
        <v>2.5252525252525251</v>
      </c>
      <c r="AC67" s="404">
        <f>IF((SUM(AD11:AD64)&lt;&gt;0), SUMIF($H11:$H64, "&gt;0", AD11:AD64), "")</f>
        <v>7</v>
      </c>
      <c r="AD67" s="408">
        <f>IF(ISERROR((AC67/$H67)*100), "", IF(((AC67/$H67)*100) &lt;&gt; 0, (AC67/$H67)*100, ""))</f>
        <v>0.35353535353535354</v>
      </c>
      <c r="AE67" s="407">
        <f>IF((SUM(AE11:AE64)&lt;&gt;0), SUMIF($H11:$H64, "&gt;0", AE11:AE64), "")</f>
        <v>34</v>
      </c>
      <c r="AF67" s="408">
        <f>IF(ISERROR((AE67/$H67)*100), "", IF(((AE67/$H67)*100) &lt;&gt; 0, (AE67/$H67)*100, ""))</f>
        <v>1.7171717171717171</v>
      </c>
      <c r="AG67" s="404">
        <f>IF((SUM(AH11:AH64)&lt;&gt;0), SUMIF($H11:$H64, "&gt;0", AH11:AH64), "")</f>
        <v>6</v>
      </c>
      <c r="AH67" s="408">
        <f>IF(ISERROR((AG67/$H67)*100), "", IF(((AG67/$H67)*100) &lt;&gt; 0, (AG67/$H67)*100, ""))</f>
        <v>0.30303030303030304</v>
      </c>
      <c r="AI67" s="407">
        <f>IF((SUM(AI11:AI64)&lt;&gt;0), SUMIF($H11:$H64, "&gt;0", AI11:AI64), "")</f>
        <v>1</v>
      </c>
      <c r="AJ67" s="408">
        <f>IF(ISERROR((AI67/$H67)*100), "", IF(((AI67/$H67)*100) &lt;&gt; 0, (AI67/$H67)*100, ""))</f>
        <v>5.0505050505050504E-2</v>
      </c>
      <c r="AK67" s="404">
        <f>IF((SUM(AL11:AL64)&lt;&gt;0), SUMIF($H11:$H64, "&gt;0", AL11:AL64), "")</f>
        <v>1</v>
      </c>
      <c r="AL67" s="408">
        <f>IF(ISERROR((AK67/$H67)*100), "", IF(((AK67/$H67)*100) &lt;&gt; 0, (AK67/$H67)*100, ""))</f>
        <v>5.0505050505050504E-2</v>
      </c>
      <c r="AM67" s="407">
        <f>IF((SUM(AM11:AM64)&lt;&gt;0), SUMIF($H11:$H64, "&gt;0", AM11:AM64), "")</f>
        <v>1</v>
      </c>
      <c r="AN67" s="408">
        <f>IF(ISERROR((AM67/$H67)*100), "", IF(((AM67/$H67)*100) &lt;&gt; 0, (AM67/$H67)*100, ""))</f>
        <v>5.0505050505050504E-2</v>
      </c>
      <c r="AO67" s="404" t="str">
        <f>IF((SUM(AP11:AP64)&lt;&gt;0), SUMIF($H11:$H64, "&gt;0", AP11:AP64), "")</f>
        <v/>
      </c>
      <c r="AP67" s="408" t="str">
        <f>IF(ISERROR((AO67/$H67)*100), "", IF(((AO67/$H67)*100) &lt;&gt; 0, (AO67/$H67)*100, ""))</f>
        <v/>
      </c>
      <c r="AQ67" s="407">
        <f>IF((SUM(AQ11:AQ64)&lt;&gt;0), SUMIF($H11:$H64, "&gt;0", AQ11:AQ64), "")</f>
        <v>26</v>
      </c>
      <c r="AR67" s="408">
        <f>IF(ISERROR((AQ67/$H67)*100), "", IF(((AQ67/$H67)*100) &lt;&gt; 0, (AQ67/$H67)*100, ""))</f>
        <v>1.3131313131313131</v>
      </c>
      <c r="AS67" s="404">
        <f>IF((SUM(AT11:AT64)&lt;&gt;0), SUMIF($H11:$H64, "&gt;0", AT11:AT64), "")</f>
        <v>6</v>
      </c>
      <c r="AT67" s="408">
        <f>IF(ISERROR((AS67/$H67)*100), "", IF(((AS67/$H67)*100) &lt;&gt; 0, (AS67/$H67)*100, ""))</f>
        <v>0.30303030303030304</v>
      </c>
      <c r="AU67" s="407">
        <f>IF((SUM(AU11:AU64)&lt;&gt;0), SUMIF($H11:$H64, "&gt;0", AU11:AU64), "")</f>
        <v>22</v>
      </c>
      <c r="AV67" s="408">
        <f>IF(ISERROR((AU67/$H67)*100), "", IF(((AU67/$H67)*100) &lt;&gt; 0, (AU67/$H67)*100, ""))</f>
        <v>1.1111111111111112</v>
      </c>
      <c r="AW67" s="404">
        <f>IF((SUM(AX11:AX64)&lt;&gt;0), SUMIF($H11:$H64, "&gt;0", AX11:AX64), "")</f>
        <v>3</v>
      </c>
      <c r="AX67" s="408">
        <f>IF(ISERROR((AW67/$H67)*100), "", IF(((AW67/$H67)*100) &lt;&gt; 0, (AW67/$H67)*100, ""))</f>
        <v>0.15151515151515152</v>
      </c>
      <c r="AY67" s="407">
        <f>IF((SUM(AY11:AY64)&lt;&gt;0), SUMIF($H11:$H64, "&gt;0", AY11:AY64), "")</f>
        <v>90</v>
      </c>
      <c r="AZ67" s="408">
        <f>IF(ISERROR((AY67/$H67)*100), "", IF(((AY67/$H67)*100) &lt;&gt; 0, (AY67/$H67)*100, ""))</f>
        <v>4.5454545454545459</v>
      </c>
      <c r="BA67" s="404">
        <f>IF((SUM(BB11:BB64)&lt;&gt;0), SUMIF($H11:$H64, "&gt;0", BB11:BB64), "")</f>
        <v>-28</v>
      </c>
      <c r="BB67" s="408">
        <f>IF(ISERROR((BA67/$H67)*100), "", IF(((BA67/$H67)*100) &lt;&gt; 0, (BA67/$H67)*100, ""))</f>
        <v>-1.4141414141414141</v>
      </c>
      <c r="BC67" s="407">
        <f>IF((SUM(BC11:BC64)&lt;&gt;0), SUMIF($H11:$H64, "&gt;0", BC11:BC64), "")</f>
        <v>2</v>
      </c>
      <c r="BD67" s="408">
        <f>IF(ISERROR((BC67/$H67)*100), "", IF(((BC67/$H67)*100) &lt;&gt; 0, (BC67/$H67)*100, ""))</f>
        <v>0.10101010101010101</v>
      </c>
      <c r="BE67" s="404">
        <f>IF((SUM(BF11:BF64)&lt;&gt;0), SUMIF($H11:$H64, "&gt;0", BF11:BF64), "")</f>
        <v>1</v>
      </c>
      <c r="BF67" s="408">
        <f>IF(ISERROR((BE67/$H67)*100), "", IF(((BE67/$H67)*100) &lt;&gt; 0, (BE67/$H67)*100, ""))</f>
        <v>5.0505050505050504E-2</v>
      </c>
      <c r="BG67" s="407">
        <f>IF((SUM(BG11:BG64)&lt;&gt;0), SUMIF($H11:$H64, "&gt;0", BG11:BG64), "")</f>
        <v>4</v>
      </c>
      <c r="BH67" s="408">
        <f>IF(ISERROR((BG67/$H67)*100), "", IF(((BG67/$H67)*100) &lt;&gt; 0, (BG67/$H67)*100, ""))</f>
        <v>0.20202020202020202</v>
      </c>
      <c r="BI67" s="404">
        <f>IF((SUM(BJ11:BJ64)&lt;&gt;0), SUMIF($H11:$H64, "&gt;0", BJ11:BJ64), "")</f>
        <v>4</v>
      </c>
      <c r="BJ67" s="408">
        <f>IF(ISERROR((BI67/$H67)*100), "", IF(((BI67/$H67)*100) &lt;&gt; 0, (BI67/$H67)*100, ""))</f>
        <v>0.20202020202020202</v>
      </c>
      <c r="BK67" s="407">
        <f>IF((SUM(BK11:BK64)&lt;&gt;0), SUMIF($H11:$H64, "&gt;0", BK11:BK64), "")</f>
        <v>8</v>
      </c>
      <c r="BL67" s="408">
        <f>IF(ISERROR((BK67/$H67)*100), "", IF(((BK67/$H67)*100) &lt;&gt; 0, (BK67/$H67)*100, ""))</f>
        <v>0.40404040404040403</v>
      </c>
      <c r="BM67" s="404">
        <f>IF((SUM(BN11:BN64)&lt;&gt;0), SUMIF($H11:$H64, "&gt;0", BN11:BN64), "")</f>
        <v>-11</v>
      </c>
      <c r="BN67" s="408">
        <f>IF(ISERROR((BM67/$H67)*100), "", IF(((BM67/$H67)*100) &lt;&gt; 0, (BM67/$H67)*100, ""))</f>
        <v>-0.55555555555555558</v>
      </c>
      <c r="BO67" s="407">
        <f>IF((SUM(BO11:BO64)&lt;&gt;0), SUMIF($H11:$H64, "&gt;0", BO11:BO64), "")</f>
        <v>2</v>
      </c>
      <c r="BP67" s="408">
        <f>IF(ISERROR((BO67/$H67)*100), "", IF(((BO67/$H67)*100) &lt;&gt; 0, (BO67/$H67)*100, ""))</f>
        <v>0.10101010101010101</v>
      </c>
      <c r="BQ67" s="404">
        <f>IF((SUM(BR11:BR64)&lt;&gt;0), SUMIF($H11:$H64, "&gt;0", BR11:BR64), "")</f>
        <v>2</v>
      </c>
      <c r="BR67" s="408">
        <f>IF(ISERROR((BQ67/$H67)*100), "", IF(((BQ67/$H67)*100) &lt;&gt; 0, (BQ67/$H67)*100, ""))</f>
        <v>0.10101010101010101</v>
      </c>
      <c r="BS67" s="407">
        <f>IF((SUM(BS11:BS64)&lt;&gt;0), SUMIF($H11:$H64, "&gt;0", BS11:BS64), "")</f>
        <v>0</v>
      </c>
      <c r="BT67" s="408" t="str">
        <f>IF(ISERROR((BS67/$H67)*100), "", IF(((BS67/$H67)*100) &lt;&gt; 0, (BS67/$H67)*100, ""))</f>
        <v/>
      </c>
      <c r="BU67" s="404" t="str">
        <f>IF((SUM(BV11:BV64)&lt;&gt;0), SUMIF($H11:$H64, "&gt;0", BV11:BV64), "")</f>
        <v/>
      </c>
      <c r="BV67" s="408" t="str">
        <f>IF(ISERROR((BU67/$H67)*100), "", IF(((BU67/$H67)*100) &lt;&gt; 0, (BU67/$H67)*100, ""))</f>
        <v/>
      </c>
      <c r="BW67" s="407" t="str">
        <f>IF((SUM(BW11:BW64)&lt;&gt;0), SUMIF($H11:$H64, "&gt;0", BW11:BW64), "")</f>
        <v/>
      </c>
      <c r="BX67" s="408" t="str">
        <f>IF(ISERROR((BW67/$H67)*100), "", IF(((BW67/$H67)*100) &lt;&gt; 0, (BW67/$H67)*100, ""))</f>
        <v/>
      </c>
      <c r="BY67" s="404" t="str">
        <f>IF((SUM(BZ11:BZ64)&lt;&gt;0), SUMIF($H11:$H64, "&gt;0", BZ11:BZ64), "")</f>
        <v/>
      </c>
      <c r="BZ67" s="408" t="str">
        <f>IF(ISERROR((BY67/$H67)*100), "", IF(((BY67/$H67)*100) &lt;&gt; 0, (BY67/$H67)*100, ""))</f>
        <v/>
      </c>
      <c r="CA67" s="407" t="str">
        <f>IF((SUM(CA11:CA64)&lt;&gt;0), SUMIF($H11:$H64, "&gt;0", CA11:CA64), "")</f>
        <v/>
      </c>
      <c r="CB67" s="408" t="str">
        <f>IF(ISERROR((CA67/$H67)*100), "", IF(((CA67/$H67)*100) &lt;&gt; 0, (CA67/$H67)*100, ""))</f>
        <v/>
      </c>
      <c r="CC67" s="404" t="str">
        <f>IF((SUM(CD11:CD64)&lt;&gt;0), SUMIF($H11:$H64, "&gt;0", CD11:CD64), "")</f>
        <v/>
      </c>
      <c r="CD67" s="408" t="str">
        <f>IF(ISERROR((CC67/$H67)*100), "", IF(((CC67/$H67)*100) &lt;&gt; 0, (CC67/$H67)*100, ""))</f>
        <v/>
      </c>
      <c r="CE67" s="407" t="str">
        <f>IF((SUM(CE11:CE64)&lt;&gt;0), SUMIF($H11:$H64, "&gt;0", CE11:CE64), "")</f>
        <v/>
      </c>
      <c r="CF67" s="408" t="str">
        <f>IF(ISERROR((CE67/$H67)*100), "", IF(((CE67/$H67)*100) &lt;&gt; 0, (CE67/$H67)*100, ""))</f>
        <v/>
      </c>
      <c r="CG67" s="404" t="str">
        <f>IF((SUM(CH11:CH64)&lt;&gt;0), SUMIF($H11:$H64, "&gt;0", CH11:CH64), "")</f>
        <v/>
      </c>
      <c r="CH67" s="408" t="str">
        <f>IF(ISERROR((CG67/$H67)*100), "", IF(((CG67/$H67)*100) &lt;&gt; 0, (CG67/$H67)*100, ""))</f>
        <v/>
      </c>
      <c r="CI67" s="407" t="str">
        <f>IF((SUM(CI11:CI64)&lt;&gt;0), SUMIF($H11:$H64, "&gt;0", CI11:CI64), "")</f>
        <v/>
      </c>
      <c r="CJ67" s="408" t="str">
        <f>IF(ISERROR((CI67/$H67)*100), "", IF(((CI67/$H67)*100) &lt;&gt; 0, (CI67/$H67)*100, ""))</f>
        <v/>
      </c>
      <c r="CK67" s="404" t="str">
        <f>IF((SUM(CL11:CL64)&lt;&gt;0), SUMIF($H11:$H64, "&gt;0", CL11:CL64), "")</f>
        <v/>
      </c>
      <c r="CL67" s="408" t="str">
        <f>IF(ISERROR((CK67/$H67)*100), "", IF(((CK67/$H67)*100) &lt;&gt; 0, (CK67/$H67)*100, ""))</f>
        <v/>
      </c>
      <c r="CM67" s="407" t="str">
        <f>IF((SUM(CM11:CM64)&lt;&gt;0), SUMIF($H11:$H64, "&gt;0", CM11:CM64), "")</f>
        <v/>
      </c>
      <c r="CN67" s="408" t="str">
        <f>IF(ISERROR((CM67/$H67)*100), "", IF(((CM67/$H67)*100) &lt;&gt; 0, (CM67/$H67)*100, ""))</f>
        <v/>
      </c>
      <c r="CO67" s="404" t="str">
        <f>IF((SUM(CP11:CP64)&lt;&gt;0), SUMIF($H11:$H64, "&gt;0", CP11:CP64), "")</f>
        <v/>
      </c>
      <c r="CP67" s="408" t="str">
        <f>IF(ISERROR((CO67/$H67)*100), "", IF(((CO67/$H67)*100) &lt;&gt; 0, (CO67/$H67)*100, ""))</f>
        <v/>
      </c>
    </row>
    <row r="68" spans="3:94" s="22" customFormat="1" x14ac:dyDescent="0.2">
      <c r="C68" s="41"/>
      <c r="F68" s="24"/>
      <c r="G68" s="43" t="s">
        <v>247</v>
      </c>
      <c r="H68" s="409" t="s">
        <v>245</v>
      </c>
      <c r="I68" s="47" t="s">
        <v>453</v>
      </c>
      <c r="J68" s="410" t="s">
        <v>243</v>
      </c>
      <c r="K68" s="395">
        <f>IF(SUMIF(K11:K64, "&gt; 0", $H11:$H64) &gt; 0, SUMIF(K11:K64, "&gt; 0", $H11:$H64), "")</f>
        <v>8</v>
      </c>
      <c r="L68" s="411">
        <f>IF(NOT(ISERROR(K67/K68)*100), (K67/K68)*100, "")</f>
        <v>62.5</v>
      </c>
      <c r="M68" s="395">
        <f>K68</f>
        <v>8</v>
      </c>
      <c r="N68" s="410">
        <f>IF(NOT(ISERROR((M67/K68)*100)),(M67/K68)*100, "")</f>
        <v>62.5</v>
      </c>
      <c r="O68" s="395">
        <f>IF(SUMIF(O11:O64, "&gt; 0", $H11:$H64) &gt; 0, SUMIF(O11:O64, "&gt; 0", $H11:$H64), "")</f>
        <v>62</v>
      </c>
      <c r="P68" s="412">
        <f>IF(NOT(ISERROR(O67/O68)*100), (O67/O68)*100, "")</f>
        <v>40.322580645161288</v>
      </c>
      <c r="Q68" s="395">
        <f>O68</f>
        <v>62</v>
      </c>
      <c r="R68" s="412">
        <f>IF(NOT(ISERROR((Q67/O68)*100)),(Q67/O68)*100, "")</f>
        <v>3.225806451612903</v>
      </c>
      <c r="S68" s="395">
        <f>IF(SUMIF(S11:S64, "&gt; 0", $H11:$H64) &gt; 0, SUMIF(S11:S64, "&gt; 0", $H11:$H64), "")</f>
        <v>236</v>
      </c>
      <c r="T68" s="412">
        <f>IF(NOT(ISERROR(S67/S68)*100), (S67/S68)*100, "")</f>
        <v>30.508474576271187</v>
      </c>
      <c r="U68" s="395">
        <f>S68</f>
        <v>236</v>
      </c>
      <c r="V68" s="412">
        <f>IF(NOT(ISERROR((U67/S68)*100)),(U67/S68)*100, "")</f>
        <v>8.898305084745763</v>
      </c>
      <c r="W68" s="395">
        <f>IF(SUMIF(W11:W64, "&gt; 0", $H11:$H64) &gt; 0, SUMIF(W11:W64, "&gt; 0", $H11:$H64), "")</f>
        <v>8</v>
      </c>
      <c r="X68" s="412">
        <f>IF(NOT(ISERROR(W67/W68)*100), (W67/W68)*100, "")</f>
        <v>25</v>
      </c>
      <c r="Y68" s="395">
        <f>W68</f>
        <v>8</v>
      </c>
      <c r="Z68" s="412">
        <f>IF(NOT(ISERROR((Y67/W68)*100)),(Y67/W68)*100, "")</f>
        <v>25</v>
      </c>
      <c r="AA68" s="395">
        <f>IF(SUMIF(AA11:AA64, "&gt; 0", $H11:$H64) &gt; 0, SUMIF(AA11:AA64, "&gt; 0", $H11:$H64), "")</f>
        <v>217</v>
      </c>
      <c r="AB68" s="412">
        <f>IF(NOT(ISERROR(AA67/AA68)*100), (AA67/AA68)*100, "")</f>
        <v>23.041474654377879</v>
      </c>
      <c r="AC68" s="395">
        <f>AA68</f>
        <v>217</v>
      </c>
      <c r="AD68" s="412">
        <f>IF(NOT(ISERROR((AC67/AA68)*100)),(AC67/AA68)*100, "")</f>
        <v>3.225806451612903</v>
      </c>
      <c r="AE68" s="395">
        <f>IF(SUMIF(AE11:AE64, "&gt; 0", $H11:$H64) &gt; 0, SUMIF(AE11:AE64, "&gt; 0", $H11:$H64), "")</f>
        <v>156</v>
      </c>
      <c r="AF68" s="412">
        <f>IF(NOT(ISERROR(AE67/AE68)*100), (AE67/AE68)*100, "")</f>
        <v>21.794871794871796</v>
      </c>
      <c r="AG68" s="395">
        <f>AE68</f>
        <v>156</v>
      </c>
      <c r="AH68" s="412">
        <f>IF(NOT(ISERROR((AG67/AE68)*100)),(AG67/AE68)*100, "")</f>
        <v>3.8461538461538463</v>
      </c>
      <c r="AI68" s="395">
        <f>IF(SUMIF(AI11:AI64, "&gt; 0", $H11:$H64) &gt; 0, SUMIF(AI11:AI64, "&gt; 0", $H11:$H64), "")</f>
        <v>8</v>
      </c>
      <c r="AJ68" s="412">
        <f>IF(NOT(ISERROR(AI67/AI68)*100), (AI67/AI68)*100, "")</f>
        <v>12.5</v>
      </c>
      <c r="AK68" s="395">
        <f>AI68</f>
        <v>8</v>
      </c>
      <c r="AL68" s="412">
        <f>IF(NOT(ISERROR((AK67/AI68)*100)),(AK67/AI68)*100, "")</f>
        <v>12.5</v>
      </c>
      <c r="AM68" s="395">
        <f>IF(SUMIF(AM11:AM64, "&gt; 0", $H11:$H64) &gt; 0, SUMIF(AM11:AM64, "&gt; 0", $H11:$H64), "")</f>
        <v>8</v>
      </c>
      <c r="AN68" s="412">
        <f>IF(NOT(ISERROR(AM67/AM68)*100), (AM67/AM68)*100, "")</f>
        <v>12.5</v>
      </c>
      <c r="AO68" s="395">
        <f>AM68</f>
        <v>8</v>
      </c>
      <c r="AP68" s="412" t="str">
        <f>IF(NOT(ISERROR((AO67/AM68)*100)),(AO67/AM68)*100, "")</f>
        <v/>
      </c>
      <c r="AQ68" s="395">
        <f>IF(SUMIF(AQ11:AQ64, "&gt; 0", $H11:$H64) &gt; 0, SUMIF(AQ11:AQ64, "&gt; 0", $H11:$H64), "")</f>
        <v>214</v>
      </c>
      <c r="AR68" s="412">
        <f>IF(NOT(ISERROR(AQ67/AQ68)*100), (AQ67/AQ68)*100, "")</f>
        <v>12.149532710280374</v>
      </c>
      <c r="AS68" s="395">
        <f>AQ68</f>
        <v>214</v>
      </c>
      <c r="AT68" s="412">
        <f>IF(NOT(ISERROR((AS67/AQ68)*100)),(AS67/AQ68)*100, "")</f>
        <v>2.8037383177570092</v>
      </c>
      <c r="AU68" s="395">
        <f>IF(SUMIF(AU11:AU64, "&gt; 0", $H11:$H64) &gt; 0, SUMIF(AU11:AU64, "&gt; 0", $H11:$H64), "")</f>
        <v>190</v>
      </c>
      <c r="AV68" s="412">
        <f>IF(NOT(ISERROR(AU67/AU68)*100), (AU67/AU68)*100, "")</f>
        <v>11.578947368421053</v>
      </c>
      <c r="AW68" s="395">
        <f>AU68</f>
        <v>190</v>
      </c>
      <c r="AX68" s="412">
        <f>IF(NOT(ISERROR((AW67/AU68)*100)),(AW67/AU68)*100, "")</f>
        <v>1.5789473684210527</v>
      </c>
      <c r="AY68" s="395">
        <f>IF(SUMIF(AY11:AY64, "&gt; 0", $H11:$H64) &gt; 0, SUMIF(AY11:AY64, "&gt; 0", $H11:$H64), "")</f>
        <v>941</v>
      </c>
      <c r="AZ68" s="412">
        <f>IF(NOT(ISERROR(AY67/AY68)*100), (AY67/AY68)*100, "")</f>
        <v>9.5642933049946866</v>
      </c>
      <c r="BA68" s="395">
        <f>AY68</f>
        <v>941</v>
      </c>
      <c r="BB68" s="412">
        <f>IF(NOT(ISERROR((BA67/AY68)*100)),(BA67/AY68)*100, "")</f>
        <v>-2.9755579171094579</v>
      </c>
      <c r="BC68" s="395">
        <f>IF(SUMIF(BC11:BC64, "&gt; 0", $H11:$H64) &gt; 0, SUMIF(BC11:BC64, "&gt; 0", $H11:$H64), "")</f>
        <v>27</v>
      </c>
      <c r="BD68" s="412">
        <f>IF(NOT(ISERROR(BC67/BC68)*100), (BC67/BC68)*100, "")</f>
        <v>7.4074074074074066</v>
      </c>
      <c r="BE68" s="395">
        <f>BC68</f>
        <v>27</v>
      </c>
      <c r="BF68" s="412">
        <f>IF(NOT(ISERROR((BE67/BC68)*100)),(BE67/BC68)*100, "")</f>
        <v>3.7037037037037033</v>
      </c>
      <c r="BG68" s="395">
        <f>IF(SUMIF(BG11:BG64, "&gt; 0", $H11:$H64) &gt; 0, SUMIF(BG11:BG64, "&gt; 0", $H11:$H64), "")</f>
        <v>61</v>
      </c>
      <c r="BH68" s="412">
        <f>IF(NOT(ISERROR(BG67/BG68)*100), (BG67/BG68)*100, "")</f>
        <v>6.557377049180328</v>
      </c>
      <c r="BI68" s="395">
        <f>BG68</f>
        <v>61</v>
      </c>
      <c r="BJ68" s="412">
        <f>IF(NOT(ISERROR((BI67/BG68)*100)),(BI67/BG68)*100, "")</f>
        <v>6.557377049180328</v>
      </c>
      <c r="BK68" s="395">
        <f>IF(SUMIF(BK11:BK64, "&gt; 0", $H11:$H64) &gt; 0, SUMIF(BK11:BK64, "&gt; 0", $H11:$H64), "")</f>
        <v>162</v>
      </c>
      <c r="BL68" s="412">
        <f>IF(NOT(ISERROR(BK67/BK68)*100), (BK67/BK68)*100, "")</f>
        <v>4.9382716049382713</v>
      </c>
      <c r="BM68" s="395">
        <f>BK68</f>
        <v>162</v>
      </c>
      <c r="BN68" s="412">
        <f>IF(NOT(ISERROR((BM67/BK68)*100)),(BM67/BK68)*100, "")</f>
        <v>-6.7901234567901234</v>
      </c>
      <c r="BO68" s="395">
        <f>IF(SUMIF(BO11:BO64, "&gt; 0", $H11:$H64) &gt; 0, SUMIF(BO11:BO64, "&gt; 0", $H11:$H64), "")</f>
        <v>47</v>
      </c>
      <c r="BP68" s="412">
        <f>IF(NOT(ISERROR(BO67/BO68)*100), (BO67/BO68)*100, "")</f>
        <v>4.2553191489361701</v>
      </c>
      <c r="BQ68" s="395">
        <f>BO68</f>
        <v>47</v>
      </c>
      <c r="BR68" s="412">
        <f>IF(NOT(ISERROR((BQ67/BO68)*100)),(BQ67/BO68)*100, "")</f>
        <v>4.2553191489361701</v>
      </c>
      <c r="BS68" s="395" t="str">
        <f>IF(SUMIF(BS11:BS64, "&gt; 0", $H11:$H64) &gt; 0, SUMIF(BS11:BS64, "&gt; 0", $H11:$H64), "")</f>
        <v/>
      </c>
      <c r="BT68" s="411" t="str">
        <f>IF(NOT(ISERROR(BS67/BS68)*100), (BS67/BS68)*100, "")</f>
        <v/>
      </c>
      <c r="BU68" s="395" t="str">
        <f>BS68</f>
        <v/>
      </c>
      <c r="BV68" s="412" t="str">
        <f>IF(NOT(ISERROR((BU67/BS68)*100)),(BU67/BS68)*100, "")</f>
        <v/>
      </c>
      <c r="BW68" s="395" t="str">
        <f>IF(SUMIF(BW11:BW64, "&gt; 0", $H11:$H64) &gt; 0, SUMIF(BW11:BW64, "&gt; 0", $H11:$H64), "")</f>
        <v/>
      </c>
      <c r="BX68" s="411" t="str">
        <f>IF(NOT(ISERROR(BW67/BW68)*100), (BW67/BW68)*100, "")</f>
        <v/>
      </c>
      <c r="BY68" s="395" t="str">
        <f>BW68</f>
        <v/>
      </c>
      <c r="BZ68" s="412" t="str">
        <f>IF(NOT(ISERROR((BY67/BW68)*100)),(BY67/BW68)*100, "")</f>
        <v/>
      </c>
      <c r="CA68" s="395" t="str">
        <f>IF(SUMIF(CA11:CA64, "&gt; 0", $H11:$H64) &gt; 0, SUMIF(CA11:CA64, "&gt; 0", $H11:$H64), "")</f>
        <v/>
      </c>
      <c r="CB68" s="411" t="str">
        <f>IF(NOT(ISERROR(CA67/CA68)*100), (CA67/CA68)*100, "")</f>
        <v/>
      </c>
      <c r="CC68" s="395" t="str">
        <f>CA68</f>
        <v/>
      </c>
      <c r="CD68" s="412" t="str">
        <f>IF(NOT(ISERROR((CC67/CA68)*100)),(CC67/CA68)*100, "")</f>
        <v/>
      </c>
      <c r="CE68" s="395" t="str">
        <f>IF(SUMIF(CE11:CE64, "&gt; 0", $H11:$H64) &gt; 0, SUMIF(CE11:CE64, "&gt; 0", $H11:$H64), "")</f>
        <v/>
      </c>
      <c r="CF68" s="411" t="str">
        <f>IF(NOT(ISERROR(CE67/CE68)*100), (CE67/CE68)*100, "")</f>
        <v/>
      </c>
      <c r="CG68" s="395" t="str">
        <f>CE68</f>
        <v/>
      </c>
      <c r="CH68" s="412" t="str">
        <f>IF(NOT(ISERROR((CG67/CE68)*100)),(CG67/CE68)*100, "")</f>
        <v/>
      </c>
      <c r="CI68" s="395" t="str">
        <f>IF(SUMIF(CI11:CI64, "&gt; 0", $H11:$H64) &gt; 0, SUMIF(CI11:CI64, "&gt; 0", $H11:$H64), "")</f>
        <v/>
      </c>
      <c r="CJ68" s="411" t="str">
        <f>IF(NOT(ISERROR(CI67/CI68)*100), (CI67/CI68)*100, "")</f>
        <v/>
      </c>
      <c r="CK68" s="395" t="str">
        <f>CI68</f>
        <v/>
      </c>
      <c r="CL68" s="412" t="str">
        <f>IF(NOT(ISERROR((CK67/CI68)*100)),(CK67/CI68)*100, "")</f>
        <v/>
      </c>
      <c r="CM68" s="395" t="str">
        <f>IF(SUMIF(CM11:CM64, "&gt; 0", $H11:$H64) &gt; 0, SUMIF(CM11:CM64, "&gt; 0", $H11:$H64), "")</f>
        <v/>
      </c>
      <c r="CN68" s="411" t="str">
        <f>IF(NOT(ISERROR(CM67/CM68)*100), (CM67/CM68)*100, "")</f>
        <v/>
      </c>
      <c r="CO68" s="395" t="str">
        <f>CM68</f>
        <v/>
      </c>
      <c r="CP68" s="412" t="str">
        <f>IF(NOT(ISERROR((CO67/CM68)*100)),(CO67/CM68)*100, "")</f>
        <v/>
      </c>
    </row>
    <row r="69" spans="3:94" ht="17" customHeight="1" thickBot="1" x14ac:dyDescent="0.25">
      <c r="H69" s="228" t="s">
        <v>456</v>
      </c>
      <c r="I69" s="231"/>
      <c r="J69" s="232"/>
      <c r="K69" s="207" t="s">
        <v>242</v>
      </c>
      <c r="L69" s="209" t="s">
        <v>243</v>
      </c>
      <c r="M69" s="397" t="s">
        <v>457</v>
      </c>
      <c r="N69" s="386" t="s">
        <v>243</v>
      </c>
      <c r="O69" s="207" t="s">
        <v>242</v>
      </c>
      <c r="P69" s="209" t="s">
        <v>243</v>
      </c>
      <c r="Q69" s="397" t="s">
        <v>457</v>
      </c>
      <c r="R69" s="386" t="s">
        <v>243</v>
      </c>
      <c r="S69" s="207" t="s">
        <v>242</v>
      </c>
      <c r="T69" s="209" t="s">
        <v>243</v>
      </c>
      <c r="U69" s="397" t="s">
        <v>457</v>
      </c>
      <c r="V69" s="386" t="s">
        <v>243</v>
      </c>
      <c r="W69" s="207" t="s">
        <v>242</v>
      </c>
      <c r="X69" s="209" t="s">
        <v>243</v>
      </c>
      <c r="Y69" s="397" t="s">
        <v>457</v>
      </c>
      <c r="Z69" s="386" t="s">
        <v>243</v>
      </c>
      <c r="AA69" s="207" t="s">
        <v>242</v>
      </c>
      <c r="AB69" s="209" t="s">
        <v>243</v>
      </c>
      <c r="AC69" s="397" t="s">
        <v>457</v>
      </c>
      <c r="AD69" s="386" t="s">
        <v>243</v>
      </c>
      <c r="AE69" s="207" t="s">
        <v>242</v>
      </c>
      <c r="AF69" s="209" t="s">
        <v>243</v>
      </c>
      <c r="AG69" s="397" t="s">
        <v>457</v>
      </c>
      <c r="AH69" s="386" t="s">
        <v>243</v>
      </c>
      <c r="AI69" s="207" t="s">
        <v>242</v>
      </c>
      <c r="AJ69" s="209" t="s">
        <v>243</v>
      </c>
      <c r="AK69" s="397" t="s">
        <v>457</v>
      </c>
      <c r="AL69" s="386" t="s">
        <v>243</v>
      </c>
      <c r="AM69" s="207" t="s">
        <v>242</v>
      </c>
      <c r="AN69" s="209" t="s">
        <v>243</v>
      </c>
      <c r="AO69" s="397" t="s">
        <v>457</v>
      </c>
      <c r="AP69" s="386" t="s">
        <v>243</v>
      </c>
      <c r="AQ69" s="207" t="s">
        <v>242</v>
      </c>
      <c r="AR69" s="209" t="s">
        <v>243</v>
      </c>
      <c r="AS69" s="397" t="s">
        <v>457</v>
      </c>
      <c r="AT69" s="386" t="s">
        <v>243</v>
      </c>
      <c r="AU69" s="207" t="s">
        <v>242</v>
      </c>
      <c r="AV69" s="209" t="s">
        <v>243</v>
      </c>
      <c r="AW69" s="397" t="s">
        <v>457</v>
      </c>
      <c r="AX69" s="386" t="s">
        <v>243</v>
      </c>
      <c r="AY69" s="207" t="s">
        <v>242</v>
      </c>
      <c r="AZ69" s="209" t="s">
        <v>243</v>
      </c>
      <c r="BA69" s="397" t="s">
        <v>457</v>
      </c>
      <c r="BB69" s="386" t="s">
        <v>243</v>
      </c>
      <c r="BC69" s="207" t="s">
        <v>242</v>
      </c>
      <c r="BD69" s="209" t="s">
        <v>243</v>
      </c>
      <c r="BE69" s="397" t="s">
        <v>457</v>
      </c>
      <c r="BF69" s="386" t="s">
        <v>243</v>
      </c>
      <c r="BG69" s="207" t="s">
        <v>242</v>
      </c>
      <c r="BH69" s="209" t="s">
        <v>243</v>
      </c>
      <c r="BI69" s="397" t="s">
        <v>457</v>
      </c>
      <c r="BJ69" s="386" t="s">
        <v>243</v>
      </c>
      <c r="BK69" s="207" t="s">
        <v>242</v>
      </c>
      <c r="BL69" s="209" t="s">
        <v>243</v>
      </c>
      <c r="BM69" s="397" t="s">
        <v>457</v>
      </c>
      <c r="BN69" s="386" t="s">
        <v>243</v>
      </c>
      <c r="BO69" s="207" t="s">
        <v>242</v>
      </c>
      <c r="BP69" s="209" t="s">
        <v>243</v>
      </c>
      <c r="BQ69" s="397" t="s">
        <v>457</v>
      </c>
      <c r="BR69" s="386" t="s">
        <v>243</v>
      </c>
      <c r="BS69" s="207" t="s">
        <v>242</v>
      </c>
      <c r="BT69" s="209" t="s">
        <v>243</v>
      </c>
      <c r="BU69" s="397" t="s">
        <v>457</v>
      </c>
      <c r="BV69" s="386" t="s">
        <v>243</v>
      </c>
      <c r="BW69" s="207" t="s">
        <v>242</v>
      </c>
      <c r="BX69" s="209" t="s">
        <v>243</v>
      </c>
      <c r="BY69" s="397" t="s">
        <v>457</v>
      </c>
      <c r="BZ69" s="386" t="s">
        <v>243</v>
      </c>
      <c r="CA69" s="207" t="s">
        <v>242</v>
      </c>
      <c r="CB69" s="209" t="s">
        <v>243</v>
      </c>
      <c r="CC69" s="397" t="s">
        <v>457</v>
      </c>
      <c r="CD69" s="386" t="s">
        <v>243</v>
      </c>
      <c r="CE69" s="207" t="s">
        <v>242</v>
      </c>
      <c r="CF69" s="209" t="s">
        <v>243</v>
      </c>
      <c r="CG69" s="397" t="s">
        <v>457</v>
      </c>
      <c r="CH69" s="386" t="s">
        <v>243</v>
      </c>
      <c r="CI69" s="207" t="s">
        <v>242</v>
      </c>
      <c r="CJ69" s="209" t="s">
        <v>243</v>
      </c>
      <c r="CK69" s="397" t="s">
        <v>457</v>
      </c>
      <c r="CL69" s="386" t="s">
        <v>243</v>
      </c>
      <c r="CM69" s="207" t="s">
        <v>242</v>
      </c>
      <c r="CN69" s="209" t="s">
        <v>243</v>
      </c>
      <c r="CO69" s="397" t="s">
        <v>457</v>
      </c>
      <c r="CP69" s="386" t="s">
        <v>243</v>
      </c>
    </row>
    <row r="70" spans="3:94" x14ac:dyDescent="0.2">
      <c r="E70" s="55" t="s">
        <v>249</v>
      </c>
      <c r="F70" s="58">
        <v>1</v>
      </c>
      <c r="H70" s="229"/>
      <c r="I70" s="233"/>
      <c r="J70" s="234"/>
      <c r="K70" s="207"/>
      <c r="L70" s="210"/>
      <c r="M70" s="398"/>
      <c r="N70" s="387"/>
      <c r="O70" s="207"/>
      <c r="P70" s="210"/>
      <c r="Q70" s="398"/>
      <c r="R70" s="387"/>
      <c r="S70" s="207"/>
      <c r="T70" s="210"/>
      <c r="U70" s="398"/>
      <c r="V70" s="387"/>
      <c r="W70" s="207"/>
      <c r="X70" s="210"/>
      <c r="Y70" s="398"/>
      <c r="Z70" s="387"/>
      <c r="AA70" s="207"/>
      <c r="AB70" s="210"/>
      <c r="AC70" s="398"/>
      <c r="AD70" s="387"/>
      <c r="AE70" s="207"/>
      <c r="AF70" s="210"/>
      <c r="AG70" s="398"/>
      <c r="AH70" s="387"/>
      <c r="AI70" s="207"/>
      <c r="AJ70" s="210"/>
      <c r="AK70" s="398"/>
      <c r="AL70" s="387"/>
      <c r="AM70" s="207"/>
      <c r="AN70" s="210"/>
      <c r="AO70" s="398"/>
      <c r="AP70" s="387"/>
      <c r="AQ70" s="207"/>
      <c r="AR70" s="210"/>
      <c r="AS70" s="398"/>
      <c r="AT70" s="387"/>
      <c r="AU70" s="207"/>
      <c r="AV70" s="210"/>
      <c r="AW70" s="398"/>
      <c r="AX70" s="387"/>
      <c r="AY70" s="207"/>
      <c r="AZ70" s="210"/>
      <c r="BA70" s="398"/>
      <c r="BB70" s="387"/>
      <c r="BC70" s="207"/>
      <c r="BD70" s="210"/>
      <c r="BE70" s="398"/>
      <c r="BF70" s="387"/>
      <c r="BG70" s="207"/>
      <c r="BH70" s="210"/>
      <c r="BI70" s="398"/>
      <c r="BJ70" s="387"/>
      <c r="BK70" s="207"/>
      <c r="BL70" s="210"/>
      <c r="BM70" s="398"/>
      <c r="BN70" s="387"/>
      <c r="BO70" s="207"/>
      <c r="BP70" s="210"/>
      <c r="BQ70" s="398"/>
      <c r="BR70" s="387"/>
      <c r="BS70" s="207"/>
      <c r="BT70" s="210"/>
      <c r="BU70" s="398"/>
      <c r="BV70" s="387"/>
      <c r="BW70" s="207"/>
      <c r="BX70" s="210"/>
      <c r="BY70" s="398"/>
      <c r="BZ70" s="387"/>
      <c r="CA70" s="207"/>
      <c r="CB70" s="210"/>
      <c r="CC70" s="398"/>
      <c r="CD70" s="387"/>
      <c r="CE70" s="207"/>
      <c r="CF70" s="210"/>
      <c r="CG70" s="398"/>
      <c r="CH70" s="387"/>
      <c r="CI70" s="207"/>
      <c r="CJ70" s="210"/>
      <c r="CK70" s="398"/>
      <c r="CL70" s="387"/>
      <c r="CM70" s="207"/>
      <c r="CN70" s="210"/>
      <c r="CO70" s="398"/>
      <c r="CP70" s="387"/>
    </row>
    <row r="71" spans="3:94" ht="16" customHeight="1" x14ac:dyDescent="0.2">
      <c r="E71" s="400" t="s">
        <v>459</v>
      </c>
      <c r="F71" s="401"/>
      <c r="H71" s="229"/>
      <c r="I71" s="233"/>
      <c r="J71" s="234"/>
      <c r="K71" s="207"/>
      <c r="L71" s="210"/>
      <c r="M71" s="398"/>
      <c r="N71" s="387"/>
      <c r="O71" s="207"/>
      <c r="P71" s="210"/>
      <c r="Q71" s="398"/>
      <c r="R71" s="387"/>
      <c r="S71" s="207"/>
      <c r="T71" s="210"/>
      <c r="U71" s="398"/>
      <c r="V71" s="387"/>
      <c r="W71" s="207"/>
      <c r="X71" s="210"/>
      <c r="Y71" s="398"/>
      <c r="Z71" s="387"/>
      <c r="AA71" s="207"/>
      <c r="AB71" s="210"/>
      <c r="AC71" s="398"/>
      <c r="AD71" s="387"/>
      <c r="AE71" s="207"/>
      <c r="AF71" s="210"/>
      <c r="AG71" s="398"/>
      <c r="AH71" s="387"/>
      <c r="AI71" s="207"/>
      <c r="AJ71" s="210"/>
      <c r="AK71" s="398"/>
      <c r="AL71" s="387"/>
      <c r="AM71" s="207"/>
      <c r="AN71" s="210"/>
      <c r="AO71" s="398"/>
      <c r="AP71" s="387"/>
      <c r="AQ71" s="207"/>
      <c r="AR71" s="210"/>
      <c r="AS71" s="398"/>
      <c r="AT71" s="387"/>
      <c r="AU71" s="207"/>
      <c r="AV71" s="210"/>
      <c r="AW71" s="398"/>
      <c r="AX71" s="387"/>
      <c r="AY71" s="207"/>
      <c r="AZ71" s="210"/>
      <c r="BA71" s="398"/>
      <c r="BB71" s="387"/>
      <c r="BC71" s="207"/>
      <c r="BD71" s="210"/>
      <c r="BE71" s="398"/>
      <c r="BF71" s="387"/>
      <c r="BG71" s="207"/>
      <c r="BH71" s="210"/>
      <c r="BI71" s="398"/>
      <c r="BJ71" s="387"/>
      <c r="BK71" s="207"/>
      <c r="BL71" s="210"/>
      <c r="BM71" s="398"/>
      <c r="BN71" s="387"/>
      <c r="BO71" s="207"/>
      <c r="BP71" s="210"/>
      <c r="BQ71" s="398"/>
      <c r="BR71" s="387"/>
      <c r="BS71" s="207"/>
      <c r="BT71" s="210"/>
      <c r="BU71" s="398"/>
      <c r="BV71" s="387"/>
      <c r="BW71" s="207"/>
      <c r="BX71" s="210"/>
      <c r="BY71" s="398"/>
      <c r="BZ71" s="387"/>
      <c r="CA71" s="207"/>
      <c r="CB71" s="210"/>
      <c r="CC71" s="398"/>
      <c r="CD71" s="387"/>
      <c r="CE71" s="207"/>
      <c r="CF71" s="210"/>
      <c r="CG71" s="398"/>
      <c r="CH71" s="387"/>
      <c r="CI71" s="207"/>
      <c r="CJ71" s="210"/>
      <c r="CK71" s="398"/>
      <c r="CL71" s="387"/>
      <c r="CM71" s="207"/>
      <c r="CN71" s="210"/>
      <c r="CO71" s="398"/>
      <c r="CP71" s="387"/>
    </row>
    <row r="72" spans="3:94" ht="16" customHeight="1" x14ac:dyDescent="0.2">
      <c r="E72" s="400"/>
      <c r="F72" s="401"/>
      <c r="H72" s="229"/>
      <c r="I72" s="233"/>
      <c r="J72" s="234"/>
      <c r="K72" s="207"/>
      <c r="L72" s="210"/>
      <c r="M72" s="398"/>
      <c r="N72" s="387"/>
      <c r="O72" s="207"/>
      <c r="P72" s="210"/>
      <c r="Q72" s="398"/>
      <c r="R72" s="387"/>
      <c r="S72" s="207"/>
      <c r="T72" s="210"/>
      <c r="U72" s="398"/>
      <c r="V72" s="387"/>
      <c r="W72" s="207"/>
      <c r="X72" s="210"/>
      <c r="Y72" s="398"/>
      <c r="Z72" s="387"/>
      <c r="AA72" s="207"/>
      <c r="AB72" s="210"/>
      <c r="AC72" s="398"/>
      <c r="AD72" s="387"/>
      <c r="AE72" s="207"/>
      <c r="AF72" s="210"/>
      <c r="AG72" s="398"/>
      <c r="AH72" s="387"/>
      <c r="AI72" s="207"/>
      <c r="AJ72" s="210"/>
      <c r="AK72" s="398"/>
      <c r="AL72" s="387"/>
      <c r="AM72" s="207"/>
      <c r="AN72" s="210"/>
      <c r="AO72" s="398"/>
      <c r="AP72" s="387"/>
      <c r="AQ72" s="207"/>
      <c r="AR72" s="210"/>
      <c r="AS72" s="398"/>
      <c r="AT72" s="387"/>
      <c r="AU72" s="207"/>
      <c r="AV72" s="210"/>
      <c r="AW72" s="398"/>
      <c r="AX72" s="387"/>
      <c r="AY72" s="207"/>
      <c r="AZ72" s="210"/>
      <c r="BA72" s="398"/>
      <c r="BB72" s="387"/>
      <c r="BC72" s="207"/>
      <c r="BD72" s="210"/>
      <c r="BE72" s="398"/>
      <c r="BF72" s="387"/>
      <c r="BG72" s="207"/>
      <c r="BH72" s="210"/>
      <c r="BI72" s="398"/>
      <c r="BJ72" s="387"/>
      <c r="BK72" s="207"/>
      <c r="BL72" s="210"/>
      <c r="BM72" s="398"/>
      <c r="BN72" s="387"/>
      <c r="BO72" s="207"/>
      <c r="BP72" s="210"/>
      <c r="BQ72" s="398"/>
      <c r="BR72" s="387"/>
      <c r="BS72" s="207"/>
      <c r="BT72" s="210"/>
      <c r="BU72" s="398"/>
      <c r="BV72" s="387"/>
      <c r="BW72" s="207"/>
      <c r="BX72" s="210"/>
      <c r="BY72" s="398"/>
      <c r="BZ72" s="387"/>
      <c r="CA72" s="207"/>
      <c r="CB72" s="210"/>
      <c r="CC72" s="398"/>
      <c r="CD72" s="387"/>
      <c r="CE72" s="207"/>
      <c r="CF72" s="210"/>
      <c r="CG72" s="398"/>
      <c r="CH72" s="387"/>
      <c r="CI72" s="207"/>
      <c r="CJ72" s="210"/>
      <c r="CK72" s="398"/>
      <c r="CL72" s="387"/>
      <c r="CM72" s="207"/>
      <c r="CN72" s="210"/>
      <c r="CO72" s="398"/>
      <c r="CP72" s="387"/>
    </row>
    <row r="73" spans="3:94" x14ac:dyDescent="0.2">
      <c r="E73" s="400"/>
      <c r="F73" s="401"/>
      <c r="H73" s="229"/>
      <c r="I73" s="233"/>
      <c r="J73" s="234"/>
      <c r="K73" s="208"/>
      <c r="L73" s="210"/>
      <c r="M73" s="399"/>
      <c r="N73" s="388"/>
      <c r="O73" s="208"/>
      <c r="P73" s="210"/>
      <c r="Q73" s="399"/>
      <c r="R73" s="388"/>
      <c r="S73" s="208"/>
      <c r="T73" s="210"/>
      <c r="U73" s="399"/>
      <c r="V73" s="388"/>
      <c r="W73" s="208"/>
      <c r="X73" s="210"/>
      <c r="Y73" s="399"/>
      <c r="Z73" s="388"/>
      <c r="AA73" s="208"/>
      <c r="AB73" s="210"/>
      <c r="AC73" s="399"/>
      <c r="AD73" s="388"/>
      <c r="AE73" s="208"/>
      <c r="AF73" s="210"/>
      <c r="AG73" s="399"/>
      <c r="AH73" s="388"/>
      <c r="AI73" s="208"/>
      <c r="AJ73" s="210"/>
      <c r="AK73" s="399"/>
      <c r="AL73" s="388"/>
      <c r="AM73" s="208"/>
      <c r="AN73" s="210"/>
      <c r="AO73" s="399"/>
      <c r="AP73" s="388"/>
      <c r="AQ73" s="208"/>
      <c r="AR73" s="210"/>
      <c r="AS73" s="399"/>
      <c r="AT73" s="388"/>
      <c r="AU73" s="208"/>
      <c r="AV73" s="210"/>
      <c r="AW73" s="399"/>
      <c r="AX73" s="388"/>
      <c r="AY73" s="208"/>
      <c r="AZ73" s="210"/>
      <c r="BA73" s="399"/>
      <c r="BB73" s="388"/>
      <c r="BC73" s="208"/>
      <c r="BD73" s="210"/>
      <c r="BE73" s="399"/>
      <c r="BF73" s="388"/>
      <c r="BG73" s="208"/>
      <c r="BH73" s="210"/>
      <c r="BI73" s="399"/>
      <c r="BJ73" s="388"/>
      <c r="BK73" s="208"/>
      <c r="BL73" s="210"/>
      <c r="BM73" s="399"/>
      <c r="BN73" s="388"/>
      <c r="BO73" s="208"/>
      <c r="BP73" s="210"/>
      <c r="BQ73" s="399"/>
      <c r="BR73" s="388"/>
      <c r="BS73" s="208"/>
      <c r="BT73" s="210"/>
      <c r="BU73" s="399"/>
      <c r="BV73" s="388"/>
      <c r="BW73" s="208"/>
      <c r="BX73" s="210"/>
      <c r="BY73" s="399"/>
      <c r="BZ73" s="388"/>
      <c r="CA73" s="208"/>
      <c r="CB73" s="210"/>
      <c r="CC73" s="399"/>
      <c r="CD73" s="388"/>
      <c r="CE73" s="208"/>
      <c r="CF73" s="210"/>
      <c r="CG73" s="399"/>
      <c r="CH73" s="388"/>
      <c r="CI73" s="208"/>
      <c r="CJ73" s="210"/>
      <c r="CK73" s="399"/>
      <c r="CL73" s="388"/>
      <c r="CM73" s="208"/>
      <c r="CN73" s="210"/>
      <c r="CO73" s="399"/>
      <c r="CP73" s="388"/>
    </row>
    <row r="74" spans="3:94" ht="16" customHeight="1" x14ac:dyDescent="0.2">
      <c r="E74" s="400"/>
      <c r="F74" s="401"/>
      <c r="H74" s="229"/>
      <c r="I74" s="233"/>
      <c r="J74" s="234"/>
      <c r="K74" s="241" t="s">
        <v>241</v>
      </c>
      <c r="L74" s="271"/>
      <c r="M74" s="272"/>
      <c r="N74" s="254"/>
      <c r="O74" s="241" t="s">
        <v>239</v>
      </c>
      <c r="P74" s="271"/>
      <c r="Q74" s="272"/>
      <c r="R74" s="254"/>
      <c r="S74" s="237" t="s">
        <v>210</v>
      </c>
      <c r="T74" s="257"/>
      <c r="U74" s="258"/>
      <c r="V74" s="215"/>
      <c r="W74" s="237" t="s">
        <v>173</v>
      </c>
      <c r="X74" s="257"/>
      <c r="Y74" s="258"/>
      <c r="Z74" s="215"/>
      <c r="AA74" s="237" t="s">
        <v>164</v>
      </c>
      <c r="AB74" s="257"/>
      <c r="AC74" s="258"/>
      <c r="AD74" s="215"/>
      <c r="AE74" s="237" t="s">
        <v>174</v>
      </c>
      <c r="AF74" s="257"/>
      <c r="AG74" s="258"/>
      <c r="AH74" s="215"/>
      <c r="AI74" s="237" t="s">
        <v>172</v>
      </c>
      <c r="AJ74" s="257"/>
      <c r="AK74" s="258"/>
      <c r="AL74" s="215"/>
      <c r="AM74" s="237" t="s">
        <v>175</v>
      </c>
      <c r="AN74" s="257"/>
      <c r="AO74" s="258"/>
      <c r="AP74" s="215"/>
      <c r="AQ74" s="237" t="s">
        <v>157</v>
      </c>
      <c r="AR74" s="257"/>
      <c r="AS74" s="258"/>
      <c r="AT74" s="215"/>
      <c r="AU74" s="237" t="s">
        <v>158</v>
      </c>
      <c r="AV74" s="257"/>
      <c r="AW74" s="258"/>
      <c r="AX74" s="215"/>
      <c r="AY74" s="237" t="s">
        <v>379</v>
      </c>
      <c r="AZ74" s="257"/>
      <c r="BA74" s="258"/>
      <c r="BB74" s="215"/>
      <c r="BC74" s="241" t="s">
        <v>238</v>
      </c>
      <c r="BD74" s="271"/>
      <c r="BE74" s="272"/>
      <c r="BF74" s="254"/>
      <c r="BG74" s="237" t="s">
        <v>163</v>
      </c>
      <c r="BH74" s="257"/>
      <c r="BI74" s="258"/>
      <c r="BJ74" s="215"/>
      <c r="BK74" s="237" t="s">
        <v>159</v>
      </c>
      <c r="BL74" s="257"/>
      <c r="BM74" s="258"/>
      <c r="BN74" s="215"/>
      <c r="BO74" s="241" t="s">
        <v>240</v>
      </c>
      <c r="BP74" s="271"/>
      <c r="BQ74" s="272"/>
      <c r="BR74" s="254"/>
      <c r="BS74" s="237" t="s">
        <v>160</v>
      </c>
      <c r="BT74" s="257"/>
      <c r="BU74" s="258"/>
      <c r="BV74" s="215"/>
      <c r="BW74" s="237" t="s">
        <v>208</v>
      </c>
      <c r="BX74" s="257"/>
      <c r="BY74" s="258"/>
      <c r="BZ74" s="215"/>
      <c r="CA74" s="237" t="s">
        <v>207</v>
      </c>
      <c r="CB74" s="257"/>
      <c r="CC74" s="258"/>
      <c r="CD74" s="215"/>
      <c r="CE74" s="237" t="s">
        <v>209</v>
      </c>
      <c r="CF74" s="257"/>
      <c r="CG74" s="258"/>
      <c r="CH74" s="215"/>
      <c r="CI74" s="237" t="s">
        <v>204</v>
      </c>
      <c r="CJ74" s="257"/>
      <c r="CK74" s="258"/>
      <c r="CL74" s="215"/>
      <c r="CM74" s="237" t="s">
        <v>161</v>
      </c>
      <c r="CN74" s="257"/>
      <c r="CO74" s="258"/>
      <c r="CP74" s="215"/>
    </row>
    <row r="75" spans="3:94" x14ac:dyDescent="0.2">
      <c r="E75" s="400"/>
      <c r="F75" s="401"/>
      <c r="H75" s="229"/>
      <c r="I75" s="233"/>
      <c r="J75" s="234"/>
      <c r="K75" s="253"/>
      <c r="L75" s="272"/>
      <c r="M75" s="272"/>
      <c r="N75" s="254"/>
      <c r="O75" s="253"/>
      <c r="P75" s="272"/>
      <c r="Q75" s="272"/>
      <c r="R75" s="254"/>
      <c r="S75" s="214"/>
      <c r="T75" s="258"/>
      <c r="U75" s="258"/>
      <c r="V75" s="215"/>
      <c r="W75" s="214"/>
      <c r="X75" s="258"/>
      <c r="Y75" s="258"/>
      <c r="Z75" s="215"/>
      <c r="AA75" s="214"/>
      <c r="AB75" s="258"/>
      <c r="AC75" s="258"/>
      <c r="AD75" s="215"/>
      <c r="AE75" s="214"/>
      <c r="AF75" s="258"/>
      <c r="AG75" s="258"/>
      <c r="AH75" s="215"/>
      <c r="AI75" s="214"/>
      <c r="AJ75" s="258"/>
      <c r="AK75" s="258"/>
      <c r="AL75" s="215"/>
      <c r="AM75" s="214"/>
      <c r="AN75" s="258"/>
      <c r="AO75" s="258"/>
      <c r="AP75" s="215"/>
      <c r="AQ75" s="214"/>
      <c r="AR75" s="258"/>
      <c r="AS75" s="258"/>
      <c r="AT75" s="215"/>
      <c r="AU75" s="214"/>
      <c r="AV75" s="258"/>
      <c r="AW75" s="258"/>
      <c r="AX75" s="215"/>
      <c r="AY75" s="214"/>
      <c r="AZ75" s="258"/>
      <c r="BA75" s="258"/>
      <c r="BB75" s="215"/>
      <c r="BC75" s="253"/>
      <c r="BD75" s="272"/>
      <c r="BE75" s="272"/>
      <c r="BF75" s="254"/>
      <c r="BG75" s="214"/>
      <c r="BH75" s="258"/>
      <c r="BI75" s="258"/>
      <c r="BJ75" s="215"/>
      <c r="BK75" s="214"/>
      <c r="BL75" s="258"/>
      <c r="BM75" s="258"/>
      <c r="BN75" s="215"/>
      <c r="BO75" s="253"/>
      <c r="BP75" s="272"/>
      <c r="BQ75" s="272"/>
      <c r="BR75" s="254"/>
      <c r="BS75" s="214"/>
      <c r="BT75" s="258"/>
      <c r="BU75" s="258"/>
      <c r="BV75" s="215"/>
      <c r="BW75" s="214"/>
      <c r="BX75" s="258"/>
      <c r="BY75" s="258"/>
      <c r="BZ75" s="215"/>
      <c r="CA75" s="214"/>
      <c r="CB75" s="258"/>
      <c r="CC75" s="258"/>
      <c r="CD75" s="215"/>
      <c r="CE75" s="214"/>
      <c r="CF75" s="258"/>
      <c r="CG75" s="258"/>
      <c r="CH75" s="215"/>
      <c r="CI75" s="214"/>
      <c r="CJ75" s="258"/>
      <c r="CK75" s="258"/>
      <c r="CL75" s="215"/>
      <c r="CM75" s="214"/>
      <c r="CN75" s="258"/>
      <c r="CO75" s="258"/>
      <c r="CP75" s="215"/>
    </row>
    <row r="76" spans="3:94" ht="17" thickBot="1" x14ac:dyDescent="0.25">
      <c r="E76" s="400"/>
      <c r="F76" s="401"/>
      <c r="H76" s="229"/>
      <c r="I76" s="233"/>
      <c r="J76" s="234"/>
      <c r="K76" s="273"/>
      <c r="L76" s="274"/>
      <c r="M76" s="274"/>
      <c r="N76" s="385"/>
      <c r="O76" s="273"/>
      <c r="P76" s="274"/>
      <c r="Q76" s="274"/>
      <c r="R76" s="385"/>
      <c r="S76" s="265"/>
      <c r="T76" s="267"/>
      <c r="U76" s="267"/>
      <c r="V76" s="266"/>
      <c r="W76" s="265"/>
      <c r="X76" s="267"/>
      <c r="Y76" s="267"/>
      <c r="Z76" s="266"/>
      <c r="AA76" s="265"/>
      <c r="AB76" s="267"/>
      <c r="AC76" s="267"/>
      <c r="AD76" s="266"/>
      <c r="AE76" s="265"/>
      <c r="AF76" s="267"/>
      <c r="AG76" s="267"/>
      <c r="AH76" s="266"/>
      <c r="AI76" s="265"/>
      <c r="AJ76" s="267"/>
      <c r="AK76" s="267"/>
      <c r="AL76" s="266"/>
      <c r="AM76" s="265"/>
      <c r="AN76" s="267"/>
      <c r="AO76" s="267"/>
      <c r="AP76" s="266"/>
      <c r="AQ76" s="265"/>
      <c r="AR76" s="267"/>
      <c r="AS76" s="267"/>
      <c r="AT76" s="266"/>
      <c r="AU76" s="265"/>
      <c r="AV76" s="267"/>
      <c r="AW76" s="267"/>
      <c r="AX76" s="266"/>
      <c r="AY76" s="265"/>
      <c r="AZ76" s="267"/>
      <c r="BA76" s="267"/>
      <c r="BB76" s="266"/>
      <c r="BC76" s="273"/>
      <c r="BD76" s="274"/>
      <c r="BE76" s="274"/>
      <c r="BF76" s="385"/>
      <c r="BG76" s="265"/>
      <c r="BH76" s="267"/>
      <c r="BI76" s="267"/>
      <c r="BJ76" s="266"/>
      <c r="BK76" s="265"/>
      <c r="BL76" s="267"/>
      <c r="BM76" s="267"/>
      <c r="BN76" s="266"/>
      <c r="BO76" s="273"/>
      <c r="BP76" s="274"/>
      <c r="BQ76" s="274"/>
      <c r="BR76" s="385"/>
      <c r="BS76" s="265"/>
      <c r="BT76" s="267"/>
      <c r="BU76" s="267"/>
      <c r="BV76" s="266"/>
      <c r="BW76" s="265"/>
      <c r="BX76" s="267"/>
      <c r="BY76" s="267"/>
      <c r="BZ76" s="266"/>
      <c r="CA76" s="265"/>
      <c r="CB76" s="267"/>
      <c r="CC76" s="267"/>
      <c r="CD76" s="266"/>
      <c r="CE76" s="265"/>
      <c r="CF76" s="267"/>
      <c r="CG76" s="267"/>
      <c r="CH76" s="266"/>
      <c r="CI76" s="265"/>
      <c r="CJ76" s="267"/>
      <c r="CK76" s="267"/>
      <c r="CL76" s="266"/>
      <c r="CM76" s="265"/>
      <c r="CN76" s="267"/>
      <c r="CO76" s="267"/>
      <c r="CP76" s="266"/>
    </row>
    <row r="77" spans="3:94" ht="20" thickBot="1" x14ac:dyDescent="0.3">
      <c r="E77" s="402"/>
      <c r="F77" s="403"/>
      <c r="H77" s="230"/>
      <c r="I77" s="235"/>
      <c r="J77" s="236"/>
      <c r="K77" s="268" t="s">
        <v>162</v>
      </c>
      <c r="L77" s="269"/>
      <c r="M77" s="269"/>
      <c r="N77" s="269"/>
      <c r="O77" s="269"/>
      <c r="P77" s="269"/>
      <c r="Q77" s="269"/>
      <c r="R77" s="269"/>
      <c r="S77" s="269"/>
      <c r="T77" s="269"/>
      <c r="U77" s="269"/>
      <c r="V77" s="269"/>
      <c r="W77" s="269"/>
      <c r="X77" s="269"/>
      <c r="Y77" s="269"/>
      <c r="Z77" s="269"/>
      <c r="AA77" s="269"/>
      <c r="AB77" s="269"/>
      <c r="AC77" s="269"/>
      <c r="AD77" s="269"/>
      <c r="AE77" s="269"/>
      <c r="AF77" s="269"/>
      <c r="AG77" s="269"/>
      <c r="AH77" s="269"/>
      <c r="AI77" s="269"/>
      <c r="AJ77" s="269"/>
      <c r="AK77" s="269"/>
      <c r="AL77" s="269"/>
      <c r="AM77" s="269"/>
      <c r="AN77" s="269"/>
      <c r="AO77" s="269"/>
      <c r="AP77" s="269"/>
      <c r="AQ77" s="269"/>
      <c r="AR77" s="269"/>
      <c r="AS77" s="269"/>
      <c r="AT77" s="269"/>
      <c r="AU77" s="269"/>
      <c r="AV77" s="269"/>
      <c r="AW77" s="269"/>
      <c r="AX77" s="269"/>
      <c r="AY77" s="269"/>
      <c r="AZ77" s="269"/>
      <c r="BA77" s="269"/>
      <c r="BB77" s="269"/>
      <c r="BC77" s="269"/>
      <c r="BD77" s="269"/>
      <c r="BE77" s="269"/>
      <c r="BF77" s="269"/>
      <c r="BG77" s="269"/>
      <c r="BH77" s="269"/>
      <c r="BI77" s="269"/>
      <c r="BJ77" s="269"/>
      <c r="BK77" s="269"/>
      <c r="BL77" s="269"/>
      <c r="BM77" s="269"/>
      <c r="BN77" s="269"/>
      <c r="BO77" s="269"/>
      <c r="BP77" s="269"/>
      <c r="BQ77" s="269"/>
      <c r="BR77" s="269"/>
      <c r="BS77" s="269"/>
      <c r="BT77" s="269"/>
      <c r="BU77" s="269"/>
      <c r="BV77" s="269"/>
      <c r="BW77" s="269"/>
      <c r="BX77" s="269"/>
      <c r="BY77" s="269"/>
      <c r="BZ77" s="269"/>
      <c r="CA77" s="269"/>
      <c r="CB77" s="269"/>
      <c r="CC77" s="269"/>
      <c r="CD77" s="269"/>
      <c r="CE77" s="269"/>
      <c r="CF77" s="269"/>
      <c r="CG77" s="269"/>
      <c r="CH77" s="269"/>
      <c r="CI77" s="269"/>
      <c r="CJ77" s="269"/>
      <c r="CK77" s="269"/>
      <c r="CL77" s="269"/>
      <c r="CM77" s="269"/>
      <c r="CN77" s="269"/>
      <c r="CO77" s="269"/>
      <c r="CP77" s="389"/>
    </row>
    <row r="78" spans="3:94" x14ac:dyDescent="0.2">
      <c r="H78" s="394" t="s">
        <v>455</v>
      </c>
    </row>
    <row r="79" spans="3:94" x14ac:dyDescent="0.2">
      <c r="H79" s="396" t="s">
        <v>458</v>
      </c>
    </row>
  </sheetData>
  <mergeCells count="223">
    <mergeCell ref="E71:F77"/>
    <mergeCell ref="AE6:AE10"/>
    <mergeCell ref="M6:M10"/>
    <mergeCell ref="N6:N10"/>
    <mergeCell ref="S6:S10"/>
    <mergeCell ref="T6:T10"/>
    <mergeCell ref="U6:U10"/>
    <mergeCell ref="D3:D4"/>
    <mergeCell ref="D5:D7"/>
    <mergeCell ref="G6:G10"/>
    <mergeCell ref="H6:H10"/>
    <mergeCell ref="I6:I10"/>
    <mergeCell ref="J6:J10"/>
    <mergeCell ref="K6:K10"/>
    <mergeCell ref="L6:L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7:A10"/>
    <mergeCell ref="B7:B10"/>
    <mergeCell ref="H69:H77"/>
    <mergeCell ref="I69:J77"/>
    <mergeCell ref="K69:K73"/>
    <mergeCell ref="L69:L73"/>
    <mergeCell ref="AE69:AE73"/>
    <mergeCell ref="AF69:AF73"/>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O69:O73"/>
    <mergeCell ref="P69:P73"/>
    <mergeCell ref="AA69:AA73"/>
    <mergeCell ref="AB69:AB73"/>
    <mergeCell ref="W69:W73"/>
    <mergeCell ref="X69:X73"/>
    <mergeCell ref="Q69:Q73"/>
    <mergeCell ref="R69:R73"/>
    <mergeCell ref="AX69:AX73"/>
    <mergeCell ref="AW69:AW73"/>
    <mergeCell ref="V69:V73"/>
    <mergeCell ref="U69:U73"/>
    <mergeCell ref="CA69:CA73"/>
    <mergeCell ref="CB69:CB73"/>
    <mergeCell ref="CE69:CE73"/>
    <mergeCell ref="CF69:CF73"/>
    <mergeCell ref="CI69:CI73"/>
    <mergeCell ref="CJ69:CJ73"/>
    <mergeCell ref="CD69:CD73"/>
    <mergeCell ref="BC69:BC73"/>
    <mergeCell ref="BD69:BD73"/>
    <mergeCell ref="BS69:BS73"/>
    <mergeCell ref="BT69:BT73"/>
    <mergeCell ref="BW69:BW73"/>
    <mergeCell ref="BX69:BX73"/>
    <mergeCell ref="BE69:BE73"/>
    <mergeCell ref="BF69:BF73"/>
    <mergeCell ref="BU69:BU73"/>
    <mergeCell ref="BV69:BV73"/>
    <mergeCell ref="BG69:BG73"/>
    <mergeCell ref="BH69:BH73"/>
    <mergeCell ref="AY69:AY73"/>
    <mergeCell ref="AZ69:AZ73"/>
    <mergeCell ref="S69:S73"/>
    <mergeCell ref="T69:T73"/>
    <mergeCell ref="M69:M73"/>
    <mergeCell ref="N69:N73"/>
    <mergeCell ref="AG69:AG73"/>
    <mergeCell ref="AH69:AH73"/>
    <mergeCell ref="BS74:BV76"/>
    <mergeCell ref="AI74:AL76"/>
    <mergeCell ref="BK69:BK73"/>
    <mergeCell ref="BL69:BL73"/>
    <mergeCell ref="BA69:BA73"/>
    <mergeCell ref="BB69:BB73"/>
    <mergeCell ref="AI69:AI73"/>
    <mergeCell ref="AJ69:AJ73"/>
    <mergeCell ref="AM69:AM73"/>
    <mergeCell ref="AN69:AN73"/>
    <mergeCell ref="AQ69:AQ73"/>
    <mergeCell ref="AR69:AR73"/>
    <mergeCell ref="AK69:AK73"/>
    <mergeCell ref="AL69:AL73"/>
    <mergeCell ref="AO69:AO73"/>
    <mergeCell ref="AP69:AP73"/>
    <mergeCell ref="Y69:Y73"/>
    <mergeCell ref="Z69:Z73"/>
    <mergeCell ref="AC69:AC73"/>
    <mergeCell ref="AD69:AD73"/>
    <mergeCell ref="K77:CP77"/>
    <mergeCell ref="CO6:CO10"/>
    <mergeCell ref="CP6:CP10"/>
    <mergeCell ref="CO69:CO73"/>
    <mergeCell ref="CP69:CP73"/>
    <mergeCell ref="AM3:AP5"/>
    <mergeCell ref="AQ3:AT5"/>
    <mergeCell ref="BG3:BJ5"/>
    <mergeCell ref="CK6:CK10"/>
    <mergeCell ref="CL6:CL10"/>
    <mergeCell ref="CK69:CK73"/>
    <mergeCell ref="CL69:CL73"/>
    <mergeCell ref="CG6:CG10"/>
    <mergeCell ref="CH6:CH10"/>
    <mergeCell ref="CG69:CG73"/>
    <mergeCell ref="CH69:CH73"/>
    <mergeCell ref="BY6:BY10"/>
    <mergeCell ref="BZ6:BZ10"/>
    <mergeCell ref="BY69:BY73"/>
    <mergeCell ref="BZ69:BZ73"/>
    <mergeCell ref="CC6:CC10"/>
    <mergeCell ref="CD6:CD10"/>
    <mergeCell ref="CC69:CC73"/>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4:N76"/>
    <mergeCell ref="AE74:AH76"/>
    <mergeCell ref="O74:R76"/>
    <mergeCell ref="AA74:AD76"/>
    <mergeCell ref="W74:Z76"/>
    <mergeCell ref="S74:V76"/>
    <mergeCell ref="BS3:BV5"/>
    <mergeCell ref="BW3:BZ5"/>
    <mergeCell ref="CA3:CD5"/>
    <mergeCell ref="BN6:BN10"/>
    <mergeCell ref="BM69:BM73"/>
    <mergeCell ref="BN69:BN73"/>
    <mergeCell ref="AS6:AS10"/>
    <mergeCell ref="AT6:AT10"/>
    <mergeCell ref="AS69:AS73"/>
    <mergeCell ref="AT69:AT73"/>
    <mergeCell ref="BI6:BI10"/>
    <mergeCell ref="BJ6:BJ10"/>
    <mergeCell ref="BI69:BI73"/>
    <mergeCell ref="BJ69:BJ73"/>
    <mergeCell ref="BQ6:BQ10"/>
    <mergeCell ref="BR6:BR10"/>
    <mergeCell ref="BQ69:BQ73"/>
    <mergeCell ref="BR69:BR73"/>
    <mergeCell ref="BW74:BZ76"/>
    <mergeCell ref="CA74:CD76"/>
    <mergeCell ref="CE74:CH76"/>
    <mergeCell ref="CI74:CL76"/>
    <mergeCell ref="CM74:CP76"/>
    <mergeCell ref="AM74:AP76"/>
    <mergeCell ref="AQ74:AT76"/>
    <mergeCell ref="BG74:BJ76"/>
    <mergeCell ref="AY74:BB76"/>
    <mergeCell ref="BK74:BN76"/>
    <mergeCell ref="BC74:BF76"/>
    <mergeCell ref="BO74:BR76"/>
    <mergeCell ref="AU74:AX76"/>
    <mergeCell ref="CM69:CM73"/>
    <mergeCell ref="CN69:CN73"/>
    <mergeCell ref="AU69:AU73"/>
    <mergeCell ref="AV69:AV73"/>
    <mergeCell ref="BO69:BO73"/>
    <mergeCell ref="BP69:BP73"/>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 ref="BG6:BG10"/>
  </mergeCells>
  <pageMargins left="0.7" right="0.7" top="0.75" bottom="0.75" header="0.3" footer="0.3"/>
  <pageSetup paperSize="9" orientation="portrait" horizontalDpi="0" verticalDpi="0"/>
  <ignoredErrors>
    <ignoredError sqref="I11:I64"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showRuler="0" topLeftCell="V105"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46" t="s">
        <v>162</v>
      </c>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8"/>
    </row>
    <row r="3" spans="1:53" ht="16" customHeight="1" x14ac:dyDescent="0.2">
      <c r="D3" s="190" t="s">
        <v>234</v>
      </c>
      <c r="K3" s="218" t="s">
        <v>239</v>
      </c>
      <c r="L3" s="213"/>
      <c r="M3" s="212" t="s">
        <v>160</v>
      </c>
      <c r="N3" s="213"/>
      <c r="O3" s="218" t="s">
        <v>241</v>
      </c>
      <c r="P3" s="213"/>
      <c r="Q3" s="212" t="s">
        <v>173</v>
      </c>
      <c r="R3" s="213"/>
      <c r="S3" s="212" t="s">
        <v>164</v>
      </c>
      <c r="T3" s="213"/>
      <c r="U3" s="260" t="s">
        <v>210</v>
      </c>
      <c r="V3" s="213"/>
      <c r="W3" s="212" t="s">
        <v>174</v>
      </c>
      <c r="X3" s="213"/>
      <c r="Y3" s="212" t="s">
        <v>172</v>
      </c>
      <c r="Z3" s="213"/>
      <c r="AA3" s="212" t="s">
        <v>175</v>
      </c>
      <c r="AB3" s="213"/>
      <c r="AC3" s="212" t="s">
        <v>161</v>
      </c>
      <c r="AD3" s="213"/>
      <c r="AE3" s="218" t="s">
        <v>379</v>
      </c>
      <c r="AF3" s="252"/>
      <c r="AG3" s="212" t="s">
        <v>157</v>
      </c>
      <c r="AH3" s="213"/>
      <c r="AI3" s="218" t="s">
        <v>238</v>
      </c>
      <c r="AJ3" s="213"/>
      <c r="AK3" s="212" t="s">
        <v>163</v>
      </c>
      <c r="AL3" s="213"/>
      <c r="AM3" s="212" t="s">
        <v>209</v>
      </c>
      <c r="AN3" s="213"/>
      <c r="AO3" s="212" t="s">
        <v>158</v>
      </c>
      <c r="AP3" s="213"/>
      <c r="AQ3" s="218" t="s">
        <v>240</v>
      </c>
      <c r="AR3" s="213"/>
      <c r="AS3" s="212" t="s">
        <v>159</v>
      </c>
      <c r="AT3" s="213"/>
      <c r="AU3" s="212" t="s">
        <v>208</v>
      </c>
      <c r="AV3" s="213"/>
      <c r="AW3" s="212" t="s">
        <v>207</v>
      </c>
      <c r="AX3" s="213"/>
      <c r="AY3" s="212" t="s">
        <v>204</v>
      </c>
      <c r="AZ3" s="213"/>
    </row>
    <row r="4" spans="1:53" ht="20" customHeight="1" x14ac:dyDescent="0.2">
      <c r="B4" s="84"/>
      <c r="D4" s="191"/>
      <c r="K4" s="214"/>
      <c r="L4" s="215"/>
      <c r="M4" s="214"/>
      <c r="N4" s="215"/>
      <c r="O4" s="214"/>
      <c r="P4" s="215"/>
      <c r="Q4" s="214"/>
      <c r="R4" s="215"/>
      <c r="S4" s="214"/>
      <c r="T4" s="215"/>
      <c r="U4" s="258"/>
      <c r="V4" s="215"/>
      <c r="W4" s="214"/>
      <c r="X4" s="215"/>
      <c r="Y4" s="214"/>
      <c r="Z4" s="215"/>
      <c r="AA4" s="214"/>
      <c r="AB4" s="215"/>
      <c r="AC4" s="214"/>
      <c r="AD4" s="215"/>
      <c r="AE4" s="253"/>
      <c r="AF4" s="254"/>
      <c r="AG4" s="214"/>
      <c r="AH4" s="215"/>
      <c r="AI4" s="214"/>
      <c r="AJ4" s="215"/>
      <c r="AK4" s="214"/>
      <c r="AL4" s="215"/>
      <c r="AM4" s="214"/>
      <c r="AN4" s="215"/>
      <c r="AO4" s="214"/>
      <c r="AP4" s="215"/>
      <c r="AQ4" s="214"/>
      <c r="AR4" s="215"/>
      <c r="AS4" s="214"/>
      <c r="AT4" s="215"/>
      <c r="AU4" s="214"/>
      <c r="AV4" s="215"/>
      <c r="AW4" s="214"/>
      <c r="AX4" s="215"/>
      <c r="AY4" s="214"/>
      <c r="AZ4" s="215"/>
    </row>
    <row r="5" spans="1:53" ht="20" customHeight="1" thickBot="1" x14ac:dyDescent="0.25">
      <c r="A5" s="61"/>
      <c r="B5" s="83"/>
      <c r="D5" s="188" t="s">
        <v>248</v>
      </c>
      <c r="I5" s="24"/>
      <c r="J5" s="24"/>
      <c r="K5" s="216"/>
      <c r="L5" s="217"/>
      <c r="M5" s="216"/>
      <c r="N5" s="217"/>
      <c r="O5" s="216"/>
      <c r="P5" s="217"/>
      <c r="Q5" s="216"/>
      <c r="R5" s="217"/>
      <c r="S5" s="216"/>
      <c r="T5" s="217"/>
      <c r="U5" s="261"/>
      <c r="V5" s="217"/>
      <c r="W5" s="216"/>
      <c r="X5" s="217"/>
      <c r="Y5" s="216"/>
      <c r="Z5" s="217"/>
      <c r="AA5" s="216"/>
      <c r="AB5" s="217"/>
      <c r="AC5" s="216"/>
      <c r="AD5" s="217"/>
      <c r="AE5" s="255"/>
      <c r="AF5" s="256"/>
      <c r="AG5" s="216"/>
      <c r="AH5" s="217"/>
      <c r="AI5" s="216"/>
      <c r="AJ5" s="217"/>
      <c r="AK5" s="216"/>
      <c r="AL5" s="217"/>
      <c r="AM5" s="216"/>
      <c r="AN5" s="217"/>
      <c r="AO5" s="216"/>
      <c r="AP5" s="217"/>
      <c r="AQ5" s="216"/>
      <c r="AR5" s="217"/>
      <c r="AS5" s="216"/>
      <c r="AT5" s="217"/>
      <c r="AU5" s="216"/>
      <c r="AV5" s="217"/>
      <c r="AW5" s="216"/>
      <c r="AX5" s="217"/>
      <c r="AY5" s="216"/>
      <c r="AZ5" s="217"/>
    </row>
    <row r="6" spans="1:53" ht="20" customHeight="1" x14ac:dyDescent="0.2">
      <c r="A6" s="60"/>
      <c r="B6" s="82"/>
      <c r="D6" s="188"/>
      <c r="G6" s="184" t="s">
        <v>24</v>
      </c>
      <c r="H6" s="195" t="s">
        <v>330</v>
      </c>
      <c r="I6" s="198" t="s">
        <v>328</v>
      </c>
      <c r="J6" s="201" t="s">
        <v>329</v>
      </c>
      <c r="K6" s="219" t="s">
        <v>242</v>
      </c>
      <c r="L6" s="220" t="s">
        <v>243</v>
      </c>
      <c r="M6" s="192" t="s">
        <v>242</v>
      </c>
      <c r="N6" s="220" t="s">
        <v>243</v>
      </c>
      <c r="O6" s="192" t="s">
        <v>242</v>
      </c>
      <c r="P6" s="220" t="s">
        <v>243</v>
      </c>
      <c r="Q6" s="192" t="s">
        <v>242</v>
      </c>
      <c r="R6" s="220" t="s">
        <v>243</v>
      </c>
      <c r="S6" s="192" t="s">
        <v>242</v>
      </c>
      <c r="T6" s="220" t="s">
        <v>243</v>
      </c>
      <c r="U6" s="222" t="s">
        <v>242</v>
      </c>
      <c r="V6" s="220" t="s">
        <v>243</v>
      </c>
      <c r="W6" s="225" t="s">
        <v>242</v>
      </c>
      <c r="X6" s="220" t="s">
        <v>243</v>
      </c>
      <c r="Y6" s="192" t="s">
        <v>242</v>
      </c>
      <c r="Z6" s="220" t="s">
        <v>243</v>
      </c>
      <c r="AA6" s="192" t="s">
        <v>242</v>
      </c>
      <c r="AB6" s="220" t="s">
        <v>243</v>
      </c>
      <c r="AC6" s="204" t="s">
        <v>242</v>
      </c>
      <c r="AD6" s="220" t="s">
        <v>243</v>
      </c>
      <c r="AE6" s="222" t="s">
        <v>242</v>
      </c>
      <c r="AF6" s="220" t="s">
        <v>243</v>
      </c>
      <c r="AG6" s="204" t="s">
        <v>242</v>
      </c>
      <c r="AH6" s="262" t="s">
        <v>243</v>
      </c>
      <c r="AI6" s="219" t="s">
        <v>242</v>
      </c>
      <c r="AJ6" s="220" t="s">
        <v>243</v>
      </c>
      <c r="AK6" s="192" t="s">
        <v>242</v>
      </c>
      <c r="AL6" s="220" t="s">
        <v>243</v>
      </c>
      <c r="AM6" s="192" t="s">
        <v>242</v>
      </c>
      <c r="AN6" s="220" t="s">
        <v>243</v>
      </c>
      <c r="AO6" s="192" t="s">
        <v>242</v>
      </c>
      <c r="AP6" s="220" t="s">
        <v>243</v>
      </c>
      <c r="AQ6" s="219" t="s">
        <v>242</v>
      </c>
      <c r="AR6" s="220" t="s">
        <v>243</v>
      </c>
      <c r="AS6" s="192" t="s">
        <v>242</v>
      </c>
      <c r="AT6" s="220" t="s">
        <v>243</v>
      </c>
      <c r="AU6" s="192" t="s">
        <v>242</v>
      </c>
      <c r="AV6" s="220" t="s">
        <v>243</v>
      </c>
      <c r="AW6" s="192" t="s">
        <v>242</v>
      </c>
      <c r="AX6" s="220" t="s">
        <v>243</v>
      </c>
      <c r="AY6" s="192" t="s">
        <v>242</v>
      </c>
      <c r="AZ6" s="220" t="s">
        <v>243</v>
      </c>
    </row>
    <row r="7" spans="1:53" ht="20" customHeight="1" thickBot="1" x14ac:dyDescent="0.25">
      <c r="A7" s="184" t="s">
        <v>251</v>
      </c>
      <c r="B7" s="186" t="s">
        <v>334</v>
      </c>
      <c r="D7" s="189"/>
      <c r="G7" s="184"/>
      <c r="H7" s="196"/>
      <c r="I7" s="199"/>
      <c r="J7" s="202"/>
      <c r="K7" s="219"/>
      <c r="L7" s="220"/>
      <c r="M7" s="192"/>
      <c r="N7" s="220"/>
      <c r="O7" s="192"/>
      <c r="P7" s="220"/>
      <c r="Q7" s="192"/>
      <c r="R7" s="220"/>
      <c r="S7" s="192"/>
      <c r="T7" s="220"/>
      <c r="U7" s="222"/>
      <c r="V7" s="220"/>
      <c r="W7" s="226"/>
      <c r="X7" s="220"/>
      <c r="Y7" s="192"/>
      <c r="Z7" s="220"/>
      <c r="AA7" s="192"/>
      <c r="AB7" s="220"/>
      <c r="AC7" s="205"/>
      <c r="AD7" s="220"/>
      <c r="AE7" s="222"/>
      <c r="AF7" s="220"/>
      <c r="AG7" s="205"/>
      <c r="AH7" s="263"/>
      <c r="AI7" s="192"/>
      <c r="AJ7" s="220"/>
      <c r="AK7" s="192"/>
      <c r="AL7" s="220"/>
      <c r="AM7" s="192"/>
      <c r="AN7" s="220"/>
      <c r="AO7" s="192"/>
      <c r="AP7" s="220"/>
      <c r="AQ7" s="219"/>
      <c r="AR7" s="220"/>
      <c r="AS7" s="192"/>
      <c r="AT7" s="220"/>
      <c r="AU7" s="192"/>
      <c r="AV7" s="220"/>
      <c r="AW7" s="192"/>
      <c r="AX7" s="220"/>
      <c r="AY7" s="192"/>
      <c r="AZ7" s="220"/>
    </row>
    <row r="8" spans="1:53" ht="20" customHeight="1" x14ac:dyDescent="0.2">
      <c r="A8" s="184"/>
      <c r="B8" s="186"/>
      <c r="G8" s="184"/>
      <c r="H8" s="196"/>
      <c r="I8" s="199"/>
      <c r="J8" s="202"/>
      <c r="K8" s="219"/>
      <c r="L8" s="220"/>
      <c r="M8" s="192"/>
      <c r="N8" s="220"/>
      <c r="O8" s="192"/>
      <c r="P8" s="220"/>
      <c r="Q8" s="192"/>
      <c r="R8" s="220"/>
      <c r="S8" s="192"/>
      <c r="T8" s="220"/>
      <c r="U8" s="222"/>
      <c r="V8" s="220"/>
      <c r="W8" s="226"/>
      <c r="X8" s="220"/>
      <c r="Y8" s="192"/>
      <c r="Z8" s="220"/>
      <c r="AA8" s="192"/>
      <c r="AB8" s="220"/>
      <c r="AC8" s="205"/>
      <c r="AD8" s="220"/>
      <c r="AE8" s="222"/>
      <c r="AF8" s="220"/>
      <c r="AG8" s="205"/>
      <c r="AH8" s="263"/>
      <c r="AI8" s="192"/>
      <c r="AJ8" s="220"/>
      <c r="AK8" s="192"/>
      <c r="AL8" s="220"/>
      <c r="AM8" s="192"/>
      <c r="AN8" s="220"/>
      <c r="AO8" s="192"/>
      <c r="AP8" s="220"/>
      <c r="AQ8" s="219"/>
      <c r="AR8" s="220"/>
      <c r="AS8" s="192"/>
      <c r="AT8" s="220"/>
      <c r="AU8" s="192"/>
      <c r="AV8" s="220"/>
      <c r="AW8" s="192"/>
      <c r="AX8" s="220"/>
      <c r="AY8" s="192"/>
      <c r="AZ8" s="220"/>
    </row>
    <row r="9" spans="1:53" ht="20" customHeight="1" x14ac:dyDescent="0.2">
      <c r="A9" s="184"/>
      <c r="B9" s="186"/>
      <c r="G9" s="184"/>
      <c r="H9" s="196"/>
      <c r="I9" s="199"/>
      <c r="J9" s="202"/>
      <c r="K9" s="219"/>
      <c r="L9" s="220"/>
      <c r="M9" s="192"/>
      <c r="N9" s="220"/>
      <c r="O9" s="192"/>
      <c r="P9" s="220"/>
      <c r="Q9" s="192"/>
      <c r="R9" s="220"/>
      <c r="S9" s="192"/>
      <c r="T9" s="220"/>
      <c r="U9" s="222"/>
      <c r="V9" s="220"/>
      <c r="W9" s="226"/>
      <c r="X9" s="220"/>
      <c r="Y9" s="192"/>
      <c r="Z9" s="220"/>
      <c r="AA9" s="192"/>
      <c r="AB9" s="220"/>
      <c r="AC9" s="205"/>
      <c r="AD9" s="220"/>
      <c r="AE9" s="222"/>
      <c r="AF9" s="220"/>
      <c r="AG9" s="205"/>
      <c r="AH9" s="263"/>
      <c r="AI9" s="192"/>
      <c r="AJ9" s="220"/>
      <c r="AK9" s="192"/>
      <c r="AL9" s="220"/>
      <c r="AM9" s="192"/>
      <c r="AN9" s="220"/>
      <c r="AO9" s="192"/>
      <c r="AP9" s="220"/>
      <c r="AQ9" s="219"/>
      <c r="AR9" s="220"/>
      <c r="AS9" s="192"/>
      <c r="AT9" s="220"/>
      <c r="AU9" s="192"/>
      <c r="AV9" s="220"/>
      <c r="AW9" s="192"/>
      <c r="AX9" s="220"/>
      <c r="AY9" s="192"/>
      <c r="AZ9" s="220"/>
    </row>
    <row r="10" spans="1:53" s="22" customFormat="1" ht="20" customHeight="1" thickBot="1" x14ac:dyDescent="0.25">
      <c r="A10" s="185"/>
      <c r="B10" s="187"/>
      <c r="C10" s="21" t="s">
        <v>20</v>
      </c>
      <c r="D10" s="20" t="s">
        <v>21</v>
      </c>
      <c r="E10" s="20" t="s">
        <v>22</v>
      </c>
      <c r="F10" s="21" t="s">
        <v>23</v>
      </c>
      <c r="G10" s="194"/>
      <c r="H10" s="197"/>
      <c r="I10" s="200"/>
      <c r="J10" s="203"/>
      <c r="K10" s="224"/>
      <c r="L10" s="221"/>
      <c r="M10" s="193"/>
      <c r="N10" s="221"/>
      <c r="O10" s="193"/>
      <c r="P10" s="221"/>
      <c r="Q10" s="193"/>
      <c r="R10" s="221"/>
      <c r="S10" s="193"/>
      <c r="T10" s="221"/>
      <c r="U10" s="223"/>
      <c r="V10" s="221"/>
      <c r="W10" s="227"/>
      <c r="X10" s="221"/>
      <c r="Y10" s="193"/>
      <c r="Z10" s="221"/>
      <c r="AA10" s="193"/>
      <c r="AB10" s="221"/>
      <c r="AC10" s="206"/>
      <c r="AD10" s="221"/>
      <c r="AE10" s="223"/>
      <c r="AF10" s="221"/>
      <c r="AG10" s="206"/>
      <c r="AH10" s="264"/>
      <c r="AI10" s="193"/>
      <c r="AJ10" s="221"/>
      <c r="AK10" s="193"/>
      <c r="AL10" s="221"/>
      <c r="AM10" s="193"/>
      <c r="AN10" s="221"/>
      <c r="AO10" s="193"/>
      <c r="AP10" s="221"/>
      <c r="AQ10" s="224"/>
      <c r="AR10" s="221"/>
      <c r="AS10" s="193"/>
      <c r="AT10" s="221"/>
      <c r="AU10" s="193"/>
      <c r="AV10" s="221"/>
      <c r="AW10" s="193"/>
      <c r="AX10" s="221"/>
      <c r="AY10" s="193"/>
      <c r="AZ10" s="221"/>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72"/>
      <c r="AF11" s="78" t="str">
        <f t="shared" ref="AF11:AF42" si="6">IF((ISERROR((AE11/$H11)*100)), "", IF(AND(NOT(ISERROR((AE11/$H11)*100)),((AE11/$H11)*100) &lt;&gt; 0), (AE11/$H11)*100, ""))</f>
        <v/>
      </c>
      <c r="AG11" s="70"/>
      <c r="AH11" s="77" t="str">
        <f>IF((ISERROR((AG11/$H11)*100)), "", IF(AND(NOT(ISERROR((AG11/$H11)*100)),((AG11/$H11)*100) &lt;&gt; 0), (AG11/$H11)*100, ""))</f>
        <v/>
      </c>
      <c r="AI11" s="70"/>
      <c r="AJ11" s="77" t="str">
        <f t="shared" ref="AJ11:AJ42" si="7">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 t="shared" ref="AP11:AP42" si="8">IF((ISERROR((AO11/$H11)*100)), "", IF(AND(NOT(ISERROR((AO11/$H11)*100)),((AO11/$H11)*100) &lt;&gt; 0), (AO11/$H11)*100, ""))</f>
        <v/>
      </c>
      <c r="AQ11" s="71"/>
      <c r="AR11" s="77" t="str">
        <f t="shared" ref="AR11:AR42" si="9">IF((ISERROR((AQ11/$H11)*100)), "", IF(AND(NOT(ISERROR((AQ11/$H11)*100)),((AQ11/$H11)*100) &lt;&gt; 0), (AQ11/$H11)*100, ""))</f>
        <v/>
      </c>
      <c r="AS11" s="70"/>
      <c r="AT11" s="77" t="str">
        <f t="shared" ref="AT11" si="10">IF((ISERROR((AS11/$H11)*100)), "", IF(AND(NOT(ISERROR((AS11/$H11)*100)),((AS11/$H11)*100) &lt;&gt; 0), (AS11/$H11)*100, ""))</f>
        <v/>
      </c>
      <c r="AU11" s="70"/>
      <c r="AV11" s="77" t="str">
        <f t="shared" ref="AV11" si="11">IF((ISERROR((AU11/$H11)*100)), "", IF(AND(NOT(ISERROR((AU11/$H11)*100)),((AU11/$H11)*100) &lt;&gt; 0), (AU11/$H11)*100, ""))</f>
        <v/>
      </c>
      <c r="AW11" s="70"/>
      <c r="AX11" s="77" t="str">
        <f t="shared" ref="AX11" si="12">IF((ISERROR((AW11/$H11)*100)), "", IF(AND(NOT(ISERROR((AW11/$H11)*100)),((AW11/$H11)*100) &lt;&gt; 0), (AW11/$H11)*100, ""))</f>
        <v/>
      </c>
      <c r="AY11" s="70"/>
      <c r="AZ11" s="77" t="str">
        <f t="shared" ref="AZ11" si="1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X43" si="14">IF((ISERROR((W12/$H12)*100)), "", IF(AND(NOT(ISERROR((W12/$H12)*100)),((W12/$H12)*100) &lt;&gt; 0), (W12/$H12)*100, ""))</f>
        <v/>
      </c>
      <c r="Y12" s="67"/>
      <c r="Z12" s="68" t="str">
        <f t="shared" ref="Z12:Z43" si="15">IF((ISERROR((Y12/$H12)*100)), "", IF(AND(NOT(ISERROR((Y12/$H12)*100)),((Y12/$H12)*100) &lt;&gt; 0), (Y12/$H12)*100, ""))</f>
        <v/>
      </c>
      <c r="AA12" s="67"/>
      <c r="AB12" s="68" t="str">
        <f t="shared" ref="AB12:AB43" si="16">IF((ISERROR((AA12/$H12)*100)), "", IF(AND(NOT(ISERROR((AA12/$H12)*100)),((AA12/$H12)*100) &lt;&gt; 0), (AA12/$H12)*100, ""))</f>
        <v/>
      </c>
      <c r="AC12" s="67"/>
      <c r="AD12" s="68" t="str">
        <f t="shared" ref="AD12:AD43" si="17">IF((ISERROR((AC12/$H12)*100)), "", IF(AND(NOT(ISERROR((AC12/$H12)*100)),((AC12/$H12)*100) &lt;&gt; 0), (AC12/$H12)*100, ""))</f>
        <v/>
      </c>
      <c r="AE12" s="69"/>
      <c r="AF12" s="36" t="str">
        <f t="shared" si="6"/>
        <v/>
      </c>
      <c r="AG12" s="65"/>
      <c r="AH12" s="66" t="str">
        <f>IF((ISERROR((AG12/$H12)*100)), "", IF(AND(NOT(ISERROR((AG12/$H12)*100)),((AG12/$H12)*100) &lt;&gt; 0), (AG12/$H12)*100, ""))</f>
        <v/>
      </c>
      <c r="AI12" s="67"/>
      <c r="AJ12" s="68" t="str">
        <f t="shared" si="7"/>
        <v/>
      </c>
      <c r="AK12" s="67"/>
      <c r="AL12" s="68" t="str">
        <f t="shared" ref="AL12:AL43" si="18">IF((ISERROR((AK12/$H12)*100)), "", IF(AND(NOT(ISERROR((AK12/$H12)*100)),((AK12/$H12)*100) &lt;&gt; 0), (AK12/$H12)*100, ""))</f>
        <v/>
      </c>
      <c r="AM12" s="65"/>
      <c r="AN12" s="66" t="str">
        <f t="shared" ref="AN12:AT112" si="19">IF((ISERROR((AM12/$H12)*100)), "", IF(AND(NOT(ISERROR((AM12/$H12)*100)),((AM12/$H12)*100) &lt;&gt; 0), (AM12/$H12)*100, ""))</f>
        <v/>
      </c>
      <c r="AO12" s="67"/>
      <c r="AP12" s="68" t="str">
        <f t="shared" si="8"/>
        <v/>
      </c>
      <c r="AQ12" s="67"/>
      <c r="AR12" s="68" t="str">
        <f t="shared" si="9"/>
        <v/>
      </c>
      <c r="AS12" s="67"/>
      <c r="AT12" s="68" t="str">
        <f t="shared" si="19"/>
        <v/>
      </c>
      <c r="AU12" s="67"/>
      <c r="AV12" s="68" t="str">
        <f t="shared" ref="AV12:AV75" si="20">IF((ISERROR((AU12/$H12)*100)), "", IF(AND(NOT(ISERROR((AU12/$H12)*100)),((AU12/$H12)*100) &lt;&gt; 0), (AU12/$H12)*100, ""))</f>
        <v/>
      </c>
      <c r="AW12" s="67"/>
      <c r="AX12" s="68" t="str">
        <f t="shared" ref="AX12:AX43" si="21">IF((ISERROR((AW12/$H12)*100)), "", IF(AND(NOT(ISERROR((AW12/$H12)*100)),((AW12/$H12)*100) &lt;&gt; 0), (AW12/$H12)*100, ""))</f>
        <v/>
      </c>
      <c r="AY12" s="67"/>
      <c r="AZ12" s="68" t="str">
        <f t="shared" ref="AZ12:AZ43" si="22">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 t="shared" si="14"/>
        <v/>
      </c>
      <c r="Y13" s="33"/>
      <c r="Z13" s="36" t="str">
        <f t="shared" si="15"/>
        <v/>
      </c>
      <c r="AA13" s="33"/>
      <c r="AB13" s="36" t="str">
        <f t="shared" si="16"/>
        <v/>
      </c>
      <c r="AC13" s="33"/>
      <c r="AD13" s="36" t="str">
        <f t="shared" si="17"/>
        <v/>
      </c>
      <c r="AE13" s="76"/>
      <c r="AF13" s="36" t="str">
        <f t="shared" si="6"/>
        <v/>
      </c>
      <c r="AG13" s="33"/>
      <c r="AH13" s="36" t="str">
        <f t="shared" ref="AH13:AH77"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3"/>
      <c r="C14" s="24" t="s">
        <v>85</v>
      </c>
      <c r="D14" s="23" t="s">
        <v>254</v>
      </c>
      <c r="E14" s="23" t="s">
        <v>255</v>
      </c>
      <c r="F14" s="24">
        <v>2016</v>
      </c>
      <c r="H14" s="89">
        <v>12</v>
      </c>
      <c r="I14" s="85" t="s">
        <v>335</v>
      </c>
      <c r="J14" s="86"/>
      <c r="K14" s="33"/>
      <c r="L14" s="36" t="str">
        <f t="shared" si="0"/>
        <v/>
      </c>
      <c r="M14" s="33"/>
      <c r="N14" s="36" t="str">
        <f t="shared" si="1"/>
        <v/>
      </c>
      <c r="O14" s="33"/>
      <c r="P14" s="36" t="str">
        <f t="shared" si="2"/>
        <v/>
      </c>
      <c r="Q14" s="33"/>
      <c r="R14" s="36" t="str">
        <f t="shared" si="3"/>
        <v/>
      </c>
      <c r="S14" s="33"/>
      <c r="T14" s="36" t="str">
        <f t="shared" si="4"/>
        <v/>
      </c>
      <c r="U14" s="76"/>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6"/>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336</v>
      </c>
    </row>
    <row r="15" spans="1:53" ht="20" customHeight="1" x14ac:dyDescent="0.2">
      <c r="A15" s="61"/>
      <c r="B15" s="24"/>
      <c r="C15" s="50"/>
      <c r="D15" s="49" t="s">
        <v>155</v>
      </c>
      <c r="E15" s="49" t="s">
        <v>156</v>
      </c>
      <c r="F15" s="50">
        <v>1997</v>
      </c>
      <c r="G15" s="50"/>
      <c r="H15" s="89"/>
      <c r="I15" s="85"/>
      <c r="J15" s="86"/>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 t="shared" si="14"/>
        <v/>
      </c>
      <c r="Y15" s="33"/>
      <c r="Z15" s="36" t="str">
        <f t="shared" si="15"/>
        <v/>
      </c>
      <c r="AA15" s="33"/>
      <c r="AB15" s="36" t="str">
        <f t="shared" si="16"/>
        <v/>
      </c>
      <c r="AC15" s="33"/>
      <c r="AD15" s="36" t="str">
        <f t="shared" si="17"/>
        <v/>
      </c>
      <c r="AE15" s="76"/>
      <c r="AF15" s="36" t="str">
        <f t="shared" si="6"/>
        <v/>
      </c>
      <c r="AG15" s="33"/>
      <c r="AH15" s="36" t="str">
        <f t="shared" si="23"/>
        <v/>
      </c>
      <c r="AI15" s="33"/>
      <c r="AJ15" s="36" t="str">
        <f t="shared" si="7"/>
        <v/>
      </c>
      <c r="AK15" s="33"/>
      <c r="AL15" s="36" t="str">
        <f t="shared" si="18"/>
        <v/>
      </c>
      <c r="AM15" s="33"/>
      <c r="AN15" s="36" t="str">
        <f t="shared" si="19"/>
        <v/>
      </c>
      <c r="AO15" s="33"/>
      <c r="AP15" s="36" t="str">
        <f t="shared" si="8"/>
        <v/>
      </c>
      <c r="AQ15" s="33"/>
      <c r="AR15" s="36" t="str">
        <f t="shared" si="9"/>
        <v/>
      </c>
      <c r="AS15" s="33"/>
      <c r="AT15" s="36" t="str">
        <f t="shared" si="19"/>
        <v/>
      </c>
      <c r="AU15" s="33"/>
      <c r="AV15" s="36" t="str">
        <f t="shared" si="20"/>
        <v/>
      </c>
      <c r="AW15" s="33"/>
      <c r="AX15" s="36" t="str">
        <f t="shared" si="21"/>
        <v/>
      </c>
      <c r="AY15" s="33"/>
      <c r="AZ15" s="36" t="str">
        <f t="shared" si="22"/>
        <v/>
      </c>
    </row>
    <row r="16" spans="1:53" ht="20" customHeight="1" x14ac:dyDescent="0.2">
      <c r="A16" s="60"/>
      <c r="B16" s="24"/>
      <c r="C16" s="50" t="s">
        <v>30</v>
      </c>
      <c r="D16" s="49" t="s">
        <v>31</v>
      </c>
      <c r="E16" s="49" t="s">
        <v>32</v>
      </c>
      <c r="F16" s="50">
        <v>2004</v>
      </c>
      <c r="G16" s="50">
        <v>21</v>
      </c>
      <c r="H16" s="89"/>
      <c r="I16" s="85"/>
      <c r="J16" s="86"/>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 t="shared" si="14"/>
        <v/>
      </c>
      <c r="Y16" s="33"/>
      <c r="Z16" s="36" t="str">
        <f t="shared" si="15"/>
        <v/>
      </c>
      <c r="AA16" s="33"/>
      <c r="AB16" s="36" t="str">
        <f t="shared" si="16"/>
        <v/>
      </c>
      <c r="AC16" s="33"/>
      <c r="AD16" s="36" t="str">
        <f t="shared" si="17"/>
        <v/>
      </c>
      <c r="AE16" s="76"/>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1"/>
      <c r="B17" s="82"/>
      <c r="C17" s="24" t="s">
        <v>85</v>
      </c>
      <c r="D17" s="23" t="s">
        <v>33</v>
      </c>
      <c r="E17" s="23" t="s">
        <v>34</v>
      </c>
      <c r="F17" s="24">
        <v>2003</v>
      </c>
      <c r="G17" s="24">
        <v>291</v>
      </c>
      <c r="H17" s="89">
        <v>14</v>
      </c>
      <c r="I17" s="85" t="s">
        <v>167</v>
      </c>
      <c r="J17" s="86"/>
      <c r="K17" s="33"/>
      <c r="L17" s="36" t="str">
        <f t="shared" si="0"/>
        <v/>
      </c>
      <c r="M17" s="33"/>
      <c r="N17" s="36" t="str">
        <f t="shared" si="1"/>
        <v/>
      </c>
      <c r="O17" s="33"/>
      <c r="P17" s="36" t="str">
        <f t="shared" si="2"/>
        <v/>
      </c>
      <c r="Q17" s="33"/>
      <c r="R17" s="36" t="str">
        <f t="shared" si="3"/>
        <v/>
      </c>
      <c r="S17" s="33">
        <v>2</v>
      </c>
      <c r="T17" s="36">
        <f t="shared" si="4"/>
        <v>14.285714285714285</v>
      </c>
      <c r="U17" s="76"/>
      <c r="V17" s="36" t="str">
        <f t="shared" si="5"/>
        <v/>
      </c>
      <c r="W17" s="33"/>
      <c r="X17" s="36" t="str">
        <f t="shared" si="14"/>
        <v/>
      </c>
      <c r="Y17" s="33"/>
      <c r="Z17" s="36" t="str">
        <f t="shared" si="15"/>
        <v/>
      </c>
      <c r="AA17" s="33"/>
      <c r="AB17" s="36" t="str">
        <f t="shared" si="16"/>
        <v/>
      </c>
      <c r="AC17" s="33"/>
      <c r="AD17" s="36" t="str">
        <f t="shared" si="17"/>
        <v/>
      </c>
      <c r="AE17" s="76"/>
      <c r="AF17" s="36" t="str">
        <f t="shared" si="6"/>
        <v/>
      </c>
      <c r="AG17" s="33">
        <v>2</v>
      </c>
      <c r="AH17" s="36">
        <f t="shared" si="23"/>
        <v>14.285714285714285</v>
      </c>
      <c r="AI17" s="33"/>
      <c r="AJ17" s="36" t="str">
        <f t="shared" si="7"/>
        <v/>
      </c>
      <c r="AK17" s="33"/>
      <c r="AL17" s="36" t="str">
        <f t="shared" si="18"/>
        <v/>
      </c>
      <c r="AM17" s="33"/>
      <c r="AN17" s="36" t="str">
        <f t="shared" si="19"/>
        <v/>
      </c>
      <c r="AO17" s="33"/>
      <c r="AP17" s="36" t="str">
        <f t="shared" si="8"/>
        <v/>
      </c>
      <c r="AQ17" s="33">
        <v>1</v>
      </c>
      <c r="AR17" s="36">
        <f t="shared" si="9"/>
        <v>7.1428571428571423</v>
      </c>
      <c r="AS17" s="33"/>
      <c r="AT17" s="36" t="str">
        <f t="shared" si="19"/>
        <v/>
      </c>
      <c r="AU17" s="33"/>
      <c r="AV17" s="36" t="str">
        <f t="shared" si="20"/>
        <v/>
      </c>
      <c r="AW17" s="33"/>
      <c r="AX17" s="36" t="str">
        <f t="shared" si="21"/>
        <v/>
      </c>
      <c r="AY17" s="33"/>
      <c r="AZ17" s="36" t="str">
        <f t="shared" si="22"/>
        <v/>
      </c>
      <c r="BA17" s="23" t="s">
        <v>337</v>
      </c>
    </row>
    <row r="18" spans="1:53" ht="20" customHeight="1" x14ac:dyDescent="0.2">
      <c r="A18" s="60"/>
      <c r="B18" s="82"/>
      <c r="C18" s="24" t="s">
        <v>85</v>
      </c>
      <c r="D18" s="23" t="s">
        <v>256</v>
      </c>
      <c r="E18" s="23" t="s">
        <v>257</v>
      </c>
      <c r="F18" s="24">
        <v>2008</v>
      </c>
      <c r="H18" s="89">
        <v>13</v>
      </c>
      <c r="I18" s="85" t="s">
        <v>220</v>
      </c>
      <c r="J18" s="86" t="s">
        <v>338</v>
      </c>
      <c r="K18" s="33"/>
      <c r="L18" s="36" t="str">
        <f t="shared" si="0"/>
        <v/>
      </c>
      <c r="M18" s="33"/>
      <c r="N18" s="36" t="str">
        <f t="shared" si="1"/>
        <v/>
      </c>
      <c r="O18" s="33"/>
      <c r="P18" s="36" t="str">
        <f t="shared" si="2"/>
        <v/>
      </c>
      <c r="Q18" s="33"/>
      <c r="R18" s="36" t="str">
        <f t="shared" si="3"/>
        <v/>
      </c>
      <c r="S18" s="33"/>
      <c r="T18" s="36" t="str">
        <f t="shared" si="4"/>
        <v/>
      </c>
      <c r="U18" s="76"/>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6"/>
      <c r="AF18" s="36" t="str">
        <f t="shared" si="6"/>
        <v/>
      </c>
      <c r="AG18" s="33">
        <v>1</v>
      </c>
      <c r="AH18" s="36">
        <f>IF((ISERROR((AG18/$H18)*100)), "", IF(AND(NOT(ISERROR((AG18/$H18)*100)),((AG18/$H18)*100) &lt;&gt; 0), (AG18/$H18)*100, ""))</f>
        <v>7.6923076923076925</v>
      </c>
      <c r="AI18" s="33"/>
      <c r="AJ18" s="36" t="str">
        <f t="shared" si="7"/>
        <v/>
      </c>
      <c r="AK18" s="33"/>
      <c r="AL18" s="36" t="str">
        <f>IF((ISERROR((AK18/$H18)*100)), "", IF(AND(NOT(ISERROR((AK18/$H18)*100)),((AK18/$H18)*100) &lt;&gt; 0), (AK18/$H18)*100, ""))</f>
        <v/>
      </c>
      <c r="AM18" s="33"/>
      <c r="AN18" s="36" t="str">
        <f>IF((ISERROR((AM18/$H18)*100)), "", IF(AND(NOT(ISERROR((AM18/$H18)*100)),((AM18/$H18)*100) &lt;&gt; 0), (AM18/$H18)*100, ""))</f>
        <v/>
      </c>
      <c r="AO18" s="33"/>
      <c r="AP18" s="36" t="str">
        <f t="shared" si="8"/>
        <v/>
      </c>
      <c r="AQ18" s="33"/>
      <c r="AR18" s="36" t="str">
        <f t="shared" si="9"/>
        <v/>
      </c>
      <c r="AS18" s="33"/>
      <c r="AT18" s="36" t="str">
        <f t="shared" si="19"/>
        <v/>
      </c>
      <c r="AU18" s="33"/>
      <c r="AV18" s="36" t="str">
        <f t="shared" si="20"/>
        <v/>
      </c>
      <c r="AW18" s="33"/>
      <c r="AX18" s="36" t="str">
        <f t="shared" si="21"/>
        <v/>
      </c>
      <c r="AY18" s="33"/>
      <c r="AZ18" s="36" t="str">
        <f t="shared" si="22"/>
        <v/>
      </c>
    </row>
    <row r="19" spans="1:53" ht="20" customHeight="1" x14ac:dyDescent="0.2">
      <c r="A19" s="61"/>
      <c r="B19" s="82"/>
      <c r="C19" s="24" t="s">
        <v>85</v>
      </c>
      <c r="D19" s="23" t="s">
        <v>36</v>
      </c>
      <c r="E19" s="23" t="s">
        <v>37</v>
      </c>
      <c r="F19" s="24">
        <v>2008</v>
      </c>
      <c r="G19" s="24">
        <v>40</v>
      </c>
      <c r="H19" s="89"/>
      <c r="I19" s="85"/>
      <c r="J19" s="86" t="s">
        <v>169</v>
      </c>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40"/>
      <c r="AF19" s="39" t="str">
        <f t="shared" si="6"/>
        <v/>
      </c>
      <c r="AG19" s="33"/>
      <c r="AH19" s="36" t="str">
        <f>IF((ISERROR((AG19/$H19)*100)), "", IF(AND(NOT(ISERROR((AG19/$H19)*100)),((AG19/$H19)*100) &lt;&gt; 0), (AG19/$H19)*100, ""))</f>
        <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0"/>
        <v/>
      </c>
      <c r="M20" s="33"/>
      <c r="N20" s="36" t="str">
        <f t="shared" si="1"/>
        <v/>
      </c>
      <c r="O20" s="33"/>
      <c r="P20" s="36" t="str">
        <f t="shared" si="2"/>
        <v/>
      </c>
      <c r="Q20" s="33"/>
      <c r="R20" s="36" t="str">
        <f t="shared" si="3"/>
        <v/>
      </c>
      <c r="S20" s="33"/>
      <c r="T20" s="36" t="str">
        <f t="shared" si="4"/>
        <v/>
      </c>
      <c r="U20" s="76"/>
      <c r="V20" s="36" t="str">
        <f t="shared" si="5"/>
        <v/>
      </c>
      <c r="W20" s="33"/>
      <c r="X20" s="36" t="str">
        <f t="shared" si="14"/>
        <v/>
      </c>
      <c r="Y20" s="33"/>
      <c r="Z20" s="36" t="str">
        <f t="shared" si="15"/>
        <v/>
      </c>
      <c r="AA20" s="33"/>
      <c r="AB20" s="36" t="str">
        <f t="shared" si="16"/>
        <v/>
      </c>
      <c r="AC20" s="33"/>
      <c r="AD20" s="36" t="str">
        <f t="shared" si="17"/>
        <v/>
      </c>
      <c r="AE20" s="76"/>
      <c r="AF20" s="36" t="str">
        <f t="shared" si="6"/>
        <v/>
      </c>
      <c r="AG20" s="33"/>
      <c r="AH20" s="36" t="str">
        <f t="shared" si="23"/>
        <v/>
      </c>
      <c r="AI20" s="33"/>
      <c r="AJ20" s="36" t="str">
        <f t="shared" si="7"/>
        <v/>
      </c>
      <c r="AK20" s="33"/>
      <c r="AL20" s="36" t="str">
        <f t="shared" si="18"/>
        <v/>
      </c>
      <c r="AM20" s="33"/>
      <c r="AN20" s="36" t="str">
        <f t="shared" si="19"/>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0"/>
        <v/>
      </c>
      <c r="M21" s="33"/>
      <c r="N21" s="36" t="str">
        <f t="shared" si="1"/>
        <v/>
      </c>
      <c r="O21" s="33"/>
      <c r="P21" s="36" t="str">
        <f t="shared" si="2"/>
        <v/>
      </c>
      <c r="Q21" s="33"/>
      <c r="R21" s="36" t="str">
        <f t="shared" si="3"/>
        <v/>
      </c>
      <c r="S21" s="38"/>
      <c r="T21" s="39" t="str">
        <f t="shared" si="4"/>
        <v/>
      </c>
      <c r="U21" s="76"/>
      <c r="V21" s="36" t="str">
        <f t="shared" si="5"/>
        <v/>
      </c>
      <c r="W21" s="38"/>
      <c r="X21" s="39" t="str">
        <f t="shared" si="14"/>
        <v/>
      </c>
      <c r="Y21" s="33"/>
      <c r="Z21" s="36" t="str">
        <f t="shared" si="15"/>
        <v/>
      </c>
      <c r="AA21" s="33"/>
      <c r="AB21" s="36" t="str">
        <f t="shared" si="16"/>
        <v/>
      </c>
      <c r="AC21" s="33"/>
      <c r="AD21" s="36" t="str">
        <f t="shared" si="17"/>
        <v/>
      </c>
      <c r="AE21" s="76"/>
      <c r="AF21" s="36" t="str">
        <f t="shared" si="6"/>
        <v/>
      </c>
      <c r="AG21" s="38"/>
      <c r="AH21" s="39" t="str">
        <f t="shared" si="23"/>
        <v/>
      </c>
      <c r="AI21" s="33"/>
      <c r="AJ21" s="36" t="str">
        <f t="shared" si="7"/>
        <v/>
      </c>
      <c r="AK21" s="33"/>
      <c r="AL21" s="36" t="str">
        <f t="shared" si="18"/>
        <v/>
      </c>
      <c r="AM21" s="38"/>
      <c r="AN21" s="39" t="str">
        <f t="shared" si="19"/>
        <v/>
      </c>
      <c r="AO21" s="38"/>
      <c r="AP21" s="39" t="str">
        <f t="shared" si="8"/>
        <v/>
      </c>
      <c r="AQ21" s="33"/>
      <c r="AR21" s="36" t="str">
        <f t="shared" si="9"/>
        <v/>
      </c>
      <c r="AS21" s="38"/>
      <c r="AT21" s="39" t="str">
        <f t="shared" si="19"/>
        <v/>
      </c>
      <c r="AU21" s="33"/>
      <c r="AV21" s="36" t="str">
        <f t="shared" si="20"/>
        <v/>
      </c>
      <c r="AW21" s="33"/>
      <c r="AX21" s="36" t="str">
        <f t="shared" si="21"/>
        <v/>
      </c>
      <c r="AY21" s="38"/>
      <c r="AZ21" s="39" t="str">
        <f t="shared" si="22"/>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76"/>
      <c r="AF22" s="36" t="str">
        <f t="shared" si="6"/>
        <v/>
      </c>
      <c r="AG22" s="33">
        <v>5</v>
      </c>
      <c r="AH22" s="36">
        <f>IF((ISERROR((AG22/$H22)*100)), "", IF(AND(NOT(ISERROR((AG22/$H22)*100)),((AG22/$H22)*100) &lt;&gt; 0), (AG22/$H22)*100, ""))</f>
        <v>41.666666666666671</v>
      </c>
      <c r="AI22" s="33"/>
      <c r="AJ22" s="36" t="str">
        <f t="shared" si="7"/>
        <v/>
      </c>
      <c r="AK22" s="33"/>
      <c r="AL22" s="36" t="str">
        <f>IF((ISERROR((AK22/$H22)*100)), "", IF(AND(NOT(ISERROR((AK22/$H22)*100)),((AK22/$H22)*100) &lt;&gt; 0), (AK22/$H22)*100, ""))</f>
        <v/>
      </c>
      <c r="AM22" s="33"/>
      <c r="AN22" s="36" t="str">
        <f>IF((ISERROR((AM22/$H22)*100)), "", IF(AND(NOT(ISERROR((AM22/$H22)*100)),((AM22/$H22)*100) &lt;&gt; 0), (AM22/$H22)*100, ""))</f>
        <v/>
      </c>
      <c r="AO22" s="33"/>
      <c r="AP22" s="36" t="str">
        <f t="shared" si="8"/>
        <v/>
      </c>
      <c r="AQ22" s="33"/>
      <c r="AR22" s="36" t="str">
        <f t="shared" si="9"/>
        <v/>
      </c>
      <c r="AS22" s="33"/>
      <c r="AT22" s="36" t="str">
        <f t="shared" si="19"/>
        <v/>
      </c>
      <c r="AU22" s="33"/>
      <c r="AV22" s="36" t="str">
        <f t="shared" si="20"/>
        <v/>
      </c>
      <c r="AW22" s="33"/>
      <c r="AX22" s="36" t="str">
        <f t="shared" si="21"/>
        <v/>
      </c>
      <c r="AY22" s="33"/>
      <c r="AZ22" s="36" t="str">
        <f t="shared" si="22"/>
        <v/>
      </c>
      <c r="BA22" s="23" t="s">
        <v>170</v>
      </c>
    </row>
    <row r="23" spans="1:53" ht="20" customHeight="1" x14ac:dyDescent="0.2">
      <c r="A23" s="60"/>
      <c r="B23" s="82"/>
      <c r="C23" s="24" t="s">
        <v>85</v>
      </c>
      <c r="D23" s="23" t="s">
        <v>43</v>
      </c>
      <c r="E23" s="23" t="s">
        <v>44</v>
      </c>
      <c r="F23" s="24">
        <v>1976</v>
      </c>
      <c r="G23" s="24">
        <v>179</v>
      </c>
      <c r="H23" s="89">
        <v>8</v>
      </c>
      <c r="I23" s="112" t="s">
        <v>339</v>
      </c>
      <c r="J23" s="86"/>
      <c r="K23" s="38">
        <v>2</v>
      </c>
      <c r="L23" s="39">
        <f t="shared" si="0"/>
        <v>25</v>
      </c>
      <c r="M23" s="33"/>
      <c r="N23" s="36" t="str">
        <f t="shared" si="1"/>
        <v/>
      </c>
      <c r="O23" s="38">
        <v>5</v>
      </c>
      <c r="P23" s="39">
        <f t="shared" si="2"/>
        <v>62.5</v>
      </c>
      <c r="Q23" s="38">
        <v>2</v>
      </c>
      <c r="R23" s="39">
        <f t="shared" si="3"/>
        <v>25</v>
      </c>
      <c r="S23" s="38">
        <v>1</v>
      </c>
      <c r="T23" s="39">
        <f t="shared" si="4"/>
        <v>12.5</v>
      </c>
      <c r="U23" s="76">
        <v>1</v>
      </c>
      <c r="V23" s="36">
        <f t="shared" si="5"/>
        <v>12.5</v>
      </c>
      <c r="W23" s="38">
        <v>1</v>
      </c>
      <c r="X23" s="39">
        <f>IF((ISERROR((W23/$H23)*100)), "", IF(AND(NOT(ISERROR((W23/$H23)*100)),((W23/$H23)*100) &lt;&gt; 0), (W23/$H23)*100, ""))</f>
        <v>12.5</v>
      </c>
      <c r="Y23" s="38">
        <v>1</v>
      </c>
      <c r="Z23" s="39">
        <f>IF((ISERROR((Y23/$H23)*100)), "", IF(AND(NOT(ISERROR((Y23/$H23)*100)),((Y23/$H23)*100) &lt;&gt; 0), (Y23/$H23)*100, ""))</f>
        <v>12.5</v>
      </c>
      <c r="AA23" s="38">
        <v>1</v>
      </c>
      <c r="AB23" s="39">
        <f>IF((ISERROR((AA23/$H23)*100)), "", IF(AND(NOT(ISERROR((AA23/$H23)*100)),((AA23/$H23)*100) &lt;&gt; 0), (AA23/$H23)*100, ""))</f>
        <v>12.5</v>
      </c>
      <c r="AC23" s="33"/>
      <c r="AD23" s="36" t="str">
        <f>IF((ISERROR((AC23/$H23)*100)), "", IF(AND(NOT(ISERROR((AC23/$H23)*100)),((AC23/$H23)*100) &lt;&gt; 0), (AC23/$H23)*100, ""))</f>
        <v/>
      </c>
      <c r="AE23" s="76"/>
      <c r="AF23" s="36" t="str">
        <f t="shared" si="6"/>
        <v/>
      </c>
      <c r="AG23" s="33"/>
      <c r="AH23" s="36" t="str">
        <f>IF((ISERROR((AG23/$H23)*100)), "", IF(AND(NOT(ISERROR((AG23/$H23)*100)),((AG23/$H23)*100) &lt;&gt; 0), (AG23/$H23)*100, ""))</f>
        <v/>
      </c>
      <c r="AI23" s="33"/>
      <c r="AJ23" s="36" t="str">
        <f t="shared" si="7"/>
        <v/>
      </c>
      <c r="AK23" s="38">
        <v>1</v>
      </c>
      <c r="AL23" s="39">
        <f>IF((ISERROR((AK23/$H23)*100)), "", IF(AND(NOT(ISERROR((AK23/$H23)*100)),((AK23/$H23)*100) &lt;&gt; 0), (AK23/$H23)*100, ""))</f>
        <v>12.5</v>
      </c>
      <c r="AM23" s="33"/>
      <c r="AN23" s="36" t="str">
        <f>IF((ISERROR((AM23/$H23)*100)), "", IF(AND(NOT(ISERROR((AM23/$H23)*100)),((AM23/$H23)*100) &lt;&gt; 0), (AM23/$H23)*100, ""))</f>
        <v/>
      </c>
      <c r="AO23" s="33"/>
      <c r="AP23" s="36" t="str">
        <f t="shared" si="8"/>
        <v/>
      </c>
      <c r="AQ23" s="38">
        <v>1</v>
      </c>
      <c r="AR23" s="39">
        <f t="shared" si="9"/>
        <v>12.5</v>
      </c>
      <c r="AS23" s="33"/>
      <c r="AT23" s="36" t="str">
        <f t="shared" si="19"/>
        <v/>
      </c>
      <c r="AU23" s="38"/>
      <c r="AV23" s="39" t="str">
        <f t="shared" si="20"/>
        <v/>
      </c>
      <c r="AW23" s="38"/>
      <c r="AX23" s="39" t="str">
        <f t="shared" si="21"/>
        <v/>
      </c>
      <c r="AY23" s="33"/>
      <c r="AZ23" s="36" t="str">
        <f t="shared" si="22"/>
        <v/>
      </c>
      <c r="BA23" s="23" t="s">
        <v>184</v>
      </c>
    </row>
    <row r="24" spans="1:53" ht="20" customHeight="1" x14ac:dyDescent="0.2">
      <c r="A24" s="61"/>
      <c r="B24" s="83"/>
      <c r="C24" s="24" t="s">
        <v>85</v>
      </c>
      <c r="D24" s="23" t="s">
        <v>152</v>
      </c>
      <c r="E24" s="23" t="s">
        <v>153</v>
      </c>
      <c r="F24" s="24">
        <v>2007</v>
      </c>
      <c r="H24" s="89">
        <v>44</v>
      </c>
      <c r="I24" s="85"/>
      <c r="J24" s="86"/>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si="14"/>
        <v/>
      </c>
      <c r="Y24" s="33"/>
      <c r="Z24" s="36" t="str">
        <f t="shared" si="15"/>
        <v/>
      </c>
      <c r="AA24" s="33"/>
      <c r="AB24" s="36" t="str">
        <f t="shared" si="16"/>
        <v/>
      </c>
      <c r="AC24" s="33"/>
      <c r="AD24" s="36" t="str">
        <f t="shared" si="17"/>
        <v/>
      </c>
      <c r="AE24" s="76"/>
      <c r="AF24" s="36" t="str">
        <f t="shared" si="6"/>
        <v/>
      </c>
      <c r="AG24" s="33"/>
      <c r="AH24" s="36" t="str">
        <f t="shared" si="23"/>
        <v/>
      </c>
      <c r="AI24" s="33"/>
      <c r="AJ24" s="36" t="str">
        <f t="shared" si="7"/>
        <v/>
      </c>
      <c r="AK24" s="33"/>
      <c r="AL24" s="36" t="str">
        <f t="shared" si="18"/>
        <v/>
      </c>
      <c r="AM24" s="33"/>
      <c r="AN24" s="36" t="str">
        <f t="shared" si="19"/>
        <v/>
      </c>
      <c r="AO24" s="33"/>
      <c r="AP24" s="36" t="str">
        <f t="shared" si="8"/>
        <v/>
      </c>
      <c r="AQ24" s="33"/>
      <c r="AR24" s="36" t="str">
        <f t="shared" si="9"/>
        <v/>
      </c>
      <c r="AS24" s="33"/>
      <c r="AT24" s="36" t="str">
        <f t="shared" si="19"/>
        <v/>
      </c>
      <c r="AU24" s="33"/>
      <c r="AV24" s="36" t="str">
        <f t="shared" si="20"/>
        <v/>
      </c>
      <c r="AW24" s="33"/>
      <c r="AX24" s="36" t="str">
        <f t="shared" si="21"/>
        <v/>
      </c>
      <c r="AY24" s="33"/>
      <c r="AZ24" s="36" t="str">
        <f t="shared" si="22"/>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 t="shared" si="0"/>
        <v/>
      </c>
      <c r="M25" s="33"/>
      <c r="N25" s="36" t="str">
        <f t="shared" si="1"/>
        <v/>
      </c>
      <c r="O25" s="33"/>
      <c r="P25" s="36" t="str">
        <f t="shared" si="2"/>
        <v/>
      </c>
      <c r="Q25" s="33"/>
      <c r="R25" s="36" t="str">
        <f t="shared" si="3"/>
        <v/>
      </c>
      <c r="S25" s="33"/>
      <c r="T25" s="36" t="str">
        <f t="shared" si="4"/>
        <v/>
      </c>
      <c r="U25" s="76"/>
      <c r="V25" s="36" t="str">
        <f t="shared" si="5"/>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76"/>
      <c r="AF25" s="36" t="str">
        <f t="shared" si="6"/>
        <v/>
      </c>
      <c r="AG25" s="38"/>
      <c r="AH25" s="38" t="str">
        <f>IF((ISERROR((AG25/$H25)*100)), "", IF(AND(NOT(ISERROR((AG25/$H25)*100)),((AG25/$H25)*100) &lt;&gt; 0), (AG25/$H25)*100, ""))</f>
        <v/>
      </c>
      <c r="AI25" s="33"/>
      <c r="AJ25" s="36" t="str">
        <f t="shared" si="7"/>
        <v/>
      </c>
      <c r="AK25" s="33"/>
      <c r="AL25" s="36" t="str">
        <f>IF((ISERROR((AK25/$H25)*100)), "", IF(AND(NOT(ISERROR((AK25/$H25)*100)),((AK25/$H25)*100) &lt;&gt; 0), (AK25/$H25)*100, ""))</f>
        <v/>
      </c>
      <c r="AM25" s="33"/>
      <c r="AN25" s="36" t="str">
        <f>IF((ISERROR((AM25/$H25)*100)), "", IF(AND(NOT(ISERROR((AM25/$H25)*100)),((AM25/$H25)*100) &lt;&gt; 0), (AM25/$H25)*100, ""))</f>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404</v>
      </c>
    </row>
    <row r="26" spans="1:53" ht="20" customHeight="1" x14ac:dyDescent="0.2">
      <c r="A26" s="60"/>
      <c r="B26" s="24"/>
      <c r="D26" s="23" t="s">
        <v>260</v>
      </c>
      <c r="E26" s="23" t="s">
        <v>261</v>
      </c>
      <c r="F26" s="24">
        <v>2015</v>
      </c>
      <c r="H26" s="89"/>
      <c r="I26" s="85"/>
      <c r="J26" s="86"/>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c r="AF26" s="36" t="str">
        <f t="shared" si="6"/>
        <v/>
      </c>
      <c r="AG26" s="33"/>
      <c r="AH26" s="36"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row>
    <row r="27" spans="1:53" ht="20" customHeight="1" x14ac:dyDescent="0.2">
      <c r="A27" s="60"/>
      <c r="B27" s="83"/>
      <c r="C27" s="24" t="s">
        <v>85</v>
      </c>
      <c r="D27" s="23" t="s">
        <v>262</v>
      </c>
      <c r="E27" s="23" t="s">
        <v>263</v>
      </c>
      <c r="F27" s="24">
        <v>2012</v>
      </c>
      <c r="H27" s="89">
        <v>80</v>
      </c>
      <c r="I27" s="85" t="s">
        <v>216</v>
      </c>
      <c r="J27" s="86" t="s">
        <v>193</v>
      </c>
      <c r="K27" s="33"/>
      <c r="L27" s="36" t="str">
        <f t="shared" si="0"/>
        <v/>
      </c>
      <c r="M27" s="33"/>
      <c r="N27" s="36" t="str">
        <f t="shared" si="1"/>
        <v/>
      </c>
      <c r="O27" s="33"/>
      <c r="P27" s="36" t="str">
        <f t="shared" si="2"/>
        <v/>
      </c>
      <c r="Q27" s="33"/>
      <c r="R27" s="36" t="str">
        <f t="shared" si="3"/>
        <v/>
      </c>
      <c r="S27" s="33"/>
      <c r="T27" s="36" t="str">
        <f t="shared" si="4"/>
        <v/>
      </c>
      <c r="U27" s="76"/>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row>
    <row r="28" spans="1:53" ht="20" customHeight="1" x14ac:dyDescent="0.2">
      <c r="A28" s="60"/>
      <c r="B28" s="82"/>
      <c r="C28" s="24" t="s">
        <v>85</v>
      </c>
      <c r="D28" s="23" t="s">
        <v>264</v>
      </c>
      <c r="E28" s="23" t="s">
        <v>265</v>
      </c>
      <c r="F28" s="24">
        <v>2013</v>
      </c>
      <c r="H28" s="89">
        <v>12</v>
      </c>
      <c r="I28" s="85" t="s">
        <v>216</v>
      </c>
      <c r="J28" s="86" t="s">
        <v>341</v>
      </c>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6"/>
      <c r="AF28" s="36" t="str">
        <f t="shared" si="6"/>
        <v/>
      </c>
      <c r="AG28" s="33"/>
      <c r="AH28" s="36" t="str">
        <f>IF((ISERROR((AG28/$H28)*100)), "", IF(AND(NOT(ISERROR((AG28/$H28)*100)),((AG28/$H28)*100) &lt;&gt; 0), (AG28/$H28)*100, ""))</f>
        <v/>
      </c>
      <c r="AI28" s="33"/>
      <c r="AJ28" s="36" t="str">
        <f t="shared" si="7"/>
        <v/>
      </c>
      <c r="AK28" s="33"/>
      <c r="AL28" s="36" t="str">
        <f>IF((ISERROR((AK28/$H28)*100)), "", IF(AND(NOT(ISERROR((AK28/$H28)*100)),((AK28/$H28)*100) &lt;&gt; 0), (AK28/$H28)*100, ""))</f>
        <v/>
      </c>
      <c r="AM28" s="33"/>
      <c r="AN28" s="36" t="str">
        <f>IF((ISERROR((AM28/$H28)*100)), "", IF(AND(NOT(ISERROR((AM28/$H28)*100)),((AM28/$H28)*100) &lt;&gt; 0), (AM28/$H28)*100, ""))</f>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405</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0"/>
        <v/>
      </c>
      <c r="M29" s="33"/>
      <c r="N29" s="36" t="str">
        <f t="shared" si="1"/>
        <v/>
      </c>
      <c r="O29" s="33"/>
      <c r="P29" s="36" t="str">
        <f t="shared" si="2"/>
        <v/>
      </c>
      <c r="Q29" s="33"/>
      <c r="R29" s="36" t="str">
        <f t="shared" si="3"/>
        <v/>
      </c>
      <c r="S29" s="33"/>
      <c r="T29" s="36" t="str">
        <f t="shared" si="4"/>
        <v/>
      </c>
      <c r="U29" s="76"/>
      <c r="V29" s="36" t="str">
        <f t="shared" si="5"/>
        <v/>
      </c>
      <c r="W29" s="33"/>
      <c r="X29" s="36" t="str">
        <f t="shared" si="14"/>
        <v/>
      </c>
      <c r="Y29" s="33"/>
      <c r="Z29" s="36" t="str">
        <f t="shared" si="15"/>
        <v/>
      </c>
      <c r="AA29" s="33"/>
      <c r="AB29" s="36" t="str">
        <f t="shared" si="16"/>
        <v/>
      </c>
      <c r="AC29" s="33"/>
      <c r="AD29" s="36" t="str">
        <f t="shared" si="17"/>
        <v/>
      </c>
      <c r="AE29" s="76"/>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0"/>
        <v/>
      </c>
      <c r="M30" s="33"/>
      <c r="N30" s="36" t="str">
        <f t="shared" si="1"/>
        <v/>
      </c>
      <c r="O30" s="33">
        <v>1</v>
      </c>
      <c r="P30" s="36">
        <f t="shared" si="2"/>
        <v>11.111111111111111</v>
      </c>
      <c r="Q30" s="33"/>
      <c r="R30" s="36" t="str">
        <f t="shared" si="3"/>
        <v/>
      </c>
      <c r="S30" s="33">
        <v>1</v>
      </c>
      <c r="T30" s="36">
        <f t="shared" si="4"/>
        <v>11.111111111111111</v>
      </c>
      <c r="U30" s="76">
        <v>1</v>
      </c>
      <c r="V30" s="36">
        <f t="shared" si="5"/>
        <v>11.111111111111111</v>
      </c>
      <c r="W30" s="33"/>
      <c r="X30" s="36" t="str">
        <f t="shared" si="14"/>
        <v/>
      </c>
      <c r="Y30" s="33"/>
      <c r="Z30" s="36" t="str">
        <f t="shared" si="15"/>
        <v/>
      </c>
      <c r="AA30" s="33"/>
      <c r="AB30" s="36" t="str">
        <f t="shared" si="16"/>
        <v/>
      </c>
      <c r="AC30" s="33"/>
      <c r="AD30" s="36" t="str">
        <f t="shared" si="17"/>
        <v/>
      </c>
      <c r="AE30" s="76"/>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si="14"/>
        <v/>
      </c>
      <c r="Y31" s="33"/>
      <c r="Z31" s="36" t="str">
        <f t="shared" si="15"/>
        <v/>
      </c>
      <c r="AA31" s="33"/>
      <c r="AB31" s="36" t="str">
        <f t="shared" si="16"/>
        <v/>
      </c>
      <c r="AC31" s="33"/>
      <c r="AD31" s="36" t="str">
        <f t="shared" si="17"/>
        <v/>
      </c>
      <c r="AE31" s="76"/>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si="14"/>
        <v/>
      </c>
      <c r="Y32" s="33"/>
      <c r="Z32" s="36" t="str">
        <f t="shared" si="15"/>
        <v/>
      </c>
      <c r="AA32" s="33"/>
      <c r="AB32" s="36" t="str">
        <f t="shared" si="16"/>
        <v/>
      </c>
      <c r="AC32" s="33"/>
      <c r="AD32" s="36" t="str">
        <f t="shared" si="17"/>
        <v/>
      </c>
      <c r="AE32" s="76"/>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24"/>
      <c r="C33" s="50" t="s">
        <v>30</v>
      </c>
      <c r="D33" s="49" t="s">
        <v>50</v>
      </c>
      <c r="E33" s="49" t="s">
        <v>51</v>
      </c>
      <c r="F33" s="50">
        <v>1993</v>
      </c>
      <c r="G33" s="50">
        <v>306</v>
      </c>
      <c r="H33" s="89"/>
      <c r="I33" s="85"/>
      <c r="J33" s="86"/>
      <c r="K33" s="33"/>
      <c r="L33" s="36" t="str">
        <f t="shared" si="0"/>
        <v/>
      </c>
      <c r="M33" s="33"/>
      <c r="N33" s="36" t="str">
        <f t="shared" si="1"/>
        <v/>
      </c>
      <c r="O33" s="33"/>
      <c r="P33" s="36" t="str">
        <f t="shared" si="2"/>
        <v/>
      </c>
      <c r="Q33" s="33"/>
      <c r="R33" s="36" t="str">
        <f t="shared" si="3"/>
        <v/>
      </c>
      <c r="S33" s="33"/>
      <c r="T33" s="36" t="str">
        <f t="shared" si="4"/>
        <v/>
      </c>
      <c r="U33" s="76"/>
      <c r="V33" s="36" t="str">
        <f t="shared" si="5"/>
        <v/>
      </c>
      <c r="W33" s="33"/>
      <c r="X33" s="36" t="str">
        <f t="shared" si="14"/>
        <v/>
      </c>
      <c r="Y33" s="33"/>
      <c r="Z33" s="36" t="str">
        <f t="shared" si="15"/>
        <v/>
      </c>
      <c r="AA33" s="33"/>
      <c r="AB33" s="36" t="str">
        <f t="shared" si="16"/>
        <v/>
      </c>
      <c r="AC33" s="33"/>
      <c r="AD33" s="36" t="str">
        <f t="shared" si="17"/>
        <v/>
      </c>
      <c r="AE33" s="76"/>
      <c r="AF33" s="36" t="str">
        <f t="shared" si="6"/>
        <v/>
      </c>
      <c r="AG33" s="33"/>
      <c r="AH33" s="36" t="str">
        <f t="shared" si="23"/>
        <v/>
      </c>
      <c r="AI33" s="33"/>
      <c r="AJ33" s="36" t="str">
        <f t="shared" si="7"/>
        <v/>
      </c>
      <c r="AK33" s="33"/>
      <c r="AL33" s="36" t="str">
        <f t="shared" si="18"/>
        <v/>
      </c>
      <c r="AM33" s="33"/>
      <c r="AN33" s="36" t="str">
        <f t="shared" si="19"/>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row>
    <row r="34" spans="1:53" ht="20" customHeight="1" x14ac:dyDescent="0.2">
      <c r="A34" s="60"/>
      <c r="B34" s="82"/>
      <c r="C34" s="24" t="s">
        <v>85</v>
      </c>
      <c r="D34" s="23" t="s">
        <v>406</v>
      </c>
      <c r="E34" s="23" t="s">
        <v>407</v>
      </c>
      <c r="F34" s="24">
        <v>2013</v>
      </c>
      <c r="H34" s="89">
        <v>38</v>
      </c>
      <c r="I34" s="85" t="s">
        <v>408</v>
      </c>
      <c r="J34" s="86" t="s">
        <v>169</v>
      </c>
      <c r="K34" s="33"/>
      <c r="L34" s="36" t="str">
        <f t="shared" si="0"/>
        <v/>
      </c>
      <c r="M34" s="33"/>
      <c r="N34" s="36" t="str">
        <f t="shared" si="1"/>
        <v/>
      </c>
      <c r="O34" s="33"/>
      <c r="P34" s="36" t="str">
        <f t="shared" si="2"/>
        <v/>
      </c>
      <c r="Q34" s="33"/>
      <c r="R34" s="36" t="str">
        <f t="shared" si="3"/>
        <v/>
      </c>
      <c r="S34" s="33"/>
      <c r="T34" s="36" t="str">
        <f t="shared" si="4"/>
        <v/>
      </c>
      <c r="U34" s="33"/>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v>37</v>
      </c>
      <c r="AF34" s="36">
        <f t="shared" si="6"/>
        <v>97.368421052631575</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416</v>
      </c>
    </row>
    <row r="35" spans="1:53" ht="20" customHeight="1" x14ac:dyDescent="0.2">
      <c r="A35" s="61"/>
      <c r="B35" s="83"/>
      <c r="C35" s="24" t="s">
        <v>85</v>
      </c>
      <c r="D35" s="23" t="s">
        <v>52</v>
      </c>
      <c r="E35" s="23" t="s">
        <v>53</v>
      </c>
      <c r="F35" s="24">
        <v>2001</v>
      </c>
      <c r="G35" s="24">
        <v>118</v>
      </c>
      <c r="H35" s="89">
        <v>20</v>
      </c>
      <c r="I35" s="85"/>
      <c r="J35" s="86" t="s">
        <v>190</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181</v>
      </c>
    </row>
    <row r="36" spans="1:53" ht="20" customHeight="1" x14ac:dyDescent="0.2">
      <c r="A36" s="60"/>
      <c r="B36" s="82"/>
      <c r="C36" s="24" t="s">
        <v>85</v>
      </c>
      <c r="D36" s="23" t="s">
        <v>270</v>
      </c>
      <c r="E36" s="23" t="s">
        <v>271</v>
      </c>
      <c r="F36" s="24">
        <v>1994</v>
      </c>
      <c r="H36" s="89">
        <v>20</v>
      </c>
      <c r="I36" s="85" t="s">
        <v>343</v>
      </c>
      <c r="J36" s="86"/>
      <c r="K36" s="33"/>
      <c r="L36" s="36" t="str">
        <f t="shared" si="0"/>
        <v/>
      </c>
      <c r="M36" s="33"/>
      <c r="N36" s="36" t="str">
        <f t="shared" si="1"/>
        <v/>
      </c>
      <c r="O36" s="33"/>
      <c r="P36" s="36" t="str">
        <f t="shared" si="2"/>
        <v/>
      </c>
      <c r="Q36" s="33"/>
      <c r="R36" s="36" t="str">
        <f t="shared" si="3"/>
        <v/>
      </c>
      <c r="S36" s="38"/>
      <c r="T36" s="39" t="str">
        <f t="shared" si="4"/>
        <v/>
      </c>
      <c r="U36" s="40"/>
      <c r="V36" s="39" t="str">
        <f t="shared" si="5"/>
        <v/>
      </c>
      <c r="W36" s="38"/>
      <c r="X36" s="39"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409</v>
      </c>
    </row>
    <row r="37" spans="1:53" ht="20" customHeight="1" x14ac:dyDescent="0.2">
      <c r="A37" s="60"/>
      <c r="B37" s="83"/>
      <c r="C37" s="24" t="s">
        <v>85</v>
      </c>
      <c r="D37" s="23" t="s">
        <v>344</v>
      </c>
      <c r="E37" s="23" t="s">
        <v>345</v>
      </c>
      <c r="F37" s="24">
        <v>2008</v>
      </c>
      <c r="H37" s="89">
        <v>16</v>
      </c>
      <c r="I37" s="85" t="s">
        <v>177</v>
      </c>
      <c r="J37" s="86" t="s">
        <v>346</v>
      </c>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c r="AF37" s="36" t="str">
        <f t="shared" si="6"/>
        <v/>
      </c>
      <c r="AG37" s="33"/>
      <c r="AH37" s="36" t="str">
        <f>IF((ISERROR((AG37/$H37)*100)), "", IF(AND(NOT(ISERROR((AG37/$H37)*100)),((AG37/$H37)*100) &lt;&gt; 0), (AG37/$H37)*100, ""))</f>
        <v/>
      </c>
      <c r="AI37" s="33"/>
      <c r="AJ37" s="36" t="str">
        <f t="shared" si="7"/>
        <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417</v>
      </c>
    </row>
    <row r="38" spans="1:53" ht="20" customHeight="1" x14ac:dyDescent="0.2">
      <c r="A38" s="60"/>
      <c r="B38" s="82"/>
      <c r="C38" s="24" t="s">
        <v>85</v>
      </c>
      <c r="D38" s="23" t="s">
        <v>54</v>
      </c>
      <c r="E38" s="23" t="s">
        <v>55</v>
      </c>
      <c r="F38" s="24">
        <v>1996</v>
      </c>
      <c r="G38" s="24">
        <v>82</v>
      </c>
      <c r="H38" s="89">
        <v>15</v>
      </c>
      <c r="I38" s="85" t="s">
        <v>177</v>
      </c>
      <c r="J38" s="86" t="s">
        <v>179</v>
      </c>
      <c r="K38" s="33">
        <v>1</v>
      </c>
      <c r="L38" s="36">
        <f t="shared" si="0"/>
        <v>6.666666666666667</v>
      </c>
      <c r="M38" s="33"/>
      <c r="N38" s="36" t="str">
        <f t="shared" si="1"/>
        <v/>
      </c>
      <c r="O38" s="33"/>
      <c r="P38" s="36" t="str">
        <f t="shared" si="2"/>
        <v/>
      </c>
      <c r="Q38" s="33"/>
      <c r="R38" s="36" t="str">
        <f t="shared" si="3"/>
        <v/>
      </c>
      <c r="S38" s="33"/>
      <c r="T38" s="36" t="str">
        <f t="shared" si="4"/>
        <v/>
      </c>
      <c r="U38" s="76">
        <v>1</v>
      </c>
      <c r="V38" s="36">
        <f t="shared" si="5"/>
        <v>6.666666666666667</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6"/>
        <v/>
      </c>
      <c r="AG38" s="33">
        <v>3</v>
      </c>
      <c r="AH38" s="36">
        <f>IF((ISERROR((AG38/$H38)*100)), "", IF(AND(NOT(ISERROR((AG38/$H38)*100)),((AG38/$H38)*100) &lt;&gt; 0), (AG38/$H38)*100, ""))</f>
        <v>20</v>
      </c>
      <c r="AI38" s="33">
        <v>1</v>
      </c>
      <c r="AJ38" s="36">
        <f t="shared" si="7"/>
        <v>6.666666666666667</v>
      </c>
      <c r="AK38" s="33"/>
      <c r="AL38" s="36" t="str">
        <f>IF((ISERROR((AK38/$H38)*100)), "", IF(AND(NOT(ISERROR((AK38/$H38)*100)),((AK38/$H38)*100) &lt;&gt; 0), (AK38/$H38)*100, ""))</f>
        <v/>
      </c>
      <c r="AM38" s="33"/>
      <c r="AN38" s="36" t="str">
        <f>IF((ISERROR((AM38/$H38)*100)), "", IF(AND(NOT(ISERROR((AM38/$H38)*100)),((AM38/$H38)*100) &lt;&gt; 0), (AM38/$H38)*100, ""))</f>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0"/>
        <v/>
      </c>
      <c r="M39" s="33"/>
      <c r="N39" s="36" t="str">
        <f t="shared" si="1"/>
        <v/>
      </c>
      <c r="O39" s="33"/>
      <c r="P39" s="36" t="str">
        <f t="shared" si="2"/>
        <v/>
      </c>
      <c r="Q39" s="33"/>
      <c r="R39" s="36" t="str">
        <f t="shared" si="3"/>
        <v/>
      </c>
      <c r="S39" s="33"/>
      <c r="T39" s="36" t="str">
        <f t="shared" si="4"/>
        <v/>
      </c>
      <c r="U39" s="76"/>
      <c r="V39" s="36" t="str">
        <f t="shared" si="5"/>
        <v/>
      </c>
      <c r="W39" s="33"/>
      <c r="X39" s="36" t="str">
        <f t="shared" si="14"/>
        <v/>
      </c>
      <c r="Y39" s="33"/>
      <c r="Z39" s="36" t="str">
        <f t="shared" si="15"/>
        <v/>
      </c>
      <c r="AA39" s="33"/>
      <c r="AB39" s="36" t="str">
        <f t="shared" si="16"/>
        <v/>
      </c>
      <c r="AC39" s="33"/>
      <c r="AD39" s="36" t="str">
        <f t="shared" si="17"/>
        <v/>
      </c>
      <c r="AE39" s="76"/>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0"/>
        <v/>
      </c>
      <c r="M40" s="33"/>
      <c r="N40" s="36" t="str">
        <f t="shared" si="1"/>
        <v/>
      </c>
      <c r="O40" s="33"/>
      <c r="P40" s="36" t="str">
        <f t="shared" si="2"/>
        <v/>
      </c>
      <c r="Q40" s="33"/>
      <c r="R40" s="36" t="str">
        <f t="shared" si="3"/>
        <v/>
      </c>
      <c r="S40" s="38"/>
      <c r="T40" s="39" t="str">
        <f t="shared" si="4"/>
        <v/>
      </c>
      <c r="U40" s="76"/>
      <c r="V40" s="36" t="str">
        <f t="shared" si="5"/>
        <v/>
      </c>
      <c r="W40" s="33"/>
      <c r="X40" s="36" t="str">
        <f t="shared" si="14"/>
        <v/>
      </c>
      <c r="Y40" s="33"/>
      <c r="Z40" s="36" t="str">
        <f t="shared" si="15"/>
        <v/>
      </c>
      <c r="AA40" s="33"/>
      <c r="AB40" s="36" t="str">
        <f t="shared" si="16"/>
        <v/>
      </c>
      <c r="AC40" s="33"/>
      <c r="AD40" s="36" t="str">
        <f t="shared" si="17"/>
        <v/>
      </c>
      <c r="AE40" s="76"/>
      <c r="AF40" s="36" t="str">
        <f t="shared" si="6"/>
        <v/>
      </c>
      <c r="AG40" s="33"/>
      <c r="AH40" s="36" t="str">
        <f t="shared" si="23"/>
        <v/>
      </c>
      <c r="AI40" s="33"/>
      <c r="AJ40" s="36" t="str">
        <f t="shared" si="7"/>
        <v/>
      </c>
      <c r="AK40" s="33"/>
      <c r="AL40" s="36" t="str">
        <f t="shared" si="18"/>
        <v/>
      </c>
      <c r="AM40" s="33"/>
      <c r="AN40" s="36" t="str">
        <f t="shared" si="19"/>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350</v>
      </c>
    </row>
    <row r="41" spans="1:53" ht="20" customHeight="1" x14ac:dyDescent="0.2">
      <c r="A41" s="61"/>
      <c r="B41" s="24"/>
      <c r="C41" s="24" t="s">
        <v>85</v>
      </c>
      <c r="D41" s="23" t="s">
        <v>57</v>
      </c>
      <c r="E41" s="23" t="s">
        <v>58</v>
      </c>
      <c r="F41" s="24">
        <v>2006</v>
      </c>
      <c r="G41" s="24">
        <v>132</v>
      </c>
      <c r="H41" s="89">
        <v>7</v>
      </c>
      <c r="I41" s="85"/>
      <c r="J41" s="86"/>
      <c r="K41" s="33"/>
      <c r="L41" s="36" t="str">
        <f t="shared" si="0"/>
        <v/>
      </c>
      <c r="M41" s="33"/>
      <c r="N41" s="36" t="str">
        <f t="shared" si="1"/>
        <v/>
      </c>
      <c r="O41" s="33"/>
      <c r="P41" s="36" t="str">
        <f t="shared" si="2"/>
        <v/>
      </c>
      <c r="Q41" s="33"/>
      <c r="R41" s="36" t="str">
        <f t="shared" si="3"/>
        <v/>
      </c>
      <c r="S41" s="33"/>
      <c r="T41" s="36" t="str">
        <f t="shared" si="4"/>
        <v/>
      </c>
      <c r="U41" s="76"/>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 t="shared" si="0"/>
        <v/>
      </c>
      <c r="M42" s="33"/>
      <c r="N42" s="36" t="str">
        <f t="shared" si="1"/>
        <v/>
      </c>
      <c r="O42" s="33"/>
      <c r="P42" s="36" t="str">
        <f t="shared" si="2"/>
        <v/>
      </c>
      <c r="Q42" s="33"/>
      <c r="R42" s="36" t="str">
        <f t="shared" si="3"/>
        <v/>
      </c>
      <c r="S42" s="33"/>
      <c r="T42" s="36" t="str">
        <f t="shared" si="4"/>
        <v/>
      </c>
      <c r="U42" s="76"/>
      <c r="V42" s="36" t="str">
        <f t="shared" si="5"/>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6"/>
      <c r="AF42" s="36" t="str">
        <f t="shared" si="6"/>
        <v/>
      </c>
      <c r="AG42" s="33"/>
      <c r="AH42" s="36" t="str">
        <f>IF((ISERROR((AG42/$H42)*100)), "", IF(AND(NOT(ISERROR((AG42/$H42)*100)),((AG42/$H42)*100) &lt;&gt; 0), (AG42/$H42)*100, ""))</f>
        <v/>
      </c>
      <c r="AI42" s="33"/>
      <c r="AJ42" s="36" t="str">
        <f t="shared" si="7"/>
        <v/>
      </c>
      <c r="AK42" s="33"/>
      <c r="AL42" s="36" t="str">
        <f>IF((ISERROR((AK42/$H42)*100)), "", IF(AND(NOT(ISERROR((AK42/$H42)*100)),((AK42/$H42)*100) &lt;&gt; 0), (AK42/$H42)*100, ""))</f>
        <v/>
      </c>
      <c r="AM42" s="33"/>
      <c r="AN42" s="36" t="str">
        <f>IF((ISERROR((AM42/$H42)*100)), "", IF(AND(NOT(ISERROR((AM42/$H42)*100)),((AM42/$H42)*100) &lt;&gt; 0), (AM42/$H42)*100, ""))</f>
        <v/>
      </c>
      <c r="AO42" s="33"/>
      <c r="AP42" s="36" t="str">
        <f t="shared" si="8"/>
        <v/>
      </c>
      <c r="AQ42" s="33"/>
      <c r="AR42" s="36" t="str">
        <f t="shared" si="9"/>
        <v/>
      </c>
      <c r="AS42" s="33"/>
      <c r="AT42" s="36" t="str">
        <f t="shared" si="19"/>
        <v/>
      </c>
      <c r="AU42" s="33"/>
      <c r="AV42" s="36" t="str">
        <f t="shared" si="20"/>
        <v/>
      </c>
      <c r="AW42" s="33"/>
      <c r="AX42" s="36" t="str">
        <f t="shared" si="21"/>
        <v/>
      </c>
      <c r="AY42" s="33"/>
      <c r="AZ42" s="36" t="str">
        <f t="shared" si="22"/>
        <v/>
      </c>
      <c r="BA42" s="23" t="s">
        <v>410</v>
      </c>
    </row>
    <row r="43" spans="1:53" ht="20" customHeight="1" x14ac:dyDescent="0.2">
      <c r="A43" s="61"/>
      <c r="B43" s="83"/>
      <c r="C43" s="24" t="s">
        <v>85</v>
      </c>
      <c r="D43" s="23" t="s">
        <v>61</v>
      </c>
      <c r="E43" s="23" t="s">
        <v>62</v>
      </c>
      <c r="F43" s="24">
        <v>2006</v>
      </c>
      <c r="G43" s="24">
        <v>144</v>
      </c>
      <c r="H43" s="89">
        <v>25</v>
      </c>
      <c r="I43" s="85"/>
      <c r="J43" s="86" t="s">
        <v>192</v>
      </c>
      <c r="K43" s="33"/>
      <c r="L43" s="36" t="str">
        <f t="shared" ref="L43:L74" si="24">IF((ISERROR((K43/$H43)*100)), "", IF(AND(NOT(ISERROR((K43/$H43)*100)),((K43/$H43)*100) &lt;&gt; 0), (K43/$H43)*100, ""))</f>
        <v/>
      </c>
      <c r="M43" s="33"/>
      <c r="N43" s="36" t="str">
        <f t="shared" ref="N43:N74" si="25">IF((ISERROR((M43/$H43)*100)), "", IF(AND(NOT(ISERROR((M43/$H43)*100)),((M43/$H43)*100) &lt;&gt; 0), (M43/$H43)*100, ""))</f>
        <v/>
      </c>
      <c r="O43" s="33"/>
      <c r="P43" s="36" t="str">
        <f t="shared" ref="P43:P74" si="26">IF((ISERROR((O43/$H43)*100)), "", IF(AND(NOT(ISERROR((O43/$H43)*100)),((O43/$H43)*100) &lt;&gt; 0), (O43/$H43)*100, ""))</f>
        <v/>
      </c>
      <c r="Q43" s="33"/>
      <c r="R43" s="36" t="str">
        <f t="shared" ref="R43:R74" si="27">IF((ISERROR((Q43/$H43)*100)), "", IF(AND(NOT(ISERROR((Q43/$H43)*100)),((Q43/$H43)*100) &lt;&gt; 0), (Q43/$H43)*100, ""))</f>
        <v/>
      </c>
      <c r="S43" s="33"/>
      <c r="T43" s="36" t="str">
        <f t="shared" ref="T43:T74" si="28">IF((ISERROR((S43/$H43)*100)), "", IF(AND(NOT(ISERROR((S43/$H43)*100)),((S43/$H43)*100) &lt;&gt; 0), (S43/$H43)*100, ""))</f>
        <v/>
      </c>
      <c r="U43" s="76"/>
      <c r="V43" s="36" t="str">
        <f t="shared" ref="V43:V74" si="29">IF((ISERROR((U43/$H43)*100)), "", IF(AND(NOT(ISERROR((U43/$H43)*100)),((U43/$H43)*100) &lt;&gt; 0), (U43/$H43)*100, ""))</f>
        <v/>
      </c>
      <c r="W43" s="33"/>
      <c r="X43" s="36" t="str">
        <f t="shared" si="14"/>
        <v/>
      </c>
      <c r="Y43" s="33"/>
      <c r="Z43" s="36" t="str">
        <f t="shared" si="15"/>
        <v/>
      </c>
      <c r="AA43" s="33"/>
      <c r="AB43" s="36" t="str">
        <f t="shared" si="16"/>
        <v/>
      </c>
      <c r="AC43" s="33"/>
      <c r="AD43" s="36" t="str">
        <f t="shared" si="17"/>
        <v/>
      </c>
      <c r="AE43" s="76"/>
      <c r="AF43" s="36" t="str">
        <f t="shared" ref="AF43:AF74" si="30">IF((ISERROR((AE43/$H43)*100)), "", IF(AND(NOT(ISERROR((AE43/$H43)*100)),((AE43/$H43)*100) &lt;&gt; 0), (AE43/$H43)*100, ""))</f>
        <v/>
      </c>
      <c r="AG43" s="33"/>
      <c r="AH43" s="36" t="str">
        <f t="shared" si="23"/>
        <v/>
      </c>
      <c r="AI43" s="33"/>
      <c r="AJ43" s="36" t="str">
        <f t="shared" ref="AJ43:AJ74" si="31">IF((ISERROR((AI43/$H43)*100)), "", IF(AND(NOT(ISERROR((AI43/$H43)*100)),((AI43/$H43)*100) &lt;&gt; 0), (AI43/$H43)*100, ""))</f>
        <v/>
      </c>
      <c r="AK43" s="33"/>
      <c r="AL43" s="36" t="str">
        <f t="shared" si="18"/>
        <v/>
      </c>
      <c r="AM43" s="33"/>
      <c r="AN43" s="36" t="str">
        <f t="shared" si="19"/>
        <v/>
      </c>
      <c r="AO43" s="33"/>
      <c r="AP43" s="36" t="str">
        <f t="shared" ref="AP43:AP74" si="32">IF((ISERROR((AO43/$H43)*100)), "", IF(AND(NOT(ISERROR((AO43/$H43)*100)),((AO43/$H43)*100) &lt;&gt; 0), (AO43/$H43)*100, ""))</f>
        <v/>
      </c>
      <c r="AQ43" s="33"/>
      <c r="AR43" s="36" t="str">
        <f t="shared" ref="AR43:AR74" si="33">IF((ISERROR((AQ43/$H43)*100)), "", IF(AND(NOT(ISERROR((AQ43/$H43)*100)),((AQ43/$H43)*100) &lt;&gt; 0), (AQ43/$H43)*100, ""))</f>
        <v/>
      </c>
      <c r="AS43" s="33"/>
      <c r="AT43" s="36" t="str">
        <f t="shared" si="19"/>
        <v/>
      </c>
      <c r="AU43" s="33"/>
      <c r="AV43" s="36" t="str">
        <f t="shared" si="20"/>
        <v/>
      </c>
      <c r="AW43" s="33"/>
      <c r="AX43" s="36" t="str">
        <f t="shared" si="21"/>
        <v/>
      </c>
      <c r="AY43" s="33"/>
      <c r="AZ43" s="36" t="str">
        <f t="shared" si="22"/>
        <v/>
      </c>
      <c r="BA43" s="23" t="s">
        <v>182</v>
      </c>
    </row>
    <row r="44" spans="1:53" ht="20" customHeight="1" x14ac:dyDescent="0.2">
      <c r="A44" s="61"/>
      <c r="B44" s="24"/>
      <c r="D44" s="23" t="s">
        <v>274</v>
      </c>
      <c r="E44" s="23" t="s">
        <v>275</v>
      </c>
      <c r="F44" s="24">
        <v>2004</v>
      </c>
      <c r="H44" s="89"/>
      <c r="I44" s="85"/>
      <c r="J44" s="86"/>
      <c r="K44" s="33"/>
      <c r="L44" s="36" t="str">
        <f t="shared" si="24"/>
        <v/>
      </c>
      <c r="M44" s="33"/>
      <c r="N44" s="36" t="str">
        <f t="shared" si="25"/>
        <v/>
      </c>
      <c r="O44" s="33"/>
      <c r="P44" s="36" t="str">
        <f t="shared" si="26"/>
        <v/>
      </c>
      <c r="Q44" s="33"/>
      <c r="R44" s="36" t="str">
        <f t="shared" si="27"/>
        <v/>
      </c>
      <c r="S44" s="33"/>
      <c r="T44" s="36" t="str">
        <f t="shared" si="28"/>
        <v/>
      </c>
      <c r="U44" s="76"/>
      <c r="V44" s="36" t="str">
        <f t="shared" si="29"/>
        <v/>
      </c>
      <c r="W44" s="33"/>
      <c r="X44" s="36" t="str">
        <f t="shared" ref="X44:X75" si="34">IF((ISERROR((W44/$H44)*100)), "", IF(AND(NOT(ISERROR((W44/$H44)*100)),((W44/$H44)*100) &lt;&gt; 0), (W44/$H44)*100, ""))</f>
        <v/>
      </c>
      <c r="Y44" s="33"/>
      <c r="Z44" s="36" t="str">
        <f t="shared" ref="Z44:Z75" si="35">IF((ISERROR((Y44/$H44)*100)), "", IF(AND(NOT(ISERROR((Y44/$H44)*100)),((Y44/$H44)*100) &lt;&gt; 0), (Y44/$H44)*100, ""))</f>
        <v/>
      </c>
      <c r="AA44" s="33"/>
      <c r="AB44" s="36" t="str">
        <f t="shared" ref="AB44:AB75" si="36">IF((ISERROR((AA44/$H44)*100)), "", IF(AND(NOT(ISERROR((AA44/$H44)*100)),((AA44/$H44)*100) &lt;&gt; 0), (AA44/$H44)*100, ""))</f>
        <v/>
      </c>
      <c r="AC44" s="33"/>
      <c r="AD44" s="36" t="str">
        <f t="shared" ref="AD44:AD75" si="37">IF((ISERROR((AC44/$H44)*100)), "", IF(AND(NOT(ISERROR((AC44/$H44)*100)),((AC44/$H44)*100) &lt;&gt; 0), (AC44/$H44)*100, ""))</f>
        <v/>
      </c>
      <c r="AE44" s="76"/>
      <c r="AF44" s="36" t="str">
        <f t="shared" si="30"/>
        <v/>
      </c>
      <c r="AG44" s="33"/>
      <c r="AH44" s="36" t="str">
        <f t="shared" si="23"/>
        <v/>
      </c>
      <c r="AI44" s="33"/>
      <c r="AJ44" s="36" t="str">
        <f t="shared" si="31"/>
        <v/>
      </c>
      <c r="AK44" s="33"/>
      <c r="AL44" s="36" t="str">
        <f t="shared" ref="AL44:AL75" si="38">IF((ISERROR((AK44/$H44)*100)), "", IF(AND(NOT(ISERROR((AK44/$H44)*100)),((AK44/$H44)*100) &lt;&gt; 0), (AK44/$H44)*100, ""))</f>
        <v/>
      </c>
      <c r="AM44" s="33"/>
      <c r="AN44" s="36" t="str">
        <f t="shared" si="19"/>
        <v/>
      </c>
      <c r="AO44" s="33"/>
      <c r="AP44" s="36" t="str">
        <f t="shared" si="32"/>
        <v/>
      </c>
      <c r="AQ44" s="33"/>
      <c r="AR44" s="36" t="str">
        <f t="shared" si="33"/>
        <v/>
      </c>
      <c r="AS44" s="33"/>
      <c r="AT44" s="36" t="str">
        <f t="shared" si="19"/>
        <v/>
      </c>
      <c r="AU44" s="33"/>
      <c r="AV44" s="36" t="str">
        <f t="shared" si="20"/>
        <v/>
      </c>
      <c r="AW44" s="33"/>
      <c r="AX44" s="36" t="str">
        <f t="shared" ref="AX44:AX76" si="39">IF((ISERROR((AW44/$H44)*100)), "", IF(AND(NOT(ISERROR((AW44/$H44)*100)),((AW44/$H44)*100) &lt;&gt; 0), (AW44/$H44)*100, ""))</f>
        <v/>
      </c>
      <c r="AY44" s="33"/>
      <c r="AZ44" s="36" t="str">
        <f t="shared" ref="AZ44:AZ76" si="40">IF((ISERROR((AY44/$H44)*100)), "", IF(AND(NOT(ISERROR((AY44/$H44)*100)),((AY44/$H44)*100) &lt;&gt; 0), (AY44/$H44)*100, ""))</f>
        <v/>
      </c>
    </row>
    <row r="45" spans="1:53" ht="20" customHeight="1" x14ac:dyDescent="0.2">
      <c r="A45" s="60"/>
      <c r="B45" s="82"/>
      <c r="C45" s="24" t="s">
        <v>85</v>
      </c>
      <c r="D45" s="23" t="s">
        <v>276</v>
      </c>
      <c r="E45" s="23" t="s">
        <v>277</v>
      </c>
      <c r="F45" s="24">
        <v>2014</v>
      </c>
      <c r="H45" s="89">
        <v>39</v>
      </c>
      <c r="I45" s="85" t="s">
        <v>411</v>
      </c>
      <c r="J45" s="86" t="s">
        <v>346</v>
      </c>
      <c r="K45" s="33">
        <v>22</v>
      </c>
      <c r="L45" s="36">
        <f t="shared" si="24"/>
        <v>56.410256410256409</v>
      </c>
      <c r="M45" s="33"/>
      <c r="N45" s="36" t="str">
        <f t="shared" si="25"/>
        <v/>
      </c>
      <c r="O45" s="33"/>
      <c r="P45" s="36" t="str">
        <f t="shared" si="26"/>
        <v/>
      </c>
      <c r="Q45" s="33"/>
      <c r="R45" s="36" t="str">
        <f t="shared" si="27"/>
        <v/>
      </c>
      <c r="S45" s="33">
        <v>22</v>
      </c>
      <c r="T45" s="36">
        <f t="shared" si="28"/>
        <v>56.410256410256409</v>
      </c>
      <c r="U45" s="76"/>
      <c r="V45" s="36" t="str">
        <f t="shared" si="29"/>
        <v/>
      </c>
      <c r="W45" s="33">
        <v>23</v>
      </c>
      <c r="X45" s="36">
        <f>IF((ISERROR((W45/$H45)*100)), "", IF(AND(NOT(ISERROR((W45/$H45)*100)),((W45/$H45)*100) &lt;&gt; 0), (W45/$H45)*100, ""))</f>
        <v>58.974358974358978</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6"/>
      <c r="AF45" s="36" t="str">
        <f t="shared" si="30"/>
        <v/>
      </c>
      <c r="AG45" s="33"/>
      <c r="AH45" s="36" t="str">
        <f>IF((ISERROR((AG45/$H45)*100)), "", IF(AND(NOT(ISERROR((AG45/$H45)*100)),((AG45/$H45)*100) &lt;&gt; 0), (AG45/$H45)*100, ""))</f>
        <v/>
      </c>
      <c r="AI45" s="33"/>
      <c r="AJ45" s="36" t="str">
        <f t="shared" si="31"/>
        <v/>
      </c>
      <c r="AK45" s="33"/>
      <c r="AL45" s="36" t="str">
        <f>IF((ISERROR((AK45/$H45)*100)), "", IF(AND(NOT(ISERROR((AK45/$H45)*100)),((AK45/$H45)*100) &lt;&gt; 0), (AK45/$H45)*100, ""))</f>
        <v/>
      </c>
      <c r="AM45" s="33"/>
      <c r="AN45" s="36" t="str">
        <f>IF((ISERROR((AM45/$H45)*100)), "", IF(AND(NOT(ISERROR((AM45/$H45)*100)),((AM45/$H45)*100) &lt;&gt; 0), (AM45/$H45)*100, ""))</f>
        <v/>
      </c>
      <c r="AO45" s="33">
        <v>8</v>
      </c>
      <c r="AP45" s="36">
        <f t="shared" si="32"/>
        <v>20.512820512820511</v>
      </c>
      <c r="AQ45" s="33"/>
      <c r="AR45" s="36" t="str">
        <f t="shared" si="33"/>
        <v/>
      </c>
      <c r="AS45" s="33">
        <v>3</v>
      </c>
      <c r="AT45" s="36">
        <f t="shared" si="19"/>
        <v>7.6923076923076925</v>
      </c>
      <c r="AU45" s="33"/>
      <c r="AV45" s="36" t="str">
        <f t="shared" si="20"/>
        <v/>
      </c>
      <c r="AW45" s="33"/>
      <c r="AX45" s="36" t="str">
        <f t="shared" si="39"/>
        <v/>
      </c>
      <c r="AY45" s="33"/>
      <c r="AZ45" s="36" t="str">
        <f t="shared" si="40"/>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 t="shared" si="24"/>
        <v/>
      </c>
      <c r="M46" s="33"/>
      <c r="N46" s="36" t="str">
        <f t="shared" si="25"/>
        <v/>
      </c>
      <c r="O46" s="33"/>
      <c r="P46" s="36" t="str">
        <f t="shared" si="26"/>
        <v/>
      </c>
      <c r="Q46" s="33"/>
      <c r="R46" s="36" t="str">
        <f t="shared" si="27"/>
        <v/>
      </c>
      <c r="S46" s="33">
        <v>2</v>
      </c>
      <c r="T46" s="36">
        <f t="shared" si="28"/>
        <v>25</v>
      </c>
      <c r="U46" s="76"/>
      <c r="V46" s="36" t="str">
        <f t="shared" si="2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6"/>
      <c r="AF46" s="36" t="str">
        <f t="shared" si="30"/>
        <v/>
      </c>
      <c r="AG46" s="33"/>
      <c r="AH46" s="36" t="str">
        <f>IF((ISERROR((AG46/$H46)*100)), "", IF(AND(NOT(ISERROR((AG46/$H46)*100)),((AG46/$H46)*100) &lt;&gt; 0), (AG46/$H46)*100, ""))</f>
        <v/>
      </c>
      <c r="AI46" s="33"/>
      <c r="AJ46" s="36" t="str">
        <f t="shared" si="31"/>
        <v/>
      </c>
      <c r="AK46" s="33"/>
      <c r="AL46" s="36" t="str">
        <f>IF((ISERROR((AK46/$H46)*100)), "", IF(AND(NOT(ISERROR((AK46/$H46)*100)),((AK46/$H46)*100) &lt;&gt; 0), (AK46/$H46)*100, ""))</f>
        <v/>
      </c>
      <c r="AM46" s="33"/>
      <c r="AN46" s="36" t="str">
        <f>IF((ISERROR((AM46/$H46)*100)), "", IF(AND(NOT(ISERROR((AM46/$H46)*100)),((AM46/$H46)*100) &lt;&gt; 0), (AM46/$H46)*100, ""))</f>
        <v/>
      </c>
      <c r="AO46" s="33"/>
      <c r="AP46" s="36" t="str">
        <f t="shared" si="32"/>
        <v/>
      </c>
      <c r="AQ46" s="33"/>
      <c r="AR46" s="36" t="str">
        <f t="shared" si="33"/>
        <v/>
      </c>
      <c r="AS46" s="33"/>
      <c r="AT46" s="36" t="str">
        <f t="shared" si="19"/>
        <v/>
      </c>
      <c r="AU46" s="33"/>
      <c r="AV46" s="36" t="str">
        <f t="shared" si="20"/>
        <v/>
      </c>
      <c r="AW46" s="33"/>
      <c r="AX46" s="36" t="str">
        <f t="shared" si="39"/>
        <v/>
      </c>
      <c r="AY46" s="33"/>
      <c r="AZ46" s="36" t="str">
        <f t="shared" si="40"/>
        <v/>
      </c>
      <c r="BA46" s="23" t="s">
        <v>412</v>
      </c>
    </row>
    <row r="47" spans="1:53" ht="20" customHeight="1" x14ac:dyDescent="0.2">
      <c r="A47" s="61"/>
      <c r="B47" s="82"/>
      <c r="C47" s="24" t="s">
        <v>85</v>
      </c>
      <c r="D47" s="23" t="s">
        <v>280</v>
      </c>
      <c r="E47" s="23" t="s">
        <v>281</v>
      </c>
      <c r="F47" s="24">
        <v>2001</v>
      </c>
      <c r="H47" s="89">
        <v>9</v>
      </c>
      <c r="I47" s="85"/>
      <c r="J47" s="86" t="s">
        <v>354</v>
      </c>
      <c r="K47" s="33"/>
      <c r="L47" s="36" t="str">
        <f t="shared" si="24"/>
        <v/>
      </c>
      <c r="M47" s="33"/>
      <c r="N47" s="36" t="str">
        <f t="shared" si="25"/>
        <v/>
      </c>
      <c r="O47" s="33"/>
      <c r="P47" s="36" t="str">
        <f t="shared" si="26"/>
        <v/>
      </c>
      <c r="Q47" s="33"/>
      <c r="R47" s="36" t="str">
        <f t="shared" si="27"/>
        <v/>
      </c>
      <c r="S47" s="33"/>
      <c r="T47" s="36" t="str">
        <f t="shared" si="28"/>
        <v/>
      </c>
      <c r="U47" s="40"/>
      <c r="V47" s="39" t="str">
        <f t="shared" si="29"/>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6"/>
      <c r="AF47" s="36" t="str">
        <f t="shared" si="30"/>
        <v/>
      </c>
      <c r="AG47" s="33"/>
      <c r="AH47" s="36" t="str">
        <f>IF((ISERROR((AG47/$H47)*100)), "", IF(AND(NOT(ISERROR((AG47/$H47)*100)),((AG47/$H47)*100) &lt;&gt; 0), (AG47/$H47)*100, ""))</f>
        <v/>
      </c>
      <c r="AI47" s="33"/>
      <c r="AJ47" s="36" t="str">
        <f t="shared" si="31"/>
        <v/>
      </c>
      <c r="AK47" s="33"/>
      <c r="AL47" s="36" t="str">
        <f>IF((ISERROR((AK47/$H47)*100)), "", IF(AND(NOT(ISERROR((AK47/$H47)*100)),((AK47/$H47)*100) &lt;&gt; 0), (AK47/$H47)*100, ""))</f>
        <v/>
      </c>
      <c r="AM47" s="33"/>
      <c r="AN47" s="36" t="str">
        <f>IF((ISERROR((AM47/$H47)*100)), "", IF(AND(NOT(ISERROR((AM47/$H47)*100)),((AM47/$H47)*100) &lt;&gt; 0), (AM47/$H47)*100, ""))</f>
        <v/>
      </c>
      <c r="AO47" s="33"/>
      <c r="AP47" s="36" t="str">
        <f t="shared" si="32"/>
        <v/>
      </c>
      <c r="AQ47" s="33"/>
      <c r="AR47" s="36" t="str">
        <f t="shared" si="33"/>
        <v/>
      </c>
      <c r="AS47" s="33"/>
      <c r="AT47" s="36" t="str">
        <f t="shared" si="19"/>
        <v/>
      </c>
      <c r="AU47" s="33"/>
      <c r="AV47" s="36" t="str">
        <f t="shared" si="20"/>
        <v/>
      </c>
      <c r="AW47" s="33"/>
      <c r="AX47" s="36" t="str">
        <f t="shared" si="39"/>
        <v/>
      </c>
      <c r="AY47" s="33"/>
      <c r="AZ47" s="36" t="str">
        <f t="shared" si="40"/>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c r="L48" s="36" t="str">
        <f t="shared" si="24"/>
        <v/>
      </c>
      <c r="M48" s="33"/>
      <c r="N48" s="36" t="str">
        <f t="shared" si="25"/>
        <v/>
      </c>
      <c r="O48" s="33"/>
      <c r="P48" s="36" t="str">
        <f t="shared" si="26"/>
        <v/>
      </c>
      <c r="Q48" s="33"/>
      <c r="R48" s="36" t="str">
        <f t="shared" si="27"/>
        <v/>
      </c>
      <c r="S48" s="33">
        <v>9</v>
      </c>
      <c r="T48" s="36">
        <f t="shared" si="28"/>
        <v>12.857142857142856</v>
      </c>
      <c r="U48" s="76">
        <v>31</v>
      </c>
      <c r="V48" s="36">
        <f t="shared" si="29"/>
        <v>44.285714285714285</v>
      </c>
      <c r="W48" s="33">
        <v>8</v>
      </c>
      <c r="X48" s="36">
        <f>IF((ISERROR((W48/$H48)*100)), "", IF(AND(NOT(ISERROR((W48/$H48)*100)),((W48/$H48)*100) &lt;&gt; 0), (W48/$H48)*100, ""))</f>
        <v>11.428571428571429</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6">
        <v>1</v>
      </c>
      <c r="AF48" s="36">
        <f t="shared" si="30"/>
        <v>1.4285714285714286</v>
      </c>
      <c r="AG48" s="33">
        <v>10</v>
      </c>
      <c r="AH48" s="36">
        <f>IF((ISERROR((AG48/$H48)*100)), "", IF(AND(NOT(ISERROR((AG48/$H48)*100)),((AG48/$H48)*100) &lt;&gt; 0), (AG48/$H48)*100, ""))</f>
        <v>14.285714285714285</v>
      </c>
      <c r="AI48" s="33"/>
      <c r="AJ48" s="36" t="str">
        <f t="shared" si="31"/>
        <v/>
      </c>
      <c r="AK48" s="33"/>
      <c r="AL48" s="36" t="str">
        <f>IF((ISERROR((AK48/$H48)*100)), "", IF(AND(NOT(ISERROR((AK48/$H48)*100)),((AK48/$H48)*100) &lt;&gt; 0), (AK48/$H48)*100, ""))</f>
        <v/>
      </c>
      <c r="AM48" s="33"/>
      <c r="AN48" s="36" t="str">
        <f>IF((ISERROR((AM48/$H48)*100)), "", IF(AND(NOT(ISERROR((AM48/$H48)*100)),((AM48/$H48)*100) &lt;&gt; 0), (AM48/$H48)*100, ""))</f>
        <v/>
      </c>
      <c r="AO48" s="33">
        <v>1</v>
      </c>
      <c r="AP48" s="36">
        <f t="shared" si="32"/>
        <v>1.4285714285714286</v>
      </c>
      <c r="AQ48" s="33"/>
      <c r="AR48" s="36" t="str">
        <f t="shared" si="33"/>
        <v/>
      </c>
      <c r="AS48" s="33">
        <v>3</v>
      </c>
      <c r="AT48" s="36">
        <f t="shared" si="19"/>
        <v>4.2857142857142856</v>
      </c>
      <c r="AU48" s="33"/>
      <c r="AV48" s="36" t="str">
        <f t="shared" si="20"/>
        <v/>
      </c>
      <c r="AW48" s="33"/>
      <c r="AX48" s="36" t="str">
        <f t="shared" si="39"/>
        <v/>
      </c>
      <c r="AY48" s="33"/>
      <c r="AZ48" s="36" t="str">
        <f t="shared" si="40"/>
        <v/>
      </c>
      <c r="BA48" s="23" t="s">
        <v>418</v>
      </c>
    </row>
    <row r="49" spans="1:53" ht="20" customHeight="1" x14ac:dyDescent="0.2">
      <c r="A49" s="61"/>
      <c r="B49" s="24"/>
      <c r="C49" s="50" t="s">
        <v>49</v>
      </c>
      <c r="D49" s="49" t="s">
        <v>65</v>
      </c>
      <c r="E49" s="49" t="s">
        <v>66</v>
      </c>
      <c r="F49" s="50">
        <v>1997</v>
      </c>
      <c r="G49" s="50"/>
      <c r="H49" s="89"/>
      <c r="I49" s="85"/>
      <c r="J49" s="86"/>
      <c r="K49" s="33"/>
      <c r="L49" s="36" t="str">
        <f t="shared" si="24"/>
        <v/>
      </c>
      <c r="M49" s="33"/>
      <c r="N49" s="36" t="str">
        <f t="shared" si="25"/>
        <v/>
      </c>
      <c r="O49" s="33"/>
      <c r="P49" s="36" t="str">
        <f t="shared" si="26"/>
        <v/>
      </c>
      <c r="Q49" s="33"/>
      <c r="R49" s="36" t="str">
        <f t="shared" si="27"/>
        <v/>
      </c>
      <c r="S49" s="33"/>
      <c r="T49" s="36" t="str">
        <f t="shared" si="28"/>
        <v/>
      </c>
      <c r="U49" s="76"/>
      <c r="V49" s="36" t="str">
        <f t="shared" si="29"/>
        <v/>
      </c>
      <c r="W49" s="33"/>
      <c r="X49" s="36" t="str">
        <f t="shared" si="34"/>
        <v/>
      </c>
      <c r="Y49" s="33"/>
      <c r="Z49" s="36" t="str">
        <f t="shared" si="35"/>
        <v/>
      </c>
      <c r="AA49" s="33"/>
      <c r="AB49" s="36" t="str">
        <f t="shared" si="36"/>
        <v/>
      </c>
      <c r="AC49" s="33"/>
      <c r="AD49" s="36" t="str">
        <f t="shared" si="37"/>
        <v/>
      </c>
      <c r="AE49" s="76"/>
      <c r="AF49" s="36" t="str">
        <f t="shared" si="30"/>
        <v/>
      </c>
      <c r="AG49" s="33"/>
      <c r="AH49" s="36" t="str">
        <f t="shared" si="23"/>
        <v/>
      </c>
      <c r="AI49" s="33"/>
      <c r="AJ49" s="36" t="str">
        <f t="shared" si="31"/>
        <v/>
      </c>
      <c r="AK49" s="33"/>
      <c r="AL49" s="36" t="str">
        <f t="shared" si="38"/>
        <v/>
      </c>
      <c r="AM49" s="33"/>
      <c r="AN49" s="36" t="str">
        <f t="shared" si="19"/>
        <v/>
      </c>
      <c r="AO49" s="33"/>
      <c r="AP49" s="36" t="str">
        <f t="shared" si="32"/>
        <v/>
      </c>
      <c r="AQ49" s="33"/>
      <c r="AR49" s="36" t="str">
        <f t="shared" si="33"/>
        <v/>
      </c>
      <c r="AS49" s="33"/>
      <c r="AT49" s="36" t="str">
        <f t="shared" si="19"/>
        <v/>
      </c>
      <c r="AU49" s="33"/>
      <c r="AV49" s="36" t="str">
        <f t="shared" si="20"/>
        <v/>
      </c>
      <c r="AW49" s="33"/>
      <c r="AX49" s="36" t="str">
        <f t="shared" si="39"/>
        <v/>
      </c>
      <c r="AY49" s="33"/>
      <c r="AZ49" s="36" t="str">
        <f t="shared" si="40"/>
        <v/>
      </c>
    </row>
    <row r="50" spans="1:53" ht="20" customHeight="1" x14ac:dyDescent="0.2">
      <c r="A50" s="61"/>
      <c r="B50" s="24"/>
      <c r="C50" s="50" t="s">
        <v>30</v>
      </c>
      <c r="D50" s="49" t="s">
        <v>67</v>
      </c>
      <c r="E50" s="49" t="s">
        <v>68</v>
      </c>
      <c r="F50" s="50">
        <v>2011</v>
      </c>
      <c r="G50" s="50">
        <v>54</v>
      </c>
      <c r="H50" s="89"/>
      <c r="I50" s="85"/>
      <c r="J50" s="86"/>
      <c r="K50" s="33"/>
      <c r="L50" s="36" t="str">
        <f t="shared" si="24"/>
        <v/>
      </c>
      <c r="M50" s="33"/>
      <c r="N50" s="36" t="str">
        <f t="shared" si="25"/>
        <v/>
      </c>
      <c r="O50" s="33"/>
      <c r="P50" s="36" t="str">
        <f t="shared" si="26"/>
        <v/>
      </c>
      <c r="Q50" s="33"/>
      <c r="R50" s="36" t="str">
        <f t="shared" si="27"/>
        <v/>
      </c>
      <c r="S50" s="33"/>
      <c r="T50" s="36" t="str">
        <f t="shared" si="28"/>
        <v/>
      </c>
      <c r="U50" s="76"/>
      <c r="V50" s="36" t="str">
        <f t="shared" si="29"/>
        <v/>
      </c>
      <c r="W50" s="33"/>
      <c r="X50" s="36" t="str">
        <f t="shared" si="34"/>
        <v/>
      </c>
      <c r="Y50" s="33"/>
      <c r="Z50" s="36" t="str">
        <f t="shared" si="35"/>
        <v/>
      </c>
      <c r="AA50" s="33"/>
      <c r="AB50" s="36" t="str">
        <f t="shared" si="36"/>
        <v/>
      </c>
      <c r="AC50" s="33"/>
      <c r="AD50" s="36" t="str">
        <f t="shared" si="37"/>
        <v/>
      </c>
      <c r="AE50" s="76"/>
      <c r="AF50" s="36" t="str">
        <f t="shared" si="30"/>
        <v/>
      </c>
      <c r="AG50" s="33"/>
      <c r="AH50" s="36" t="str">
        <f t="shared" si="23"/>
        <v/>
      </c>
      <c r="AI50" s="33"/>
      <c r="AJ50" s="36" t="str">
        <f t="shared" si="31"/>
        <v/>
      </c>
      <c r="AK50" s="33"/>
      <c r="AL50" s="36" t="str">
        <f t="shared" si="38"/>
        <v/>
      </c>
      <c r="AM50" s="33"/>
      <c r="AN50" s="36" t="str">
        <f t="shared" si="19"/>
        <v/>
      </c>
      <c r="AO50" s="33"/>
      <c r="AP50" s="36" t="str">
        <f t="shared" si="32"/>
        <v/>
      </c>
      <c r="AQ50" s="33"/>
      <c r="AR50" s="36" t="str">
        <f t="shared" si="33"/>
        <v/>
      </c>
      <c r="AS50" s="33"/>
      <c r="AT50" s="36" t="str">
        <f t="shared" si="19"/>
        <v/>
      </c>
      <c r="AU50" s="33"/>
      <c r="AV50" s="36" t="str">
        <f t="shared" si="20"/>
        <v/>
      </c>
      <c r="AW50" s="33"/>
      <c r="AX50" s="36" t="str">
        <f t="shared" si="39"/>
        <v/>
      </c>
      <c r="AY50" s="33"/>
      <c r="AZ50" s="36" t="str">
        <f t="shared" si="40"/>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 t="shared" si="24"/>
        <v/>
      </c>
      <c r="M51" s="33"/>
      <c r="N51" s="36" t="str">
        <f t="shared" si="25"/>
        <v/>
      </c>
      <c r="O51" s="33"/>
      <c r="P51" s="36" t="str">
        <f t="shared" si="26"/>
        <v/>
      </c>
      <c r="Q51" s="33"/>
      <c r="R51" s="36" t="str">
        <f t="shared" si="27"/>
        <v/>
      </c>
      <c r="S51" s="33"/>
      <c r="T51" s="36" t="str">
        <f t="shared" si="28"/>
        <v/>
      </c>
      <c r="U51" s="76">
        <v>13</v>
      </c>
      <c r="V51" s="36">
        <f t="shared" si="29"/>
        <v>86.666666666666671</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6"/>
      <c r="AF51" s="36" t="str">
        <f t="shared" si="30"/>
        <v/>
      </c>
      <c r="AG51" s="33"/>
      <c r="AH51" s="36" t="str">
        <f>IF((ISERROR((AG51/$H51)*100)), "", IF(AND(NOT(ISERROR((AG51/$H51)*100)),((AG51/$H51)*100) &lt;&gt; 0), (AG51/$H51)*100, ""))</f>
        <v/>
      </c>
      <c r="AI51" s="33"/>
      <c r="AJ51" s="36" t="str">
        <f t="shared" si="31"/>
        <v/>
      </c>
      <c r="AK51" s="33"/>
      <c r="AL51" s="36" t="str">
        <f>IF((ISERROR((AK51/$H51)*100)), "", IF(AND(NOT(ISERROR((AK51/$H51)*100)),((AK51/$H51)*100) &lt;&gt; 0), (AK51/$H51)*100, ""))</f>
        <v/>
      </c>
      <c r="AM51" s="33"/>
      <c r="AN51" s="36" t="str">
        <f>IF((ISERROR((AM51/$H51)*100)), "", IF(AND(NOT(ISERROR((AM51/$H51)*100)),((AM51/$H51)*100) &lt;&gt; 0), (AM51/$H51)*100, ""))</f>
        <v/>
      </c>
      <c r="AO51" s="33"/>
      <c r="AP51" s="36" t="str">
        <f t="shared" si="32"/>
        <v/>
      </c>
      <c r="AQ51" s="33"/>
      <c r="AR51" s="36" t="str">
        <f t="shared" si="33"/>
        <v/>
      </c>
      <c r="AS51" s="33"/>
      <c r="AT51" s="36" t="str">
        <f t="shared" si="19"/>
        <v/>
      </c>
      <c r="AU51" s="33"/>
      <c r="AV51" s="36" t="str">
        <f t="shared" si="20"/>
        <v/>
      </c>
      <c r="AW51" s="33"/>
      <c r="AX51" s="36" t="str">
        <f t="shared" si="39"/>
        <v/>
      </c>
      <c r="AY51" s="33"/>
      <c r="AZ51" s="36" t="str">
        <f t="shared" si="40"/>
        <v/>
      </c>
      <c r="BA51" s="23" t="s">
        <v>419</v>
      </c>
    </row>
    <row r="52" spans="1:53" ht="20" customHeight="1" x14ac:dyDescent="0.2">
      <c r="A52" s="60"/>
      <c r="B52" s="83"/>
      <c r="C52" s="50" t="s">
        <v>85</v>
      </c>
      <c r="D52" s="49" t="s">
        <v>71</v>
      </c>
      <c r="E52" s="49" t="s">
        <v>70</v>
      </c>
      <c r="F52" s="50">
        <v>2004</v>
      </c>
      <c r="G52" s="50">
        <v>45</v>
      </c>
      <c r="H52" s="89">
        <v>15</v>
      </c>
      <c r="I52" s="85" t="s">
        <v>185</v>
      </c>
      <c r="J52" s="86" t="s">
        <v>194</v>
      </c>
      <c r="K52" s="33"/>
      <c r="L52" s="36" t="str">
        <f t="shared" si="24"/>
        <v/>
      </c>
      <c r="M52" s="33"/>
      <c r="N52" s="36" t="str">
        <f t="shared" si="25"/>
        <v/>
      </c>
      <c r="O52" s="33"/>
      <c r="P52" s="36" t="str">
        <f t="shared" si="26"/>
        <v/>
      </c>
      <c r="Q52" s="33"/>
      <c r="R52" s="36" t="str">
        <f t="shared" si="27"/>
        <v/>
      </c>
      <c r="S52" s="33"/>
      <c r="T52" s="36" t="str">
        <f t="shared" si="28"/>
        <v/>
      </c>
      <c r="U52" s="76"/>
      <c r="V52" s="36" t="str">
        <f t="shared" si="29"/>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76"/>
      <c r="AF52" s="36" t="str">
        <f t="shared" si="30"/>
        <v/>
      </c>
      <c r="AG52" s="33"/>
      <c r="AH52" s="36" t="str">
        <f>IF((ISERROR((AG52/$H52)*100)), "", IF(AND(NOT(ISERROR((AG52/$H52)*100)),((AG52/$H52)*100) &lt;&gt; 0), (AG52/$H52)*100, ""))</f>
        <v/>
      </c>
      <c r="AI52" s="33"/>
      <c r="AJ52" s="36" t="str">
        <f t="shared" si="31"/>
        <v/>
      </c>
      <c r="AK52" s="33"/>
      <c r="AL52" s="36" t="str">
        <f>IF((ISERROR((AK52/$H52)*100)), "", IF(AND(NOT(ISERROR((AK52/$H52)*100)),((AK52/$H52)*100) &lt;&gt; 0), (AK52/$H52)*100, ""))</f>
        <v/>
      </c>
      <c r="AM52" s="33"/>
      <c r="AN52" s="36" t="str">
        <f>IF((ISERROR((AM52/$H52)*100)), "", IF(AND(NOT(ISERROR((AM52/$H52)*100)),((AM52/$H52)*100) &lt;&gt; 0), (AM52/$H52)*100, ""))</f>
        <v/>
      </c>
      <c r="AO52" s="33"/>
      <c r="AP52" s="36" t="str">
        <f t="shared" si="32"/>
        <v/>
      </c>
      <c r="AQ52" s="33"/>
      <c r="AR52" s="36" t="str">
        <f t="shared" si="33"/>
        <v/>
      </c>
      <c r="AS52" s="33"/>
      <c r="AT52" s="36" t="str">
        <f t="shared" si="19"/>
        <v/>
      </c>
      <c r="AU52" s="33"/>
      <c r="AV52" s="36" t="str">
        <f t="shared" si="20"/>
        <v/>
      </c>
      <c r="AW52" s="33"/>
      <c r="AX52" s="36" t="str">
        <f t="shared" si="39"/>
        <v/>
      </c>
      <c r="AY52" s="33"/>
      <c r="AZ52" s="36" t="str">
        <f t="shared" si="40"/>
        <v/>
      </c>
      <c r="BA52" s="23" t="s">
        <v>420</v>
      </c>
    </row>
    <row r="53" spans="1:53" ht="20" customHeight="1" x14ac:dyDescent="0.2">
      <c r="A53" s="60"/>
      <c r="B53" s="82"/>
      <c r="D53" s="23" t="s">
        <v>282</v>
      </c>
      <c r="E53" s="23" t="s">
        <v>285</v>
      </c>
      <c r="F53" s="24">
        <v>2008</v>
      </c>
      <c r="H53" s="89"/>
      <c r="I53" s="85"/>
      <c r="J53" s="86" t="s">
        <v>356</v>
      </c>
      <c r="K53" s="33"/>
      <c r="L53" s="36" t="str">
        <f t="shared" si="24"/>
        <v/>
      </c>
      <c r="M53" s="33"/>
      <c r="N53" s="36" t="str">
        <f t="shared" si="25"/>
        <v/>
      </c>
      <c r="O53" s="33"/>
      <c r="P53" s="36" t="str">
        <f t="shared" si="26"/>
        <v/>
      </c>
      <c r="Q53" s="33"/>
      <c r="R53" s="36" t="str">
        <f t="shared" si="27"/>
        <v/>
      </c>
      <c r="S53" s="33">
        <v>2</v>
      </c>
      <c r="T53" s="36" t="str">
        <f t="shared" si="28"/>
        <v/>
      </c>
      <c r="U53" s="76"/>
      <c r="V53" s="36" t="str">
        <f t="shared" si="29"/>
        <v/>
      </c>
      <c r="W53" s="33"/>
      <c r="X53" s="36" t="str">
        <f t="shared" si="34"/>
        <v/>
      </c>
      <c r="Y53" s="33"/>
      <c r="Z53" s="36" t="str">
        <f t="shared" si="35"/>
        <v/>
      </c>
      <c r="AA53" s="33"/>
      <c r="AB53" s="36" t="str">
        <f t="shared" si="36"/>
        <v/>
      </c>
      <c r="AC53" s="33"/>
      <c r="AD53" s="36" t="str">
        <f t="shared" si="37"/>
        <v/>
      </c>
      <c r="AE53" s="76"/>
      <c r="AF53" s="36" t="str">
        <f t="shared" si="30"/>
        <v/>
      </c>
      <c r="AG53" s="33"/>
      <c r="AH53" s="36" t="str">
        <f t="shared" si="23"/>
        <v/>
      </c>
      <c r="AI53" s="33"/>
      <c r="AJ53" s="36" t="str">
        <f t="shared" si="31"/>
        <v/>
      </c>
      <c r="AK53" s="33"/>
      <c r="AL53" s="36" t="str">
        <f t="shared" si="38"/>
        <v/>
      </c>
      <c r="AM53" s="33"/>
      <c r="AN53" s="36" t="str">
        <f t="shared" si="19"/>
        <v/>
      </c>
      <c r="AO53" s="33"/>
      <c r="AP53" s="36" t="str">
        <f t="shared" si="32"/>
        <v/>
      </c>
      <c r="AQ53" s="33"/>
      <c r="AR53" s="36" t="str">
        <f t="shared" si="33"/>
        <v/>
      </c>
      <c r="AS53" s="33"/>
      <c r="AT53" s="36" t="str">
        <f t="shared" si="19"/>
        <v/>
      </c>
      <c r="AU53" s="33"/>
      <c r="AV53" s="36" t="str">
        <f t="shared" si="20"/>
        <v/>
      </c>
      <c r="AW53" s="33"/>
      <c r="AX53" s="36" t="str">
        <f t="shared" si="39"/>
        <v/>
      </c>
      <c r="AY53" s="33"/>
      <c r="AZ53" s="36" t="str">
        <f t="shared" si="40"/>
        <v/>
      </c>
    </row>
    <row r="54" spans="1:53" ht="20" customHeight="1" x14ac:dyDescent="0.2">
      <c r="A54" s="60"/>
      <c r="B54" s="83"/>
      <c r="C54" s="24" t="s">
        <v>85</v>
      </c>
      <c r="D54" s="23" t="s">
        <v>283</v>
      </c>
      <c r="E54" s="23" t="s">
        <v>284</v>
      </c>
      <c r="F54" s="24">
        <v>2013</v>
      </c>
      <c r="H54" s="89">
        <v>23</v>
      </c>
      <c r="I54" s="85"/>
      <c r="J54" s="86"/>
      <c r="K54" s="33"/>
      <c r="L54" s="36" t="str">
        <f t="shared" si="24"/>
        <v/>
      </c>
      <c r="M54" s="33"/>
      <c r="N54" s="36" t="str">
        <f t="shared" si="25"/>
        <v/>
      </c>
      <c r="O54" s="33"/>
      <c r="P54" s="36" t="str">
        <f t="shared" si="26"/>
        <v/>
      </c>
      <c r="Q54" s="33"/>
      <c r="R54" s="36" t="str">
        <f t="shared" si="27"/>
        <v/>
      </c>
      <c r="S54" s="33"/>
      <c r="T54" s="36" t="str">
        <f t="shared" si="28"/>
        <v/>
      </c>
      <c r="U54" s="76"/>
      <c r="V54" s="36" t="str">
        <f t="shared" si="29"/>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6"/>
      <c r="AF54" s="36" t="str">
        <f t="shared" si="30"/>
        <v/>
      </c>
      <c r="AG54" s="33"/>
      <c r="AH54" s="36" t="str">
        <f>IF((ISERROR((AG54/$H54)*100)), "", IF(AND(NOT(ISERROR((AG54/$H54)*100)),((AG54/$H54)*100) &lt;&gt; 0), (AG54/$H54)*100, ""))</f>
        <v/>
      </c>
      <c r="AI54" s="33"/>
      <c r="AJ54" s="36" t="str">
        <f t="shared" si="31"/>
        <v/>
      </c>
      <c r="AK54" s="33"/>
      <c r="AL54" s="36" t="str">
        <f>IF((ISERROR((AK54/$H54)*100)), "", IF(AND(NOT(ISERROR((AK54/$H54)*100)),((AK54/$H54)*100) &lt;&gt; 0), (AK54/$H54)*100, ""))</f>
        <v/>
      </c>
      <c r="AM54" s="33"/>
      <c r="AN54" s="36" t="str">
        <f>IF((ISERROR((AM54/$H54)*100)), "", IF(AND(NOT(ISERROR((AM54/$H54)*100)),((AM54/$H54)*100) &lt;&gt; 0), (AM54/$H54)*100, ""))</f>
        <v/>
      </c>
      <c r="AO54" s="33"/>
      <c r="AP54" s="36" t="str">
        <f t="shared" si="32"/>
        <v/>
      </c>
      <c r="AQ54" s="33"/>
      <c r="AR54" s="36" t="str">
        <f t="shared" si="33"/>
        <v/>
      </c>
      <c r="AS54" s="33"/>
      <c r="AT54" s="36" t="str">
        <f t="shared" si="19"/>
        <v/>
      </c>
      <c r="AU54" s="33"/>
      <c r="AV54" s="36" t="str">
        <f t="shared" si="20"/>
        <v/>
      </c>
      <c r="AW54" s="33"/>
      <c r="AX54" s="36" t="str">
        <f t="shared" si="39"/>
        <v/>
      </c>
      <c r="AY54" s="33"/>
      <c r="AZ54" s="36" t="str">
        <f t="shared" si="40"/>
        <v/>
      </c>
      <c r="BA54" s="23" t="s">
        <v>421</v>
      </c>
    </row>
    <row r="55" spans="1:53" ht="20" customHeight="1" x14ac:dyDescent="0.2">
      <c r="A55" s="61"/>
      <c r="B55" s="24"/>
      <c r="C55" s="50" t="s">
        <v>85</v>
      </c>
      <c r="D55" s="49" t="s">
        <v>357</v>
      </c>
      <c r="E55" s="49" t="s">
        <v>72</v>
      </c>
      <c r="F55" s="50">
        <v>2014</v>
      </c>
      <c r="G55" s="50">
        <v>23</v>
      </c>
      <c r="H55" s="89">
        <v>28</v>
      </c>
      <c r="I55" s="85" t="s">
        <v>186</v>
      </c>
      <c r="J55" s="86" t="s">
        <v>195</v>
      </c>
      <c r="K55" s="33"/>
      <c r="L55" s="36" t="str">
        <f t="shared" si="24"/>
        <v/>
      </c>
      <c r="M55" s="33"/>
      <c r="N55" s="36" t="str">
        <f t="shared" si="25"/>
        <v/>
      </c>
      <c r="O55" s="33"/>
      <c r="P55" s="36" t="str">
        <f t="shared" si="26"/>
        <v/>
      </c>
      <c r="Q55" s="33"/>
      <c r="R55" s="36" t="str">
        <f t="shared" si="27"/>
        <v/>
      </c>
      <c r="S55" s="33"/>
      <c r="T55" s="36" t="str">
        <f t="shared" si="28"/>
        <v/>
      </c>
      <c r="U55" s="76"/>
      <c r="V55" s="36" t="str">
        <f t="shared" si="29"/>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6"/>
      <c r="AF55" s="36" t="str">
        <f t="shared" si="30"/>
        <v/>
      </c>
      <c r="AG55" s="33"/>
      <c r="AH55" s="36" t="str">
        <f>IF((ISERROR((AG55/$H55)*100)), "", IF(AND(NOT(ISERROR((AG55/$H55)*100)),((AG55/$H55)*100) &lt;&gt; 0), (AG55/$H55)*100, ""))</f>
        <v/>
      </c>
      <c r="AI55" s="33"/>
      <c r="AJ55" s="36" t="str">
        <f t="shared" si="31"/>
        <v/>
      </c>
      <c r="AK55" s="33"/>
      <c r="AL55" s="36" t="str">
        <f>IF((ISERROR((AK55/$H55)*100)), "", IF(AND(NOT(ISERROR((AK55/$H55)*100)),((AK55/$H55)*100) &lt;&gt; 0), (AK55/$H55)*100, ""))</f>
        <v/>
      </c>
      <c r="AM55" s="33"/>
      <c r="AN55" s="36" t="str">
        <f>IF((ISERROR((AM55/$H55)*100)), "", IF(AND(NOT(ISERROR((AM55/$H55)*100)),((AM55/$H55)*100) &lt;&gt; 0), (AM55/$H55)*100, ""))</f>
        <v/>
      </c>
      <c r="AO55" s="33"/>
      <c r="AP55" s="36" t="str">
        <f t="shared" si="32"/>
        <v/>
      </c>
      <c r="AQ55" s="33"/>
      <c r="AR55" s="36" t="str">
        <f t="shared" si="33"/>
        <v/>
      </c>
      <c r="AS55" s="33"/>
      <c r="AT55" s="36" t="str">
        <f t="shared" si="19"/>
        <v/>
      </c>
      <c r="AU55" s="33"/>
      <c r="AV55" s="36" t="str">
        <f t="shared" si="20"/>
        <v/>
      </c>
      <c r="AW55" s="33"/>
      <c r="AX55" s="36" t="str">
        <f t="shared" si="39"/>
        <v/>
      </c>
      <c r="AY55" s="33"/>
      <c r="AZ55" s="36" t="str">
        <f t="shared" si="40"/>
        <v/>
      </c>
      <c r="BA55" s="23" t="s">
        <v>422</v>
      </c>
    </row>
    <row r="56" spans="1:53" ht="20" customHeight="1" x14ac:dyDescent="0.2">
      <c r="A56" s="60"/>
      <c r="B56" s="82"/>
      <c r="C56" s="24" t="s">
        <v>85</v>
      </c>
      <c r="D56" s="23" t="s">
        <v>286</v>
      </c>
      <c r="E56" s="23" t="s">
        <v>287</v>
      </c>
      <c r="F56" s="24">
        <v>2014</v>
      </c>
      <c r="H56" s="89">
        <v>28</v>
      </c>
      <c r="I56" s="85" t="s">
        <v>186</v>
      </c>
      <c r="J56" s="86" t="s">
        <v>195</v>
      </c>
      <c r="K56" s="33"/>
      <c r="L56" s="36" t="str">
        <f t="shared" si="24"/>
        <v/>
      </c>
      <c r="M56" s="33"/>
      <c r="N56" s="36" t="str">
        <f t="shared" si="25"/>
        <v/>
      </c>
      <c r="O56" s="33"/>
      <c r="P56" s="36" t="str">
        <f t="shared" si="26"/>
        <v/>
      </c>
      <c r="Q56" s="33"/>
      <c r="R56" s="36" t="str">
        <f t="shared" si="27"/>
        <v/>
      </c>
      <c r="S56" s="33"/>
      <c r="T56" s="36" t="str">
        <f t="shared" si="28"/>
        <v/>
      </c>
      <c r="U56" s="76">
        <v>3</v>
      </c>
      <c r="V56" s="36">
        <f t="shared" si="29"/>
        <v>10.714285714285714</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76">
        <v>5</v>
      </c>
      <c r="AF56" s="36">
        <f t="shared" si="30"/>
        <v>17.857142857142858</v>
      </c>
      <c r="AG56" s="33">
        <v>3</v>
      </c>
      <c r="AH56" s="36">
        <f>IF((ISERROR((AG56/$H56)*100)), "", IF(AND(NOT(ISERROR((AG56/$H56)*100)),((AG56/$H56)*100) &lt;&gt; 0), (AG56/$H56)*100, ""))</f>
        <v>10.714285714285714</v>
      </c>
      <c r="AI56" s="33"/>
      <c r="AJ56" s="36" t="str">
        <f t="shared" si="31"/>
        <v/>
      </c>
      <c r="AK56" s="33"/>
      <c r="AL56" s="36" t="str">
        <f>IF((ISERROR((AK56/$H56)*100)), "", IF(AND(NOT(ISERROR((AK56/$H56)*100)),((AK56/$H56)*100) &lt;&gt; 0), (AK56/$H56)*100, ""))</f>
        <v/>
      </c>
      <c r="AM56" s="33"/>
      <c r="AN56" s="36" t="str">
        <f>IF((ISERROR((AM56/$H56)*100)), "", IF(AND(NOT(ISERROR((AM56/$H56)*100)),((AM56/$H56)*100) &lt;&gt; 0), (AM56/$H56)*100, ""))</f>
        <v/>
      </c>
      <c r="AO56" s="33">
        <v>4</v>
      </c>
      <c r="AP56" s="36">
        <f t="shared" si="32"/>
        <v>14.285714285714285</v>
      </c>
      <c r="AQ56" s="33"/>
      <c r="AR56" s="36" t="str">
        <f t="shared" si="33"/>
        <v/>
      </c>
      <c r="AS56" s="33"/>
      <c r="AT56" s="36" t="str">
        <f t="shared" si="19"/>
        <v/>
      </c>
      <c r="AU56" s="33"/>
      <c r="AV56" s="36" t="str">
        <f t="shared" si="20"/>
        <v/>
      </c>
      <c r="AW56" s="33"/>
      <c r="AX56" s="36" t="str">
        <f t="shared" si="39"/>
        <v/>
      </c>
      <c r="AY56" s="33"/>
      <c r="AZ56" s="36" t="str">
        <f t="shared" si="40"/>
        <v/>
      </c>
      <c r="BA56" s="23" t="s">
        <v>358</v>
      </c>
    </row>
    <row r="57" spans="1:53" ht="20" customHeight="1" x14ac:dyDescent="0.2">
      <c r="A57" s="60"/>
      <c r="B57" s="24"/>
      <c r="C57" s="50" t="s">
        <v>35</v>
      </c>
      <c r="D57" s="49" t="s">
        <v>73</v>
      </c>
      <c r="E57" s="49" t="s">
        <v>74</v>
      </c>
      <c r="F57" s="50">
        <v>2015</v>
      </c>
      <c r="G57" s="50">
        <v>6</v>
      </c>
      <c r="H57" s="89"/>
      <c r="I57" s="85"/>
      <c r="J57" s="86"/>
      <c r="K57" s="33"/>
      <c r="L57" s="36" t="str">
        <f t="shared" si="24"/>
        <v/>
      </c>
      <c r="M57" s="33"/>
      <c r="N57" s="36" t="str">
        <f t="shared" si="25"/>
        <v/>
      </c>
      <c r="O57" s="33"/>
      <c r="P57" s="36" t="str">
        <f t="shared" si="26"/>
        <v/>
      </c>
      <c r="Q57" s="33"/>
      <c r="R57" s="36" t="str">
        <f t="shared" si="27"/>
        <v/>
      </c>
      <c r="S57" s="33"/>
      <c r="T57" s="36" t="str">
        <f t="shared" si="28"/>
        <v/>
      </c>
      <c r="U57" s="76"/>
      <c r="V57" s="36" t="str">
        <f t="shared" si="29"/>
        <v/>
      </c>
      <c r="W57" s="33"/>
      <c r="X57" s="36" t="str">
        <f t="shared" si="34"/>
        <v/>
      </c>
      <c r="Y57" s="33"/>
      <c r="Z57" s="36" t="str">
        <f t="shared" si="35"/>
        <v/>
      </c>
      <c r="AA57" s="33"/>
      <c r="AB57" s="36" t="str">
        <f t="shared" si="36"/>
        <v/>
      </c>
      <c r="AC57" s="33"/>
      <c r="AD57" s="36" t="str">
        <f t="shared" si="37"/>
        <v/>
      </c>
      <c r="AE57" s="76"/>
      <c r="AF57" s="36" t="str">
        <f t="shared" si="30"/>
        <v/>
      </c>
      <c r="AG57" s="33"/>
      <c r="AH57" s="36" t="str">
        <f t="shared" si="23"/>
        <v/>
      </c>
      <c r="AI57" s="33"/>
      <c r="AJ57" s="36" t="str">
        <f t="shared" si="31"/>
        <v/>
      </c>
      <c r="AK57" s="33"/>
      <c r="AL57" s="36" t="str">
        <f t="shared" si="38"/>
        <v/>
      </c>
      <c r="AM57" s="33"/>
      <c r="AN57" s="36" t="str">
        <f t="shared" si="19"/>
        <v/>
      </c>
      <c r="AO57" s="33"/>
      <c r="AP57" s="36" t="str">
        <f t="shared" si="32"/>
        <v/>
      </c>
      <c r="AQ57" s="33"/>
      <c r="AR57" s="36" t="str">
        <f t="shared" si="33"/>
        <v/>
      </c>
      <c r="AS57" s="33"/>
      <c r="AT57" s="36" t="str">
        <f t="shared" si="19"/>
        <v/>
      </c>
      <c r="AU57" s="33"/>
      <c r="AV57" s="36" t="str">
        <f t="shared" si="20"/>
        <v/>
      </c>
      <c r="AW57" s="33"/>
      <c r="AX57" s="36" t="str">
        <f t="shared" si="39"/>
        <v/>
      </c>
      <c r="AY57" s="33"/>
      <c r="AZ57" s="36" t="str">
        <f t="shared" si="40"/>
        <v/>
      </c>
    </row>
    <row r="58" spans="1:53" ht="20" customHeight="1" x14ac:dyDescent="0.2">
      <c r="A58" s="60"/>
      <c r="B58" s="24"/>
      <c r="C58" s="50" t="s">
        <v>30</v>
      </c>
      <c r="D58" s="49" t="s">
        <v>75</v>
      </c>
      <c r="E58" s="49" t="s">
        <v>76</v>
      </c>
      <c r="F58" s="50">
        <v>2002</v>
      </c>
      <c r="G58" s="50">
        <v>434</v>
      </c>
      <c r="H58" s="89"/>
      <c r="I58" s="85" t="s">
        <v>187</v>
      </c>
      <c r="J58" s="86"/>
      <c r="K58" s="33"/>
      <c r="L58" s="36" t="str">
        <f t="shared" si="24"/>
        <v/>
      </c>
      <c r="M58" s="33"/>
      <c r="N58" s="36" t="str">
        <f t="shared" si="25"/>
        <v/>
      </c>
      <c r="O58" s="33"/>
      <c r="P58" s="36" t="str">
        <f t="shared" si="26"/>
        <v/>
      </c>
      <c r="Q58" s="33"/>
      <c r="R58" s="36" t="str">
        <f t="shared" si="27"/>
        <v/>
      </c>
      <c r="S58" s="38"/>
      <c r="T58" s="39" t="str">
        <f t="shared" si="28"/>
        <v/>
      </c>
      <c r="U58" s="76"/>
      <c r="V58" s="36" t="str">
        <f t="shared" si="29"/>
        <v/>
      </c>
      <c r="W58" s="33"/>
      <c r="X58" s="36" t="str">
        <f t="shared" si="34"/>
        <v/>
      </c>
      <c r="Y58" s="33"/>
      <c r="Z58" s="36" t="str">
        <f t="shared" si="35"/>
        <v/>
      </c>
      <c r="AA58" s="33"/>
      <c r="AB58" s="36" t="str">
        <f t="shared" si="36"/>
        <v/>
      </c>
      <c r="AC58" s="33"/>
      <c r="AD58" s="36" t="str">
        <f t="shared" si="37"/>
        <v/>
      </c>
      <c r="AE58" s="76"/>
      <c r="AF58" s="36" t="str">
        <f t="shared" si="30"/>
        <v/>
      </c>
      <c r="AG58" s="33"/>
      <c r="AH58" s="36" t="str">
        <f t="shared" si="23"/>
        <v/>
      </c>
      <c r="AI58" s="33"/>
      <c r="AJ58" s="36" t="str">
        <f t="shared" si="31"/>
        <v/>
      </c>
      <c r="AK58" s="33"/>
      <c r="AL58" s="36" t="str">
        <f t="shared" si="38"/>
        <v/>
      </c>
      <c r="AM58" s="33"/>
      <c r="AN58" s="36" t="str">
        <f t="shared" si="19"/>
        <v/>
      </c>
      <c r="AO58" s="33"/>
      <c r="AP58" s="36" t="str">
        <f t="shared" si="32"/>
        <v/>
      </c>
      <c r="AQ58" s="33"/>
      <c r="AR58" s="36" t="str">
        <f t="shared" si="33"/>
        <v/>
      </c>
      <c r="AS58" s="33"/>
      <c r="AT58" s="36" t="str">
        <f t="shared" si="19"/>
        <v/>
      </c>
      <c r="AU58" s="33"/>
      <c r="AV58" s="36" t="str">
        <f t="shared" si="20"/>
        <v/>
      </c>
      <c r="AW58" s="33"/>
      <c r="AX58" s="36" t="str">
        <f t="shared" si="39"/>
        <v/>
      </c>
      <c r="AY58" s="33"/>
      <c r="AZ58" s="36" t="str">
        <f t="shared" si="40"/>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4"/>
        <v/>
      </c>
      <c r="M59" s="33"/>
      <c r="N59" s="36" t="str">
        <f t="shared" si="25"/>
        <v/>
      </c>
      <c r="O59" s="33"/>
      <c r="P59" s="36" t="str">
        <f t="shared" si="26"/>
        <v/>
      </c>
      <c r="Q59" s="33"/>
      <c r="R59" s="36" t="str">
        <f t="shared" si="27"/>
        <v/>
      </c>
      <c r="S59" s="33"/>
      <c r="T59" s="36" t="str">
        <f t="shared" si="28"/>
        <v/>
      </c>
      <c r="U59" s="76"/>
      <c r="V59" s="36" t="str">
        <f t="shared" si="29"/>
        <v/>
      </c>
      <c r="W59" s="33"/>
      <c r="X59" s="36" t="str">
        <f t="shared" si="34"/>
        <v/>
      </c>
      <c r="Y59" s="33"/>
      <c r="Z59" s="36" t="str">
        <f t="shared" si="35"/>
        <v/>
      </c>
      <c r="AA59" s="33"/>
      <c r="AB59" s="36" t="str">
        <f t="shared" si="36"/>
        <v/>
      </c>
      <c r="AC59" s="33"/>
      <c r="AD59" s="36" t="str">
        <f t="shared" si="37"/>
        <v/>
      </c>
      <c r="AE59" s="76"/>
      <c r="AF59" s="36" t="str">
        <f t="shared" si="30"/>
        <v/>
      </c>
      <c r="AG59" s="33"/>
      <c r="AH59" s="36" t="str">
        <f t="shared" si="23"/>
        <v/>
      </c>
      <c r="AI59" s="33"/>
      <c r="AJ59" s="36" t="str">
        <f t="shared" si="31"/>
        <v/>
      </c>
      <c r="AK59" s="33"/>
      <c r="AL59" s="36" t="str">
        <f t="shared" si="38"/>
        <v/>
      </c>
      <c r="AM59" s="33"/>
      <c r="AN59" s="36" t="str">
        <f t="shared" si="19"/>
        <v/>
      </c>
      <c r="AO59" s="33"/>
      <c r="AP59" s="36" t="str">
        <f t="shared" si="32"/>
        <v/>
      </c>
      <c r="AQ59" s="33"/>
      <c r="AR59" s="36" t="str">
        <f t="shared" si="33"/>
        <v/>
      </c>
      <c r="AS59" s="33"/>
      <c r="AT59" s="36" t="str">
        <f t="shared" si="19"/>
        <v/>
      </c>
      <c r="AU59" s="33"/>
      <c r="AV59" s="36" t="str">
        <f t="shared" si="20"/>
        <v/>
      </c>
      <c r="AW59" s="33"/>
      <c r="AX59" s="36" t="str">
        <f t="shared" si="39"/>
        <v/>
      </c>
      <c r="AY59" s="33"/>
      <c r="AZ59" s="36" t="str">
        <f t="shared" si="40"/>
        <v/>
      </c>
      <c r="BA59" s="23" t="s">
        <v>189</v>
      </c>
    </row>
    <row r="60" spans="1:53" ht="20" customHeight="1" x14ac:dyDescent="0.2">
      <c r="A60" s="60"/>
      <c r="B60" s="83"/>
      <c r="C60" s="24" t="s">
        <v>85</v>
      </c>
      <c r="D60" s="23" t="s">
        <v>288</v>
      </c>
      <c r="E60" s="23" t="s">
        <v>289</v>
      </c>
      <c r="F60" s="24">
        <v>2011</v>
      </c>
      <c r="H60" s="89">
        <v>4</v>
      </c>
      <c r="I60" s="85"/>
      <c r="J60" s="86"/>
      <c r="K60" s="33"/>
      <c r="L60" s="36" t="str">
        <f t="shared" si="24"/>
        <v/>
      </c>
      <c r="M60" s="33"/>
      <c r="N60" s="36" t="str">
        <f t="shared" si="25"/>
        <v/>
      </c>
      <c r="O60" s="33"/>
      <c r="P60" s="36" t="str">
        <f t="shared" si="26"/>
        <v/>
      </c>
      <c r="Q60" s="33"/>
      <c r="R60" s="36" t="str">
        <f t="shared" si="27"/>
        <v/>
      </c>
      <c r="S60" s="33"/>
      <c r="T60" s="36" t="str">
        <f t="shared" si="28"/>
        <v/>
      </c>
      <c r="U60" s="76"/>
      <c r="V60" s="36" t="str">
        <f t="shared" si="29"/>
        <v/>
      </c>
      <c r="W60" s="33"/>
      <c r="X60" s="36" t="str">
        <f t="shared" si="34"/>
        <v/>
      </c>
      <c r="Y60" s="33"/>
      <c r="Z60" s="36" t="str">
        <f t="shared" si="35"/>
        <v/>
      </c>
      <c r="AA60" s="33"/>
      <c r="AB60" s="36" t="str">
        <f t="shared" si="36"/>
        <v/>
      </c>
      <c r="AC60" s="33"/>
      <c r="AD60" s="36" t="str">
        <f t="shared" si="37"/>
        <v/>
      </c>
      <c r="AE60" s="76"/>
      <c r="AF60" s="36" t="str">
        <f t="shared" si="30"/>
        <v/>
      </c>
      <c r="AG60" s="33"/>
      <c r="AH60" s="36" t="str">
        <f t="shared" si="23"/>
        <v/>
      </c>
      <c r="AI60" s="33"/>
      <c r="AJ60" s="36" t="str">
        <f t="shared" si="31"/>
        <v/>
      </c>
      <c r="AK60" s="33"/>
      <c r="AL60" s="36" t="str">
        <f t="shared" si="38"/>
        <v/>
      </c>
      <c r="AM60" s="33"/>
      <c r="AN60" s="36" t="str">
        <f t="shared" si="19"/>
        <v/>
      </c>
      <c r="AO60" s="33"/>
      <c r="AP60" s="36" t="str">
        <f t="shared" si="32"/>
        <v/>
      </c>
      <c r="AQ60" s="33"/>
      <c r="AR60" s="36" t="str">
        <f t="shared" si="33"/>
        <v/>
      </c>
      <c r="AS60" s="33"/>
      <c r="AT60" s="36" t="str">
        <f t="shared" si="19"/>
        <v/>
      </c>
      <c r="AU60" s="33"/>
      <c r="AV60" s="36" t="str">
        <f t="shared" si="20"/>
        <v/>
      </c>
      <c r="AW60" s="33"/>
      <c r="AX60" s="36" t="str">
        <f t="shared" si="39"/>
        <v/>
      </c>
      <c r="AY60" s="33"/>
      <c r="AZ60" s="36" t="str">
        <f t="shared" si="40"/>
        <v/>
      </c>
    </row>
    <row r="61" spans="1:53" ht="20" customHeight="1" x14ac:dyDescent="0.2">
      <c r="A61" s="60"/>
      <c r="B61" s="83"/>
      <c r="C61" s="24" t="s">
        <v>85</v>
      </c>
      <c r="D61" s="23" t="s">
        <v>290</v>
      </c>
      <c r="E61" s="23" t="s">
        <v>291</v>
      </c>
      <c r="F61" s="24">
        <v>2015</v>
      </c>
      <c r="H61" s="89">
        <v>10</v>
      </c>
      <c r="I61" s="85" t="s">
        <v>348</v>
      </c>
      <c r="J61" s="86" t="s">
        <v>359</v>
      </c>
      <c r="K61" s="33"/>
      <c r="L61" s="36" t="str">
        <f t="shared" si="24"/>
        <v/>
      </c>
      <c r="M61" s="33"/>
      <c r="N61" s="36" t="str">
        <f t="shared" si="25"/>
        <v/>
      </c>
      <c r="O61" s="33"/>
      <c r="P61" s="36" t="str">
        <f t="shared" si="26"/>
        <v/>
      </c>
      <c r="Q61" s="33"/>
      <c r="R61" s="36" t="str">
        <f t="shared" si="27"/>
        <v/>
      </c>
      <c r="S61" s="33"/>
      <c r="T61" s="36" t="str">
        <f t="shared" si="28"/>
        <v/>
      </c>
      <c r="U61" s="76"/>
      <c r="V61" s="36" t="str">
        <f t="shared" si="2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6"/>
      <c r="AF61" s="36" t="str">
        <f t="shared" si="30"/>
        <v/>
      </c>
      <c r="AG61" s="33"/>
      <c r="AH61" s="36" t="str">
        <f>IF((ISERROR((AG61/$H61)*100)), "", IF(AND(NOT(ISERROR((AG61/$H61)*100)),((AG61/$H61)*100) &lt;&gt; 0), (AG61/$H61)*100, ""))</f>
        <v/>
      </c>
      <c r="AI61" s="33"/>
      <c r="AJ61" s="36" t="str">
        <f t="shared" si="31"/>
        <v/>
      </c>
      <c r="AK61" s="33"/>
      <c r="AL61" s="36" t="str">
        <f>IF((ISERROR((AK61/$H61)*100)), "", IF(AND(NOT(ISERROR((AK61/$H61)*100)),((AK61/$H61)*100) &lt;&gt; 0), (AK61/$H61)*100, ""))</f>
        <v/>
      </c>
      <c r="AM61" s="33"/>
      <c r="AN61" s="36" t="str">
        <f>IF((ISERROR((AM61/$H61)*100)), "", IF(AND(NOT(ISERROR((AM61/$H61)*100)),((AM61/$H61)*100) &lt;&gt; 0), (AM61/$H61)*100, ""))</f>
        <v/>
      </c>
      <c r="AO61" s="33"/>
      <c r="AP61" s="36" t="str">
        <f t="shared" si="32"/>
        <v/>
      </c>
      <c r="AQ61" s="33"/>
      <c r="AR61" s="36" t="str">
        <f t="shared" si="33"/>
        <v/>
      </c>
      <c r="AS61" s="33"/>
      <c r="AT61" s="36" t="str">
        <f t="shared" si="19"/>
        <v/>
      </c>
      <c r="AU61" s="33"/>
      <c r="AV61" s="36" t="str">
        <f t="shared" si="20"/>
        <v/>
      </c>
      <c r="AW61" s="33"/>
      <c r="AX61" s="36" t="str">
        <f t="shared" si="39"/>
        <v/>
      </c>
      <c r="AY61" s="33"/>
      <c r="AZ61" s="36" t="str">
        <f t="shared" si="40"/>
        <v/>
      </c>
    </row>
    <row r="62" spans="1:53" ht="20" customHeight="1" x14ac:dyDescent="0.2">
      <c r="A62" s="60"/>
      <c r="B62" s="82"/>
      <c r="C62" s="24" t="s">
        <v>85</v>
      </c>
      <c r="D62" s="23" t="s">
        <v>79</v>
      </c>
      <c r="E62" s="23" t="s">
        <v>80</v>
      </c>
      <c r="F62" s="24">
        <v>2015</v>
      </c>
      <c r="G62" s="24">
        <v>10</v>
      </c>
      <c r="H62" s="89">
        <v>11</v>
      </c>
      <c r="I62" s="85" t="s">
        <v>197</v>
      </c>
      <c r="J62" s="86" t="s">
        <v>169</v>
      </c>
      <c r="K62" s="33"/>
      <c r="L62" s="36" t="str">
        <f t="shared" si="24"/>
        <v/>
      </c>
      <c r="M62" s="33"/>
      <c r="N62" s="36" t="str">
        <f t="shared" si="25"/>
        <v/>
      </c>
      <c r="O62" s="33"/>
      <c r="P62" s="36" t="str">
        <f t="shared" si="26"/>
        <v/>
      </c>
      <c r="Q62" s="33"/>
      <c r="R62" s="36" t="str">
        <f t="shared" si="27"/>
        <v/>
      </c>
      <c r="S62" s="33"/>
      <c r="T62" s="36" t="str">
        <f t="shared" si="28"/>
        <v/>
      </c>
      <c r="U62" s="76"/>
      <c r="V62" s="36" t="str">
        <f t="shared" si="29"/>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76">
        <v>3</v>
      </c>
      <c r="AF62" s="36">
        <f t="shared" si="30"/>
        <v>27.27272727272727</v>
      </c>
      <c r="AG62" s="38">
        <v>1</v>
      </c>
      <c r="AH62" s="39">
        <f>IF((ISERROR((AG62/$H62)*100)), "", IF(AND(NOT(ISERROR((AG62/$H62)*100)),((AG62/$H62)*100) &lt;&gt; 0), (AG62/$H62)*100, ""))</f>
        <v>9.0909090909090917</v>
      </c>
      <c r="AI62" s="33"/>
      <c r="AJ62" s="36" t="str">
        <f t="shared" si="31"/>
        <v/>
      </c>
      <c r="AK62" s="33"/>
      <c r="AL62" s="36" t="str">
        <f>IF((ISERROR((AK62/$H62)*100)), "", IF(AND(NOT(ISERROR((AK62/$H62)*100)),((AK62/$H62)*100) &lt;&gt; 0), (AK62/$H62)*100, ""))</f>
        <v/>
      </c>
      <c r="AM62" s="33"/>
      <c r="AN62" s="36" t="str">
        <f>IF((ISERROR((AM62/$H62)*100)), "", IF(AND(NOT(ISERROR((AM62/$H62)*100)),((AM62/$H62)*100) &lt;&gt; 0), (AM62/$H62)*100, ""))</f>
        <v/>
      </c>
      <c r="AO62" s="33"/>
      <c r="AP62" s="36" t="str">
        <f t="shared" si="32"/>
        <v/>
      </c>
      <c r="AQ62" s="33"/>
      <c r="AR62" s="36" t="str">
        <f t="shared" si="33"/>
        <v/>
      </c>
      <c r="AS62" s="33"/>
      <c r="AT62" s="36" t="str">
        <f t="shared" si="19"/>
        <v/>
      </c>
      <c r="AU62" s="33"/>
      <c r="AV62" s="36" t="str">
        <f t="shared" si="20"/>
        <v/>
      </c>
      <c r="AW62" s="33"/>
      <c r="AX62" s="36" t="str">
        <f t="shared" si="39"/>
        <v/>
      </c>
      <c r="AY62" s="33"/>
      <c r="AZ62" s="36" t="str">
        <f t="shared" si="40"/>
        <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4"/>
        <v/>
      </c>
      <c r="M63" s="33"/>
      <c r="N63" s="36" t="str">
        <f t="shared" si="25"/>
        <v/>
      </c>
      <c r="O63" s="33"/>
      <c r="P63" s="36" t="str">
        <f t="shared" si="26"/>
        <v/>
      </c>
      <c r="Q63" s="33"/>
      <c r="R63" s="36" t="str">
        <f t="shared" si="27"/>
        <v/>
      </c>
      <c r="S63" s="33"/>
      <c r="T63" s="36" t="str">
        <f t="shared" si="28"/>
        <v/>
      </c>
      <c r="U63" s="76"/>
      <c r="V63" s="36" t="str">
        <f t="shared" si="29"/>
        <v/>
      </c>
      <c r="W63" s="33"/>
      <c r="X63" s="36" t="str">
        <f t="shared" si="34"/>
        <v/>
      </c>
      <c r="Y63" s="33"/>
      <c r="Z63" s="36" t="str">
        <f t="shared" si="35"/>
        <v/>
      </c>
      <c r="AA63" s="33"/>
      <c r="AB63" s="36" t="str">
        <f t="shared" si="36"/>
        <v/>
      </c>
      <c r="AC63" s="33"/>
      <c r="AD63" s="36" t="str">
        <f t="shared" si="37"/>
        <v/>
      </c>
      <c r="AE63" s="76"/>
      <c r="AF63" s="36" t="str">
        <f t="shared" si="30"/>
        <v/>
      </c>
      <c r="AG63" s="33"/>
      <c r="AH63" s="36" t="str">
        <f t="shared" si="23"/>
        <v/>
      </c>
      <c r="AI63" s="33"/>
      <c r="AJ63" s="36" t="str">
        <f t="shared" si="31"/>
        <v/>
      </c>
      <c r="AK63" s="33"/>
      <c r="AL63" s="36" t="str">
        <f t="shared" si="38"/>
        <v/>
      </c>
      <c r="AM63" s="33"/>
      <c r="AN63" s="36" t="str">
        <f t="shared" si="19"/>
        <v/>
      </c>
      <c r="AO63" s="33"/>
      <c r="AP63" s="36" t="str">
        <f t="shared" si="32"/>
        <v/>
      </c>
      <c r="AQ63" s="33"/>
      <c r="AR63" s="36" t="str">
        <f t="shared" si="33"/>
        <v/>
      </c>
      <c r="AS63" s="33"/>
      <c r="AT63" s="36" t="str">
        <f t="shared" si="19"/>
        <v/>
      </c>
      <c r="AU63" s="33"/>
      <c r="AV63" s="36" t="str">
        <f t="shared" si="20"/>
        <v/>
      </c>
      <c r="AW63" s="33"/>
      <c r="AX63" s="36" t="str">
        <f t="shared" si="39"/>
        <v/>
      </c>
      <c r="AY63" s="33"/>
      <c r="AZ63" s="36" t="str">
        <f t="shared" si="40"/>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4"/>
        <v/>
      </c>
      <c r="M64" s="33"/>
      <c r="N64" s="36" t="str">
        <f t="shared" si="25"/>
        <v/>
      </c>
      <c r="O64" s="33"/>
      <c r="P64" s="36" t="str">
        <f t="shared" si="26"/>
        <v/>
      </c>
      <c r="Q64" s="33"/>
      <c r="R64" s="36" t="str">
        <f t="shared" si="27"/>
        <v/>
      </c>
      <c r="S64" s="33"/>
      <c r="T64" s="36" t="str">
        <f t="shared" si="28"/>
        <v/>
      </c>
      <c r="U64" s="76"/>
      <c r="V64" s="36" t="str">
        <f t="shared" si="29"/>
        <v/>
      </c>
      <c r="W64" s="33"/>
      <c r="X64" s="36" t="str">
        <f t="shared" si="34"/>
        <v/>
      </c>
      <c r="Y64" s="33"/>
      <c r="Z64" s="36" t="str">
        <f t="shared" si="35"/>
        <v/>
      </c>
      <c r="AA64" s="33"/>
      <c r="AB64" s="36" t="str">
        <f t="shared" si="36"/>
        <v/>
      </c>
      <c r="AC64" s="33"/>
      <c r="AD64" s="36" t="str">
        <f t="shared" si="37"/>
        <v/>
      </c>
      <c r="AE64" s="76"/>
      <c r="AF64" s="36" t="str">
        <f t="shared" si="30"/>
        <v/>
      </c>
      <c r="AG64" s="33"/>
      <c r="AH64" s="36" t="str">
        <f t="shared" si="23"/>
        <v/>
      </c>
      <c r="AI64" s="33"/>
      <c r="AJ64" s="36" t="str">
        <f t="shared" si="31"/>
        <v/>
      </c>
      <c r="AK64" s="33"/>
      <c r="AL64" s="36" t="str">
        <f t="shared" si="38"/>
        <v/>
      </c>
      <c r="AM64" s="33"/>
      <c r="AN64" s="36" t="str">
        <f t="shared" si="19"/>
        <v/>
      </c>
      <c r="AO64" s="33"/>
      <c r="AP64" s="36" t="str">
        <f t="shared" si="32"/>
        <v/>
      </c>
      <c r="AQ64" s="33"/>
      <c r="AR64" s="36" t="str">
        <f t="shared" si="33"/>
        <v/>
      </c>
      <c r="AS64" s="33"/>
      <c r="AT64" s="36" t="str">
        <f t="shared" si="19"/>
        <v/>
      </c>
      <c r="AU64" s="33"/>
      <c r="AV64" s="36" t="str">
        <f t="shared" si="20"/>
        <v/>
      </c>
      <c r="AW64" s="33"/>
      <c r="AX64" s="36" t="str">
        <f t="shared" si="39"/>
        <v/>
      </c>
      <c r="AY64" s="33"/>
      <c r="AZ64" s="36" t="str">
        <f t="shared" si="40"/>
        <v/>
      </c>
    </row>
    <row r="65" spans="1:53" ht="20" customHeight="1" x14ac:dyDescent="0.2">
      <c r="A65" s="61"/>
      <c r="B65" s="83"/>
      <c r="C65" s="50" t="s">
        <v>35</v>
      </c>
      <c r="D65" s="49" t="s">
        <v>87</v>
      </c>
      <c r="E65" s="49" t="s">
        <v>88</v>
      </c>
      <c r="F65" s="50">
        <v>1996</v>
      </c>
      <c r="G65" s="50">
        <v>187</v>
      </c>
      <c r="H65" s="89">
        <v>100</v>
      </c>
      <c r="I65" s="85" t="s">
        <v>200</v>
      </c>
      <c r="J65" s="86"/>
      <c r="K65" s="33"/>
      <c r="L65" s="36" t="str">
        <f t="shared" si="24"/>
        <v/>
      </c>
      <c r="M65" s="33"/>
      <c r="N65" s="36" t="str">
        <f t="shared" si="25"/>
        <v/>
      </c>
      <c r="O65" s="33"/>
      <c r="P65" s="36" t="str">
        <f t="shared" si="26"/>
        <v/>
      </c>
      <c r="Q65" s="33"/>
      <c r="R65" s="36" t="str">
        <f t="shared" si="27"/>
        <v/>
      </c>
      <c r="S65" s="33"/>
      <c r="T65" s="36" t="str">
        <f t="shared" si="28"/>
        <v/>
      </c>
      <c r="U65" s="76"/>
      <c r="V65" s="36" t="str">
        <f t="shared" si="29"/>
        <v/>
      </c>
      <c r="W65" s="33"/>
      <c r="X65" s="36" t="str">
        <f t="shared" si="34"/>
        <v/>
      </c>
      <c r="Y65" s="33"/>
      <c r="Z65" s="36" t="str">
        <f t="shared" si="35"/>
        <v/>
      </c>
      <c r="AA65" s="33"/>
      <c r="AB65" s="36" t="str">
        <f t="shared" si="36"/>
        <v/>
      </c>
      <c r="AC65" s="33"/>
      <c r="AD65" s="36" t="str">
        <f t="shared" si="37"/>
        <v/>
      </c>
      <c r="AE65" s="76"/>
      <c r="AF65" s="36" t="str">
        <f t="shared" si="30"/>
        <v/>
      </c>
      <c r="AG65" s="33"/>
      <c r="AH65" s="36" t="str">
        <f t="shared" si="23"/>
        <v/>
      </c>
      <c r="AI65" s="33"/>
      <c r="AJ65" s="36" t="str">
        <f t="shared" si="31"/>
        <v/>
      </c>
      <c r="AK65" s="33"/>
      <c r="AL65" s="36" t="str">
        <f t="shared" si="38"/>
        <v/>
      </c>
      <c r="AM65" s="33"/>
      <c r="AN65" s="36" t="str">
        <f t="shared" si="19"/>
        <v/>
      </c>
      <c r="AO65" s="33"/>
      <c r="AP65" s="36" t="str">
        <f t="shared" si="32"/>
        <v/>
      </c>
      <c r="AQ65" s="33"/>
      <c r="AR65" s="36" t="str">
        <f t="shared" si="33"/>
        <v/>
      </c>
      <c r="AS65" s="33"/>
      <c r="AT65" s="36" t="str">
        <f t="shared" si="19"/>
        <v/>
      </c>
      <c r="AU65" s="33"/>
      <c r="AV65" s="36" t="str">
        <f t="shared" si="20"/>
        <v/>
      </c>
      <c r="AW65" s="33"/>
      <c r="AX65" s="36" t="str">
        <f t="shared" si="39"/>
        <v/>
      </c>
      <c r="AY65" s="33"/>
      <c r="AZ65" s="36" t="str">
        <f t="shared" si="40"/>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4"/>
        <v/>
      </c>
      <c r="M66" s="33"/>
      <c r="N66" s="36" t="str">
        <f t="shared" si="25"/>
        <v/>
      </c>
      <c r="O66" s="33"/>
      <c r="P66" s="36" t="str">
        <f t="shared" si="26"/>
        <v/>
      </c>
      <c r="Q66" s="33"/>
      <c r="R66" s="36" t="str">
        <f t="shared" si="27"/>
        <v/>
      </c>
      <c r="S66" s="33"/>
      <c r="T66" s="36" t="str">
        <f t="shared" si="28"/>
        <v/>
      </c>
      <c r="U66" s="76"/>
      <c r="V66" s="36" t="str">
        <f t="shared" si="29"/>
        <v/>
      </c>
      <c r="W66" s="33"/>
      <c r="X66" s="36" t="str">
        <f t="shared" si="34"/>
        <v/>
      </c>
      <c r="Y66" s="33"/>
      <c r="Z66" s="36" t="str">
        <f t="shared" si="35"/>
        <v/>
      </c>
      <c r="AA66" s="33"/>
      <c r="AB66" s="36" t="str">
        <f t="shared" si="36"/>
        <v/>
      </c>
      <c r="AC66" s="33"/>
      <c r="AD66" s="36" t="str">
        <f t="shared" si="37"/>
        <v/>
      </c>
      <c r="AE66" s="76"/>
      <c r="AF66" s="36" t="str">
        <f t="shared" si="30"/>
        <v/>
      </c>
      <c r="AG66" s="33"/>
      <c r="AH66" s="36" t="str">
        <f t="shared" si="23"/>
        <v/>
      </c>
      <c r="AI66" s="33"/>
      <c r="AJ66" s="36" t="str">
        <f t="shared" si="31"/>
        <v/>
      </c>
      <c r="AK66" s="33"/>
      <c r="AL66" s="36" t="str">
        <f t="shared" si="38"/>
        <v/>
      </c>
      <c r="AM66" s="33"/>
      <c r="AN66" s="36" t="str">
        <f t="shared" si="19"/>
        <v/>
      </c>
      <c r="AO66" s="33"/>
      <c r="AP66" s="36" t="str">
        <f t="shared" si="32"/>
        <v/>
      </c>
      <c r="AQ66" s="33"/>
      <c r="AR66" s="36" t="str">
        <f t="shared" si="33"/>
        <v/>
      </c>
      <c r="AS66" s="33"/>
      <c r="AT66" s="36" t="str">
        <f t="shared" si="19"/>
        <v/>
      </c>
      <c r="AU66" s="33"/>
      <c r="AV66" s="36" t="str">
        <f t="shared" si="20"/>
        <v/>
      </c>
      <c r="AW66" s="33"/>
      <c r="AX66" s="36" t="str">
        <f t="shared" si="39"/>
        <v/>
      </c>
      <c r="AY66" s="33"/>
      <c r="AZ66" s="36" t="str">
        <f t="shared" si="40"/>
        <v/>
      </c>
      <c r="BA66" s="23" t="s">
        <v>202</v>
      </c>
    </row>
    <row r="67" spans="1:53" ht="20" customHeight="1" x14ac:dyDescent="0.2">
      <c r="A67" s="60"/>
      <c r="B67" s="82"/>
      <c r="D67" s="23" t="s">
        <v>292</v>
      </c>
      <c r="E67" s="23" t="s">
        <v>293</v>
      </c>
      <c r="F67" s="24">
        <v>2005</v>
      </c>
      <c r="H67" s="89">
        <v>13</v>
      </c>
      <c r="I67" s="85" t="s">
        <v>361</v>
      </c>
      <c r="J67" s="86"/>
      <c r="K67" s="33"/>
      <c r="L67" s="36" t="str">
        <f t="shared" si="24"/>
        <v/>
      </c>
      <c r="M67" s="33">
        <v>3</v>
      </c>
      <c r="N67" s="36">
        <f t="shared" si="25"/>
        <v>23.076923076923077</v>
      </c>
      <c r="O67" s="33"/>
      <c r="P67" s="36" t="str">
        <f t="shared" si="26"/>
        <v/>
      </c>
      <c r="Q67" s="33"/>
      <c r="R67" s="36" t="str">
        <f t="shared" si="27"/>
        <v/>
      </c>
      <c r="S67" s="33"/>
      <c r="T67" s="36" t="str">
        <f t="shared" si="28"/>
        <v/>
      </c>
      <c r="U67" s="76">
        <v>1</v>
      </c>
      <c r="V67" s="36">
        <f t="shared" si="29"/>
        <v>7.6923076923076925</v>
      </c>
      <c r="W67" s="33"/>
      <c r="X67" s="36" t="str">
        <f t="shared" si="34"/>
        <v/>
      </c>
      <c r="Y67" s="33"/>
      <c r="Z67" s="36" t="str">
        <f t="shared" si="35"/>
        <v/>
      </c>
      <c r="AA67" s="33"/>
      <c r="AB67" s="36" t="str">
        <f t="shared" si="36"/>
        <v/>
      </c>
      <c r="AC67" s="33"/>
      <c r="AD67" s="36" t="str">
        <f t="shared" si="37"/>
        <v/>
      </c>
      <c r="AE67" s="76"/>
      <c r="AF67" s="36" t="str">
        <f t="shared" si="30"/>
        <v/>
      </c>
      <c r="AG67" s="33"/>
      <c r="AH67" s="36" t="str">
        <f t="shared" si="23"/>
        <v/>
      </c>
      <c r="AI67" s="33"/>
      <c r="AJ67" s="36" t="str">
        <f t="shared" si="31"/>
        <v/>
      </c>
      <c r="AK67" s="33"/>
      <c r="AL67" s="36" t="str">
        <f t="shared" si="38"/>
        <v/>
      </c>
      <c r="AM67" s="33"/>
      <c r="AN67" s="36" t="str">
        <f t="shared" si="19"/>
        <v/>
      </c>
      <c r="AO67" s="33"/>
      <c r="AP67" s="36" t="str">
        <f t="shared" si="32"/>
        <v/>
      </c>
      <c r="AQ67" s="33"/>
      <c r="AR67" s="36" t="str">
        <f t="shared" si="33"/>
        <v/>
      </c>
      <c r="AS67" s="33"/>
      <c r="AT67" s="36" t="str">
        <f t="shared" si="19"/>
        <v/>
      </c>
      <c r="AU67" s="33"/>
      <c r="AV67" s="36" t="str">
        <f t="shared" si="20"/>
        <v/>
      </c>
      <c r="AW67" s="33"/>
      <c r="AX67" s="36" t="str">
        <f t="shared" si="39"/>
        <v/>
      </c>
      <c r="AY67" s="33"/>
      <c r="AZ67" s="36" t="str">
        <f t="shared" si="40"/>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 t="shared" si="24"/>
        <v/>
      </c>
      <c r="M68" s="33"/>
      <c r="N68" s="36" t="str">
        <f t="shared" si="25"/>
        <v/>
      </c>
      <c r="O68" s="33"/>
      <c r="P68" s="36" t="str">
        <f t="shared" si="26"/>
        <v/>
      </c>
      <c r="Q68" s="33"/>
      <c r="R68" s="36" t="str">
        <f t="shared" si="27"/>
        <v/>
      </c>
      <c r="S68" s="33"/>
      <c r="T68" s="36" t="str">
        <f t="shared" si="28"/>
        <v/>
      </c>
      <c r="U68" s="76"/>
      <c r="V68" s="36" t="str">
        <f t="shared" si="29"/>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76"/>
      <c r="AF68" s="36" t="str">
        <f t="shared" si="30"/>
        <v/>
      </c>
      <c r="AG68" s="33"/>
      <c r="AH68" s="36" t="str">
        <f>IF((ISERROR((AG68/$H68)*100)), "", IF(AND(NOT(ISERROR((AG68/$H68)*100)),((AG68/$H68)*100) &lt;&gt; 0), (AG68/$H68)*100, ""))</f>
        <v/>
      </c>
      <c r="AI68" s="33"/>
      <c r="AJ68" s="36" t="str">
        <f t="shared" si="31"/>
        <v/>
      </c>
      <c r="AK68" s="33"/>
      <c r="AL68" s="36" t="str">
        <f>IF((ISERROR((AK68/$H68)*100)), "", IF(AND(NOT(ISERROR((AK68/$H68)*100)),((AK68/$H68)*100) &lt;&gt; 0), (AK68/$H68)*100, ""))</f>
        <v/>
      </c>
      <c r="AM68" s="33"/>
      <c r="AN68" s="36" t="str">
        <f>IF((ISERROR((AM68/$H68)*100)), "", IF(AND(NOT(ISERROR((AM68/$H68)*100)),((AM68/$H68)*100) &lt;&gt; 0), (AM68/$H68)*100, ""))</f>
        <v/>
      </c>
      <c r="AO68" s="33"/>
      <c r="AP68" s="36" t="str">
        <f t="shared" si="32"/>
        <v/>
      </c>
      <c r="AQ68" s="33"/>
      <c r="AR68" s="36" t="str">
        <f t="shared" si="33"/>
        <v/>
      </c>
      <c r="AS68" s="33"/>
      <c r="AT68" s="36" t="str">
        <f t="shared" si="19"/>
        <v/>
      </c>
      <c r="AU68" s="33"/>
      <c r="AV68" s="36" t="str">
        <f t="shared" si="20"/>
        <v/>
      </c>
      <c r="AW68" s="33"/>
      <c r="AX68" s="36" t="str">
        <f t="shared" si="39"/>
        <v/>
      </c>
      <c r="AY68" s="33"/>
      <c r="AZ68" s="36" t="str">
        <f t="shared" si="40"/>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 t="shared" si="24"/>
        <v/>
      </c>
      <c r="M69" s="33"/>
      <c r="N69" s="36" t="str">
        <f t="shared" si="25"/>
        <v/>
      </c>
      <c r="O69" s="33"/>
      <c r="P69" s="36" t="str">
        <f t="shared" si="26"/>
        <v/>
      </c>
      <c r="Q69" s="33"/>
      <c r="R69" s="36" t="str">
        <f t="shared" si="27"/>
        <v/>
      </c>
      <c r="S69" s="33"/>
      <c r="T69" s="36" t="str">
        <f t="shared" si="28"/>
        <v/>
      </c>
      <c r="U69" s="76"/>
      <c r="V69" s="36" t="str">
        <f t="shared" si="29"/>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6"/>
      <c r="AF69" s="36" t="str">
        <f t="shared" si="30"/>
        <v/>
      </c>
      <c r="AG69" s="33"/>
      <c r="AH69" s="36" t="str">
        <f>IF((ISERROR((AG69/$H69)*100)), "", IF(AND(NOT(ISERROR((AG69/$H69)*100)),((AG69/$H69)*100) &lt;&gt; 0), (AG69/$H69)*100, ""))</f>
        <v/>
      </c>
      <c r="AI69" s="33"/>
      <c r="AJ69" s="36" t="str">
        <f t="shared" si="31"/>
        <v/>
      </c>
      <c r="AK69" s="33"/>
      <c r="AL69" s="36" t="str">
        <f>IF((ISERROR((AK69/$H69)*100)), "", IF(AND(NOT(ISERROR((AK69/$H69)*100)),((AK69/$H69)*100) &lt;&gt; 0), (AK69/$H69)*100, ""))</f>
        <v/>
      </c>
      <c r="AM69" s="33"/>
      <c r="AN69" s="36" t="str">
        <f>IF((ISERROR((AM69/$H69)*100)), "", IF(AND(NOT(ISERROR((AM69/$H69)*100)),((AM69/$H69)*100) &lt;&gt; 0), (AM69/$H69)*100, ""))</f>
        <v/>
      </c>
      <c r="AO69" s="33"/>
      <c r="AP69" s="36" t="str">
        <f t="shared" si="32"/>
        <v/>
      </c>
      <c r="AQ69" s="33"/>
      <c r="AR69" s="36" t="str">
        <f t="shared" si="33"/>
        <v/>
      </c>
      <c r="AS69" s="33"/>
      <c r="AT69" s="36" t="str">
        <f t="shared" si="19"/>
        <v/>
      </c>
      <c r="AU69" s="33"/>
      <c r="AV69" s="36" t="str">
        <f t="shared" si="20"/>
        <v/>
      </c>
      <c r="AW69" s="33"/>
      <c r="AX69" s="36" t="str">
        <f t="shared" si="39"/>
        <v/>
      </c>
      <c r="AY69" s="33"/>
      <c r="AZ69" s="36" t="str">
        <f t="shared" si="40"/>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 t="shared" si="24"/>
        <v/>
      </c>
      <c r="M70" s="33"/>
      <c r="N70" s="36" t="str">
        <f t="shared" si="25"/>
        <v/>
      </c>
      <c r="O70" s="33"/>
      <c r="P70" s="36" t="str">
        <f t="shared" si="26"/>
        <v/>
      </c>
      <c r="Q70" s="33"/>
      <c r="R70" s="36" t="str">
        <f t="shared" si="27"/>
        <v/>
      </c>
      <c r="S70" s="38"/>
      <c r="T70" s="39" t="str">
        <f t="shared" si="28"/>
        <v/>
      </c>
      <c r="U70" s="76"/>
      <c r="V70" s="36" t="str">
        <f t="shared" si="29"/>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6"/>
      <c r="AF70" s="36" t="str">
        <f t="shared" si="30"/>
        <v/>
      </c>
      <c r="AG70" s="33"/>
      <c r="AH70" s="36" t="str">
        <f>IF((ISERROR((AG70/$H70)*100)), "", IF(AND(NOT(ISERROR((AG70/$H70)*100)),((AG70/$H70)*100) &lt;&gt; 0), (AG70/$H70)*100, ""))</f>
        <v/>
      </c>
      <c r="AI70" s="33"/>
      <c r="AJ70" s="36" t="str">
        <f t="shared" si="31"/>
        <v/>
      </c>
      <c r="AK70" s="33"/>
      <c r="AL70" s="36" t="str">
        <f>IF((ISERROR((AK70/$H70)*100)), "", IF(AND(NOT(ISERROR((AK70/$H70)*100)),((AK70/$H70)*100) &lt;&gt; 0), (AK70/$H70)*100, ""))</f>
        <v/>
      </c>
      <c r="AM70" s="33"/>
      <c r="AN70" s="36" t="str">
        <f>IF((ISERROR((AM70/$H70)*100)), "", IF(AND(NOT(ISERROR((AM70/$H70)*100)),((AM70/$H70)*100) &lt;&gt; 0), (AM70/$H70)*100, ""))</f>
        <v/>
      </c>
      <c r="AO70" s="33"/>
      <c r="AP70" s="36" t="str">
        <f t="shared" si="32"/>
        <v/>
      </c>
      <c r="AQ70" s="33"/>
      <c r="AR70" s="36" t="str">
        <f t="shared" si="33"/>
        <v/>
      </c>
      <c r="AS70" s="33"/>
      <c r="AT70" s="36" t="str">
        <f t="shared" si="19"/>
        <v/>
      </c>
      <c r="AU70" s="33"/>
      <c r="AV70" s="36" t="str">
        <f t="shared" si="20"/>
        <v/>
      </c>
      <c r="AW70" s="33"/>
      <c r="AX70" s="36" t="str">
        <f t="shared" si="39"/>
        <v/>
      </c>
      <c r="AY70" s="33"/>
      <c r="AZ70" s="36" t="str">
        <f t="shared" si="40"/>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 t="shared" si="24"/>
        <v/>
      </c>
      <c r="M71" s="33"/>
      <c r="N71" s="36" t="str">
        <f t="shared" si="25"/>
        <v/>
      </c>
      <c r="O71" s="33"/>
      <c r="P71" s="36" t="str">
        <f t="shared" si="26"/>
        <v/>
      </c>
      <c r="Q71" s="33"/>
      <c r="R71" s="36" t="str">
        <f t="shared" si="27"/>
        <v/>
      </c>
      <c r="S71" s="33"/>
      <c r="T71" s="36" t="str">
        <f t="shared" si="28"/>
        <v/>
      </c>
      <c r="U71" s="76"/>
      <c r="V71" s="36" t="str">
        <f t="shared" si="29"/>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76"/>
      <c r="AF71" s="36" t="str">
        <f t="shared" si="30"/>
        <v/>
      </c>
      <c r="AG71" s="33"/>
      <c r="AH71" s="36" t="str">
        <f>IF((ISERROR((AG71/$H71)*100)), "", IF(AND(NOT(ISERROR((AG71/$H71)*100)),((AG71/$H71)*100) &lt;&gt; 0), (AG71/$H71)*100, ""))</f>
        <v/>
      </c>
      <c r="AI71" s="33"/>
      <c r="AJ71" s="36" t="str">
        <f t="shared" si="31"/>
        <v/>
      </c>
      <c r="AK71" s="33"/>
      <c r="AL71" s="36" t="str">
        <f>IF((ISERROR((AK71/$H71)*100)), "", IF(AND(NOT(ISERROR((AK71/$H71)*100)),((AK71/$H71)*100) &lt;&gt; 0), (AK71/$H71)*100, ""))</f>
        <v/>
      </c>
      <c r="AM71" s="33"/>
      <c r="AN71" s="36" t="str">
        <f>IF((ISERROR((AM71/$H71)*100)), "", IF(AND(NOT(ISERROR((AM71/$H71)*100)),((AM71/$H71)*100) &lt;&gt; 0), (AM71/$H71)*100, ""))</f>
        <v/>
      </c>
      <c r="AO71" s="33"/>
      <c r="AP71" s="36" t="str">
        <f t="shared" si="32"/>
        <v/>
      </c>
      <c r="AQ71" s="33"/>
      <c r="AR71" s="36" t="str">
        <f t="shared" si="33"/>
        <v/>
      </c>
      <c r="AS71" s="33"/>
      <c r="AT71" s="36" t="str">
        <f t="shared" si="19"/>
        <v/>
      </c>
      <c r="AU71" s="33"/>
      <c r="AV71" s="36" t="str">
        <f t="shared" si="20"/>
        <v/>
      </c>
      <c r="AW71" s="33"/>
      <c r="AX71" s="36" t="str">
        <f t="shared" si="39"/>
        <v/>
      </c>
      <c r="AY71" s="33"/>
      <c r="AZ71" s="36" t="str">
        <f t="shared" si="40"/>
        <v/>
      </c>
    </row>
    <row r="72" spans="1:53" ht="20" customHeight="1" x14ac:dyDescent="0.2">
      <c r="A72" s="60"/>
      <c r="B72" s="82"/>
      <c r="C72" s="24" t="s">
        <v>85</v>
      </c>
      <c r="D72" s="23" t="s">
        <v>298</v>
      </c>
      <c r="E72" s="23" t="s">
        <v>299</v>
      </c>
      <c r="F72" s="24">
        <v>2011</v>
      </c>
      <c r="H72" s="89">
        <v>244</v>
      </c>
      <c r="I72" s="85" t="s">
        <v>213</v>
      </c>
      <c r="J72" s="86" t="s">
        <v>192</v>
      </c>
      <c r="K72" s="33"/>
      <c r="L72" s="36" t="str">
        <f t="shared" si="24"/>
        <v/>
      </c>
      <c r="M72" s="33"/>
      <c r="N72" s="36" t="str">
        <f t="shared" si="25"/>
        <v/>
      </c>
      <c r="O72" s="33"/>
      <c r="P72" s="36" t="str">
        <f t="shared" si="26"/>
        <v/>
      </c>
      <c r="Q72" s="33"/>
      <c r="R72" s="36" t="str">
        <f t="shared" si="27"/>
        <v/>
      </c>
      <c r="S72" s="33"/>
      <c r="T72" s="36" t="str">
        <f t="shared" si="28"/>
        <v/>
      </c>
      <c r="U72" s="76"/>
      <c r="V72" s="36" t="str">
        <f t="shared" si="29"/>
        <v/>
      </c>
      <c r="W72" s="33"/>
      <c r="X72" s="36" t="str">
        <f t="shared" si="34"/>
        <v/>
      </c>
      <c r="Y72" s="33"/>
      <c r="Z72" s="36" t="str">
        <f t="shared" si="35"/>
        <v/>
      </c>
      <c r="AA72" s="33"/>
      <c r="AB72" s="36" t="str">
        <f t="shared" si="36"/>
        <v/>
      </c>
      <c r="AC72" s="33"/>
      <c r="AD72" s="36" t="str">
        <f t="shared" si="37"/>
        <v/>
      </c>
      <c r="AE72" s="76"/>
      <c r="AF72" s="36" t="str">
        <f t="shared" si="30"/>
        <v/>
      </c>
      <c r="AG72" s="33">
        <v>3</v>
      </c>
      <c r="AH72" s="36">
        <f t="shared" si="23"/>
        <v>1.2295081967213115</v>
      </c>
      <c r="AI72" s="33"/>
      <c r="AJ72" s="36" t="str">
        <f t="shared" si="31"/>
        <v/>
      </c>
      <c r="AK72" s="33"/>
      <c r="AL72" s="36" t="str">
        <f t="shared" si="38"/>
        <v/>
      </c>
      <c r="AM72" s="33"/>
      <c r="AN72" s="36" t="str">
        <f t="shared" si="19"/>
        <v/>
      </c>
      <c r="AO72" s="33">
        <v>4</v>
      </c>
      <c r="AP72" s="36">
        <f t="shared" si="32"/>
        <v>1.639344262295082</v>
      </c>
      <c r="AQ72" s="33"/>
      <c r="AR72" s="36" t="str">
        <f t="shared" si="33"/>
        <v/>
      </c>
      <c r="AS72" s="33"/>
      <c r="AT72" s="36" t="str">
        <f t="shared" si="19"/>
        <v/>
      </c>
      <c r="AU72" s="33"/>
      <c r="AV72" s="36" t="str">
        <f t="shared" si="20"/>
        <v/>
      </c>
      <c r="AW72" s="33"/>
      <c r="AX72" s="36" t="str">
        <f t="shared" si="39"/>
        <v/>
      </c>
      <c r="AY72" s="33"/>
      <c r="AZ72" s="36" t="str">
        <f t="shared" si="40"/>
        <v/>
      </c>
    </row>
    <row r="73" spans="1:53" ht="20" customHeight="1" x14ac:dyDescent="0.2">
      <c r="A73" s="61"/>
      <c r="B73" s="24"/>
      <c r="C73" s="50" t="s">
        <v>49</v>
      </c>
      <c r="D73" s="49" t="s">
        <v>93</v>
      </c>
      <c r="E73" s="49" t="s">
        <v>94</v>
      </c>
      <c r="F73" s="50">
        <v>2015</v>
      </c>
      <c r="G73" s="50">
        <v>22</v>
      </c>
      <c r="H73" s="89"/>
      <c r="I73" s="85"/>
      <c r="J73" s="86"/>
      <c r="K73" s="33"/>
      <c r="L73" s="36" t="str">
        <f t="shared" si="24"/>
        <v/>
      </c>
      <c r="M73" s="33"/>
      <c r="N73" s="36" t="str">
        <f t="shared" si="25"/>
        <v/>
      </c>
      <c r="O73" s="33"/>
      <c r="P73" s="36" t="str">
        <f t="shared" si="26"/>
        <v/>
      </c>
      <c r="Q73" s="33"/>
      <c r="R73" s="36" t="str">
        <f t="shared" si="27"/>
        <v/>
      </c>
      <c r="S73" s="33"/>
      <c r="T73" s="36" t="str">
        <f t="shared" si="28"/>
        <v/>
      </c>
      <c r="U73" s="76"/>
      <c r="V73" s="36" t="str">
        <f t="shared" si="29"/>
        <v/>
      </c>
      <c r="W73" s="33"/>
      <c r="X73" s="36" t="str">
        <f t="shared" si="34"/>
        <v/>
      </c>
      <c r="Y73" s="33"/>
      <c r="Z73" s="36" t="str">
        <f t="shared" si="35"/>
        <v/>
      </c>
      <c r="AA73" s="33"/>
      <c r="AB73" s="36" t="str">
        <f t="shared" si="36"/>
        <v/>
      </c>
      <c r="AC73" s="33"/>
      <c r="AD73" s="36" t="str">
        <f t="shared" si="37"/>
        <v/>
      </c>
      <c r="AE73" s="76"/>
      <c r="AF73" s="36" t="str">
        <f t="shared" si="30"/>
        <v/>
      </c>
      <c r="AG73" s="33"/>
      <c r="AH73" s="36" t="str">
        <f t="shared" si="23"/>
        <v/>
      </c>
      <c r="AI73" s="33"/>
      <c r="AJ73" s="36" t="str">
        <f t="shared" si="31"/>
        <v/>
      </c>
      <c r="AK73" s="33"/>
      <c r="AL73" s="36" t="str">
        <f t="shared" si="38"/>
        <v/>
      </c>
      <c r="AM73" s="33"/>
      <c r="AN73" s="36" t="str">
        <f t="shared" si="19"/>
        <v/>
      </c>
      <c r="AO73" s="33"/>
      <c r="AP73" s="36" t="str">
        <f t="shared" si="32"/>
        <v/>
      </c>
      <c r="AQ73" s="33"/>
      <c r="AR73" s="36" t="str">
        <f t="shared" si="33"/>
        <v/>
      </c>
      <c r="AS73" s="33"/>
      <c r="AT73" s="36" t="str">
        <f t="shared" si="19"/>
        <v/>
      </c>
      <c r="AU73" s="33"/>
      <c r="AV73" s="36" t="str">
        <f t="shared" si="20"/>
        <v/>
      </c>
      <c r="AW73" s="33"/>
      <c r="AX73" s="36" t="str">
        <f t="shared" si="39"/>
        <v/>
      </c>
      <c r="AY73" s="33"/>
      <c r="AZ73" s="36" t="str">
        <f t="shared" si="40"/>
        <v/>
      </c>
    </row>
    <row r="74" spans="1:53" ht="20" customHeight="1" x14ac:dyDescent="0.2">
      <c r="A74" s="61"/>
      <c r="B74" s="24"/>
      <c r="C74" s="50" t="s">
        <v>49</v>
      </c>
      <c r="D74" s="49" t="s">
        <v>95</v>
      </c>
      <c r="E74" s="49" t="s">
        <v>96</v>
      </c>
      <c r="F74" s="50">
        <v>1996</v>
      </c>
      <c r="G74" s="50">
        <v>71</v>
      </c>
      <c r="H74" s="89"/>
      <c r="I74" s="85"/>
      <c r="J74" s="86"/>
      <c r="K74" s="33"/>
      <c r="L74" s="36" t="str">
        <f t="shared" si="24"/>
        <v/>
      </c>
      <c r="M74" s="33"/>
      <c r="N74" s="36" t="str">
        <f t="shared" si="25"/>
        <v/>
      </c>
      <c r="O74" s="33"/>
      <c r="P74" s="36" t="str">
        <f t="shared" si="26"/>
        <v/>
      </c>
      <c r="Q74" s="33"/>
      <c r="R74" s="36" t="str">
        <f t="shared" si="27"/>
        <v/>
      </c>
      <c r="S74" s="33"/>
      <c r="T74" s="36" t="str">
        <f t="shared" si="28"/>
        <v/>
      </c>
      <c r="U74" s="76"/>
      <c r="V74" s="36" t="str">
        <f t="shared" si="29"/>
        <v/>
      </c>
      <c r="W74" s="33"/>
      <c r="X74" s="36" t="str">
        <f t="shared" si="34"/>
        <v/>
      </c>
      <c r="Y74" s="33"/>
      <c r="Z74" s="36" t="str">
        <f t="shared" si="35"/>
        <v/>
      </c>
      <c r="AA74" s="33"/>
      <c r="AB74" s="36" t="str">
        <f t="shared" si="36"/>
        <v/>
      </c>
      <c r="AC74" s="33"/>
      <c r="AD74" s="36" t="str">
        <f t="shared" si="37"/>
        <v/>
      </c>
      <c r="AE74" s="76"/>
      <c r="AF74" s="36" t="str">
        <f t="shared" si="30"/>
        <v/>
      </c>
      <c r="AG74" s="33"/>
      <c r="AH74" s="36" t="str">
        <f t="shared" si="23"/>
        <v/>
      </c>
      <c r="AI74" s="33"/>
      <c r="AJ74" s="36" t="str">
        <f t="shared" si="31"/>
        <v/>
      </c>
      <c r="AK74" s="33"/>
      <c r="AL74" s="36" t="str">
        <f t="shared" si="38"/>
        <v/>
      </c>
      <c r="AM74" s="33"/>
      <c r="AN74" s="36" t="str">
        <f t="shared" si="19"/>
        <v/>
      </c>
      <c r="AO74" s="33"/>
      <c r="AP74" s="36" t="str">
        <f t="shared" si="32"/>
        <v/>
      </c>
      <c r="AQ74" s="33"/>
      <c r="AR74" s="36" t="str">
        <f t="shared" si="33"/>
        <v/>
      </c>
      <c r="AS74" s="33"/>
      <c r="AT74" s="36" t="str">
        <f t="shared" si="19"/>
        <v/>
      </c>
      <c r="AU74" s="33"/>
      <c r="AV74" s="36" t="str">
        <f t="shared" si="20"/>
        <v/>
      </c>
      <c r="AW74" s="33"/>
      <c r="AX74" s="36" t="str">
        <f t="shared" si="39"/>
        <v/>
      </c>
      <c r="AY74" s="33"/>
      <c r="AZ74" s="36" t="str">
        <f t="shared" si="40"/>
        <v/>
      </c>
    </row>
    <row r="75" spans="1:53" ht="20" customHeight="1" x14ac:dyDescent="0.2">
      <c r="A75" s="60"/>
      <c r="B75" s="83"/>
      <c r="C75" s="50" t="s">
        <v>30</v>
      </c>
      <c r="D75" s="49" t="s">
        <v>97</v>
      </c>
      <c r="E75" s="49" t="s">
        <v>98</v>
      </c>
      <c r="F75" s="50">
        <v>2011</v>
      </c>
      <c r="G75" s="50">
        <v>74</v>
      </c>
      <c r="H75" s="89">
        <v>221</v>
      </c>
      <c r="I75" s="85"/>
      <c r="J75" s="86"/>
      <c r="K75" s="33"/>
      <c r="L75" s="36" t="str">
        <f t="shared" ref="L75:L101" si="41">IF((ISERROR((K75/$H75)*100)), "", IF(AND(NOT(ISERROR((K75/$H75)*100)),((K75/$H75)*100) &lt;&gt; 0), (K75/$H75)*100, ""))</f>
        <v/>
      </c>
      <c r="M75" s="33"/>
      <c r="N75" s="36" t="str">
        <f t="shared" ref="N75:N101" si="42">IF((ISERROR((M75/$H75)*100)), "", IF(AND(NOT(ISERROR((M75/$H75)*100)),((M75/$H75)*100) &lt;&gt; 0), (M75/$H75)*100, ""))</f>
        <v/>
      </c>
      <c r="O75" s="33"/>
      <c r="P75" s="36" t="str">
        <f t="shared" ref="P75:P101" si="43">IF((ISERROR((O75/$H75)*100)), "", IF(AND(NOT(ISERROR((O75/$H75)*100)),((O75/$H75)*100) &lt;&gt; 0), (O75/$H75)*100, ""))</f>
        <v/>
      </c>
      <c r="Q75" s="33"/>
      <c r="R75" s="36" t="str">
        <f t="shared" ref="R75:R101" si="44">IF((ISERROR((Q75/$H75)*100)), "", IF(AND(NOT(ISERROR((Q75/$H75)*100)),((Q75/$H75)*100) &lt;&gt; 0), (Q75/$H75)*100, ""))</f>
        <v/>
      </c>
      <c r="S75" s="33"/>
      <c r="T75" s="36" t="str">
        <f t="shared" ref="T75:T101" si="45">IF((ISERROR((S75/$H75)*100)), "", IF(AND(NOT(ISERROR((S75/$H75)*100)),((S75/$H75)*100) &lt;&gt; 0), (S75/$H75)*100, ""))</f>
        <v/>
      </c>
      <c r="U75" s="76"/>
      <c r="V75" s="36" t="str">
        <f t="shared" ref="V75:V80" si="46">IF((ISERROR((U75/$H75)*100)), "", IF(AND(NOT(ISERROR((U75/$H75)*100)),((U75/$H75)*100) &lt;&gt; 0), (U75/$H75)*100, ""))</f>
        <v/>
      </c>
      <c r="W75" s="33"/>
      <c r="X75" s="36" t="str">
        <f t="shared" si="34"/>
        <v/>
      </c>
      <c r="Y75" s="33"/>
      <c r="Z75" s="36" t="str">
        <f t="shared" si="35"/>
        <v/>
      </c>
      <c r="AA75" s="33"/>
      <c r="AB75" s="36" t="str">
        <f t="shared" si="36"/>
        <v/>
      </c>
      <c r="AC75" s="33"/>
      <c r="AD75" s="36" t="str">
        <f t="shared" si="37"/>
        <v/>
      </c>
      <c r="AE75" s="76"/>
      <c r="AF75" s="36" t="str">
        <f t="shared" ref="AF75:AF101" si="47">IF((ISERROR((AE75/$H75)*100)), "", IF(AND(NOT(ISERROR((AE75/$H75)*100)),((AE75/$H75)*100) &lt;&gt; 0), (AE75/$H75)*100, ""))</f>
        <v/>
      </c>
      <c r="AG75" s="33"/>
      <c r="AH75" s="36" t="str">
        <f t="shared" si="23"/>
        <v/>
      </c>
      <c r="AI75" s="33"/>
      <c r="AJ75" s="36" t="str">
        <f t="shared" ref="AJ75:AJ101" si="48">IF((ISERROR((AI75/$H75)*100)), "", IF(AND(NOT(ISERROR((AI75/$H75)*100)),((AI75/$H75)*100) &lt;&gt; 0), (AI75/$H75)*100, ""))</f>
        <v/>
      </c>
      <c r="AK75" s="33"/>
      <c r="AL75" s="36" t="str">
        <f t="shared" si="38"/>
        <v/>
      </c>
      <c r="AM75" s="33"/>
      <c r="AN75" s="36" t="str">
        <f t="shared" si="19"/>
        <v/>
      </c>
      <c r="AO75" s="33"/>
      <c r="AP75" s="36" t="str">
        <f t="shared" ref="AP75:AP101" si="49">IF((ISERROR((AO75/$H75)*100)), "", IF(AND(NOT(ISERROR((AO75/$H75)*100)),((AO75/$H75)*100) &lt;&gt; 0), (AO75/$H75)*100, ""))</f>
        <v/>
      </c>
      <c r="AQ75" s="33"/>
      <c r="AR75" s="36" t="str">
        <f t="shared" ref="AR75:AR101" si="50">IF((ISERROR((AQ75/$H75)*100)), "", IF(AND(NOT(ISERROR((AQ75/$H75)*100)),((AQ75/$H75)*100) &lt;&gt; 0), (AQ75/$H75)*100, ""))</f>
        <v/>
      </c>
      <c r="AS75" s="33"/>
      <c r="AT75" s="36" t="str">
        <f t="shared" si="19"/>
        <v/>
      </c>
      <c r="AU75" s="33"/>
      <c r="AV75" s="36" t="str">
        <f t="shared" si="20"/>
        <v/>
      </c>
      <c r="AW75" s="33"/>
      <c r="AX75" s="36" t="str">
        <f t="shared" si="39"/>
        <v/>
      </c>
      <c r="AY75" s="33"/>
      <c r="AZ75" s="36" t="str">
        <f t="shared" si="40"/>
        <v/>
      </c>
      <c r="BA75" s="23" t="s">
        <v>388</v>
      </c>
    </row>
    <row r="76" spans="1:53" ht="20" customHeight="1" x14ac:dyDescent="0.2">
      <c r="A76" s="60"/>
      <c r="B76" s="82"/>
      <c r="C76" s="24" t="s">
        <v>85</v>
      </c>
      <c r="D76" s="23" t="s">
        <v>99</v>
      </c>
      <c r="E76" s="23" t="s">
        <v>100</v>
      </c>
      <c r="F76" s="24">
        <v>2002</v>
      </c>
      <c r="G76" s="24">
        <v>103</v>
      </c>
      <c r="H76" s="89">
        <v>8</v>
      </c>
      <c r="I76" s="85"/>
      <c r="J76" s="86"/>
      <c r="K76" s="33"/>
      <c r="L76" s="36" t="str">
        <f t="shared" si="41"/>
        <v/>
      </c>
      <c r="M76" s="33"/>
      <c r="N76" s="36" t="str">
        <f t="shared" si="42"/>
        <v/>
      </c>
      <c r="O76" s="33"/>
      <c r="P76" s="36" t="str">
        <f t="shared" si="43"/>
        <v/>
      </c>
      <c r="Q76" s="33"/>
      <c r="R76" s="36" t="str">
        <f t="shared" si="44"/>
        <v/>
      </c>
      <c r="S76" s="33"/>
      <c r="T76" s="36" t="str">
        <f t="shared" si="45"/>
        <v/>
      </c>
      <c r="U76" s="76">
        <v>2</v>
      </c>
      <c r="V76" s="36">
        <f t="shared" si="46"/>
        <v>25</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76"/>
      <c r="AF76" s="36" t="str">
        <f t="shared" si="47"/>
        <v/>
      </c>
      <c r="AG76" s="33"/>
      <c r="AH76" s="36" t="str">
        <f>IF((ISERROR((AG76/$H76)*100)), "", IF(AND(NOT(ISERROR((AG76/$H76)*100)),((AG76/$H76)*100) &lt;&gt; 0), (AG76/$H76)*100, ""))</f>
        <v/>
      </c>
      <c r="AI76" s="33"/>
      <c r="AJ76" s="36" t="str">
        <f t="shared" si="48"/>
        <v/>
      </c>
      <c r="AK76" s="33"/>
      <c r="AL76" s="36" t="str">
        <f>IF((ISERROR((AK76/$H76)*100)), "", IF(AND(NOT(ISERROR((AK76/$H76)*100)),((AK76/$H76)*100) &lt;&gt; 0), (AK76/$H76)*100, ""))</f>
        <v/>
      </c>
      <c r="AM76" s="33"/>
      <c r="AN76" s="36" t="str">
        <f>IF((ISERROR((AM76/$H76)*100)), "", IF(AND(NOT(ISERROR((AM76/$H76)*100)),((AM76/$H76)*100) &lt;&gt; 0), (AM76/$H76)*100, ""))</f>
        <v/>
      </c>
      <c r="AO76" s="33"/>
      <c r="AP76" s="36" t="str">
        <f t="shared" si="49"/>
        <v/>
      </c>
      <c r="AQ76" s="33"/>
      <c r="AR76" s="36" t="str">
        <f t="shared" si="50"/>
        <v/>
      </c>
      <c r="AS76" s="33"/>
      <c r="AT76" s="36" t="str">
        <f t="shared" si="19"/>
        <v/>
      </c>
      <c r="AU76" s="33"/>
      <c r="AV76" s="36" t="str">
        <f t="shared" ref="AV76" si="51">IF((ISERROR((AU76/$H76)*100)), "", IF(AND(NOT(ISERROR((AU76/$H76)*100)),((AU76/$H76)*100) &lt;&gt; 0), (AU76/$H76)*100, ""))</f>
        <v/>
      </c>
      <c r="AW76" s="33"/>
      <c r="AX76" s="36" t="str">
        <f t="shared" si="39"/>
        <v/>
      </c>
      <c r="AY76" s="33"/>
      <c r="AZ76" s="36" t="str">
        <f t="shared" si="40"/>
        <v/>
      </c>
      <c r="BA76" s="23" t="s">
        <v>203</v>
      </c>
    </row>
    <row r="77" spans="1:53" ht="20" customHeight="1" x14ac:dyDescent="0.2">
      <c r="A77" s="60"/>
      <c r="B77" s="83"/>
      <c r="C77" s="50" t="s">
        <v>30</v>
      </c>
      <c r="D77" s="49" t="s">
        <v>101</v>
      </c>
      <c r="E77" s="49" t="s">
        <v>102</v>
      </c>
      <c r="F77" s="50">
        <v>2014</v>
      </c>
      <c r="G77" s="50">
        <v>30</v>
      </c>
      <c r="H77" s="89"/>
      <c r="I77" s="85"/>
      <c r="J77" s="86"/>
      <c r="K77" s="33"/>
      <c r="L77" s="36" t="str">
        <f t="shared" si="41"/>
        <v/>
      </c>
      <c r="M77" s="33"/>
      <c r="N77" s="36" t="str">
        <f t="shared" si="42"/>
        <v/>
      </c>
      <c r="O77" s="33"/>
      <c r="P77" s="36" t="str">
        <f t="shared" si="43"/>
        <v/>
      </c>
      <c r="Q77" s="33"/>
      <c r="R77" s="36" t="str">
        <f t="shared" si="44"/>
        <v/>
      </c>
      <c r="S77" s="33">
        <v>2</v>
      </c>
      <c r="T77" s="36" t="str">
        <f t="shared" si="45"/>
        <v/>
      </c>
      <c r="U77" s="76"/>
      <c r="V77" s="36" t="str">
        <f t="shared" si="46"/>
        <v/>
      </c>
      <c r="W77" s="33"/>
      <c r="X77" s="36" t="str">
        <f t="shared" ref="X77:X104" si="52">IF((ISERROR((W77/$H77)*100)), "", IF(AND(NOT(ISERROR((W77/$H77)*100)),((W77/$H77)*100) &lt;&gt; 0), (W77/$H77)*100, ""))</f>
        <v/>
      </c>
      <c r="Y77" s="33"/>
      <c r="Z77" s="36" t="str">
        <f t="shared" ref="Z77:Z104" si="53">IF((ISERROR((Y77/$H77)*100)), "", IF(AND(NOT(ISERROR((Y77/$H77)*100)),((Y77/$H77)*100) &lt;&gt; 0), (Y77/$H77)*100, ""))</f>
        <v/>
      </c>
      <c r="AA77" s="33"/>
      <c r="AB77" s="36" t="str">
        <f t="shared" ref="AB77:AB104" si="54">IF((ISERROR((AA77/$H77)*100)), "", IF(AND(NOT(ISERROR((AA77/$H77)*100)),((AA77/$H77)*100) &lt;&gt; 0), (AA77/$H77)*100, ""))</f>
        <v/>
      </c>
      <c r="AC77" s="33"/>
      <c r="AD77" s="36" t="str">
        <f t="shared" ref="AD77:AD104" si="55">IF((ISERROR((AC77/$H77)*100)), "", IF(AND(NOT(ISERROR((AC77/$H77)*100)),((AC77/$H77)*100) &lt;&gt; 0), (AC77/$H77)*100, ""))</f>
        <v/>
      </c>
      <c r="AE77" s="76"/>
      <c r="AF77" s="36" t="str">
        <f t="shared" si="47"/>
        <v/>
      </c>
      <c r="AG77" s="33">
        <v>2</v>
      </c>
      <c r="AH77" s="36" t="str">
        <f t="shared" si="23"/>
        <v/>
      </c>
      <c r="AI77" s="33"/>
      <c r="AJ77" s="36" t="str">
        <f t="shared" si="48"/>
        <v/>
      </c>
      <c r="AK77" s="33"/>
      <c r="AL77" s="36" t="str">
        <f t="shared" ref="AL77:AL104" si="56">IF((ISERROR((AK77/$H77)*100)), "", IF(AND(NOT(ISERROR((AK77/$H77)*100)),((AK77/$H77)*100) &lt;&gt; 0), (AK77/$H77)*100, ""))</f>
        <v/>
      </c>
      <c r="AM77" s="33"/>
      <c r="AN77" s="36" t="str">
        <f t="shared" si="19"/>
        <v/>
      </c>
      <c r="AO77" s="38"/>
      <c r="AP77" s="39" t="str">
        <f t="shared" si="49"/>
        <v/>
      </c>
      <c r="AQ77" s="33">
        <v>1</v>
      </c>
      <c r="AR77" s="36" t="str">
        <f t="shared" si="50"/>
        <v/>
      </c>
      <c r="AS77" s="33"/>
      <c r="AT77" s="36" t="str">
        <f t="shared" si="19"/>
        <v/>
      </c>
      <c r="AU77" s="33"/>
      <c r="AV77" s="36" t="str">
        <f t="shared" ref="AV77:AV114" si="57">IF((ISERROR((AU77/$H77)*100)), "", IF(AND(NOT(ISERROR((AU77/$H77)*100)),((AU77/$H77)*100) &lt;&gt; 0), (AU77/$H77)*100, ""))</f>
        <v/>
      </c>
      <c r="AW77" s="33"/>
      <c r="AX77" s="36" t="str">
        <f t="shared" ref="AX77:AX107" si="58">IF((ISERROR((AW77/$H77)*100)), "", IF(AND(NOT(ISERROR((AW77/$H77)*100)),((AW77/$H77)*100) &lt;&gt; 0), (AW77/$H77)*100, ""))</f>
        <v/>
      </c>
      <c r="AY77" s="38"/>
      <c r="AZ77" s="39" t="str">
        <f t="shared" ref="AZ77:AZ107" si="59">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si="41"/>
        <v/>
      </c>
      <c r="M78" s="33"/>
      <c r="N78" s="36" t="str">
        <f t="shared" si="42"/>
        <v/>
      </c>
      <c r="O78" s="33"/>
      <c r="P78" s="36" t="str">
        <f t="shared" si="43"/>
        <v/>
      </c>
      <c r="Q78" s="33"/>
      <c r="R78" s="36" t="str">
        <f t="shared" si="44"/>
        <v/>
      </c>
      <c r="S78" s="33"/>
      <c r="T78" s="36" t="str">
        <f t="shared" si="45"/>
        <v/>
      </c>
      <c r="U78" s="76"/>
      <c r="V78" s="36" t="str">
        <f t="shared" si="46"/>
        <v/>
      </c>
      <c r="W78" s="33"/>
      <c r="X78" s="36" t="str">
        <f t="shared" si="52"/>
        <v/>
      </c>
      <c r="Y78" s="33"/>
      <c r="Z78" s="36" t="str">
        <f t="shared" si="53"/>
        <v/>
      </c>
      <c r="AA78" s="33"/>
      <c r="AB78" s="36" t="str">
        <f t="shared" si="54"/>
        <v/>
      </c>
      <c r="AC78" s="33"/>
      <c r="AD78" s="36" t="str">
        <f t="shared" si="55"/>
        <v/>
      </c>
      <c r="AE78" s="76"/>
      <c r="AF78" s="36" t="str">
        <f t="shared" si="47"/>
        <v/>
      </c>
      <c r="AG78" s="33"/>
      <c r="AH78" s="36" t="str">
        <f t="shared" ref="AH78:AH112" si="60">IF((ISERROR((AG78/$H78)*100)), "", IF(AND(NOT(ISERROR((AG78/$H78)*100)),((AG78/$H78)*100) &lt;&gt; 0), (AG78/$H78)*100, ""))</f>
        <v/>
      </c>
      <c r="AI78" s="33"/>
      <c r="AJ78" s="36" t="str">
        <f t="shared" si="48"/>
        <v/>
      </c>
      <c r="AK78" s="33"/>
      <c r="AL78" s="36" t="str">
        <f t="shared" si="56"/>
        <v/>
      </c>
      <c r="AM78" s="33"/>
      <c r="AN78" s="36" t="str">
        <f t="shared" si="19"/>
        <v/>
      </c>
      <c r="AO78" s="33"/>
      <c r="AP78" s="36" t="str">
        <f t="shared" si="49"/>
        <v/>
      </c>
      <c r="AQ78" s="33"/>
      <c r="AR78" s="36" t="str">
        <f t="shared" si="50"/>
        <v/>
      </c>
      <c r="AS78" s="33"/>
      <c r="AT78" s="36" t="str">
        <f t="shared" si="19"/>
        <v/>
      </c>
      <c r="AU78" s="33"/>
      <c r="AV78" s="36" t="str">
        <f t="shared" si="57"/>
        <v/>
      </c>
      <c r="AW78" s="33"/>
      <c r="AX78" s="36" t="str">
        <f t="shared" si="58"/>
        <v/>
      </c>
      <c r="AY78" s="33"/>
      <c r="AZ78" s="36" t="str">
        <f t="shared" si="59"/>
        <v/>
      </c>
      <c r="BA78" s="23" t="s">
        <v>366</v>
      </c>
    </row>
    <row r="79" spans="1:53" ht="20" customHeight="1" x14ac:dyDescent="0.2">
      <c r="A79" s="60"/>
      <c r="B79" s="83"/>
      <c r="C79" s="24" t="s">
        <v>85</v>
      </c>
      <c r="D79" s="23" t="s">
        <v>304</v>
      </c>
      <c r="E79" s="23" t="s">
        <v>305</v>
      </c>
      <c r="F79" s="24">
        <v>2015</v>
      </c>
      <c r="H79" s="89">
        <v>41</v>
      </c>
      <c r="I79" s="85" t="s">
        <v>186</v>
      </c>
      <c r="J79" s="86"/>
      <c r="K79" s="33"/>
      <c r="L79" s="36" t="str">
        <f t="shared" si="41"/>
        <v/>
      </c>
      <c r="M79" s="33"/>
      <c r="N79" s="36" t="str">
        <f t="shared" si="42"/>
        <v/>
      </c>
      <c r="O79" s="33"/>
      <c r="P79" s="36" t="str">
        <f t="shared" si="43"/>
        <v/>
      </c>
      <c r="Q79" s="33"/>
      <c r="R79" s="36" t="str">
        <f t="shared" si="44"/>
        <v/>
      </c>
      <c r="S79" s="33"/>
      <c r="T79" s="36" t="str">
        <f t="shared" si="45"/>
        <v/>
      </c>
      <c r="U79" s="76"/>
      <c r="V79" s="36" t="str">
        <f t="shared" si="4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76"/>
      <c r="AF79" s="36" t="str">
        <f t="shared" si="47"/>
        <v/>
      </c>
      <c r="AG79" s="33"/>
      <c r="AH79" s="36" t="str">
        <f>IF((ISERROR((AG79/$H79)*100)), "", IF(AND(NOT(ISERROR((AG79/$H79)*100)),((AG79/$H79)*100) &lt;&gt; 0), (AG79/$H79)*100, ""))</f>
        <v/>
      </c>
      <c r="AI79" s="33"/>
      <c r="AJ79" s="36" t="str">
        <f t="shared" si="48"/>
        <v/>
      </c>
      <c r="AK79" s="33"/>
      <c r="AL79" s="36" t="str">
        <f>IF((ISERROR((AK79/$H79)*100)), "", IF(AND(NOT(ISERROR((AK79/$H79)*100)),((AK79/$H79)*100) &lt;&gt; 0), (AK79/$H79)*100, ""))</f>
        <v/>
      </c>
      <c r="AM79" s="33"/>
      <c r="AN79" s="36" t="str">
        <f>IF((ISERROR((AM79/$H79)*100)), "", IF(AND(NOT(ISERROR((AM79/$H79)*100)),((AM79/$H79)*100) &lt;&gt; 0), (AM79/$H79)*100, ""))</f>
        <v/>
      </c>
      <c r="AO79" s="33"/>
      <c r="AP79" s="36" t="str">
        <f t="shared" si="49"/>
        <v/>
      </c>
      <c r="AQ79" s="33"/>
      <c r="AR79" s="36" t="str">
        <f t="shared" si="50"/>
        <v/>
      </c>
      <c r="AS79" s="33"/>
      <c r="AT79" s="36" t="str">
        <f t="shared" si="19"/>
        <v/>
      </c>
      <c r="AU79" s="33"/>
      <c r="AV79" s="36" t="str">
        <f t="shared" si="57"/>
        <v/>
      </c>
      <c r="AW79" s="33"/>
      <c r="AX79" s="36" t="str">
        <f t="shared" si="58"/>
        <v/>
      </c>
      <c r="AY79" s="33"/>
      <c r="AZ79" s="36" t="str">
        <f t="shared" si="59"/>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c r="L80" s="36" t="str">
        <f t="shared" si="41"/>
        <v/>
      </c>
      <c r="M80" s="33"/>
      <c r="N80" s="36" t="str">
        <f t="shared" si="42"/>
        <v/>
      </c>
      <c r="O80" s="33"/>
      <c r="P80" s="36" t="str">
        <f t="shared" si="43"/>
        <v/>
      </c>
      <c r="Q80" s="33"/>
      <c r="R80" s="36" t="str">
        <f t="shared" si="44"/>
        <v/>
      </c>
      <c r="S80" s="33"/>
      <c r="T80" s="36" t="str">
        <f t="shared" si="45"/>
        <v/>
      </c>
      <c r="U80" s="76">
        <v>16</v>
      </c>
      <c r="V80" s="36">
        <f t="shared" si="46"/>
        <v>16.494845360824741</v>
      </c>
      <c r="W80" s="33"/>
      <c r="X80" s="36" t="str">
        <f t="shared" si="52"/>
        <v/>
      </c>
      <c r="Y80" s="33"/>
      <c r="Z80" s="36" t="str">
        <f t="shared" si="53"/>
        <v/>
      </c>
      <c r="AA80" s="33"/>
      <c r="AB80" s="36" t="str">
        <f t="shared" si="54"/>
        <v/>
      </c>
      <c r="AC80" s="33"/>
      <c r="AD80" s="36" t="str">
        <f t="shared" si="55"/>
        <v/>
      </c>
      <c r="AE80" s="76"/>
      <c r="AF80" s="36" t="str">
        <f t="shared" si="47"/>
        <v/>
      </c>
      <c r="AG80" s="33">
        <v>3</v>
      </c>
      <c r="AH80" s="36">
        <f t="shared" si="60"/>
        <v>3.0927835051546393</v>
      </c>
      <c r="AI80" s="33"/>
      <c r="AJ80" s="36" t="str">
        <f t="shared" si="48"/>
        <v/>
      </c>
      <c r="AK80" s="33"/>
      <c r="AL80" s="36" t="str">
        <f t="shared" si="56"/>
        <v/>
      </c>
      <c r="AM80" s="33">
        <v>6</v>
      </c>
      <c r="AN80" s="36">
        <f t="shared" si="19"/>
        <v>6.1855670103092786</v>
      </c>
      <c r="AO80" s="33">
        <v>4</v>
      </c>
      <c r="AP80" s="36">
        <f t="shared" si="49"/>
        <v>4.1237113402061851</v>
      </c>
      <c r="AQ80" s="33"/>
      <c r="AR80" s="36" t="str">
        <f t="shared" si="50"/>
        <v/>
      </c>
      <c r="AS80" s="33"/>
      <c r="AT80" s="36" t="str">
        <f t="shared" si="19"/>
        <v/>
      </c>
      <c r="AU80" s="33">
        <v>1</v>
      </c>
      <c r="AV80" s="36">
        <f t="shared" si="57"/>
        <v>1.0309278350515463</v>
      </c>
      <c r="AW80" s="33">
        <v>1</v>
      </c>
      <c r="AX80" s="36">
        <f t="shared" si="58"/>
        <v>1.0309278350515463</v>
      </c>
      <c r="AY80" s="33"/>
      <c r="AZ80" s="36" t="str">
        <f t="shared" si="59"/>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 t="shared" si="41"/>
        <v/>
      </c>
      <c r="M81" s="33"/>
      <c r="N81" s="36" t="str">
        <f t="shared" si="42"/>
        <v/>
      </c>
      <c r="O81" s="33"/>
      <c r="P81" s="36" t="str">
        <f t="shared" si="43"/>
        <v/>
      </c>
      <c r="Q81" s="33"/>
      <c r="R81" s="36" t="str">
        <f t="shared" si="44"/>
        <v/>
      </c>
      <c r="S81" s="33"/>
      <c r="T81" s="36" t="str">
        <f t="shared" si="45"/>
        <v/>
      </c>
      <c r="U81" s="76"/>
      <c r="V81" s="36"/>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76"/>
      <c r="AF81" s="36" t="str">
        <f t="shared" si="47"/>
        <v/>
      </c>
      <c r="AG81" s="33"/>
      <c r="AH81" s="36" t="str">
        <f>IF((ISERROR((AG81/$H81)*100)), "", IF(AND(NOT(ISERROR((AG81/$H81)*100)),((AG81/$H81)*100) &lt;&gt; 0), (AG81/$H81)*100, ""))</f>
        <v/>
      </c>
      <c r="AI81" s="33"/>
      <c r="AJ81" s="36" t="str">
        <f t="shared" si="48"/>
        <v/>
      </c>
      <c r="AK81" s="33"/>
      <c r="AL81" s="36" t="str">
        <f>IF((ISERROR((AK81/$H81)*100)), "", IF(AND(NOT(ISERROR((AK81/$H81)*100)),((AK81/$H81)*100) &lt;&gt; 0), (AK81/$H81)*100, ""))</f>
        <v/>
      </c>
      <c r="AM81" s="33"/>
      <c r="AN81" s="36" t="str">
        <f>IF((ISERROR((AM81/$H81)*100)), "", IF(AND(NOT(ISERROR((AM81/$H81)*100)),((AM81/$H81)*100) &lt;&gt; 0), (AM81/$H81)*100, ""))</f>
        <v/>
      </c>
      <c r="AO81" s="33"/>
      <c r="AP81" s="36" t="str">
        <f t="shared" si="49"/>
        <v/>
      </c>
      <c r="AQ81" s="33"/>
      <c r="AR81" s="36" t="str">
        <f t="shared" si="50"/>
        <v/>
      </c>
      <c r="AS81" s="33"/>
      <c r="AT81" s="36" t="str">
        <f t="shared" si="19"/>
        <v/>
      </c>
      <c r="AU81" s="33"/>
      <c r="AV81" s="36" t="str">
        <f t="shared" si="57"/>
        <v/>
      </c>
      <c r="AW81" s="33"/>
      <c r="AX81" s="36" t="str">
        <f t="shared" si="58"/>
        <v/>
      </c>
      <c r="AY81" s="33"/>
      <c r="AZ81" s="36" t="str">
        <f t="shared" si="59"/>
        <v/>
      </c>
      <c r="BA81" s="23" t="s">
        <v>423</v>
      </c>
    </row>
    <row r="82" spans="1:53" ht="20" customHeight="1" x14ac:dyDescent="0.2">
      <c r="A82" s="61"/>
      <c r="B82" s="24"/>
      <c r="C82" s="24" t="s">
        <v>85</v>
      </c>
      <c r="D82" s="23" t="s">
        <v>105</v>
      </c>
      <c r="E82" s="23" t="s">
        <v>106</v>
      </c>
      <c r="F82" s="24">
        <v>1989</v>
      </c>
      <c r="G82" s="24">
        <v>27</v>
      </c>
      <c r="H82" s="89"/>
      <c r="I82" s="85" t="s">
        <v>211</v>
      </c>
      <c r="J82" s="86" t="s">
        <v>179</v>
      </c>
      <c r="K82" s="33"/>
      <c r="L82" s="36" t="str">
        <f t="shared" si="41"/>
        <v/>
      </c>
      <c r="M82" s="33"/>
      <c r="N82" s="36" t="str">
        <f t="shared" si="42"/>
        <v/>
      </c>
      <c r="O82" s="33"/>
      <c r="P82" s="36" t="str">
        <f t="shared" si="43"/>
        <v/>
      </c>
      <c r="Q82" s="33"/>
      <c r="R82" s="36" t="str">
        <f t="shared" si="44"/>
        <v/>
      </c>
      <c r="S82" s="33"/>
      <c r="T82" s="36" t="str">
        <f t="shared" si="45"/>
        <v/>
      </c>
      <c r="U82" s="76"/>
      <c r="V82" s="36" t="str">
        <f t="shared" ref="V82:V101" si="61">IF((ISERROR((U82/$H82)*100)), "", IF(AND(NOT(ISERROR((U82/$H82)*100)),((U82/$H82)*100) &lt;&gt; 0), (U82/$H82)*100, ""))</f>
        <v/>
      </c>
      <c r="W82" s="38"/>
      <c r="X82" s="39"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6"/>
      <c r="AF82" s="36" t="str">
        <f t="shared" si="47"/>
        <v/>
      </c>
      <c r="AG82" s="33"/>
      <c r="AH82" s="36" t="str">
        <f>IF((ISERROR((AG82/$H82)*100)), "", IF(AND(NOT(ISERROR((AG82/$H82)*100)),((AG82/$H82)*100) &lt;&gt; 0), (AG82/$H82)*100, ""))</f>
        <v/>
      </c>
      <c r="AI82" s="33"/>
      <c r="AJ82" s="36" t="str">
        <f t="shared" si="48"/>
        <v/>
      </c>
      <c r="AK82" s="33"/>
      <c r="AL82" s="36" t="str">
        <f>IF((ISERROR((AK82/$H82)*100)), "", IF(AND(NOT(ISERROR((AK82/$H82)*100)),((AK82/$H82)*100) &lt;&gt; 0), (AK82/$H82)*100, ""))</f>
        <v/>
      </c>
      <c r="AM82" s="33"/>
      <c r="AN82" s="36" t="str">
        <f>IF((ISERROR((AM82/$H82)*100)), "", IF(AND(NOT(ISERROR((AM82/$H82)*100)),((AM82/$H82)*100) &lt;&gt; 0), (AM82/$H82)*100, ""))</f>
        <v/>
      </c>
      <c r="AO82" s="33"/>
      <c r="AP82" s="36" t="str">
        <f t="shared" si="49"/>
        <v/>
      </c>
      <c r="AQ82" s="33"/>
      <c r="AR82" s="36" t="str">
        <f t="shared" si="50"/>
        <v/>
      </c>
      <c r="AS82" s="33"/>
      <c r="AT82" s="36" t="str">
        <f t="shared" si="19"/>
        <v/>
      </c>
      <c r="AU82" s="33"/>
      <c r="AV82" s="36" t="str">
        <f t="shared" si="57"/>
        <v/>
      </c>
      <c r="AW82" s="33"/>
      <c r="AX82" s="36" t="str">
        <f t="shared" si="58"/>
        <v/>
      </c>
      <c r="AY82" s="33"/>
      <c r="AZ82" s="36" t="str">
        <f t="shared" si="59"/>
        <v/>
      </c>
    </row>
    <row r="83" spans="1:53" ht="20" customHeight="1" x14ac:dyDescent="0.2">
      <c r="A83" s="61"/>
      <c r="B83" s="83"/>
      <c r="C83" s="24" t="s">
        <v>85</v>
      </c>
      <c r="D83" s="23" t="s">
        <v>308</v>
      </c>
      <c r="E83" s="23" t="s">
        <v>309</v>
      </c>
      <c r="F83" s="24">
        <v>2011</v>
      </c>
      <c r="H83" s="89"/>
      <c r="I83" s="85"/>
      <c r="J83" s="86"/>
      <c r="K83" s="33"/>
      <c r="L83" s="36" t="str">
        <f t="shared" si="41"/>
        <v/>
      </c>
      <c r="M83" s="33"/>
      <c r="N83" s="36" t="str">
        <f t="shared" si="42"/>
        <v/>
      </c>
      <c r="O83" s="33"/>
      <c r="P83" s="36" t="str">
        <f t="shared" si="43"/>
        <v/>
      </c>
      <c r="Q83" s="33"/>
      <c r="R83" s="36" t="str">
        <f t="shared" si="44"/>
        <v/>
      </c>
      <c r="S83" s="33"/>
      <c r="T83" s="36" t="str">
        <f t="shared" si="45"/>
        <v/>
      </c>
      <c r="U83" s="76"/>
      <c r="V83" s="36" t="str">
        <f t="shared" si="61"/>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76"/>
      <c r="AF83" s="36" t="str">
        <f t="shared" si="47"/>
        <v/>
      </c>
      <c r="AG83" s="33"/>
      <c r="AH83" s="36" t="str">
        <f>IF((ISERROR((AG83/$H83)*100)), "", IF(AND(NOT(ISERROR((AG83/$H83)*100)),((AG83/$H83)*100) &lt;&gt; 0), (AG83/$H83)*100, ""))</f>
        <v/>
      </c>
      <c r="AI83" s="33"/>
      <c r="AJ83" s="36" t="str">
        <f t="shared" si="48"/>
        <v/>
      </c>
      <c r="AK83" s="33"/>
      <c r="AL83" s="36" t="str">
        <f>IF((ISERROR((AK83/$H83)*100)), "", IF(AND(NOT(ISERROR((AK83/$H83)*100)),((AK83/$H83)*100) &lt;&gt; 0), (AK83/$H83)*100, ""))</f>
        <v/>
      </c>
      <c r="AM83" s="33"/>
      <c r="AN83" s="36" t="str">
        <f>IF((ISERROR((AM83/$H83)*100)), "", IF(AND(NOT(ISERROR((AM83/$H83)*100)),((AM83/$H83)*100) &lt;&gt; 0), (AM83/$H83)*100, ""))</f>
        <v/>
      </c>
      <c r="AO83" s="33"/>
      <c r="AP83" s="36" t="str">
        <f t="shared" si="49"/>
        <v/>
      </c>
      <c r="AQ83" s="33"/>
      <c r="AR83" s="36" t="str">
        <f t="shared" si="50"/>
        <v/>
      </c>
      <c r="AS83" s="33"/>
      <c r="AT83" s="36" t="str">
        <f t="shared" si="19"/>
        <v/>
      </c>
      <c r="AU83" s="33"/>
      <c r="AV83" s="36" t="str">
        <f t="shared" si="57"/>
        <v/>
      </c>
      <c r="AW83" s="33"/>
      <c r="AX83" s="36" t="str">
        <f t="shared" si="58"/>
        <v/>
      </c>
      <c r="AY83" s="33"/>
      <c r="AZ83" s="36" t="str">
        <f t="shared" si="59"/>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41"/>
        <v/>
      </c>
      <c r="M84" s="33"/>
      <c r="N84" s="36" t="str">
        <f t="shared" si="42"/>
        <v/>
      </c>
      <c r="O84" s="33"/>
      <c r="P84" s="36" t="str">
        <f t="shared" si="43"/>
        <v/>
      </c>
      <c r="Q84" s="33"/>
      <c r="R84" s="36" t="str">
        <f t="shared" si="44"/>
        <v/>
      </c>
      <c r="S84" s="33">
        <v>5</v>
      </c>
      <c r="T84" s="36">
        <f t="shared" si="45"/>
        <v>100</v>
      </c>
      <c r="U84" s="76"/>
      <c r="V84" s="36" t="str">
        <f t="shared" si="61"/>
        <v/>
      </c>
      <c r="W84" s="33"/>
      <c r="X84" s="36" t="str">
        <f t="shared" si="52"/>
        <v/>
      </c>
      <c r="Y84" s="33"/>
      <c r="Z84" s="36" t="str">
        <f t="shared" si="53"/>
        <v/>
      </c>
      <c r="AA84" s="33"/>
      <c r="AB84" s="36" t="str">
        <f t="shared" si="54"/>
        <v/>
      </c>
      <c r="AC84" s="33"/>
      <c r="AD84" s="36" t="str">
        <f t="shared" si="55"/>
        <v/>
      </c>
      <c r="AE84" s="76"/>
      <c r="AF84" s="36" t="str">
        <f t="shared" si="47"/>
        <v/>
      </c>
      <c r="AG84" s="33"/>
      <c r="AH84" s="36" t="str">
        <f t="shared" si="60"/>
        <v/>
      </c>
      <c r="AI84" s="33"/>
      <c r="AJ84" s="36" t="str">
        <f t="shared" si="48"/>
        <v/>
      </c>
      <c r="AK84" s="33"/>
      <c r="AL84" s="36" t="str">
        <f t="shared" si="56"/>
        <v/>
      </c>
      <c r="AM84" s="33"/>
      <c r="AN84" s="36" t="str">
        <f t="shared" si="19"/>
        <v/>
      </c>
      <c r="AO84" s="33"/>
      <c r="AP84" s="36" t="str">
        <f t="shared" si="49"/>
        <v/>
      </c>
      <c r="AQ84" s="33"/>
      <c r="AR84" s="36" t="str">
        <f t="shared" si="50"/>
        <v/>
      </c>
      <c r="AS84" s="33"/>
      <c r="AT84" s="36" t="str">
        <f t="shared" si="19"/>
        <v/>
      </c>
      <c r="AU84" s="33"/>
      <c r="AV84" s="36" t="str">
        <f t="shared" si="57"/>
        <v/>
      </c>
      <c r="AW84" s="33"/>
      <c r="AX84" s="36" t="str">
        <f t="shared" si="58"/>
        <v/>
      </c>
      <c r="AY84" s="33"/>
      <c r="AZ84" s="36" t="str">
        <f t="shared" si="59"/>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c r="L85" s="36" t="str">
        <f t="shared" si="41"/>
        <v/>
      </c>
      <c r="M85" s="33"/>
      <c r="N85" s="36" t="str">
        <f t="shared" si="42"/>
        <v/>
      </c>
      <c r="O85" s="33"/>
      <c r="P85" s="36" t="str">
        <f t="shared" si="43"/>
        <v/>
      </c>
      <c r="Q85" s="33"/>
      <c r="R85" s="36" t="str">
        <f t="shared" si="44"/>
        <v/>
      </c>
      <c r="S85" s="33"/>
      <c r="T85" s="36" t="str">
        <f t="shared" si="45"/>
        <v/>
      </c>
      <c r="U85" s="76"/>
      <c r="V85" s="36" t="str">
        <f t="shared" si="61"/>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76"/>
      <c r="AF85" s="36" t="str">
        <f t="shared" si="47"/>
        <v/>
      </c>
      <c r="AG85" s="33">
        <v>1</v>
      </c>
      <c r="AH85" s="36">
        <f>IF((ISERROR((AG85/$H85)*100)), "", IF(AND(NOT(ISERROR((AG85/$H85)*100)),((AG85/$H85)*100) &lt;&gt; 0), (AG85/$H85)*100, ""))</f>
        <v>8.3333333333333321</v>
      </c>
      <c r="AI85" s="33">
        <v>1</v>
      </c>
      <c r="AJ85" s="36">
        <f t="shared" si="48"/>
        <v>8.3333333333333321</v>
      </c>
      <c r="AK85" s="33"/>
      <c r="AL85" s="36" t="str">
        <f>IF((ISERROR((AK85/$H85)*100)), "", IF(AND(NOT(ISERROR((AK85/$H85)*100)),((AK85/$H85)*100) &lt;&gt; 0), (AK85/$H85)*100, ""))</f>
        <v/>
      </c>
      <c r="AM85" s="33"/>
      <c r="AN85" s="36" t="str">
        <f>IF((ISERROR((AM85/$H85)*100)), "", IF(AND(NOT(ISERROR((AM85/$H85)*100)),((AM85/$H85)*100) &lt;&gt; 0), (AM85/$H85)*100, ""))</f>
        <v/>
      </c>
      <c r="AO85" s="33"/>
      <c r="AP85" s="36" t="str">
        <f t="shared" si="49"/>
        <v/>
      </c>
      <c r="AQ85" s="33"/>
      <c r="AR85" s="36" t="str">
        <f t="shared" si="50"/>
        <v/>
      </c>
      <c r="AS85" s="33"/>
      <c r="AT85" s="36" t="str">
        <f t="shared" si="19"/>
        <v/>
      </c>
      <c r="AU85" s="33"/>
      <c r="AV85" s="36" t="str">
        <f t="shared" si="57"/>
        <v/>
      </c>
      <c r="AW85" s="33"/>
      <c r="AX85" s="36" t="str">
        <f t="shared" si="58"/>
        <v/>
      </c>
      <c r="AY85" s="33"/>
      <c r="AZ85" s="36" t="str">
        <f t="shared" si="59"/>
        <v/>
      </c>
      <c r="BA85" s="23" t="s">
        <v>424</v>
      </c>
    </row>
    <row r="86" spans="1:53" ht="20" customHeight="1" x14ac:dyDescent="0.2">
      <c r="A86" s="60"/>
      <c r="B86" s="83"/>
      <c r="C86" s="24" t="s">
        <v>85</v>
      </c>
      <c r="D86" s="23" t="s">
        <v>109</v>
      </c>
      <c r="E86" s="23" t="s">
        <v>110</v>
      </c>
      <c r="F86" s="24">
        <v>1999</v>
      </c>
      <c r="G86" s="24">
        <v>76</v>
      </c>
      <c r="H86" s="89">
        <v>7</v>
      </c>
      <c r="I86" s="85" t="s">
        <v>177</v>
      </c>
      <c r="J86" s="86" t="s">
        <v>194</v>
      </c>
      <c r="K86" s="33"/>
      <c r="L86" s="36" t="str">
        <f t="shared" si="41"/>
        <v/>
      </c>
      <c r="M86" s="33"/>
      <c r="N86" s="36" t="str">
        <f t="shared" si="42"/>
        <v/>
      </c>
      <c r="O86" s="33"/>
      <c r="P86" s="36" t="str">
        <f t="shared" si="43"/>
        <v/>
      </c>
      <c r="Q86" s="33"/>
      <c r="R86" s="36" t="str">
        <f t="shared" si="44"/>
        <v/>
      </c>
      <c r="S86" s="33"/>
      <c r="T86" s="36" t="str">
        <f t="shared" si="45"/>
        <v/>
      </c>
      <c r="U86" s="76"/>
      <c r="V86" s="36" t="str">
        <f t="shared" si="61"/>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6"/>
      <c r="AF86" s="36" t="str">
        <f t="shared" si="47"/>
        <v/>
      </c>
      <c r="AG86" s="33"/>
      <c r="AH86" s="36" t="str">
        <f>IF((ISERROR((AG86/$H86)*100)), "", IF(AND(NOT(ISERROR((AG86/$H86)*100)),((AG86/$H86)*100) &lt;&gt; 0), (AG86/$H86)*100, ""))</f>
        <v/>
      </c>
      <c r="AI86" s="33"/>
      <c r="AJ86" s="36" t="str">
        <f t="shared" si="48"/>
        <v/>
      </c>
      <c r="AK86" s="33"/>
      <c r="AL86" s="36" t="str">
        <f>IF((ISERROR((AK86/$H86)*100)), "", IF(AND(NOT(ISERROR((AK86/$H86)*100)),((AK86/$H86)*100) &lt;&gt; 0), (AK86/$H86)*100, ""))</f>
        <v/>
      </c>
      <c r="AM86" s="33"/>
      <c r="AN86" s="36" t="str">
        <f>IF((ISERROR((AM86/$H86)*100)), "", IF(AND(NOT(ISERROR((AM86/$H86)*100)),((AM86/$H86)*100) &lt;&gt; 0), (AM86/$H86)*100, ""))</f>
        <v/>
      </c>
      <c r="AO86" s="33"/>
      <c r="AP86" s="36" t="str">
        <f t="shared" si="49"/>
        <v/>
      </c>
      <c r="AQ86" s="33"/>
      <c r="AR86" s="36" t="str">
        <f t="shared" si="50"/>
        <v/>
      </c>
      <c r="AS86" s="33"/>
      <c r="AT86" s="36" t="str">
        <f t="shared" si="19"/>
        <v/>
      </c>
      <c r="AU86" s="33"/>
      <c r="AV86" s="36" t="str">
        <f t="shared" si="57"/>
        <v/>
      </c>
      <c r="AW86" s="33"/>
      <c r="AX86" s="36" t="str">
        <f t="shared" si="58"/>
        <v/>
      </c>
      <c r="AY86" s="33"/>
      <c r="AZ86" s="36" t="str">
        <f t="shared" si="59"/>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 t="shared" si="41"/>
        <v/>
      </c>
      <c r="M87" s="33"/>
      <c r="N87" s="36" t="str">
        <f t="shared" si="42"/>
        <v/>
      </c>
      <c r="O87" s="33"/>
      <c r="P87" s="36" t="str">
        <f t="shared" si="43"/>
        <v/>
      </c>
      <c r="Q87" s="33"/>
      <c r="R87" s="36" t="str">
        <f t="shared" si="44"/>
        <v/>
      </c>
      <c r="S87" s="33"/>
      <c r="T87" s="36" t="str">
        <f t="shared" si="45"/>
        <v/>
      </c>
      <c r="U87" s="76"/>
      <c r="V87" s="36" t="str">
        <f t="shared" si="61"/>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76"/>
      <c r="AF87" s="36" t="str">
        <f t="shared" si="47"/>
        <v/>
      </c>
      <c r="AG87" s="33"/>
      <c r="AH87" s="36" t="str">
        <f>IF((ISERROR((AG87/$H87)*100)), "", IF(AND(NOT(ISERROR((AG87/$H87)*100)),((AG87/$H87)*100) &lt;&gt; 0), (AG87/$H87)*100, ""))</f>
        <v/>
      </c>
      <c r="AI87" s="33"/>
      <c r="AJ87" s="36" t="str">
        <f t="shared" si="48"/>
        <v/>
      </c>
      <c r="AK87" s="33"/>
      <c r="AL87" s="36" t="str">
        <f>IF((ISERROR((AK87/$H87)*100)), "", IF(AND(NOT(ISERROR((AK87/$H87)*100)),((AK87/$H87)*100) &lt;&gt; 0), (AK87/$H87)*100, ""))</f>
        <v/>
      </c>
      <c r="AM87" s="33"/>
      <c r="AN87" s="36" t="str">
        <f>IF((ISERROR((AM87/$H87)*100)), "", IF(AND(NOT(ISERROR((AM87/$H87)*100)),((AM87/$H87)*100) &lt;&gt; 0), (AM87/$H87)*100, ""))</f>
        <v/>
      </c>
      <c r="AO87" s="33"/>
      <c r="AP87" s="36" t="str">
        <f t="shared" si="49"/>
        <v/>
      </c>
      <c r="AQ87" s="33"/>
      <c r="AR87" s="36" t="str">
        <f t="shared" si="50"/>
        <v/>
      </c>
      <c r="AS87" s="33"/>
      <c r="AT87" s="36" t="str">
        <f t="shared" si="19"/>
        <v/>
      </c>
      <c r="AU87" s="33"/>
      <c r="AV87" s="36" t="str">
        <f t="shared" si="57"/>
        <v/>
      </c>
      <c r="AW87" s="33"/>
      <c r="AX87" s="36" t="str">
        <f t="shared" si="58"/>
        <v/>
      </c>
      <c r="AY87" s="33"/>
      <c r="AZ87" s="36" t="str">
        <f t="shared" si="59"/>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41"/>
        <v/>
      </c>
      <c r="M88" s="33"/>
      <c r="N88" s="36" t="str">
        <f t="shared" si="42"/>
        <v/>
      </c>
      <c r="O88" s="33"/>
      <c r="P88" s="36" t="str">
        <f t="shared" si="43"/>
        <v/>
      </c>
      <c r="Q88" s="33"/>
      <c r="R88" s="36" t="str">
        <f t="shared" si="44"/>
        <v/>
      </c>
      <c r="S88" s="33"/>
      <c r="T88" s="36" t="str">
        <f t="shared" si="45"/>
        <v/>
      </c>
      <c r="U88" s="76">
        <v>1</v>
      </c>
      <c r="V88" s="36">
        <f t="shared" si="61"/>
        <v>12.5</v>
      </c>
      <c r="W88" s="33"/>
      <c r="X88" s="36" t="str">
        <f t="shared" si="52"/>
        <v/>
      </c>
      <c r="Y88" s="33"/>
      <c r="Z88" s="36" t="str">
        <f t="shared" si="53"/>
        <v/>
      </c>
      <c r="AA88" s="33"/>
      <c r="AB88" s="36" t="str">
        <f t="shared" si="54"/>
        <v/>
      </c>
      <c r="AC88" s="33">
        <v>1</v>
      </c>
      <c r="AD88" s="36">
        <f t="shared" si="55"/>
        <v>12.5</v>
      </c>
      <c r="AE88" s="76"/>
      <c r="AF88" s="36" t="str">
        <f t="shared" si="47"/>
        <v/>
      </c>
      <c r="AG88" s="33"/>
      <c r="AH88" s="36" t="str">
        <f t="shared" si="60"/>
        <v/>
      </c>
      <c r="AI88" s="33"/>
      <c r="AJ88" s="36" t="str">
        <f t="shared" si="48"/>
        <v/>
      </c>
      <c r="AK88" s="33"/>
      <c r="AL88" s="36" t="str">
        <f t="shared" si="56"/>
        <v/>
      </c>
      <c r="AM88" s="33"/>
      <c r="AN88" s="36" t="str">
        <f t="shared" si="19"/>
        <v/>
      </c>
      <c r="AO88" s="33"/>
      <c r="AP88" s="36" t="str">
        <f t="shared" si="49"/>
        <v/>
      </c>
      <c r="AQ88" s="33"/>
      <c r="AR88" s="36" t="str">
        <f t="shared" si="50"/>
        <v/>
      </c>
      <c r="AS88" s="33"/>
      <c r="AT88" s="36" t="str">
        <f t="shared" si="19"/>
        <v/>
      </c>
      <c r="AU88" s="33"/>
      <c r="AV88" s="36" t="str">
        <f t="shared" si="57"/>
        <v/>
      </c>
      <c r="AW88" s="33"/>
      <c r="AX88" s="36" t="str">
        <f t="shared" si="58"/>
        <v/>
      </c>
      <c r="AY88" s="33"/>
      <c r="AZ88" s="36" t="str">
        <f t="shared" si="59"/>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41"/>
        <v/>
      </c>
      <c r="M89" s="33"/>
      <c r="N89" s="36" t="str">
        <f t="shared" si="42"/>
        <v/>
      </c>
      <c r="O89" s="33"/>
      <c r="P89" s="36" t="str">
        <f t="shared" si="43"/>
        <v/>
      </c>
      <c r="Q89" s="33"/>
      <c r="R89" s="36" t="str">
        <f t="shared" si="44"/>
        <v/>
      </c>
      <c r="S89" s="33"/>
      <c r="T89" s="36" t="str">
        <f t="shared" si="45"/>
        <v/>
      </c>
      <c r="U89" s="76"/>
      <c r="V89" s="36" t="str">
        <f t="shared" si="61"/>
        <v/>
      </c>
      <c r="W89" s="33"/>
      <c r="X89" s="36" t="str">
        <f t="shared" si="52"/>
        <v/>
      </c>
      <c r="Y89" s="33"/>
      <c r="Z89" s="36" t="str">
        <f t="shared" si="53"/>
        <v/>
      </c>
      <c r="AA89" s="33"/>
      <c r="AB89" s="36" t="str">
        <f t="shared" si="54"/>
        <v/>
      </c>
      <c r="AC89" s="33"/>
      <c r="AD89" s="36" t="str">
        <f t="shared" si="55"/>
        <v/>
      </c>
      <c r="AE89" s="76"/>
      <c r="AF89" s="36" t="str">
        <f t="shared" si="47"/>
        <v/>
      </c>
      <c r="AG89" s="33"/>
      <c r="AH89" s="36" t="str">
        <f t="shared" si="60"/>
        <v/>
      </c>
      <c r="AI89" s="33"/>
      <c r="AJ89" s="36" t="str">
        <f t="shared" si="48"/>
        <v/>
      </c>
      <c r="AK89" s="33"/>
      <c r="AL89" s="36" t="str">
        <f t="shared" si="56"/>
        <v/>
      </c>
      <c r="AM89" s="33"/>
      <c r="AN89" s="36" t="str">
        <f t="shared" si="19"/>
        <v/>
      </c>
      <c r="AO89" s="33"/>
      <c r="AP89" s="36" t="str">
        <f t="shared" si="49"/>
        <v/>
      </c>
      <c r="AQ89" s="33"/>
      <c r="AR89" s="36" t="str">
        <f t="shared" si="50"/>
        <v/>
      </c>
      <c r="AS89" s="33"/>
      <c r="AT89" s="36" t="str">
        <f t="shared" si="19"/>
        <v/>
      </c>
      <c r="AU89" s="33"/>
      <c r="AV89" s="36" t="str">
        <f t="shared" si="57"/>
        <v/>
      </c>
      <c r="AW89" s="33"/>
      <c r="AX89" s="36" t="str">
        <f t="shared" si="58"/>
        <v/>
      </c>
      <c r="AY89" s="33"/>
      <c r="AZ89" s="36" t="str">
        <f t="shared" si="59"/>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41"/>
        <v/>
      </c>
      <c r="M90" s="33"/>
      <c r="N90" s="36" t="str">
        <f t="shared" si="42"/>
        <v/>
      </c>
      <c r="O90" s="33"/>
      <c r="P90" s="36" t="str">
        <f t="shared" si="43"/>
        <v/>
      </c>
      <c r="Q90" s="33"/>
      <c r="R90" s="36" t="str">
        <f t="shared" si="44"/>
        <v/>
      </c>
      <c r="S90" s="33"/>
      <c r="T90" s="36" t="str">
        <f t="shared" si="45"/>
        <v/>
      </c>
      <c r="U90" s="76">
        <v>1</v>
      </c>
      <c r="V90" s="36" t="str">
        <f t="shared" si="61"/>
        <v/>
      </c>
      <c r="W90" s="33"/>
      <c r="X90" s="36" t="str">
        <f t="shared" si="52"/>
        <v/>
      </c>
      <c r="Y90" s="33"/>
      <c r="Z90" s="36" t="str">
        <f t="shared" si="53"/>
        <v/>
      </c>
      <c r="AA90" s="33"/>
      <c r="AB90" s="36" t="str">
        <f t="shared" si="54"/>
        <v/>
      </c>
      <c r="AC90" s="33"/>
      <c r="AD90" s="36" t="str">
        <f t="shared" si="55"/>
        <v/>
      </c>
      <c r="AE90" s="76"/>
      <c r="AF90" s="36" t="str">
        <f t="shared" si="47"/>
        <v/>
      </c>
      <c r="AG90" s="33"/>
      <c r="AH90" s="36" t="str">
        <f t="shared" si="60"/>
        <v/>
      </c>
      <c r="AI90" s="33"/>
      <c r="AJ90" s="36" t="str">
        <f t="shared" si="48"/>
        <v/>
      </c>
      <c r="AK90" s="33"/>
      <c r="AL90" s="36" t="str">
        <f t="shared" si="56"/>
        <v/>
      </c>
      <c r="AM90" s="33"/>
      <c r="AN90" s="36" t="str">
        <f t="shared" si="19"/>
        <v/>
      </c>
      <c r="AO90" s="33"/>
      <c r="AP90" s="36" t="str">
        <f t="shared" si="49"/>
        <v/>
      </c>
      <c r="AQ90" s="33"/>
      <c r="AR90" s="36" t="str">
        <f t="shared" si="50"/>
        <v/>
      </c>
      <c r="AS90" s="33"/>
      <c r="AT90" s="36" t="str">
        <f t="shared" si="19"/>
        <v/>
      </c>
      <c r="AU90" s="33"/>
      <c r="AV90" s="36" t="str">
        <f t="shared" si="57"/>
        <v/>
      </c>
      <c r="AW90" s="33"/>
      <c r="AX90" s="36" t="str">
        <f t="shared" si="58"/>
        <v/>
      </c>
      <c r="AY90" s="33"/>
      <c r="AZ90" s="36" t="str">
        <f t="shared" si="59"/>
        <v/>
      </c>
      <c r="BA90" s="23" t="s">
        <v>393</v>
      </c>
    </row>
    <row r="91" spans="1:53" ht="20" customHeight="1" x14ac:dyDescent="0.2">
      <c r="A91" s="60"/>
      <c r="B91" s="82"/>
      <c r="C91" s="24" t="s">
        <v>85</v>
      </c>
      <c r="D91" s="23" t="s">
        <v>119</v>
      </c>
      <c r="E91" s="23" t="s">
        <v>120</v>
      </c>
      <c r="F91" s="24">
        <v>2003</v>
      </c>
      <c r="G91" s="24">
        <v>45</v>
      </c>
      <c r="H91" s="89">
        <v>16</v>
      </c>
      <c r="I91" s="85" t="s">
        <v>177</v>
      </c>
      <c r="J91" s="86" t="s">
        <v>425</v>
      </c>
      <c r="K91" s="33"/>
      <c r="L91" s="36" t="str">
        <f t="shared" si="41"/>
        <v/>
      </c>
      <c r="M91" s="33"/>
      <c r="N91" s="36" t="str">
        <f t="shared" si="42"/>
        <v/>
      </c>
      <c r="O91" s="33"/>
      <c r="P91" s="36" t="str">
        <f t="shared" si="43"/>
        <v/>
      </c>
      <c r="Q91" s="33"/>
      <c r="R91" s="36" t="str">
        <f t="shared" si="44"/>
        <v/>
      </c>
      <c r="S91" s="38"/>
      <c r="T91" s="39" t="str">
        <f t="shared" si="45"/>
        <v/>
      </c>
      <c r="U91" s="38"/>
      <c r="V91" s="39" t="str">
        <f t="shared" si="61"/>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76"/>
      <c r="AF91" s="36" t="str">
        <f t="shared" si="47"/>
        <v/>
      </c>
      <c r="AG91" s="33"/>
      <c r="AH91" s="36" t="str">
        <f>IF((ISERROR((AG91/$H91)*100)), "", IF(AND(NOT(ISERROR((AG91/$H91)*100)),((AG91/$H91)*100) &lt;&gt; 0), (AG91/$H91)*100, ""))</f>
        <v/>
      </c>
      <c r="AI91" s="33"/>
      <c r="AJ91" s="36" t="str">
        <f t="shared" si="48"/>
        <v/>
      </c>
      <c r="AK91" s="33"/>
      <c r="AL91" s="36" t="str">
        <f>IF((ISERROR((AK91/$H91)*100)), "", IF(AND(NOT(ISERROR((AK91/$H91)*100)),((AK91/$H91)*100) &lt;&gt; 0), (AK91/$H91)*100, ""))</f>
        <v/>
      </c>
      <c r="AM91" s="33"/>
      <c r="AN91" s="36" t="str">
        <f>IF((ISERROR((AM91/$H91)*100)), "", IF(AND(NOT(ISERROR((AM91/$H91)*100)),((AM91/$H91)*100) &lt;&gt; 0), (AM91/$H91)*100, ""))</f>
        <v/>
      </c>
      <c r="AO91" s="33"/>
      <c r="AP91" s="36" t="str">
        <f t="shared" si="49"/>
        <v/>
      </c>
      <c r="AQ91" s="33"/>
      <c r="AR91" s="36" t="str">
        <f t="shared" si="50"/>
        <v/>
      </c>
      <c r="AS91" s="33"/>
      <c r="AT91" s="36" t="str">
        <f t="shared" si="19"/>
        <v/>
      </c>
      <c r="AU91" s="33"/>
      <c r="AV91" s="36" t="str">
        <f t="shared" si="57"/>
        <v/>
      </c>
      <c r="AW91" s="33"/>
      <c r="AX91" s="36" t="str">
        <f t="shared" si="58"/>
        <v/>
      </c>
      <c r="AY91" s="33"/>
      <c r="AZ91" s="36" t="str">
        <f t="shared" si="59"/>
        <v/>
      </c>
      <c r="BA91" s="23" t="s">
        <v>413</v>
      </c>
    </row>
    <row r="92" spans="1:53" ht="20" customHeight="1" x14ac:dyDescent="0.2">
      <c r="A92" s="60"/>
      <c r="B92" s="83"/>
      <c r="C92" s="24" t="s">
        <v>85</v>
      </c>
      <c r="D92" s="23" t="s">
        <v>121</v>
      </c>
      <c r="E92" s="23" t="s">
        <v>122</v>
      </c>
      <c r="F92" s="24">
        <v>2002</v>
      </c>
      <c r="G92" s="24">
        <v>73</v>
      </c>
      <c r="H92" s="89">
        <v>49</v>
      </c>
      <c r="I92" s="85" t="s">
        <v>200</v>
      </c>
      <c r="J92" s="86"/>
      <c r="K92" s="33"/>
      <c r="L92" s="36" t="str">
        <f t="shared" si="41"/>
        <v/>
      </c>
      <c r="M92" s="33"/>
      <c r="N92" s="36" t="str">
        <f t="shared" si="42"/>
        <v/>
      </c>
      <c r="O92" s="33"/>
      <c r="P92" s="36" t="str">
        <f t="shared" si="43"/>
        <v/>
      </c>
      <c r="Q92" s="33"/>
      <c r="R92" s="36" t="str">
        <f t="shared" si="44"/>
        <v/>
      </c>
      <c r="S92" s="33"/>
      <c r="T92" s="36" t="str">
        <f t="shared" si="45"/>
        <v/>
      </c>
      <c r="U92" s="76"/>
      <c r="V92" s="36" t="str">
        <f t="shared" si="61"/>
        <v/>
      </c>
      <c r="W92" s="33"/>
      <c r="X92" s="36" t="str">
        <f t="shared" si="52"/>
        <v/>
      </c>
      <c r="Y92" s="33"/>
      <c r="Z92" s="36" t="str">
        <f t="shared" si="53"/>
        <v/>
      </c>
      <c r="AA92" s="33"/>
      <c r="AB92" s="36" t="str">
        <f t="shared" si="54"/>
        <v/>
      </c>
      <c r="AC92" s="33"/>
      <c r="AD92" s="36" t="str">
        <f t="shared" si="55"/>
        <v/>
      </c>
      <c r="AE92" s="76"/>
      <c r="AF92" s="36" t="str">
        <f t="shared" si="47"/>
        <v/>
      </c>
      <c r="AG92" s="33"/>
      <c r="AH92" s="36" t="str">
        <f t="shared" si="60"/>
        <v/>
      </c>
      <c r="AI92" s="33"/>
      <c r="AJ92" s="36" t="str">
        <f t="shared" si="48"/>
        <v/>
      </c>
      <c r="AK92" s="33"/>
      <c r="AL92" s="36" t="str">
        <f t="shared" si="56"/>
        <v/>
      </c>
      <c r="AM92" s="33"/>
      <c r="AN92" s="36" t="str">
        <f t="shared" si="19"/>
        <v/>
      </c>
      <c r="AO92" s="33"/>
      <c r="AP92" s="36" t="str">
        <f t="shared" si="49"/>
        <v/>
      </c>
      <c r="AQ92" s="33"/>
      <c r="AR92" s="36" t="str">
        <f t="shared" si="50"/>
        <v/>
      </c>
      <c r="AS92" s="33"/>
      <c r="AT92" s="36" t="str">
        <f t="shared" si="19"/>
        <v/>
      </c>
      <c r="AU92" s="33"/>
      <c r="AV92" s="36" t="str">
        <f t="shared" si="57"/>
        <v/>
      </c>
      <c r="AW92" s="33"/>
      <c r="AX92" s="36" t="str">
        <f t="shared" si="58"/>
        <v/>
      </c>
      <c r="AY92" s="33"/>
      <c r="AZ92" s="36" t="str">
        <f t="shared" si="59"/>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 t="shared" si="41"/>
        <v/>
      </c>
      <c r="M93" s="33"/>
      <c r="N93" s="36" t="str">
        <f t="shared" si="42"/>
        <v/>
      </c>
      <c r="O93" s="33"/>
      <c r="P93" s="36" t="str">
        <f t="shared" si="43"/>
        <v/>
      </c>
      <c r="Q93" s="33"/>
      <c r="R93" s="36" t="str">
        <f t="shared" si="44"/>
        <v/>
      </c>
      <c r="S93" s="33"/>
      <c r="T93" s="36" t="str">
        <f t="shared" si="45"/>
        <v/>
      </c>
      <c r="U93" s="76"/>
      <c r="V93" s="36" t="str">
        <f t="shared" si="61"/>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76">
        <v>1</v>
      </c>
      <c r="AF93" s="36">
        <f t="shared" si="47"/>
        <v>20</v>
      </c>
      <c r="AG93" s="33"/>
      <c r="AH93" s="36" t="str">
        <f>IF((ISERROR((AG93/$H93)*100)), "", IF(AND(NOT(ISERROR((AG93/$H93)*100)),((AG93/$H93)*100) &lt;&gt; 0), (AG93/$H93)*100, ""))</f>
        <v/>
      </c>
      <c r="AI93" s="33"/>
      <c r="AJ93" s="36" t="str">
        <f t="shared" si="48"/>
        <v/>
      </c>
      <c r="AK93" s="33"/>
      <c r="AL93" s="36" t="str">
        <f>IF((ISERROR((AK93/$H93)*100)), "", IF(AND(NOT(ISERROR((AK93/$H93)*100)),((AK93/$H93)*100) &lt;&gt; 0), (AK93/$H93)*100, ""))</f>
        <v/>
      </c>
      <c r="AM93" s="33"/>
      <c r="AN93" s="36" t="str">
        <f>IF((ISERROR((AM93/$H93)*100)), "", IF(AND(NOT(ISERROR((AM93/$H93)*100)),((AM93/$H93)*100) &lt;&gt; 0), (AM93/$H93)*100, ""))</f>
        <v/>
      </c>
      <c r="AO93" s="33"/>
      <c r="AP93" s="36" t="str">
        <f t="shared" si="49"/>
        <v/>
      </c>
      <c r="AQ93" s="33"/>
      <c r="AR93" s="36" t="str">
        <f t="shared" si="50"/>
        <v/>
      </c>
      <c r="AS93" s="33"/>
      <c r="AT93" s="36" t="str">
        <f t="shared" si="19"/>
        <v/>
      </c>
      <c r="AU93" s="33"/>
      <c r="AV93" s="36" t="str">
        <f t="shared" si="57"/>
        <v/>
      </c>
      <c r="AW93" s="33"/>
      <c r="AX93" s="36" t="str">
        <f t="shared" si="58"/>
        <v/>
      </c>
      <c r="AY93" s="33"/>
      <c r="AZ93" s="36" t="str">
        <f t="shared" si="59"/>
        <v/>
      </c>
      <c r="BA93" s="23" t="s">
        <v>426</v>
      </c>
    </row>
    <row r="94" spans="1:53" ht="20" customHeight="1" x14ac:dyDescent="0.2">
      <c r="A94" s="60"/>
      <c r="B94" s="83"/>
      <c r="C94" s="24" t="s">
        <v>85</v>
      </c>
      <c r="D94" s="23" t="s">
        <v>314</v>
      </c>
      <c r="E94" s="23" t="s">
        <v>315</v>
      </c>
      <c r="F94" s="24">
        <v>2008</v>
      </c>
      <c r="H94" s="89">
        <v>86</v>
      </c>
      <c r="I94" s="85" t="s">
        <v>177</v>
      </c>
      <c r="J94" s="86"/>
      <c r="K94" s="33"/>
      <c r="L94" s="36" t="str">
        <f t="shared" si="41"/>
        <v/>
      </c>
      <c r="M94" s="33"/>
      <c r="N94" s="36" t="str">
        <f t="shared" si="42"/>
        <v/>
      </c>
      <c r="O94" s="33"/>
      <c r="P94" s="36" t="str">
        <f t="shared" si="43"/>
        <v/>
      </c>
      <c r="Q94" s="33"/>
      <c r="R94" s="36" t="str">
        <f t="shared" si="44"/>
        <v/>
      </c>
      <c r="S94" s="33"/>
      <c r="T94" s="36" t="str">
        <f t="shared" si="45"/>
        <v/>
      </c>
      <c r="U94" s="76"/>
      <c r="V94" s="36" t="str">
        <f t="shared" si="61"/>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6"/>
      <c r="AF94" s="36" t="str">
        <f t="shared" si="47"/>
        <v/>
      </c>
      <c r="AG94" s="33"/>
      <c r="AH94" s="36" t="str">
        <f>IF((ISERROR((AG94/$H94)*100)), "", IF(AND(NOT(ISERROR((AG94/$H94)*100)),((AG94/$H94)*100) &lt;&gt; 0), (AG94/$H94)*100, ""))</f>
        <v/>
      </c>
      <c r="AI94" s="33"/>
      <c r="AJ94" s="36" t="str">
        <f t="shared" si="48"/>
        <v/>
      </c>
      <c r="AK94" s="33"/>
      <c r="AL94" s="36" t="str">
        <f>IF((ISERROR((AK94/$H94)*100)), "", IF(AND(NOT(ISERROR((AK94/$H94)*100)),((AK94/$H94)*100) &lt;&gt; 0), (AK94/$H94)*100, ""))</f>
        <v/>
      </c>
      <c r="AM94" s="33"/>
      <c r="AN94" s="36" t="str">
        <f>IF((ISERROR((AM94/$H94)*100)), "", IF(AND(NOT(ISERROR((AM94/$H94)*100)),((AM94/$H94)*100) &lt;&gt; 0), (AM94/$H94)*100, ""))</f>
        <v/>
      </c>
      <c r="AO94" s="33"/>
      <c r="AP94" s="36" t="str">
        <f t="shared" si="49"/>
        <v/>
      </c>
      <c r="AQ94" s="33"/>
      <c r="AR94" s="36" t="str">
        <f t="shared" si="50"/>
        <v/>
      </c>
      <c r="AS94" s="33"/>
      <c r="AT94" s="36" t="str">
        <f t="shared" si="19"/>
        <v/>
      </c>
      <c r="AU94" s="33"/>
      <c r="AV94" s="36" t="str">
        <f t="shared" si="57"/>
        <v/>
      </c>
      <c r="AW94" s="33"/>
      <c r="AX94" s="36" t="str">
        <f t="shared" si="58"/>
        <v/>
      </c>
      <c r="AY94" s="33"/>
      <c r="AZ94" s="36" t="str">
        <f t="shared" si="59"/>
        <v/>
      </c>
      <c r="BA94" s="23" t="s">
        <v>372</v>
      </c>
    </row>
    <row r="95" spans="1:53" ht="20" customHeight="1" x14ac:dyDescent="0.2">
      <c r="A95" s="60"/>
      <c r="B95" s="83"/>
      <c r="C95" s="24" t="s">
        <v>85</v>
      </c>
      <c r="D95" s="23" t="s">
        <v>316</v>
      </c>
      <c r="E95" s="23" t="s">
        <v>317</v>
      </c>
      <c r="F95" s="24">
        <v>2012</v>
      </c>
      <c r="H95" s="89"/>
      <c r="I95" s="85" t="s">
        <v>373</v>
      </c>
      <c r="J95" s="86" t="s">
        <v>212</v>
      </c>
      <c r="K95" s="33"/>
      <c r="L95" s="36" t="str">
        <f t="shared" si="41"/>
        <v/>
      </c>
      <c r="M95" s="33"/>
      <c r="N95" s="36" t="str">
        <f t="shared" si="42"/>
        <v/>
      </c>
      <c r="O95" s="33"/>
      <c r="P95" s="36" t="str">
        <f t="shared" si="43"/>
        <v/>
      </c>
      <c r="Q95" s="33"/>
      <c r="R95" s="36" t="str">
        <f t="shared" si="44"/>
        <v/>
      </c>
      <c r="S95" s="33"/>
      <c r="T95" s="36" t="str">
        <f t="shared" si="45"/>
        <v/>
      </c>
      <c r="U95" s="76"/>
      <c r="V95" s="36" t="str">
        <f t="shared" si="61"/>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76"/>
      <c r="AF95" s="36" t="str">
        <f t="shared" si="47"/>
        <v/>
      </c>
      <c r="AG95" s="33"/>
      <c r="AH95" s="36" t="str">
        <f>IF((ISERROR((AG95/$H95)*100)), "", IF(AND(NOT(ISERROR((AG95/$H95)*100)),((AG95/$H95)*100) &lt;&gt; 0), (AG95/$H95)*100, ""))</f>
        <v/>
      </c>
      <c r="AI95" s="33"/>
      <c r="AJ95" s="36" t="str">
        <f t="shared" si="48"/>
        <v/>
      </c>
      <c r="AK95" s="33"/>
      <c r="AL95" s="36" t="str">
        <f>IF((ISERROR((AK95/$H95)*100)), "", IF(AND(NOT(ISERROR((AK95/$H95)*100)),((AK95/$H95)*100) &lt;&gt; 0), (AK95/$H95)*100, ""))</f>
        <v/>
      </c>
      <c r="AM95" s="33"/>
      <c r="AN95" s="36" t="str">
        <f>IF((ISERROR((AM95/$H95)*100)), "", IF(AND(NOT(ISERROR((AM95/$H95)*100)),((AM95/$H95)*100) &lt;&gt; 0), (AM95/$H95)*100, ""))</f>
        <v/>
      </c>
      <c r="AO95" s="33"/>
      <c r="AP95" s="36" t="str">
        <f t="shared" si="49"/>
        <v/>
      </c>
      <c r="AQ95" s="33"/>
      <c r="AR95" s="36" t="str">
        <f t="shared" si="50"/>
        <v/>
      </c>
      <c r="AS95" s="33"/>
      <c r="AT95" s="36" t="str">
        <f t="shared" si="19"/>
        <v/>
      </c>
      <c r="AU95" s="33"/>
      <c r="AV95" s="36" t="str">
        <f t="shared" si="57"/>
        <v/>
      </c>
      <c r="AW95" s="33"/>
      <c r="AX95" s="36" t="str">
        <f t="shared" si="58"/>
        <v/>
      </c>
      <c r="AY95" s="33"/>
      <c r="AZ95" s="36" t="str">
        <f t="shared" si="59"/>
        <v/>
      </c>
    </row>
    <row r="96" spans="1:53" ht="20" customHeight="1" x14ac:dyDescent="0.2">
      <c r="A96" s="61"/>
      <c r="B96" s="24"/>
      <c r="C96" s="50" t="s">
        <v>35</v>
      </c>
      <c r="D96" s="49" t="s">
        <v>123</v>
      </c>
      <c r="E96" s="49" t="s">
        <v>124</v>
      </c>
      <c r="F96" s="50">
        <v>2007</v>
      </c>
      <c r="G96" s="50">
        <v>60</v>
      </c>
      <c r="H96" s="89"/>
      <c r="I96" s="85"/>
      <c r="J96" s="86"/>
      <c r="K96" s="33"/>
      <c r="L96" s="36" t="str">
        <f t="shared" si="41"/>
        <v/>
      </c>
      <c r="M96" s="33"/>
      <c r="N96" s="36" t="str">
        <f t="shared" si="42"/>
        <v/>
      </c>
      <c r="O96" s="33"/>
      <c r="P96" s="36" t="str">
        <f t="shared" si="43"/>
        <v/>
      </c>
      <c r="Q96" s="33"/>
      <c r="R96" s="36" t="str">
        <f t="shared" si="44"/>
        <v/>
      </c>
      <c r="S96" s="33"/>
      <c r="T96" s="36" t="str">
        <f t="shared" si="45"/>
        <v/>
      </c>
      <c r="U96" s="76"/>
      <c r="V96" s="36" t="str">
        <f t="shared" si="61"/>
        <v/>
      </c>
      <c r="W96" s="33"/>
      <c r="X96" s="36" t="str">
        <f t="shared" si="52"/>
        <v/>
      </c>
      <c r="Y96" s="33"/>
      <c r="Z96" s="36" t="str">
        <f t="shared" si="53"/>
        <v/>
      </c>
      <c r="AA96" s="33"/>
      <c r="AB96" s="36" t="str">
        <f t="shared" si="54"/>
        <v/>
      </c>
      <c r="AC96" s="33"/>
      <c r="AD96" s="36" t="str">
        <f t="shared" si="55"/>
        <v/>
      </c>
      <c r="AE96" s="76"/>
      <c r="AF96" s="36" t="str">
        <f t="shared" si="47"/>
        <v/>
      </c>
      <c r="AG96" s="33"/>
      <c r="AH96" s="36" t="str">
        <f t="shared" si="60"/>
        <v/>
      </c>
      <c r="AI96" s="33"/>
      <c r="AJ96" s="36" t="str">
        <f t="shared" si="48"/>
        <v/>
      </c>
      <c r="AK96" s="33"/>
      <c r="AL96" s="36" t="str">
        <f t="shared" si="56"/>
        <v/>
      </c>
      <c r="AM96" s="33"/>
      <c r="AN96" s="36" t="str">
        <f t="shared" si="19"/>
        <v/>
      </c>
      <c r="AO96" s="33"/>
      <c r="AP96" s="36" t="str">
        <f t="shared" si="49"/>
        <v/>
      </c>
      <c r="AQ96" s="33"/>
      <c r="AR96" s="36" t="str">
        <f t="shared" si="50"/>
        <v/>
      </c>
      <c r="AS96" s="33"/>
      <c r="AT96" s="36" t="str">
        <f t="shared" si="19"/>
        <v/>
      </c>
      <c r="AU96" s="33"/>
      <c r="AV96" s="36" t="str">
        <f t="shared" si="57"/>
        <v/>
      </c>
      <c r="AW96" s="33"/>
      <c r="AX96" s="36" t="str">
        <f t="shared" si="58"/>
        <v/>
      </c>
      <c r="AY96" s="33"/>
      <c r="AZ96" s="36" t="str">
        <f t="shared" si="59"/>
        <v/>
      </c>
      <c r="BA96" s="23" t="s">
        <v>394</v>
      </c>
    </row>
    <row r="97" spans="1:53" ht="20" customHeight="1" x14ac:dyDescent="0.2">
      <c r="A97" s="61"/>
      <c r="B97" s="24"/>
      <c r="C97" s="50" t="s">
        <v>30</v>
      </c>
      <c r="D97" s="49" t="s">
        <v>125</v>
      </c>
      <c r="E97" s="49" t="s">
        <v>126</v>
      </c>
      <c r="F97" s="50">
        <v>2014</v>
      </c>
      <c r="G97" s="50"/>
      <c r="H97" s="89"/>
      <c r="I97" s="85"/>
      <c r="J97" s="86"/>
      <c r="K97" s="33"/>
      <c r="L97" s="36" t="str">
        <f t="shared" si="41"/>
        <v/>
      </c>
      <c r="M97" s="33"/>
      <c r="N97" s="36" t="str">
        <f t="shared" si="42"/>
        <v/>
      </c>
      <c r="O97" s="33"/>
      <c r="P97" s="36" t="str">
        <f t="shared" si="43"/>
        <v/>
      </c>
      <c r="Q97" s="33"/>
      <c r="R97" s="36" t="str">
        <f t="shared" si="44"/>
        <v/>
      </c>
      <c r="S97" s="33"/>
      <c r="T97" s="36" t="str">
        <f t="shared" si="45"/>
        <v/>
      </c>
      <c r="U97" s="76"/>
      <c r="V97" s="36" t="str">
        <f t="shared" si="61"/>
        <v/>
      </c>
      <c r="W97" s="33"/>
      <c r="X97" s="36" t="str">
        <f t="shared" si="52"/>
        <v/>
      </c>
      <c r="Y97" s="33"/>
      <c r="Z97" s="36" t="str">
        <f t="shared" si="53"/>
        <v/>
      </c>
      <c r="AA97" s="33"/>
      <c r="AB97" s="36" t="str">
        <f t="shared" si="54"/>
        <v/>
      </c>
      <c r="AC97" s="33"/>
      <c r="AD97" s="36" t="str">
        <f t="shared" si="55"/>
        <v/>
      </c>
      <c r="AE97" s="76"/>
      <c r="AF97" s="36" t="str">
        <f t="shared" si="47"/>
        <v/>
      </c>
      <c r="AG97" s="33"/>
      <c r="AH97" s="36" t="str">
        <f t="shared" si="60"/>
        <v/>
      </c>
      <c r="AI97" s="33"/>
      <c r="AJ97" s="36" t="str">
        <f t="shared" si="48"/>
        <v/>
      </c>
      <c r="AK97" s="33"/>
      <c r="AL97" s="36" t="str">
        <f t="shared" si="56"/>
        <v/>
      </c>
      <c r="AM97" s="33"/>
      <c r="AN97" s="36" t="str">
        <f t="shared" si="19"/>
        <v/>
      </c>
      <c r="AO97" s="33"/>
      <c r="AP97" s="36" t="str">
        <f t="shared" si="49"/>
        <v/>
      </c>
      <c r="AQ97" s="33"/>
      <c r="AR97" s="36" t="str">
        <f t="shared" si="50"/>
        <v/>
      </c>
      <c r="AS97" s="33"/>
      <c r="AT97" s="36" t="str">
        <f t="shared" si="19"/>
        <v/>
      </c>
      <c r="AU97" s="33"/>
      <c r="AV97" s="36" t="str">
        <f t="shared" si="57"/>
        <v/>
      </c>
      <c r="AW97" s="33"/>
      <c r="AX97" s="36" t="str">
        <f t="shared" si="58"/>
        <v/>
      </c>
      <c r="AY97" s="33"/>
      <c r="AZ97" s="36" t="str">
        <f t="shared" si="59"/>
        <v/>
      </c>
    </row>
    <row r="98" spans="1:53" ht="20" customHeight="1" x14ac:dyDescent="0.2">
      <c r="A98" s="61"/>
      <c r="B98" s="24"/>
      <c r="C98" s="24" t="s">
        <v>85</v>
      </c>
      <c r="D98" s="23" t="s">
        <v>127</v>
      </c>
      <c r="E98" s="23" t="s">
        <v>128</v>
      </c>
      <c r="F98" s="24">
        <v>2000</v>
      </c>
      <c r="G98" s="24">
        <v>252</v>
      </c>
      <c r="H98" s="89">
        <v>30</v>
      </c>
      <c r="I98" s="85" t="s">
        <v>220</v>
      </c>
      <c r="J98" s="86" t="s">
        <v>169</v>
      </c>
      <c r="K98" s="33"/>
      <c r="L98" s="36" t="str">
        <f t="shared" si="41"/>
        <v/>
      </c>
      <c r="M98" s="33"/>
      <c r="N98" s="36" t="str">
        <f t="shared" si="42"/>
        <v/>
      </c>
      <c r="O98" s="33"/>
      <c r="P98" s="36" t="str">
        <f t="shared" si="43"/>
        <v/>
      </c>
      <c r="Q98" s="33"/>
      <c r="R98" s="36" t="str">
        <f t="shared" si="44"/>
        <v/>
      </c>
      <c r="S98" s="33"/>
      <c r="T98" s="36" t="str">
        <f t="shared" si="45"/>
        <v/>
      </c>
      <c r="U98" s="76"/>
      <c r="V98" s="36" t="str">
        <f t="shared" si="61"/>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76"/>
      <c r="AF98" s="36" t="str">
        <f t="shared" si="47"/>
        <v/>
      </c>
      <c r="AG98" s="33"/>
      <c r="AH98" s="36" t="str">
        <f>IF((ISERROR((AG98/$H98)*100)), "", IF(AND(NOT(ISERROR((AG98/$H98)*100)),((AG98/$H98)*100) &lt;&gt; 0), (AG98/$H98)*100, ""))</f>
        <v/>
      </c>
      <c r="AI98" s="33"/>
      <c r="AJ98" s="36" t="str">
        <f t="shared" si="48"/>
        <v/>
      </c>
      <c r="AK98" s="33"/>
      <c r="AL98" s="36" t="str">
        <f>IF((ISERROR((AK98/$H98)*100)), "", IF(AND(NOT(ISERROR((AK98/$H98)*100)),((AK98/$H98)*100) &lt;&gt; 0), (AK98/$H98)*100, ""))</f>
        <v/>
      </c>
      <c r="AM98" s="33"/>
      <c r="AN98" s="36" t="str">
        <f>IF((ISERROR((AM98/$H98)*100)), "", IF(AND(NOT(ISERROR((AM98/$H98)*100)),((AM98/$H98)*100) &lt;&gt; 0), (AM98/$H98)*100, ""))</f>
        <v/>
      </c>
      <c r="AO98" s="33"/>
      <c r="AP98" s="36" t="str">
        <f t="shared" si="49"/>
        <v/>
      </c>
      <c r="AQ98" s="33"/>
      <c r="AR98" s="36" t="str">
        <f t="shared" si="50"/>
        <v/>
      </c>
      <c r="AS98" s="33"/>
      <c r="AT98" s="36" t="str">
        <f t="shared" si="19"/>
        <v/>
      </c>
      <c r="AU98" s="33"/>
      <c r="AV98" s="36" t="str">
        <f t="shared" si="57"/>
        <v/>
      </c>
      <c r="AW98" s="33"/>
      <c r="AX98" s="36" t="str">
        <f t="shared" si="58"/>
        <v/>
      </c>
      <c r="AY98" s="33"/>
      <c r="AZ98" s="36" t="str">
        <f t="shared" si="59"/>
        <v/>
      </c>
      <c r="BA98" s="23" t="s">
        <v>427</v>
      </c>
    </row>
    <row r="99" spans="1:53" ht="20" customHeight="1" x14ac:dyDescent="0.2">
      <c r="A99" s="60"/>
      <c r="B99" s="24"/>
      <c r="C99" s="50" t="s">
        <v>30</v>
      </c>
      <c r="D99" s="49" t="s">
        <v>129</v>
      </c>
      <c r="E99" s="49" t="s">
        <v>130</v>
      </c>
      <c r="F99" s="50">
        <v>2009</v>
      </c>
      <c r="G99" s="50">
        <v>13</v>
      </c>
      <c r="H99" s="89"/>
      <c r="I99" s="85"/>
      <c r="J99" s="86"/>
      <c r="K99" s="33"/>
      <c r="L99" s="36" t="str">
        <f t="shared" si="41"/>
        <v/>
      </c>
      <c r="M99" s="33"/>
      <c r="N99" s="36" t="str">
        <f t="shared" si="42"/>
        <v/>
      </c>
      <c r="O99" s="33"/>
      <c r="P99" s="36" t="str">
        <f t="shared" si="43"/>
        <v/>
      </c>
      <c r="Q99" s="33"/>
      <c r="R99" s="36" t="str">
        <f t="shared" si="44"/>
        <v/>
      </c>
      <c r="S99" s="33"/>
      <c r="T99" s="36" t="str">
        <f t="shared" si="45"/>
        <v/>
      </c>
      <c r="U99" s="76"/>
      <c r="V99" s="36" t="str">
        <f t="shared" si="61"/>
        <v/>
      </c>
      <c r="W99" s="33"/>
      <c r="X99" s="36" t="str">
        <f t="shared" si="52"/>
        <v/>
      </c>
      <c r="Y99" s="33"/>
      <c r="Z99" s="36" t="str">
        <f t="shared" si="53"/>
        <v/>
      </c>
      <c r="AA99" s="33"/>
      <c r="AB99" s="36" t="str">
        <f t="shared" si="54"/>
        <v/>
      </c>
      <c r="AC99" s="33"/>
      <c r="AD99" s="36" t="str">
        <f t="shared" si="55"/>
        <v/>
      </c>
      <c r="AE99" s="76"/>
      <c r="AF99" s="36" t="str">
        <f t="shared" si="47"/>
        <v/>
      </c>
      <c r="AG99" s="33"/>
      <c r="AH99" s="36" t="str">
        <f t="shared" si="60"/>
        <v/>
      </c>
      <c r="AI99" s="33"/>
      <c r="AJ99" s="36" t="str">
        <f t="shared" si="48"/>
        <v/>
      </c>
      <c r="AK99" s="33"/>
      <c r="AL99" s="36" t="str">
        <f t="shared" si="56"/>
        <v/>
      </c>
      <c r="AM99" s="33"/>
      <c r="AN99" s="36" t="str">
        <f t="shared" si="19"/>
        <v/>
      </c>
      <c r="AO99" s="33"/>
      <c r="AP99" s="36" t="str">
        <f t="shared" si="49"/>
        <v/>
      </c>
      <c r="AQ99" s="33"/>
      <c r="AR99" s="36" t="str">
        <f t="shared" si="50"/>
        <v/>
      </c>
      <c r="AS99" s="33"/>
      <c r="AT99" s="36" t="str">
        <f t="shared" si="19"/>
        <v/>
      </c>
      <c r="AU99" s="33"/>
      <c r="AV99" s="36" t="str">
        <f t="shared" si="57"/>
        <v/>
      </c>
      <c r="AW99" s="33"/>
      <c r="AX99" s="36" t="str">
        <f t="shared" si="58"/>
        <v/>
      </c>
      <c r="AY99" s="33"/>
      <c r="AZ99" s="36" t="str">
        <f t="shared" si="59"/>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41"/>
        <v/>
      </c>
      <c r="M100" s="38">
        <v>4</v>
      </c>
      <c r="N100" s="39">
        <f t="shared" si="42"/>
        <v>66.666666666666657</v>
      </c>
      <c r="O100" s="33"/>
      <c r="P100" s="36" t="str">
        <f t="shared" si="43"/>
        <v/>
      </c>
      <c r="Q100" s="33"/>
      <c r="R100" s="36" t="str">
        <f t="shared" si="44"/>
        <v/>
      </c>
      <c r="S100" s="33"/>
      <c r="T100" s="36" t="str">
        <f t="shared" si="45"/>
        <v/>
      </c>
      <c r="U100" s="76"/>
      <c r="V100" s="36" t="str">
        <f t="shared" si="61"/>
        <v/>
      </c>
      <c r="W100" s="33"/>
      <c r="X100" s="36" t="str">
        <f t="shared" si="52"/>
        <v/>
      </c>
      <c r="Y100" s="33"/>
      <c r="Z100" s="36" t="str">
        <f t="shared" si="53"/>
        <v/>
      </c>
      <c r="AA100" s="33"/>
      <c r="AB100" s="36" t="str">
        <f t="shared" si="54"/>
        <v/>
      </c>
      <c r="AC100" s="33"/>
      <c r="AD100" s="36" t="str">
        <f t="shared" si="55"/>
        <v/>
      </c>
      <c r="AE100" s="76"/>
      <c r="AF100" s="36" t="str">
        <f t="shared" si="47"/>
        <v/>
      </c>
      <c r="AG100" s="33"/>
      <c r="AH100" s="36" t="str">
        <f t="shared" si="60"/>
        <v/>
      </c>
      <c r="AI100" s="33"/>
      <c r="AJ100" s="36" t="str">
        <f t="shared" si="48"/>
        <v/>
      </c>
      <c r="AK100" s="33"/>
      <c r="AL100" s="36" t="str">
        <f t="shared" si="56"/>
        <v/>
      </c>
      <c r="AM100" s="33"/>
      <c r="AN100" s="36" t="str">
        <f t="shared" si="19"/>
        <v/>
      </c>
      <c r="AO100" s="33"/>
      <c r="AP100" s="36" t="str">
        <f t="shared" si="49"/>
        <v/>
      </c>
      <c r="AQ100" s="33"/>
      <c r="AR100" s="36" t="str">
        <f t="shared" si="50"/>
        <v/>
      </c>
      <c r="AS100" s="33"/>
      <c r="AT100" s="36" t="str">
        <f t="shared" si="19"/>
        <v/>
      </c>
      <c r="AU100" s="33"/>
      <c r="AV100" s="36" t="str">
        <f t="shared" si="57"/>
        <v/>
      </c>
      <c r="AW100" s="33"/>
      <c r="AX100" s="36" t="str">
        <f t="shared" si="58"/>
        <v/>
      </c>
      <c r="AY100" s="33"/>
      <c r="AZ100" s="36" t="str">
        <f t="shared" si="59"/>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c r="L101" s="36" t="str">
        <f t="shared" si="41"/>
        <v/>
      </c>
      <c r="M101" s="38">
        <v>1</v>
      </c>
      <c r="N101" s="39" t="str">
        <f t="shared" si="42"/>
        <v/>
      </c>
      <c r="O101" s="33"/>
      <c r="P101" s="36" t="str">
        <f t="shared" si="43"/>
        <v/>
      </c>
      <c r="Q101" s="33"/>
      <c r="R101" s="36" t="str">
        <f t="shared" si="44"/>
        <v/>
      </c>
      <c r="S101" s="33"/>
      <c r="T101" s="36" t="str">
        <f t="shared" si="45"/>
        <v/>
      </c>
      <c r="U101" s="76"/>
      <c r="V101" s="36" t="str">
        <f t="shared" si="61"/>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76"/>
      <c r="AF101" s="36" t="str">
        <f t="shared" si="47"/>
        <v/>
      </c>
      <c r="AG101" s="33">
        <v>2</v>
      </c>
      <c r="AH101" s="36" t="str">
        <f>IF((ISERROR((AG101/$H101)*100)), "", IF(AND(NOT(ISERROR((AG101/$H101)*100)),((AG101/$H101)*100) &lt;&gt; 0), (AG101/$H101)*100, ""))</f>
        <v/>
      </c>
      <c r="AI101" s="33"/>
      <c r="AJ101" s="36" t="str">
        <f t="shared" si="48"/>
        <v/>
      </c>
      <c r="AK101" s="33"/>
      <c r="AL101" s="36" t="str">
        <f>IF((ISERROR((AK101/$H101)*100)), "", IF(AND(NOT(ISERROR((AK101/$H101)*100)),((AK101/$H101)*100) &lt;&gt; 0), (AK101/$H101)*100, ""))</f>
        <v/>
      </c>
      <c r="AM101" s="33"/>
      <c r="AN101" s="36" t="str">
        <f>IF((ISERROR((AM101/$H101)*100)), "", IF(AND(NOT(ISERROR((AM101/$H101)*100)),((AM101/$H101)*100) &lt;&gt; 0), (AM101/$H101)*100, ""))</f>
        <v/>
      </c>
      <c r="AO101" s="33"/>
      <c r="AP101" s="36" t="str">
        <f t="shared" si="49"/>
        <v/>
      </c>
      <c r="AQ101" s="33"/>
      <c r="AR101" s="36" t="str">
        <f t="shared" si="50"/>
        <v/>
      </c>
      <c r="AS101" s="33"/>
      <c r="AT101" s="36" t="str">
        <f t="shared" si="19"/>
        <v/>
      </c>
      <c r="AU101" s="33"/>
      <c r="AV101" s="36" t="str">
        <f t="shared" si="57"/>
        <v/>
      </c>
      <c r="AW101" s="33"/>
      <c r="AX101" s="36" t="str">
        <f t="shared" si="58"/>
        <v/>
      </c>
      <c r="AY101" s="33"/>
      <c r="AZ101" s="36" t="str">
        <f t="shared" si="59"/>
        <v/>
      </c>
      <c r="BA101" s="23" t="s">
        <v>395</v>
      </c>
    </row>
    <row r="102" spans="1:53" ht="20" customHeight="1" x14ac:dyDescent="0.2">
      <c r="A102" s="61"/>
      <c r="B102" s="82"/>
      <c r="D102" s="23" t="s">
        <v>151</v>
      </c>
      <c r="E102" s="23" t="s">
        <v>428</v>
      </c>
      <c r="F102" s="24">
        <v>1999</v>
      </c>
      <c r="H102" s="89">
        <v>30</v>
      </c>
      <c r="I102" s="85" t="s">
        <v>429</v>
      </c>
      <c r="J102" s="86" t="s">
        <v>222</v>
      </c>
      <c r="K102" s="33"/>
      <c r="L102" s="36"/>
      <c r="M102" s="33"/>
      <c r="N102" s="36"/>
      <c r="O102" s="33"/>
      <c r="P102" s="36"/>
      <c r="Q102" s="33"/>
      <c r="R102" s="36"/>
      <c r="S102" s="33"/>
      <c r="T102" s="36"/>
      <c r="U102" s="76"/>
      <c r="V102" s="36"/>
      <c r="W102" s="33"/>
      <c r="X102" s="36"/>
      <c r="Y102" s="33"/>
      <c r="Z102" s="36"/>
      <c r="AA102" s="33"/>
      <c r="AB102" s="36"/>
      <c r="AC102" s="33"/>
      <c r="AD102" s="36"/>
      <c r="AE102" s="76"/>
      <c r="AF102" s="36"/>
      <c r="AG102" s="33"/>
      <c r="AH102" s="36"/>
      <c r="AI102" s="33"/>
      <c r="AJ102" s="36"/>
      <c r="AK102" s="33"/>
      <c r="AL102" s="36"/>
      <c r="AM102" s="33"/>
      <c r="AN102" s="36"/>
      <c r="AO102" s="33"/>
      <c r="AP102" s="36"/>
      <c r="AQ102" s="33"/>
      <c r="AR102" s="36"/>
      <c r="AS102" s="33"/>
      <c r="AT102" s="36"/>
      <c r="AU102" s="33"/>
      <c r="AV102" s="36"/>
      <c r="AW102" s="33"/>
      <c r="AX102" s="36"/>
      <c r="AY102" s="33"/>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 t="shared" ref="L103:L114" si="62">IF((ISERROR((K103/$H103)*100)), "", IF(AND(NOT(ISERROR((K103/$H103)*100)),((K103/$H103)*100) &lt;&gt; 0), (K103/$H103)*100, ""))</f>
        <v/>
      </c>
      <c r="M103" s="33"/>
      <c r="N103" s="36" t="str">
        <f t="shared" ref="N103:N114" si="63">IF((ISERROR((M103/$H103)*100)), "", IF(AND(NOT(ISERROR((M103/$H103)*100)),((M103/$H103)*100) &lt;&gt; 0), (M103/$H103)*100, ""))</f>
        <v/>
      </c>
      <c r="O103" s="33"/>
      <c r="P103" s="36" t="str">
        <f t="shared" ref="P103:P114" si="64">IF((ISERROR((O103/$H103)*100)), "", IF(AND(NOT(ISERROR((O103/$H103)*100)),((O103/$H103)*100) &lt;&gt; 0), (O103/$H103)*100, ""))</f>
        <v/>
      </c>
      <c r="Q103" s="33"/>
      <c r="R103" s="36" t="str">
        <f t="shared" ref="R103:R114" si="65">IF((ISERROR((Q103/$H103)*100)), "", IF(AND(NOT(ISERROR((Q103/$H103)*100)),((Q103/$H103)*100) &lt;&gt; 0), (Q103/$H103)*100, ""))</f>
        <v/>
      </c>
      <c r="S103" s="33"/>
      <c r="T103" s="36" t="str">
        <f t="shared" ref="T103:T114" si="66">IF((ISERROR((S103/$H103)*100)), "", IF(AND(NOT(ISERROR((S103/$H103)*100)),((S103/$H103)*100) &lt;&gt; 0), (S103/$H103)*100, ""))</f>
        <v/>
      </c>
      <c r="U103" s="76"/>
      <c r="V103" s="36" t="str">
        <f t="shared" ref="V103:V114" si="67">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76"/>
      <c r="AF103" s="36" t="str">
        <f t="shared" ref="AF103:AF114" si="68">IF((ISERROR((AE103/$H103)*100)), "", IF(AND(NOT(ISERROR((AE103/$H103)*100)),((AE103/$H103)*100) &lt;&gt; 0), (AE103/$H103)*100, ""))</f>
        <v/>
      </c>
      <c r="AG103" s="33"/>
      <c r="AH103" s="36" t="str">
        <f>IF((ISERROR((AG103/$H103)*100)), "", IF(AND(NOT(ISERROR((AG103/$H103)*100)),((AG103/$H103)*100) &lt;&gt; 0), (AG103/$H103)*100, ""))</f>
        <v/>
      </c>
      <c r="AI103" s="33"/>
      <c r="AJ103" s="36" t="str">
        <f t="shared" ref="AJ103:AJ114" si="69">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 t="shared" ref="AP103:AP114" si="70">IF((ISERROR((AO103/$H103)*100)), "", IF(AND(NOT(ISERROR((AO103/$H103)*100)),((AO103/$H103)*100) &lt;&gt; 0), (AO103/$H103)*100, ""))</f>
        <v/>
      </c>
      <c r="AQ103" s="33"/>
      <c r="AR103" s="36" t="str">
        <f t="shared" ref="AR103:AR114" si="71">IF((ISERROR((AQ103/$H103)*100)), "", IF(AND(NOT(ISERROR((AQ103/$H103)*100)),((AQ103/$H103)*100) &lt;&gt; 0), (AQ103/$H103)*100, ""))</f>
        <v/>
      </c>
      <c r="AS103" s="33"/>
      <c r="AT103" s="36" t="str">
        <f t="shared" si="19"/>
        <v/>
      </c>
      <c r="AU103" s="33"/>
      <c r="AV103" s="36" t="str">
        <f t="shared" si="57"/>
        <v/>
      </c>
      <c r="AW103" s="33"/>
      <c r="AX103" s="36" t="str">
        <f t="shared" si="58"/>
        <v/>
      </c>
      <c r="AY103" s="33"/>
      <c r="AZ103" s="36" t="str">
        <f t="shared" si="59"/>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3"/>
      <c r="L104" s="36" t="str">
        <f t="shared" si="62"/>
        <v/>
      </c>
      <c r="M104" s="33"/>
      <c r="N104" s="36" t="str">
        <f t="shared" si="63"/>
        <v/>
      </c>
      <c r="O104" s="33"/>
      <c r="P104" s="36" t="str">
        <f t="shared" si="64"/>
        <v/>
      </c>
      <c r="Q104" s="33"/>
      <c r="R104" s="36" t="str">
        <f t="shared" si="65"/>
        <v/>
      </c>
      <c r="S104" s="33"/>
      <c r="T104" s="36" t="str">
        <f t="shared" si="66"/>
        <v/>
      </c>
      <c r="U104" s="40">
        <v>4</v>
      </c>
      <c r="V104" s="39">
        <f t="shared" si="67"/>
        <v>7.8431372549019605</v>
      </c>
      <c r="W104" s="33"/>
      <c r="X104" s="36" t="str">
        <f t="shared" si="52"/>
        <v/>
      </c>
      <c r="Y104" s="33"/>
      <c r="Z104" s="36" t="str">
        <f t="shared" si="53"/>
        <v/>
      </c>
      <c r="AA104" s="33"/>
      <c r="AB104" s="36" t="str">
        <f t="shared" si="54"/>
        <v/>
      </c>
      <c r="AC104" s="38" t="s">
        <v>227</v>
      </c>
      <c r="AD104" s="39" t="str">
        <f t="shared" si="55"/>
        <v/>
      </c>
      <c r="AE104" s="76"/>
      <c r="AF104" s="36" t="str">
        <f t="shared" si="68"/>
        <v/>
      </c>
      <c r="AG104" s="38">
        <v>21</v>
      </c>
      <c r="AH104" s="39">
        <f t="shared" si="60"/>
        <v>41.17647058823529</v>
      </c>
      <c r="AI104" s="33"/>
      <c r="AJ104" s="36" t="str">
        <f t="shared" si="69"/>
        <v/>
      </c>
      <c r="AK104" s="33"/>
      <c r="AL104" s="36" t="str">
        <f t="shared" si="56"/>
        <v/>
      </c>
      <c r="AM104" s="33"/>
      <c r="AN104" s="36" t="str">
        <f t="shared" si="19"/>
        <v/>
      </c>
      <c r="AO104" s="33"/>
      <c r="AP104" s="36" t="str">
        <f t="shared" si="70"/>
        <v/>
      </c>
      <c r="AQ104" s="33"/>
      <c r="AR104" s="36" t="str">
        <f t="shared" si="71"/>
        <v/>
      </c>
      <c r="AS104" s="38">
        <v>1</v>
      </c>
      <c r="AT104" s="39">
        <f t="shared" si="19"/>
        <v>1.9607843137254901</v>
      </c>
      <c r="AU104" s="33"/>
      <c r="AV104" s="36" t="str">
        <f t="shared" si="57"/>
        <v/>
      </c>
      <c r="AW104" s="33"/>
      <c r="AX104" s="36" t="str">
        <f t="shared" si="58"/>
        <v/>
      </c>
      <c r="AY104" s="33"/>
      <c r="AZ104" s="36" t="str">
        <f t="shared" si="59"/>
        <v/>
      </c>
      <c r="BA104" s="23" t="s">
        <v>397</v>
      </c>
    </row>
    <row r="105" spans="1:53" ht="20" customHeight="1" x14ac:dyDescent="0.2">
      <c r="A105" s="60"/>
      <c r="B105" s="82"/>
      <c r="C105" s="24" t="s">
        <v>85</v>
      </c>
      <c r="D105" s="23" t="s">
        <v>318</v>
      </c>
      <c r="E105" s="23" t="s">
        <v>319</v>
      </c>
      <c r="F105" s="24">
        <v>2010</v>
      </c>
      <c r="H105" s="89">
        <v>53</v>
      </c>
      <c r="I105" s="112" t="s">
        <v>374</v>
      </c>
      <c r="J105" s="86" t="s">
        <v>414</v>
      </c>
      <c r="K105" s="33"/>
      <c r="L105" s="36" t="str">
        <f t="shared" si="62"/>
        <v/>
      </c>
      <c r="M105" s="33"/>
      <c r="N105" s="36" t="str">
        <f t="shared" si="63"/>
        <v/>
      </c>
      <c r="O105" s="33"/>
      <c r="P105" s="36" t="str">
        <f t="shared" si="64"/>
        <v/>
      </c>
      <c r="Q105" s="33"/>
      <c r="R105" s="36" t="str">
        <f t="shared" si="65"/>
        <v/>
      </c>
      <c r="S105" s="33">
        <v>15</v>
      </c>
      <c r="T105" s="36">
        <f t="shared" si="66"/>
        <v>28.30188679245283</v>
      </c>
      <c r="U105" s="76">
        <v>15</v>
      </c>
      <c r="V105" s="36">
        <f t="shared" si="67"/>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76"/>
      <c r="AF105" s="36" t="str">
        <f t="shared" si="68"/>
        <v/>
      </c>
      <c r="AG105" s="33">
        <v>2</v>
      </c>
      <c r="AH105" s="36">
        <f>IF((ISERROR((AG105/$H105)*100)), "", IF(AND(NOT(ISERROR((AG105/$H105)*100)),((AG105/$H105)*100) &lt;&gt; 0), (AG105/$H105)*100, ""))</f>
        <v>3.7735849056603774</v>
      </c>
      <c r="AI105" s="33"/>
      <c r="AJ105" s="36" t="str">
        <f t="shared" si="69"/>
        <v/>
      </c>
      <c r="AK105" s="33">
        <v>3</v>
      </c>
      <c r="AL105" s="36">
        <f>IF((ISERROR((AK105/$H105)*100)), "", IF(AND(NOT(ISERROR((AK105/$H105)*100)),((AK105/$H105)*100) &lt;&gt; 0), (AK105/$H105)*100, ""))</f>
        <v>5.6603773584905666</v>
      </c>
      <c r="AM105" s="33"/>
      <c r="AN105" s="36" t="str">
        <f>IF((ISERROR((AM105/$H105)*100)), "", IF(AND(NOT(ISERROR((AM105/$H105)*100)),((AM105/$H105)*100) &lt;&gt; 0), (AM105/$H105)*100, ""))</f>
        <v/>
      </c>
      <c r="AO105" s="33">
        <v>9</v>
      </c>
      <c r="AP105" s="36">
        <f t="shared" si="70"/>
        <v>16.981132075471699</v>
      </c>
      <c r="AQ105" s="33"/>
      <c r="AR105" s="36" t="str">
        <f t="shared" si="71"/>
        <v/>
      </c>
      <c r="AS105" s="33">
        <v>2</v>
      </c>
      <c r="AT105" s="36">
        <f t="shared" si="19"/>
        <v>3.7735849056603774</v>
      </c>
      <c r="AU105" s="33"/>
      <c r="AV105" s="36" t="str">
        <f t="shared" si="57"/>
        <v/>
      </c>
      <c r="AW105" s="33"/>
      <c r="AX105" s="36" t="str">
        <f t="shared" si="58"/>
        <v/>
      </c>
      <c r="AY105" s="33"/>
      <c r="AZ105" s="36" t="str">
        <f t="shared" si="59"/>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 t="shared" si="62"/>
        <v/>
      </c>
      <c r="M106" s="33"/>
      <c r="N106" s="36" t="str">
        <f t="shared" si="63"/>
        <v/>
      </c>
      <c r="O106" s="33"/>
      <c r="P106" s="36" t="str">
        <f t="shared" si="64"/>
        <v/>
      </c>
      <c r="Q106" s="33"/>
      <c r="R106" s="36" t="str">
        <f t="shared" si="65"/>
        <v/>
      </c>
      <c r="S106" s="33">
        <v>1</v>
      </c>
      <c r="T106" s="36">
        <f t="shared" si="66"/>
        <v>2.5641025641025639</v>
      </c>
      <c r="U106" s="76">
        <v>6</v>
      </c>
      <c r="V106" s="36">
        <f t="shared" si="67"/>
        <v>15.384615384615385</v>
      </c>
      <c r="W106" s="33">
        <v>2</v>
      </c>
      <c r="X106" s="36">
        <f>IF((ISERROR((W106/$H106)*100)), "", IF(AND(NOT(ISERROR((W106/$H106)*100)),((W106/$H106)*100) &lt;&gt; 0), (W106/$H106)*100, ""))</f>
        <v>5.1282051282051277</v>
      </c>
      <c r="Y106" s="33"/>
      <c r="Z106" s="36" t="str">
        <f>IF((ISERROR((Y106/$H106)*100)), "", IF(AND(NOT(ISERROR((Y106/$H106)*100)),((Y106/$H106)*100) &lt;&gt; 0), (Y106/$H106)*100, ""))</f>
        <v/>
      </c>
      <c r="AA106" s="33"/>
      <c r="AB106" s="36"/>
      <c r="AC106" s="33"/>
      <c r="AD106" s="36" t="str">
        <f>IF((ISERROR((AC106/$H106)*100)), "", IF(AND(NOT(ISERROR((AC106/$H106)*100)),((AC106/$H106)*100) &lt;&gt; 0), (AC106/$H106)*100, ""))</f>
        <v/>
      </c>
      <c r="AE106" s="76"/>
      <c r="AF106" s="36" t="str">
        <f t="shared" si="68"/>
        <v/>
      </c>
      <c r="AG106" s="33"/>
      <c r="AH106" s="36" t="str">
        <f>IF((ISERROR((AG106/$H106)*100)), "", IF(AND(NOT(ISERROR((AG106/$H106)*100)),((AG106/$H106)*100) &lt;&gt; 0), (AG106/$H106)*100, ""))</f>
        <v/>
      </c>
      <c r="AI106" s="33"/>
      <c r="AJ106" s="36" t="str">
        <f t="shared" si="69"/>
        <v/>
      </c>
      <c r="AK106" s="33"/>
      <c r="AL106" s="36" t="str">
        <f>IF((ISERROR((AK106/$H106)*100)), "", IF(AND(NOT(ISERROR((AK106/$H106)*100)),((AK106/$H106)*100) &lt;&gt; 0), (AK106/$H106)*100, ""))</f>
        <v/>
      </c>
      <c r="AM106" s="33"/>
      <c r="AN106" s="36" t="str">
        <f>IF((ISERROR((AM106/$H106)*100)), "", IF(AND(NOT(ISERROR((AM106/$H106)*100)),((AM106/$H106)*100) &lt;&gt; 0), (AM106/$H106)*100, ""))</f>
        <v/>
      </c>
      <c r="AO106" s="33"/>
      <c r="AP106" s="36" t="str">
        <f t="shared" si="70"/>
        <v/>
      </c>
      <c r="AQ106" s="33">
        <v>1</v>
      </c>
      <c r="AR106" s="36">
        <f t="shared" si="71"/>
        <v>2.5641025641025639</v>
      </c>
      <c r="AS106" s="33"/>
      <c r="AT106" s="36" t="str">
        <f t="shared" si="19"/>
        <v/>
      </c>
      <c r="AU106" s="33"/>
      <c r="AV106" s="36" t="str">
        <f t="shared" si="57"/>
        <v/>
      </c>
      <c r="AW106" s="33"/>
      <c r="AX106" s="36" t="str">
        <f t="shared" si="58"/>
        <v/>
      </c>
      <c r="AY106" s="33"/>
      <c r="AZ106" s="36" t="str">
        <f t="shared" si="59"/>
        <v/>
      </c>
      <c r="BA106" s="23" t="s">
        <v>415</v>
      </c>
    </row>
    <row r="107" spans="1:53" ht="20" customHeight="1" x14ac:dyDescent="0.2">
      <c r="A107" s="60"/>
      <c r="B107" s="82"/>
      <c r="C107" s="24" t="s">
        <v>85</v>
      </c>
      <c r="D107" s="23" t="s">
        <v>322</v>
      </c>
      <c r="E107" s="23" t="s">
        <v>323</v>
      </c>
      <c r="F107" s="24">
        <v>2010</v>
      </c>
      <c r="H107" s="89">
        <v>789</v>
      </c>
      <c r="I107" s="85" t="s">
        <v>213</v>
      </c>
      <c r="J107" s="86" t="s">
        <v>378</v>
      </c>
      <c r="K107" s="33"/>
      <c r="L107" s="36" t="str">
        <f t="shared" si="62"/>
        <v/>
      </c>
      <c r="M107" s="33"/>
      <c r="N107" s="36" t="str">
        <f t="shared" si="63"/>
        <v/>
      </c>
      <c r="O107" s="33"/>
      <c r="P107" s="36" t="str">
        <f t="shared" si="64"/>
        <v/>
      </c>
      <c r="Q107" s="33"/>
      <c r="R107" s="36" t="str">
        <f t="shared" si="65"/>
        <v/>
      </c>
      <c r="S107" s="33"/>
      <c r="T107" s="36" t="str">
        <f t="shared" si="66"/>
        <v/>
      </c>
      <c r="U107" s="76"/>
      <c r="V107" s="36" t="str">
        <f t="shared" si="67"/>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76">
        <v>43</v>
      </c>
      <c r="AF107" s="36">
        <f t="shared" si="68"/>
        <v>5.4499366286438535</v>
      </c>
      <c r="AG107" s="33"/>
      <c r="AH107" s="36" t="str">
        <f>IF((ISERROR((AG107/$H107)*100)), "", IF(AND(NOT(ISERROR((AG107/$H107)*100)),((AG107/$H107)*100) &lt;&gt; 0), (AG107/$H107)*100, ""))</f>
        <v/>
      </c>
      <c r="AI107" s="33"/>
      <c r="AJ107" s="36" t="str">
        <f t="shared" si="69"/>
        <v/>
      </c>
      <c r="AK107" s="33"/>
      <c r="AL107" s="36" t="str">
        <f>IF((ISERROR((AK107/$H107)*100)), "", IF(AND(NOT(ISERROR((AK107/$H107)*100)),((AK107/$H107)*100) &lt;&gt; 0), (AK107/$H107)*100, ""))</f>
        <v/>
      </c>
      <c r="AM107" s="33"/>
      <c r="AN107" s="36" t="str">
        <f>IF((ISERROR((AM107/$H107)*100)), "", IF(AND(NOT(ISERROR((AM107/$H107)*100)),((AM107/$H107)*100) &lt;&gt; 0), (AM107/$H107)*100, ""))</f>
        <v/>
      </c>
      <c r="AO107" s="33"/>
      <c r="AP107" s="36" t="str">
        <f t="shared" si="70"/>
        <v/>
      </c>
      <c r="AQ107" s="33"/>
      <c r="AR107" s="36" t="str">
        <f t="shared" si="71"/>
        <v/>
      </c>
      <c r="AS107" s="33"/>
      <c r="AT107" s="36" t="str">
        <f t="shared" si="19"/>
        <v/>
      </c>
      <c r="AU107" s="33"/>
      <c r="AV107" s="36" t="str">
        <f t="shared" si="57"/>
        <v/>
      </c>
      <c r="AW107" s="33"/>
      <c r="AX107" s="36" t="str">
        <f t="shared" si="58"/>
        <v/>
      </c>
      <c r="AY107" s="33"/>
      <c r="AZ107" s="36" t="str">
        <f t="shared" si="59"/>
        <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62"/>
        <v/>
      </c>
      <c r="M108" s="33"/>
      <c r="N108" s="36" t="str">
        <f t="shared" si="63"/>
        <v/>
      </c>
      <c r="O108" s="33"/>
      <c r="P108" s="36" t="str">
        <f t="shared" si="64"/>
        <v/>
      </c>
      <c r="Q108" s="33"/>
      <c r="R108" s="36" t="str">
        <f t="shared" si="65"/>
        <v/>
      </c>
      <c r="S108" s="33"/>
      <c r="T108" s="36" t="str">
        <f t="shared" si="66"/>
        <v/>
      </c>
      <c r="U108" s="76"/>
      <c r="V108" s="36" t="str">
        <f t="shared" si="67"/>
        <v/>
      </c>
      <c r="W108" s="33"/>
      <c r="X108" s="36" t="str">
        <f t="shared" ref="X108:X112" si="72">IF((ISERROR((W108/$H108)*100)), "", IF(AND(NOT(ISERROR((W108/$H108)*100)),((W108/$H108)*100) &lt;&gt; 0), (W108/$H108)*100, ""))</f>
        <v/>
      </c>
      <c r="Y108" s="33"/>
      <c r="Z108" s="36" t="str">
        <f t="shared" ref="Z108:Z112" si="73">IF((ISERROR((Y108/$H108)*100)), "", IF(AND(NOT(ISERROR((Y108/$H108)*100)),((Y108/$H108)*100) &lt;&gt; 0), (Y108/$H108)*100, ""))</f>
        <v/>
      </c>
      <c r="AA108" s="33"/>
      <c r="AB108" s="36" t="str">
        <f t="shared" ref="AB108:AB112" si="74">IF((ISERROR((AA108/$H108)*100)), "", IF(AND(NOT(ISERROR((AA108/$H108)*100)),((AA108/$H108)*100) &lt;&gt; 0), (AA108/$H108)*100, ""))</f>
        <v/>
      </c>
      <c r="AC108" s="33"/>
      <c r="AD108" s="36" t="str">
        <f t="shared" ref="AD108:AD112" si="75">IF((ISERROR((AC108/$H108)*100)), "", IF(AND(NOT(ISERROR((AC108/$H108)*100)),((AC108/$H108)*100) &lt;&gt; 0), (AC108/$H108)*100, ""))</f>
        <v/>
      </c>
      <c r="AE108" s="76"/>
      <c r="AF108" s="36" t="str">
        <f t="shared" si="68"/>
        <v/>
      </c>
      <c r="AG108" s="33"/>
      <c r="AH108" s="36" t="str">
        <f t="shared" si="60"/>
        <v/>
      </c>
      <c r="AI108" s="33"/>
      <c r="AJ108" s="36" t="str">
        <f t="shared" si="69"/>
        <v/>
      </c>
      <c r="AK108" s="33"/>
      <c r="AL108" s="36" t="str">
        <f t="shared" ref="AL108:AL112" si="76">IF((ISERROR((AK108/$H108)*100)), "", IF(AND(NOT(ISERROR((AK108/$H108)*100)),((AK108/$H108)*100) &lt;&gt; 0), (AK108/$H108)*100, ""))</f>
        <v/>
      </c>
      <c r="AM108" s="33"/>
      <c r="AN108" s="36" t="str">
        <f t="shared" si="19"/>
        <v/>
      </c>
      <c r="AO108" s="33"/>
      <c r="AP108" s="36" t="str">
        <f t="shared" si="70"/>
        <v/>
      </c>
      <c r="AQ108" s="33"/>
      <c r="AR108" s="36" t="str">
        <f t="shared" si="71"/>
        <v/>
      </c>
      <c r="AS108" s="33"/>
      <c r="AT108" s="36" t="str">
        <f t="shared" si="19"/>
        <v/>
      </c>
      <c r="AU108" s="33"/>
      <c r="AV108" s="36" t="str">
        <f t="shared" si="57"/>
        <v/>
      </c>
      <c r="AW108" s="33"/>
      <c r="AX108" s="36" t="str">
        <f t="shared" ref="AX108:AX114" si="77">IF((ISERROR((AW108/$H108)*100)), "", IF(AND(NOT(ISERROR((AW108/$H108)*100)),((AW108/$H108)*100) &lt;&gt; 0), (AW108/$H108)*100, ""))</f>
        <v/>
      </c>
      <c r="AY108" s="33"/>
      <c r="AZ108" s="36" t="str">
        <f t="shared" ref="AZ108:AZ114" si="78">IF((ISERROR((AY108/$H108)*100)), "", IF(AND(NOT(ISERROR((AY108/$H108)*100)),((AY108/$H108)*100) &lt;&gt; 0), (AY108/$H108)*100, ""))</f>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62"/>
        <v/>
      </c>
      <c r="M109" s="38">
        <v>5</v>
      </c>
      <c r="N109" s="39" t="str">
        <f t="shared" si="63"/>
        <v/>
      </c>
      <c r="O109" s="33"/>
      <c r="P109" s="36" t="str">
        <f t="shared" si="64"/>
        <v/>
      </c>
      <c r="Q109" s="33"/>
      <c r="R109" s="36" t="str">
        <f t="shared" si="65"/>
        <v/>
      </c>
      <c r="S109" s="33"/>
      <c r="T109" s="36" t="str">
        <f t="shared" si="66"/>
        <v/>
      </c>
      <c r="U109" s="40">
        <v>16</v>
      </c>
      <c r="V109" s="39" t="str">
        <f t="shared" si="67"/>
        <v/>
      </c>
      <c r="W109" s="33"/>
      <c r="X109" s="36" t="str">
        <f t="shared" si="72"/>
        <v/>
      </c>
      <c r="Y109" s="33"/>
      <c r="Z109" s="36" t="str">
        <f t="shared" si="73"/>
        <v/>
      </c>
      <c r="AA109" s="33"/>
      <c r="AB109" s="36" t="str">
        <f t="shared" si="74"/>
        <v/>
      </c>
      <c r="AC109" s="33"/>
      <c r="AD109" s="36" t="str">
        <f t="shared" si="75"/>
        <v/>
      </c>
      <c r="AE109" s="76"/>
      <c r="AF109" s="36" t="str">
        <f t="shared" si="68"/>
        <v/>
      </c>
      <c r="AG109" s="33"/>
      <c r="AH109" s="36" t="str">
        <f t="shared" si="60"/>
        <v/>
      </c>
      <c r="AI109" s="33"/>
      <c r="AJ109" s="36" t="str">
        <f t="shared" si="69"/>
        <v/>
      </c>
      <c r="AK109" s="33"/>
      <c r="AL109" s="36" t="str">
        <f t="shared" si="76"/>
        <v/>
      </c>
      <c r="AM109" s="33"/>
      <c r="AN109" s="36" t="str">
        <f t="shared" si="19"/>
        <v/>
      </c>
      <c r="AO109" s="33"/>
      <c r="AP109" s="36" t="str">
        <f t="shared" si="70"/>
        <v/>
      </c>
      <c r="AQ109" s="33"/>
      <c r="AR109" s="36" t="str">
        <f t="shared" si="71"/>
        <v/>
      </c>
      <c r="AS109" s="33"/>
      <c r="AT109" s="36" t="str">
        <f t="shared" si="19"/>
        <v/>
      </c>
      <c r="AU109" s="33"/>
      <c r="AV109" s="36" t="str">
        <f t="shared" si="57"/>
        <v/>
      </c>
      <c r="AW109" s="38">
        <v>5</v>
      </c>
      <c r="AX109" s="39" t="str">
        <f t="shared" si="77"/>
        <v/>
      </c>
      <c r="AY109" s="33"/>
      <c r="AZ109" s="36" t="str">
        <f t="shared" si="78"/>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62"/>
        <v/>
      </c>
      <c r="M110" s="33"/>
      <c r="N110" s="36" t="str">
        <f t="shared" si="63"/>
        <v/>
      </c>
      <c r="O110" s="33"/>
      <c r="P110" s="36" t="str">
        <f t="shared" si="64"/>
        <v/>
      </c>
      <c r="Q110" s="33"/>
      <c r="R110" s="36" t="str">
        <f t="shared" si="65"/>
        <v/>
      </c>
      <c r="S110" s="33"/>
      <c r="T110" s="36" t="str">
        <f t="shared" si="66"/>
        <v/>
      </c>
      <c r="U110" s="76"/>
      <c r="V110" s="36" t="str">
        <f t="shared" si="67"/>
        <v/>
      </c>
      <c r="W110" s="33"/>
      <c r="X110" s="36" t="str">
        <f t="shared" si="72"/>
        <v/>
      </c>
      <c r="Y110" s="33"/>
      <c r="Z110" s="36" t="str">
        <f t="shared" si="73"/>
        <v/>
      </c>
      <c r="AA110" s="33"/>
      <c r="AB110" s="36" t="str">
        <f t="shared" si="74"/>
        <v/>
      </c>
      <c r="AC110" s="33"/>
      <c r="AD110" s="36" t="str">
        <f t="shared" si="75"/>
        <v/>
      </c>
      <c r="AE110" s="76"/>
      <c r="AF110" s="36" t="str">
        <f t="shared" si="68"/>
        <v/>
      </c>
      <c r="AG110" s="33"/>
      <c r="AH110" s="36" t="str">
        <f t="shared" si="60"/>
        <v/>
      </c>
      <c r="AI110" s="33"/>
      <c r="AJ110" s="36" t="str">
        <f t="shared" si="69"/>
        <v/>
      </c>
      <c r="AK110" s="33"/>
      <c r="AL110" s="36" t="str">
        <f t="shared" si="76"/>
        <v/>
      </c>
      <c r="AM110" s="33"/>
      <c r="AN110" s="36" t="str">
        <f t="shared" si="19"/>
        <v/>
      </c>
      <c r="AO110" s="33"/>
      <c r="AP110" s="36" t="str">
        <f t="shared" si="70"/>
        <v/>
      </c>
      <c r="AQ110" s="33"/>
      <c r="AR110" s="36" t="str">
        <f t="shared" si="71"/>
        <v/>
      </c>
      <c r="AS110" s="33"/>
      <c r="AT110" s="36" t="str">
        <f t="shared" si="19"/>
        <v/>
      </c>
      <c r="AU110" s="33"/>
      <c r="AV110" s="36" t="str">
        <f t="shared" si="57"/>
        <v/>
      </c>
      <c r="AW110" s="33"/>
      <c r="AX110" s="36" t="str">
        <f t="shared" si="77"/>
        <v/>
      </c>
      <c r="AY110" s="33"/>
      <c r="AZ110" s="36" t="str">
        <f t="shared" si="78"/>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 t="shared" si="62"/>
        <v/>
      </c>
      <c r="M111" s="33"/>
      <c r="N111" s="36" t="str">
        <f t="shared" si="63"/>
        <v/>
      </c>
      <c r="O111" s="33"/>
      <c r="P111" s="36" t="str">
        <f t="shared" si="64"/>
        <v/>
      </c>
      <c r="Q111" s="33"/>
      <c r="R111" s="36" t="str">
        <f t="shared" si="65"/>
        <v/>
      </c>
      <c r="S111" s="33"/>
      <c r="T111" s="36" t="str">
        <f t="shared" si="66"/>
        <v/>
      </c>
      <c r="U111" s="76"/>
      <c r="V111" s="36" t="str">
        <f t="shared" si="67"/>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76"/>
      <c r="AF111" s="36" t="str">
        <f t="shared" si="68"/>
        <v/>
      </c>
      <c r="AG111" s="33"/>
      <c r="AH111" s="36" t="str">
        <f>IF((ISERROR((AG111/$H111)*100)), "", IF(AND(NOT(ISERROR((AG111/$H111)*100)),((AG111/$H111)*100) &lt;&gt; 0), (AG111/$H111)*100, ""))</f>
        <v/>
      </c>
      <c r="AI111" s="33"/>
      <c r="AJ111" s="36" t="str">
        <f t="shared" si="69"/>
        <v/>
      </c>
      <c r="AK111" s="33"/>
      <c r="AL111" s="36" t="str">
        <f>IF((ISERROR((AK111/$H111)*100)), "", IF(AND(NOT(ISERROR((AK111/$H111)*100)),((AK111/$H111)*100) &lt;&gt; 0), (AK111/$H111)*100, ""))</f>
        <v/>
      </c>
      <c r="AM111" s="33"/>
      <c r="AN111" s="36" t="str">
        <f>IF((ISERROR((AM111/$H111)*100)), "", IF(AND(NOT(ISERROR((AM111/$H111)*100)),((AM111/$H111)*100) &lt;&gt; 0), (AM111/$H111)*100, ""))</f>
        <v/>
      </c>
      <c r="AO111" s="33"/>
      <c r="AP111" s="36" t="str">
        <f t="shared" si="70"/>
        <v/>
      </c>
      <c r="AQ111" s="33"/>
      <c r="AR111" s="36" t="str">
        <f t="shared" si="71"/>
        <v/>
      </c>
      <c r="AS111" s="33"/>
      <c r="AT111" s="36" t="str">
        <f t="shared" ref="AT111" si="79">IF((ISERROR((AS111/$H111)*100)), "", IF(AND(NOT(ISERROR((AS111/$H111)*100)),((AS111/$H111)*100) &lt;&gt; 0), (AS111/$H111)*100, ""))</f>
        <v/>
      </c>
      <c r="AU111" s="33"/>
      <c r="AV111" s="36" t="str">
        <f t="shared" si="57"/>
        <v/>
      </c>
      <c r="AW111" s="33"/>
      <c r="AX111" s="36" t="str">
        <f t="shared" si="77"/>
        <v/>
      </c>
      <c r="AY111" s="33"/>
      <c r="AZ111" s="36" t="str">
        <f t="shared" si="78"/>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62"/>
        <v/>
      </c>
      <c r="M112" s="33"/>
      <c r="N112" s="36" t="str">
        <f t="shared" si="63"/>
        <v/>
      </c>
      <c r="O112" s="33"/>
      <c r="P112" s="36" t="str">
        <f t="shared" si="64"/>
        <v/>
      </c>
      <c r="Q112" s="33"/>
      <c r="R112" s="36" t="str">
        <f t="shared" si="65"/>
        <v/>
      </c>
      <c r="S112" s="33"/>
      <c r="T112" s="36" t="str">
        <f t="shared" si="66"/>
        <v/>
      </c>
      <c r="U112" s="76"/>
      <c r="V112" s="36" t="str">
        <f t="shared" si="67"/>
        <v/>
      </c>
      <c r="W112" s="33"/>
      <c r="X112" s="36" t="str">
        <f t="shared" si="72"/>
        <v/>
      </c>
      <c r="Y112" s="33"/>
      <c r="Z112" s="36" t="str">
        <f t="shared" si="73"/>
        <v/>
      </c>
      <c r="AA112" s="33"/>
      <c r="AB112" s="36" t="str">
        <f t="shared" si="74"/>
        <v/>
      </c>
      <c r="AC112" s="33"/>
      <c r="AD112" s="36" t="str">
        <f t="shared" si="75"/>
        <v/>
      </c>
      <c r="AE112" s="76"/>
      <c r="AF112" s="36" t="str">
        <f t="shared" si="68"/>
        <v/>
      </c>
      <c r="AG112" s="33"/>
      <c r="AH112" s="36" t="str">
        <f t="shared" si="60"/>
        <v/>
      </c>
      <c r="AI112" s="33"/>
      <c r="AJ112" s="36" t="str">
        <f t="shared" si="69"/>
        <v/>
      </c>
      <c r="AK112" s="33"/>
      <c r="AL112" s="36" t="str">
        <f t="shared" si="76"/>
        <v/>
      </c>
      <c r="AM112" s="33"/>
      <c r="AN112" s="36" t="str">
        <f t="shared" si="19"/>
        <v/>
      </c>
      <c r="AO112" s="33"/>
      <c r="AP112" s="36" t="str">
        <f t="shared" si="70"/>
        <v/>
      </c>
      <c r="AQ112" s="33"/>
      <c r="AR112" s="36" t="str">
        <f t="shared" si="71"/>
        <v/>
      </c>
      <c r="AS112" s="33"/>
      <c r="AT112" s="36" t="str">
        <f t="shared" si="19"/>
        <v/>
      </c>
      <c r="AU112" s="33"/>
      <c r="AV112" s="36" t="str">
        <f t="shared" si="57"/>
        <v/>
      </c>
      <c r="AW112" s="33"/>
      <c r="AX112" s="36" t="str">
        <f t="shared" si="77"/>
        <v/>
      </c>
      <c r="AY112" s="33"/>
      <c r="AZ112" s="36" t="str">
        <f t="shared" si="78"/>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 t="shared" si="62"/>
        <v/>
      </c>
      <c r="M113" s="73"/>
      <c r="N113" s="74" t="str">
        <f t="shared" si="63"/>
        <v/>
      </c>
      <c r="O113" s="73"/>
      <c r="P113" s="74" t="str">
        <f t="shared" si="64"/>
        <v/>
      </c>
      <c r="Q113" s="73"/>
      <c r="R113" s="74" t="str">
        <f t="shared" si="65"/>
        <v/>
      </c>
      <c r="S113" s="73"/>
      <c r="T113" s="74" t="str">
        <f t="shared" si="66"/>
        <v/>
      </c>
      <c r="U113" s="75"/>
      <c r="V113" s="74" t="str">
        <f t="shared" si="67"/>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5"/>
      <c r="AF113" s="74" t="str">
        <f t="shared" si="68"/>
        <v/>
      </c>
      <c r="AG113" s="73"/>
      <c r="AH113" s="74" t="str">
        <f>IF((ISERROR((AG113/$H113)*100)), "", IF(AND(NOT(ISERROR((AG113/$H113)*100)),((AG113/$H113)*100) &lt;&gt; 0), (AG113/$H113)*100, ""))</f>
        <v/>
      </c>
      <c r="AI113" s="73"/>
      <c r="AJ113" s="74" t="str">
        <f t="shared" si="69"/>
        <v/>
      </c>
      <c r="AK113" s="73"/>
      <c r="AL113" s="74" t="str">
        <f>IF((ISERROR((AK113/$H113)*100)), "", IF(AND(NOT(ISERROR((AK113/$H113)*100)),((AK113/$H113)*100) &lt;&gt; 0), (AK113/$H113)*100, ""))</f>
        <v/>
      </c>
      <c r="AM113" s="73"/>
      <c r="AN113" s="74" t="str">
        <f>IF((ISERROR((AM113/$H113)*100)), "", IF(AND(NOT(ISERROR((AM113/$H113)*100)),((AM113/$H113)*100) &lt;&gt; 0), (AM113/$H113)*100, ""))</f>
        <v/>
      </c>
      <c r="AO113" s="73"/>
      <c r="AP113" s="74" t="str">
        <f t="shared" si="70"/>
        <v/>
      </c>
      <c r="AQ113" s="73"/>
      <c r="AR113" s="74" t="str">
        <f t="shared" si="71"/>
        <v/>
      </c>
      <c r="AS113" s="73"/>
      <c r="AT113" s="74" t="str">
        <f t="shared" ref="AT113:AT114" si="80">IF((ISERROR((AS113/$H113)*100)), "", IF(AND(NOT(ISERROR((AS113/$H113)*100)),((AS113/$H113)*100) &lt;&gt; 0), (AS113/$H113)*100, ""))</f>
        <v/>
      </c>
      <c r="AU113" s="73"/>
      <c r="AV113" s="74" t="str">
        <f t="shared" si="57"/>
        <v/>
      </c>
      <c r="AW113" s="73"/>
      <c r="AX113" s="74" t="str">
        <f t="shared" si="77"/>
        <v/>
      </c>
      <c r="AY113" s="73"/>
      <c r="AZ113" s="74" t="str">
        <f t="shared" si="78"/>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 t="shared" si="62"/>
        <v/>
      </c>
      <c r="M114" s="34"/>
      <c r="N114" s="37" t="str">
        <f t="shared" si="63"/>
        <v/>
      </c>
      <c r="O114" s="34"/>
      <c r="P114" s="37" t="str">
        <f t="shared" si="64"/>
        <v/>
      </c>
      <c r="Q114" s="34"/>
      <c r="R114" s="37" t="str">
        <f t="shared" si="65"/>
        <v/>
      </c>
      <c r="S114" s="34"/>
      <c r="T114" s="37" t="str">
        <f t="shared" si="66"/>
        <v/>
      </c>
      <c r="U114" s="35"/>
      <c r="V114" s="37" t="str">
        <f t="shared" si="67"/>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5"/>
      <c r="AF114" s="37" t="str">
        <f t="shared" si="68"/>
        <v/>
      </c>
      <c r="AG114" s="34"/>
      <c r="AH114" s="37" t="str">
        <f>IF((ISERROR((AG114/$H114)*100)), "", IF(AND(NOT(ISERROR((AG114/$H114)*100)),((AG114/$H114)*100) &lt;&gt; 0), (AG114/$H114)*100, ""))</f>
        <v/>
      </c>
      <c r="AI114" s="34"/>
      <c r="AJ114" s="37" t="str">
        <f t="shared" si="69"/>
        <v/>
      </c>
      <c r="AK114" s="34"/>
      <c r="AL114" s="37" t="str">
        <f>IF((ISERROR((AK114/$H114)*100)), "", IF(AND(NOT(ISERROR((AK114/$H114)*100)),((AK114/$H114)*100) &lt;&gt; 0), (AK114/$H114)*100, ""))</f>
        <v/>
      </c>
      <c r="AM114" s="34"/>
      <c r="AN114" s="37" t="str">
        <f>IF((ISERROR((AM114/$H114)*100)), "", IF(AND(NOT(ISERROR((AM114/$H114)*100)),((AM114/$H114)*100) &lt;&gt; 0), (AM114/$H114)*100, ""))</f>
        <v/>
      </c>
      <c r="AO114" s="34"/>
      <c r="AP114" s="37" t="str">
        <f t="shared" si="70"/>
        <v/>
      </c>
      <c r="AQ114" s="34"/>
      <c r="AR114" s="37" t="str">
        <f t="shared" si="71"/>
        <v/>
      </c>
      <c r="AS114" s="34"/>
      <c r="AT114" s="37" t="str">
        <f t="shared" si="80"/>
        <v/>
      </c>
      <c r="AU114" s="34"/>
      <c r="AV114" s="37" t="str">
        <f t="shared" si="57"/>
        <v/>
      </c>
      <c r="AW114" s="34"/>
      <c r="AX114" s="37" t="str">
        <f t="shared" si="77"/>
        <v/>
      </c>
      <c r="AY114" s="34"/>
      <c r="AZ114" s="37" t="str">
        <f t="shared" si="78"/>
        <v/>
      </c>
      <c r="BA114" s="23" t="s">
        <v>233</v>
      </c>
    </row>
    <row r="116" spans="1:53" ht="17" thickBot="1" x14ac:dyDescent="0.25"/>
    <row r="117" spans="1:53" s="22" customFormat="1" x14ac:dyDescent="0.2">
      <c r="C117" s="41"/>
      <c r="F117" s="24"/>
      <c r="G117" s="43" t="s">
        <v>246</v>
      </c>
      <c r="H117" s="44">
        <f>SUM(H11:H114)</f>
        <v>3437</v>
      </c>
      <c r="I117" s="45" t="s">
        <v>244</v>
      </c>
      <c r="J117" s="46" t="s">
        <v>243</v>
      </c>
      <c r="K117" s="51">
        <f>IF((SUM(K11:K114)&lt;&gt;0), SUMIF($H11:$H114, "&gt;0", K11:K114), "")</f>
        <v>25</v>
      </c>
      <c r="L117" s="52">
        <f>IF(ISERROR((K117/$H117)*100), "", IF(((K117/$H117)*100) &lt;&gt; 0, (K117/$H117)*100, ""))</f>
        <v>0.72737852778585976</v>
      </c>
      <c r="M117" s="51">
        <f>IF((SUM(M11:M114)&lt;&gt;0), SUMIF($H11:$H114, "&gt;0", M11:M114), "")</f>
        <v>7</v>
      </c>
      <c r="N117" s="52">
        <f>IF(ISERROR((M117/$H117)*100), "", IF(((M117/$H117)*100) &lt;&gt; 0, (M117/$H117)*100, ""))</f>
        <v>0.20366598778004072</v>
      </c>
      <c r="O117" s="51">
        <f>IF((SUM(O11:O114)&lt;&gt;0), SUMIF($H11:$H114, "&gt;0", O11:O114), "")</f>
        <v>6</v>
      </c>
      <c r="P117" s="52">
        <f>IF(ISERROR((O117/$H117)*100), "", IF(((O117/$H117)*100) &lt;&gt; 0, (O117/$H117)*100, ""))</f>
        <v>0.17457084666860634</v>
      </c>
      <c r="Q117" s="51">
        <f>IF((SUM(Q11:Q114)&lt;&gt;0), SUMIF($H11:$H114, "&gt;0", Q11:Q114), "")</f>
        <v>2</v>
      </c>
      <c r="R117" s="52">
        <f>IF(ISERROR((Q117/$H117)*100), "", IF(((Q117/$H117)*100) &lt;&gt; 0, (Q117/$H117)*100, ""))</f>
        <v>5.8190282222868782E-2</v>
      </c>
      <c r="S117" s="51">
        <f>IF((SUM(S11:S114)&lt;&gt;0), SUMIF($H11:$H114, "&gt;0", S11:S114), "")</f>
        <v>58</v>
      </c>
      <c r="T117" s="52">
        <f>IF(ISERROR((S117/$H117)*100), "", IF(((S117/$H117)*100) &lt;&gt; 0, (S117/$H117)*100, ""))</f>
        <v>1.6875181844631948</v>
      </c>
      <c r="U117" s="51">
        <f>IF((SUM(U11:U114)&lt;&gt;0), SUMIF($H11:$H114, "&gt;0", U11:U114), "")</f>
        <v>95</v>
      </c>
      <c r="V117" s="52">
        <f>IF(ISERROR((U117/$H117)*100), "", IF(((U117/$H117)*100) &lt;&gt; 0, (U117/$H117)*100, ""))</f>
        <v>2.7640384055862675</v>
      </c>
      <c r="W117" s="51">
        <f>IF((SUM(W11:W114)&lt;&gt;0), SUMIF($H11:$H114, "&gt;0", W11:W114), "")</f>
        <v>34</v>
      </c>
      <c r="X117" s="52">
        <f>IF(ISERROR((W117/$H117)*100), "", IF(((W117/$H117)*100) &lt;&gt; 0, (W117/$H117)*100, ""))</f>
        <v>0.98923479778876922</v>
      </c>
      <c r="Y117" s="51">
        <f>IF((SUM(Y11:Y114)&lt;&gt;0), SUMIF($H11:$H114, "&gt;0", Y11:Y114), "")</f>
        <v>1</v>
      </c>
      <c r="Z117" s="52">
        <f>IF(ISERROR((Y117/$H117)*100), "", IF(((Y117/$H117)*100) &lt;&gt; 0, (Y117/$H117)*100, ""))</f>
        <v>2.9095141111434391E-2</v>
      </c>
      <c r="AA117" s="51">
        <f>IF((SUM(AA11:AA114)&lt;&gt;0), SUMIF($H11:$H114, "&gt;0", AA11:AA114), "")</f>
        <v>1</v>
      </c>
      <c r="AB117" s="52">
        <f>IF(ISERROR((AA117/$H117)*100), "", IF(((AA117/$H117)*100) &lt;&gt; 0, (AA117/$H117)*100, ""))</f>
        <v>2.9095141111434391E-2</v>
      </c>
      <c r="AC117" s="51">
        <f>IF((SUM(AC11:AC114)&lt;&gt;0), SUMIF($H11:$H114, "&gt;0", AC11:AC114), "")</f>
        <v>1</v>
      </c>
      <c r="AD117" s="52">
        <f>IF(ISERROR((AC117/$H117)*100), "", IF(((AC117/$H117)*100) &lt;&gt; 0, (AC117/$H117)*100, ""))</f>
        <v>2.9095141111434391E-2</v>
      </c>
      <c r="AE117" s="51">
        <f>IF((SUM(AE11:AE114)&lt;&gt;0), SUMIF($H11:$H114, "&gt;0", AE11:AE114), "")</f>
        <v>90</v>
      </c>
      <c r="AF117" s="52">
        <f>IF(ISERROR((AE117/$H117)*100), "", IF(((AE117/$H117)*100) &lt;&gt; 0, (AE117/$H117)*100, ""))</f>
        <v>2.618562700029095</v>
      </c>
      <c r="AG117" s="51">
        <f>IF((SUM(AG11:AG114)&lt;&gt;0), SUMIF($H11:$H114, "&gt;0", AG11:AG114), "")</f>
        <v>55</v>
      </c>
      <c r="AH117" s="52">
        <f>IF(ISERROR((AG117/$H117)*100), "", IF(((AG117/$H117)*100) &lt;&gt; 0, (AG117/$H117)*100, ""))</f>
        <v>1.6002327611288916</v>
      </c>
      <c r="AI117" s="51">
        <f>IF((SUM(AI11:AI114)&lt;&gt;0), SUMIF($H11:$H114, "&gt;0", AI11:AI114), "")</f>
        <v>2</v>
      </c>
      <c r="AJ117" s="52">
        <f>IF(ISERROR((AI117/$H117)*100), "", IF(((AI117/$H117)*100) &lt;&gt; 0, (AI117/$H117)*100, ""))</f>
        <v>5.8190282222868782E-2</v>
      </c>
      <c r="AK117" s="51">
        <f>IF((SUM(AK11:AK114)&lt;&gt;0), SUMIF($H11:$H114, "&gt;0", AK11:AK114), "")</f>
        <v>4</v>
      </c>
      <c r="AL117" s="52">
        <f>IF(ISERROR((AK117/$H117)*100), "", IF(((AK117/$H117)*100) &lt;&gt; 0, (AK117/$H117)*100, ""))</f>
        <v>0.11638056444573756</v>
      </c>
      <c r="AM117" s="51">
        <f>IF((SUM(AM11:AM114)&lt;&gt;0), SUMIF($H11:$H114, "&gt;0", AM11:AM114), "")</f>
        <v>6</v>
      </c>
      <c r="AN117" s="52">
        <f>IF(ISERROR((AM117/$H117)*100), "", IF(((AM117/$H117)*100) &lt;&gt; 0, (AM117/$H117)*100, ""))</f>
        <v>0.17457084666860634</v>
      </c>
      <c r="AO117" s="51">
        <f>IF((SUM(AO11:AO114)&lt;&gt;0), SUMIF($H11:$H114, "&gt;0", AO11:AO114), "")</f>
        <v>30</v>
      </c>
      <c r="AP117" s="52">
        <f>IF(ISERROR((AO117/$H117)*100), "", IF(((AO117/$H117)*100) &lt;&gt; 0, (AO117/$H117)*100, ""))</f>
        <v>0.87285423334303169</v>
      </c>
      <c r="AQ117" s="51">
        <f>IF((SUM(AQ11:AQ114)&lt;&gt;0), SUMIF($H11:$H114, "&gt;0", AQ11:AQ114), "")</f>
        <v>3</v>
      </c>
      <c r="AR117" s="52">
        <f>IF(ISERROR((AQ117/$H117)*100), "", IF(((AQ117/$H117)*100) &lt;&gt; 0, (AQ117/$H117)*100, ""))</f>
        <v>8.7285423334303169E-2</v>
      </c>
      <c r="AS117" s="51">
        <f>IF((SUM(AS11:AS114)&lt;&gt;0), SUMIF($H11:$H114, "&gt;0", AS11:AS114), "")</f>
        <v>9</v>
      </c>
      <c r="AT117" s="52">
        <f>IF(ISERROR((AS117/$H117)*100), "", IF(((AS117/$H117)*100) &lt;&gt; 0, (AS117/$H117)*100, ""))</f>
        <v>0.26185627000290951</v>
      </c>
      <c r="AU117" s="51">
        <f>IF((SUM(AU11:AU114)&lt;&gt;0), SUMIF($H11:$H114, "&gt;0", AU11:AU114), "")</f>
        <v>1</v>
      </c>
      <c r="AV117" s="52">
        <f>IF(ISERROR((AU117/$H117)*100), "", IF(((AU117/$H117)*100) &lt;&gt; 0, (AU117/$H117)*100, ""))</f>
        <v>2.9095141111434391E-2</v>
      </c>
      <c r="AW117" s="51">
        <f>IF((SUM(AW11:AW114)&lt;&gt;0), SUMIF($H11:$H114, "&gt;0", AW11:AW114), "")</f>
        <v>1</v>
      </c>
      <c r="AX117" s="52">
        <f>IF(ISERROR((AW117/$H117)*100), "", IF(((AW117/$H117)*100) &lt;&gt; 0, (AW117/$H117)*100, ""))</f>
        <v>2.9095141111434391E-2</v>
      </c>
      <c r="AY117" s="51" t="str">
        <f>IF((SUM(AY11:AY114)&lt;&gt;0), SUMIF($H11:$H114, "&gt;0", AY11:AY114), "")</f>
        <v/>
      </c>
      <c r="AZ117" s="52" t="str">
        <f>IF(ISERROR((AY117/$H117)*100), "", IF(((AY117/$H117)*100) &lt;&gt; 0, (AY117/$H117)*100, ""))</f>
        <v/>
      </c>
    </row>
    <row r="118" spans="1:53" s="22" customFormat="1" ht="18" customHeight="1" x14ac:dyDescent="0.2">
      <c r="C118" s="41"/>
      <c r="F118" s="24"/>
      <c r="G118" s="43" t="s">
        <v>247</v>
      </c>
      <c r="H118" s="42" t="s">
        <v>245</v>
      </c>
      <c r="I118" s="47" t="s">
        <v>244</v>
      </c>
      <c r="J118" s="48" t="s">
        <v>243</v>
      </c>
      <c r="K118" s="53">
        <f>IF(SUMIF(K11:K114, "&gt; 0", $H11:$H114) &gt; 0, SUMIF(K11:K114, "&gt; 0", $H11:$H114), "")</f>
        <v>62</v>
      </c>
      <c r="L118" s="54">
        <f>IF(AND(NOT(ISERROR((K117/K118)*100)), K117/K118 &lt;&gt; 0), (K117/K118)*100, "")</f>
        <v>40.322580645161288</v>
      </c>
      <c r="M118" s="53">
        <f>IF(SUMIF(M11:M114, "&gt; 0", $H11:$H114) &gt; 0, SUMIF(M11:M114, "&gt; 0", $H11:$H114), "")</f>
        <v>19</v>
      </c>
      <c r="N118" s="54">
        <f>IF(AND(NOT(ISERROR((M117/M118)*100)), M117/M118 &lt;&gt; 0), (M117/M118)*100, "")</f>
        <v>36.84210526315789</v>
      </c>
      <c r="O118" s="53">
        <f>IF(SUMIF(O11:O114, "&gt; 0", $H11:$H114) &gt; 0, SUMIF(O11:O114, "&gt; 0", $H11:$H114), "")</f>
        <v>17</v>
      </c>
      <c r="P118" s="54">
        <f>IF(AND(NOT(ISERROR((O117/O118)*100)), O117/O118 &lt;&gt; 0), (O117/O118)*100, "")</f>
        <v>35.294117647058826</v>
      </c>
      <c r="Q118" s="53">
        <f>IF(SUMIF(Q11:Q114, "&gt; 0", $H11:$H114) &gt; 0, SUMIF(Q11:Q114, "&gt; 0", $H11:$H114), "")</f>
        <v>8</v>
      </c>
      <c r="R118" s="54">
        <f>IF(AND(NOT(ISERROR((Q117/Q118)*100)), Q117/Q118 &lt;&gt; 0), (Q117/Q118)*100, "")</f>
        <v>25</v>
      </c>
      <c r="S118" s="53">
        <f>IF(SUMIF(S11:S114, "&gt; 0", $H11:$H114) &gt; 0, SUMIF(S11:S114, "&gt; 0", $H11:$H114), "")</f>
        <v>245</v>
      </c>
      <c r="T118" s="54">
        <f>IF(AND(NOT(ISERROR((S117/S118)*100)), S117/S118 &lt;&gt; 0), (S117/S118)*100, "")</f>
        <v>23.673469387755102</v>
      </c>
      <c r="U118" s="53">
        <f>IF(SUMIF(U11:U114, "&gt; 0", $H11:$H114) &gt; 0, SUMIF(U11:U114, "&gt; 0", $H11:$H114), "")</f>
        <v>414</v>
      </c>
      <c r="V118" s="54">
        <f>IF(AND(NOT(ISERROR((U117/U118)*100)), U117/U118 &lt;&gt; 0), (U117/U118)*100, "")</f>
        <v>22.946859903381643</v>
      </c>
      <c r="W118" s="53">
        <f>IF(SUMIF(W11:W114, "&gt; 0", $H11:$H114) &gt; 0, SUMIF(W11:W114, "&gt; 0", $H11:$H114), "")</f>
        <v>156</v>
      </c>
      <c r="X118" s="54">
        <f>IF(AND(NOT(ISERROR((W117/W118)*100)), W117/W118 &lt;&gt; 0), (W117/W118)*100, "")</f>
        <v>21.794871794871796</v>
      </c>
      <c r="Y118" s="53">
        <f>IF(SUMIF(Y11:Y114, "&gt; 0", $H11:$H114) &gt; 0, SUMIF(Y11:Y114, "&gt; 0", $H11:$H114), "")</f>
        <v>8</v>
      </c>
      <c r="Z118" s="54">
        <f>IF(AND(NOT(ISERROR((Y117/Y118)*100)), Y117/Y118 &lt;&gt; 0), (Y117/Y118)*100, "")</f>
        <v>12.5</v>
      </c>
      <c r="AA118" s="53">
        <f>IF(SUMIF(AA11:AA114, "&gt; 0", $H11:$H114) &gt; 0, SUMIF(AA11:AA114, "&gt; 0", $H11:$H114), "")</f>
        <v>8</v>
      </c>
      <c r="AB118" s="54">
        <f>IF(AND(NOT(ISERROR((AA117/AA118)*100)), AA117/AA118 &lt;&gt; 0), (AA117/AA118)*100, "")</f>
        <v>12.5</v>
      </c>
      <c r="AC118" s="53">
        <f>IF(SUMIF(AC11:AC114, "&gt; 0", $H11:$H114) &gt; 0, SUMIF(AC11:AC114, "&gt; 0", $H11:$H114), "")</f>
        <v>8</v>
      </c>
      <c r="AD118" s="54">
        <f>IF(AND(NOT(ISERROR((AC117/AC118)*100)), AC117/AC118 &lt;&gt; 0), (AC117/AC118)*100, "")</f>
        <v>12.5</v>
      </c>
      <c r="AE118" s="53">
        <f>IF(SUMIF(AE11:AE114, "&gt; 0", $H11:$H114) &gt; 0, SUMIF(AE11:AE114, "&gt; 0", $H11:$H114), "")</f>
        <v>941</v>
      </c>
      <c r="AF118" s="54">
        <f>IF(AND(NOT(ISERROR((AE117/AE118)*100)), AE117/AE118 &lt;&gt; 0), (AE117/AE118)*100, "")</f>
        <v>9.5642933049946866</v>
      </c>
      <c r="AG118" s="53">
        <f>IF(SUMIF(AG11:AG114, "&gt; 0", $H11:$H114) &gt; 0, SUMIF(AG11:AG114, "&gt; 0", $H11:$H114), "")</f>
        <v>620</v>
      </c>
      <c r="AH118" s="54">
        <f>IF(AND(NOT(ISERROR((AG117/AG118)*100)), AG117/AG118 &lt;&gt; 0), (AG117/AG118)*100, "")</f>
        <v>8.870967741935484</v>
      </c>
      <c r="AI118" s="53">
        <f>IF(SUMIF(AI11:AI114, "&gt; 0", $H11:$H114) &gt; 0, SUMIF(AI11:AI114, "&gt; 0", $H11:$H114), "")</f>
        <v>27</v>
      </c>
      <c r="AJ118" s="54">
        <f>IF(AND(NOT(ISERROR((AI117/AI118)*100)), AI117/AI118 &lt;&gt; 0), (AI117/AI118)*100, "")</f>
        <v>7.4074074074074066</v>
      </c>
      <c r="AK118" s="53">
        <f>IF(SUMIF(AK11:AK114, "&gt; 0", $H11:$H114) &gt; 0, SUMIF(AK11:AK114, "&gt; 0", $H11:$H114), "")</f>
        <v>61</v>
      </c>
      <c r="AL118" s="54">
        <f>IF(AND(NOT(ISERROR((AK117/AK118)*100)), AK117/AK118 &lt;&gt; 0), (AK117/AK118)*100, "")</f>
        <v>6.557377049180328</v>
      </c>
      <c r="AM118" s="53">
        <f>IF(SUMIF(AM11:AM114, "&gt; 0", $H11:$H114) &gt; 0, SUMIF(AM11:AM114, "&gt; 0", $H11:$H114), "")</f>
        <v>97</v>
      </c>
      <c r="AN118" s="54">
        <f>IF(AND(NOT(ISERROR((AM117/AM118)*100)), AM117/AM118 &lt;&gt; 0), (AM117/AM118)*100, "")</f>
        <v>6.1855670103092786</v>
      </c>
      <c r="AO118" s="53">
        <f>IF(SUMIF(AO11:AO114, "&gt; 0", $H11:$H114) &gt; 0, SUMIF(AO11:AO114, "&gt; 0", $H11:$H114), "")</f>
        <v>531</v>
      </c>
      <c r="AP118" s="54">
        <f>IF(AND(NOT(ISERROR((AO117/AO118)*100)), AO117/AO118 &lt;&gt; 0), (AO117/AO118)*100, "")</f>
        <v>5.6497175141242941</v>
      </c>
      <c r="AQ118" s="53">
        <f>IF(SUMIF(AQ11:AQ114, "&gt; 0", $H11:$H114) &gt; 0, SUMIF(AQ11:AQ114, "&gt; 0", $H11:$H114), "")</f>
        <v>61</v>
      </c>
      <c r="AR118" s="54">
        <f>IF(AND(NOT(ISERROR((AQ117/AQ118)*100)), AQ117/AQ118 &lt;&gt; 0), (AQ117/AQ118)*100, "")</f>
        <v>4.918032786885246</v>
      </c>
      <c r="AS118" s="53">
        <f>IF(SUMIF(AS11:AS114, "&gt; 0", $H11:$H114) &gt; 0, SUMIF(AS11:AS114, "&gt; 0", $H11:$H114), "")</f>
        <v>213</v>
      </c>
      <c r="AT118" s="54">
        <f>IF(AND(NOT(ISERROR((AS117/AS118)*100)), AS117/AS118 &lt;&gt; 0), (AS117/AS118)*100, "")</f>
        <v>4.225352112676056</v>
      </c>
      <c r="AU118" s="53">
        <f>IF(SUMIF(AU11:AU114, "&gt; 0", $H11:$H114) &gt; 0, SUMIF(AU11:AU114, "&gt; 0", $H11:$H114), "")</f>
        <v>97</v>
      </c>
      <c r="AV118" s="54">
        <f>IF(AND(NOT(ISERROR((AU117/AU118)*100)), AU117/AU118 &lt;&gt; 0), (AU117/AU118)*100, "")</f>
        <v>1.0309278350515463</v>
      </c>
      <c r="AW118" s="53">
        <f>IF(SUMIF(AW11:AW114, "&gt; 0", $H11:$H114) &gt; 0, SUMIF(AW11:AW114, "&gt; 0", $H11:$H114), "")</f>
        <v>97</v>
      </c>
      <c r="AX118" s="54">
        <f>IF(AND(NOT(ISERROR((AW117/AW118)*100)), AW117/AW118 &lt;&gt; 0), (AW117/AW118)*100, "")</f>
        <v>1.0309278350515463</v>
      </c>
      <c r="AY118" s="53" t="str">
        <f>IF(SUMIF(AY11:AY114, "&gt; 0", $H11:$H114) &gt; 0, SUMIF(AY11:AY114, "&gt; 0", $H11:$H114), "")</f>
        <v/>
      </c>
      <c r="AZ118" s="54"/>
    </row>
    <row r="119" spans="1:53" ht="18" customHeight="1" thickBot="1" x14ac:dyDescent="0.25">
      <c r="H119" s="228" t="s">
        <v>244</v>
      </c>
      <c r="I119" s="231"/>
      <c r="J119" s="232"/>
      <c r="K119" s="207" t="s">
        <v>242</v>
      </c>
      <c r="L119" s="209" t="s">
        <v>243</v>
      </c>
      <c r="M119" s="207" t="s">
        <v>242</v>
      </c>
      <c r="N119" s="209" t="s">
        <v>243</v>
      </c>
      <c r="O119" s="207" t="s">
        <v>242</v>
      </c>
      <c r="P119" s="209" t="s">
        <v>243</v>
      </c>
      <c r="Q119" s="207" t="s">
        <v>242</v>
      </c>
      <c r="R119" s="209" t="s">
        <v>243</v>
      </c>
      <c r="S119" s="207" t="s">
        <v>242</v>
      </c>
      <c r="T119" s="209" t="s">
        <v>243</v>
      </c>
      <c r="U119" s="207" t="s">
        <v>242</v>
      </c>
      <c r="V119" s="209" t="s">
        <v>243</v>
      </c>
      <c r="W119" s="207" t="s">
        <v>242</v>
      </c>
      <c r="X119" s="209" t="s">
        <v>243</v>
      </c>
      <c r="Y119" s="207" t="s">
        <v>242</v>
      </c>
      <c r="Z119" s="209" t="s">
        <v>243</v>
      </c>
      <c r="AA119" s="207" t="s">
        <v>242</v>
      </c>
      <c r="AB119" s="209" t="s">
        <v>243</v>
      </c>
      <c r="AC119" s="207" t="s">
        <v>242</v>
      </c>
      <c r="AD119" s="209" t="s">
        <v>243</v>
      </c>
      <c r="AE119" s="207" t="s">
        <v>242</v>
      </c>
      <c r="AF119" s="209" t="s">
        <v>243</v>
      </c>
      <c r="AG119" s="211" t="s">
        <v>242</v>
      </c>
      <c r="AH119" s="210" t="s">
        <v>243</v>
      </c>
      <c r="AI119" s="207" t="s">
        <v>242</v>
      </c>
      <c r="AJ119" s="209" t="s">
        <v>243</v>
      </c>
      <c r="AK119" s="207" t="s">
        <v>242</v>
      </c>
      <c r="AL119" s="209" t="s">
        <v>243</v>
      </c>
      <c r="AM119" s="207" t="s">
        <v>242</v>
      </c>
      <c r="AN119" s="209" t="s">
        <v>243</v>
      </c>
      <c r="AO119" s="207" t="s">
        <v>242</v>
      </c>
      <c r="AP119" s="209" t="s">
        <v>243</v>
      </c>
      <c r="AQ119" s="207" t="s">
        <v>242</v>
      </c>
      <c r="AR119" s="209" t="s">
        <v>243</v>
      </c>
      <c r="AS119" s="207" t="s">
        <v>242</v>
      </c>
      <c r="AT119" s="209" t="s">
        <v>243</v>
      </c>
      <c r="AU119" s="207" t="s">
        <v>242</v>
      </c>
      <c r="AV119" s="209" t="s">
        <v>243</v>
      </c>
      <c r="AW119" s="207" t="s">
        <v>242</v>
      </c>
      <c r="AX119" s="209" t="s">
        <v>243</v>
      </c>
      <c r="AY119" s="207" t="s">
        <v>242</v>
      </c>
      <c r="AZ119" s="209" t="s">
        <v>243</v>
      </c>
    </row>
    <row r="120" spans="1:53" ht="18" customHeight="1" x14ac:dyDescent="0.2">
      <c r="E120" s="55" t="s">
        <v>249</v>
      </c>
      <c r="F120" s="58">
        <v>1</v>
      </c>
      <c r="H120" s="229"/>
      <c r="I120" s="233"/>
      <c r="J120" s="234"/>
      <c r="K120" s="207"/>
      <c r="L120" s="210"/>
      <c r="M120" s="207"/>
      <c r="N120" s="210"/>
      <c r="O120" s="207"/>
      <c r="P120" s="210"/>
      <c r="Q120" s="207"/>
      <c r="R120" s="210"/>
      <c r="S120" s="207"/>
      <c r="T120" s="210"/>
      <c r="U120" s="207"/>
      <c r="V120" s="210"/>
      <c r="W120" s="207"/>
      <c r="X120" s="210"/>
      <c r="Y120" s="207"/>
      <c r="Z120" s="210"/>
      <c r="AA120" s="207"/>
      <c r="AB120" s="210"/>
      <c r="AC120" s="207"/>
      <c r="AD120" s="210"/>
      <c r="AE120" s="207"/>
      <c r="AF120" s="210"/>
      <c r="AG120" s="207"/>
      <c r="AH120" s="210"/>
      <c r="AI120" s="207"/>
      <c r="AJ120" s="210"/>
      <c r="AK120" s="207"/>
      <c r="AL120" s="210"/>
      <c r="AM120" s="207"/>
      <c r="AN120" s="210"/>
      <c r="AO120" s="207"/>
      <c r="AP120" s="210"/>
      <c r="AQ120" s="207"/>
      <c r="AR120" s="210"/>
      <c r="AS120" s="207"/>
      <c r="AT120" s="210"/>
      <c r="AU120" s="207"/>
      <c r="AV120" s="210"/>
      <c r="AW120" s="207"/>
      <c r="AX120" s="210"/>
      <c r="AY120" s="207"/>
      <c r="AZ120" s="210"/>
    </row>
    <row r="121" spans="1:53" ht="18" customHeight="1" x14ac:dyDescent="0.2">
      <c r="E121" s="56"/>
      <c r="F121" s="57"/>
      <c r="H121" s="229"/>
      <c r="I121" s="233"/>
      <c r="J121" s="234"/>
      <c r="K121" s="207"/>
      <c r="L121" s="210"/>
      <c r="M121" s="207"/>
      <c r="N121" s="210"/>
      <c r="O121" s="207"/>
      <c r="P121" s="210"/>
      <c r="Q121" s="207"/>
      <c r="R121" s="210"/>
      <c r="S121" s="207"/>
      <c r="T121" s="210"/>
      <c r="U121" s="207"/>
      <c r="V121" s="210"/>
      <c r="W121" s="207"/>
      <c r="X121" s="210"/>
      <c r="Y121" s="207"/>
      <c r="Z121" s="210"/>
      <c r="AA121" s="207"/>
      <c r="AB121" s="210"/>
      <c r="AC121" s="207"/>
      <c r="AD121" s="210"/>
      <c r="AE121" s="207"/>
      <c r="AF121" s="210"/>
      <c r="AG121" s="207"/>
      <c r="AH121" s="210"/>
      <c r="AI121" s="207"/>
      <c r="AJ121" s="210"/>
      <c r="AK121" s="207"/>
      <c r="AL121" s="210"/>
      <c r="AM121" s="207"/>
      <c r="AN121" s="210"/>
      <c r="AO121" s="207"/>
      <c r="AP121" s="210"/>
      <c r="AQ121" s="207"/>
      <c r="AR121" s="210"/>
      <c r="AS121" s="207"/>
      <c r="AT121" s="210"/>
      <c r="AU121" s="207"/>
      <c r="AV121" s="210"/>
      <c r="AW121" s="207"/>
      <c r="AX121" s="210"/>
      <c r="AY121" s="207"/>
      <c r="AZ121" s="210"/>
    </row>
    <row r="122" spans="1:53" ht="18" customHeight="1" x14ac:dyDescent="0.2">
      <c r="E122" s="242" t="s">
        <v>250</v>
      </c>
      <c r="F122" s="243"/>
      <c r="H122" s="229"/>
      <c r="I122" s="233"/>
      <c r="J122" s="234"/>
      <c r="K122" s="207"/>
      <c r="L122" s="210"/>
      <c r="M122" s="207"/>
      <c r="N122" s="210"/>
      <c r="O122" s="207"/>
      <c r="P122" s="210"/>
      <c r="Q122" s="207"/>
      <c r="R122" s="210"/>
      <c r="S122" s="207"/>
      <c r="T122" s="210"/>
      <c r="U122" s="207"/>
      <c r="V122" s="210"/>
      <c r="W122" s="207"/>
      <c r="X122" s="210"/>
      <c r="Y122" s="207"/>
      <c r="Z122" s="210"/>
      <c r="AA122" s="207"/>
      <c r="AB122" s="210"/>
      <c r="AC122" s="207"/>
      <c r="AD122" s="210"/>
      <c r="AE122" s="207"/>
      <c r="AF122" s="210"/>
      <c r="AG122" s="207"/>
      <c r="AH122" s="210"/>
      <c r="AI122" s="207"/>
      <c r="AJ122" s="210"/>
      <c r="AK122" s="207"/>
      <c r="AL122" s="210"/>
      <c r="AM122" s="207"/>
      <c r="AN122" s="210"/>
      <c r="AO122" s="207"/>
      <c r="AP122" s="210"/>
      <c r="AQ122" s="207"/>
      <c r="AR122" s="210"/>
      <c r="AS122" s="207"/>
      <c r="AT122" s="210"/>
      <c r="AU122" s="207"/>
      <c r="AV122" s="210"/>
      <c r="AW122" s="207"/>
      <c r="AX122" s="210"/>
      <c r="AY122" s="207"/>
      <c r="AZ122" s="210"/>
    </row>
    <row r="123" spans="1:53" ht="18" customHeight="1" x14ac:dyDescent="0.2">
      <c r="E123" s="242"/>
      <c r="F123" s="243"/>
      <c r="H123" s="229"/>
      <c r="I123" s="233"/>
      <c r="J123" s="234"/>
      <c r="K123" s="208"/>
      <c r="L123" s="210"/>
      <c r="M123" s="208"/>
      <c r="N123" s="210"/>
      <c r="O123" s="208"/>
      <c r="P123" s="210"/>
      <c r="Q123" s="208"/>
      <c r="R123" s="210"/>
      <c r="S123" s="208"/>
      <c r="T123" s="210"/>
      <c r="U123" s="208"/>
      <c r="V123" s="210"/>
      <c r="W123" s="208"/>
      <c r="X123" s="210"/>
      <c r="Y123" s="208"/>
      <c r="Z123" s="210"/>
      <c r="AA123" s="208"/>
      <c r="AB123" s="210"/>
      <c r="AC123" s="208"/>
      <c r="AD123" s="210"/>
      <c r="AE123" s="208"/>
      <c r="AF123" s="210"/>
      <c r="AG123" s="208"/>
      <c r="AH123" s="210"/>
      <c r="AI123" s="208"/>
      <c r="AJ123" s="210"/>
      <c r="AK123" s="208"/>
      <c r="AL123" s="210"/>
      <c r="AM123" s="208"/>
      <c r="AN123" s="210"/>
      <c r="AO123" s="208"/>
      <c r="AP123" s="210"/>
      <c r="AQ123" s="208"/>
      <c r="AR123" s="210"/>
      <c r="AS123" s="208"/>
      <c r="AT123" s="210"/>
      <c r="AU123" s="208"/>
      <c r="AV123" s="210"/>
      <c r="AW123" s="208"/>
      <c r="AX123" s="210"/>
      <c r="AY123" s="208"/>
      <c r="AZ123" s="210"/>
    </row>
    <row r="124" spans="1:53" ht="18" customHeight="1" x14ac:dyDescent="0.2">
      <c r="E124" s="242"/>
      <c r="F124" s="243"/>
      <c r="H124" s="229"/>
      <c r="I124" s="233"/>
      <c r="J124" s="234"/>
      <c r="K124" s="241" t="s">
        <v>239</v>
      </c>
      <c r="L124" s="238"/>
      <c r="M124" s="237" t="s">
        <v>160</v>
      </c>
      <c r="N124" s="238"/>
      <c r="O124" s="241" t="s">
        <v>241</v>
      </c>
      <c r="P124" s="238"/>
      <c r="Q124" s="237" t="s">
        <v>173</v>
      </c>
      <c r="R124" s="238"/>
      <c r="S124" s="237" t="s">
        <v>164</v>
      </c>
      <c r="T124" s="238"/>
      <c r="U124" s="257" t="s">
        <v>210</v>
      </c>
      <c r="V124" s="238"/>
      <c r="W124" s="237" t="s">
        <v>174</v>
      </c>
      <c r="X124" s="238"/>
      <c r="Y124" s="237" t="s">
        <v>172</v>
      </c>
      <c r="Z124" s="238"/>
      <c r="AA124" s="237" t="s">
        <v>175</v>
      </c>
      <c r="AB124" s="238"/>
      <c r="AC124" s="237" t="s">
        <v>161</v>
      </c>
      <c r="AD124" s="238"/>
      <c r="AE124" s="257" t="s">
        <v>379</v>
      </c>
      <c r="AF124" s="238"/>
      <c r="AG124" s="237" t="s">
        <v>157</v>
      </c>
      <c r="AH124" s="238"/>
      <c r="AI124" s="241" t="s">
        <v>238</v>
      </c>
      <c r="AJ124" s="238"/>
      <c r="AK124" s="237" t="s">
        <v>163</v>
      </c>
      <c r="AL124" s="238"/>
      <c r="AM124" s="237" t="s">
        <v>209</v>
      </c>
      <c r="AN124" s="238"/>
      <c r="AO124" s="237" t="s">
        <v>158</v>
      </c>
      <c r="AP124" s="238"/>
      <c r="AQ124" s="241" t="s">
        <v>240</v>
      </c>
      <c r="AR124" s="238"/>
      <c r="AS124" s="237" t="s">
        <v>159</v>
      </c>
      <c r="AT124" s="238"/>
      <c r="AU124" s="237" t="s">
        <v>208</v>
      </c>
      <c r="AV124" s="238"/>
      <c r="AW124" s="237" t="s">
        <v>207</v>
      </c>
      <c r="AX124" s="238"/>
      <c r="AY124" s="237" t="s">
        <v>204</v>
      </c>
      <c r="AZ124" s="238"/>
    </row>
    <row r="125" spans="1:53" ht="18" customHeight="1" x14ac:dyDescent="0.2">
      <c r="E125" s="242"/>
      <c r="F125" s="243"/>
      <c r="H125" s="229"/>
      <c r="I125" s="233"/>
      <c r="J125" s="234"/>
      <c r="K125" s="214"/>
      <c r="L125" s="215"/>
      <c r="M125" s="214"/>
      <c r="N125" s="215"/>
      <c r="O125" s="214"/>
      <c r="P125" s="215"/>
      <c r="Q125" s="214"/>
      <c r="R125" s="215"/>
      <c r="S125" s="214"/>
      <c r="T125" s="215"/>
      <c r="U125" s="258"/>
      <c r="V125" s="215"/>
      <c r="W125" s="214"/>
      <c r="X125" s="215"/>
      <c r="Y125" s="214"/>
      <c r="Z125" s="215"/>
      <c r="AA125" s="214"/>
      <c r="AB125" s="215"/>
      <c r="AC125" s="214"/>
      <c r="AD125" s="215"/>
      <c r="AE125" s="258"/>
      <c r="AF125" s="215"/>
      <c r="AG125" s="214"/>
      <c r="AH125" s="215"/>
      <c r="AI125" s="214"/>
      <c r="AJ125" s="215"/>
      <c r="AK125" s="214"/>
      <c r="AL125" s="215"/>
      <c r="AM125" s="214"/>
      <c r="AN125" s="215"/>
      <c r="AO125" s="214"/>
      <c r="AP125" s="215"/>
      <c r="AQ125" s="214"/>
      <c r="AR125" s="215"/>
      <c r="AS125" s="214"/>
      <c r="AT125" s="215"/>
      <c r="AU125" s="214"/>
      <c r="AV125" s="215"/>
      <c r="AW125" s="214"/>
      <c r="AX125" s="215"/>
      <c r="AY125" s="214"/>
      <c r="AZ125" s="215"/>
    </row>
    <row r="126" spans="1:53" ht="18" customHeight="1" thickBot="1" x14ac:dyDescent="0.25">
      <c r="E126" s="242"/>
      <c r="F126" s="243"/>
      <c r="H126" s="229"/>
      <c r="I126" s="233"/>
      <c r="J126" s="234"/>
      <c r="K126" s="239"/>
      <c r="L126" s="240"/>
      <c r="M126" s="239"/>
      <c r="N126" s="240"/>
      <c r="O126" s="239"/>
      <c r="P126" s="240"/>
      <c r="Q126" s="239"/>
      <c r="R126" s="240"/>
      <c r="S126" s="239"/>
      <c r="T126" s="240"/>
      <c r="U126" s="259"/>
      <c r="V126" s="240"/>
      <c r="W126" s="239"/>
      <c r="X126" s="240"/>
      <c r="Y126" s="239"/>
      <c r="Z126" s="240"/>
      <c r="AA126" s="239"/>
      <c r="AB126" s="240"/>
      <c r="AC126" s="239"/>
      <c r="AD126" s="240"/>
      <c r="AE126" s="259"/>
      <c r="AF126" s="240"/>
      <c r="AG126" s="239"/>
      <c r="AH126" s="240"/>
      <c r="AI126" s="239"/>
      <c r="AJ126" s="240"/>
      <c r="AK126" s="239"/>
      <c r="AL126" s="240"/>
      <c r="AM126" s="239"/>
      <c r="AN126" s="240"/>
      <c r="AO126" s="239"/>
      <c r="AP126" s="240"/>
      <c r="AQ126" s="239"/>
      <c r="AR126" s="240"/>
      <c r="AS126" s="239"/>
      <c r="AT126" s="240"/>
      <c r="AU126" s="239"/>
      <c r="AV126" s="240"/>
      <c r="AW126" s="239"/>
      <c r="AX126" s="240"/>
      <c r="AY126" s="239"/>
      <c r="AZ126" s="240"/>
    </row>
    <row r="127" spans="1:53" ht="20" customHeight="1" thickBot="1" x14ac:dyDescent="0.3">
      <c r="E127" s="244"/>
      <c r="F127" s="245"/>
      <c r="H127" s="230"/>
      <c r="I127" s="235"/>
      <c r="J127" s="236"/>
      <c r="K127" s="249" t="s">
        <v>162</v>
      </c>
      <c r="L127" s="250"/>
      <c r="M127" s="250"/>
      <c r="N127" s="250"/>
      <c r="O127" s="250"/>
      <c r="P127" s="250"/>
      <c r="Q127" s="250"/>
      <c r="R127" s="250"/>
      <c r="S127" s="250"/>
      <c r="T127" s="250"/>
      <c r="U127" s="250"/>
      <c r="V127" s="250"/>
      <c r="W127" s="250"/>
      <c r="X127" s="250"/>
      <c r="Y127" s="250"/>
      <c r="Z127" s="250"/>
      <c r="AA127" s="250"/>
      <c r="AB127" s="250"/>
      <c r="AC127" s="250"/>
      <c r="AD127" s="250"/>
      <c r="AE127" s="250"/>
      <c r="AF127" s="250"/>
      <c r="AG127" s="250"/>
      <c r="AH127" s="250"/>
      <c r="AI127" s="250"/>
      <c r="AJ127" s="250"/>
      <c r="AK127" s="250"/>
      <c r="AL127" s="250"/>
      <c r="AM127" s="250"/>
      <c r="AN127" s="250"/>
      <c r="AO127" s="250"/>
      <c r="AP127" s="250"/>
      <c r="AQ127" s="250"/>
      <c r="AR127" s="250"/>
      <c r="AS127" s="250"/>
      <c r="AT127" s="250"/>
      <c r="AU127" s="250"/>
      <c r="AV127" s="250"/>
      <c r="AW127" s="250"/>
      <c r="AX127" s="250"/>
      <c r="AY127" s="250"/>
      <c r="AZ127" s="251"/>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19:AZ123"/>
    <mergeCell ref="AE6:AE10"/>
    <mergeCell ref="AF6:AF10"/>
    <mergeCell ref="A7:A10"/>
    <mergeCell ref="B7:B10"/>
    <mergeCell ref="H119:H127"/>
    <mergeCell ref="I119:J127"/>
    <mergeCell ref="AG119:AG123"/>
    <mergeCell ref="AH119:AH123"/>
    <mergeCell ref="AM119:AM123"/>
    <mergeCell ref="AN119:AN123"/>
    <mergeCell ref="M6:M10"/>
    <mergeCell ref="N6:N10"/>
    <mergeCell ref="AC6:AC10"/>
    <mergeCell ref="AD6:AD10"/>
    <mergeCell ref="U6:U10"/>
    <mergeCell ref="V6:V10"/>
    <mergeCell ref="AI6:AI10"/>
    <mergeCell ref="AJ6:AJ10"/>
    <mergeCell ref="AA6:AA10"/>
    <mergeCell ref="AB6:AB10"/>
    <mergeCell ref="Q6:Q10"/>
    <mergeCell ref="R6:R10"/>
    <mergeCell ref="AW6:AW10"/>
    <mergeCell ref="K119:K123"/>
    <mergeCell ref="L119:L123"/>
    <mergeCell ref="W119:W123"/>
    <mergeCell ref="X119:X123"/>
    <mergeCell ref="AS119:AS123"/>
    <mergeCell ref="AT119:AT123"/>
    <mergeCell ref="AO119:AO123"/>
    <mergeCell ref="AP119:AP123"/>
    <mergeCell ref="AY119:AY123"/>
    <mergeCell ref="AW119:AW123"/>
    <mergeCell ref="AX119:AX123"/>
    <mergeCell ref="AK119:AK123"/>
    <mergeCell ref="AL119:AL123"/>
    <mergeCell ref="AQ119:AQ123"/>
    <mergeCell ref="AR119:AR123"/>
    <mergeCell ref="AU119:AU123"/>
    <mergeCell ref="AV119:AV123"/>
    <mergeCell ref="O119:O123"/>
    <mergeCell ref="P119:P123"/>
    <mergeCell ref="AE119:AE123"/>
    <mergeCell ref="AF119:AF123"/>
    <mergeCell ref="S119:S123"/>
    <mergeCell ref="T119:T123"/>
    <mergeCell ref="E122:F127"/>
    <mergeCell ref="AG124:AH126"/>
    <mergeCell ref="AM124:AN126"/>
    <mergeCell ref="AS124:AT126"/>
    <mergeCell ref="AO124:AP126"/>
    <mergeCell ref="AY124:AZ126"/>
    <mergeCell ref="S124:T126"/>
    <mergeCell ref="K124:L126"/>
    <mergeCell ref="M119:M123"/>
    <mergeCell ref="N119:N123"/>
    <mergeCell ref="AC119:AC123"/>
    <mergeCell ref="AD119:AD123"/>
    <mergeCell ref="U119:U123"/>
    <mergeCell ref="V119:V123"/>
    <mergeCell ref="AI119:AI123"/>
    <mergeCell ref="AJ119:AJ123"/>
    <mergeCell ref="AA119:AA123"/>
    <mergeCell ref="AB119:AB123"/>
    <mergeCell ref="Q119:Q123"/>
    <mergeCell ref="R119:R123"/>
    <mergeCell ref="Y119:Y123"/>
    <mergeCell ref="Z119:Z123"/>
    <mergeCell ref="U124:V126"/>
    <mergeCell ref="AE124:AF126"/>
    <mergeCell ref="K127:AZ127"/>
    <mergeCell ref="AK124:AL126"/>
    <mergeCell ref="AI124:AJ126"/>
    <mergeCell ref="AA124:AB126"/>
    <mergeCell ref="Q124:R126"/>
    <mergeCell ref="M124:N126"/>
    <mergeCell ref="AC124:AD126"/>
    <mergeCell ref="W124:X126"/>
    <mergeCell ref="AQ124:AR126"/>
    <mergeCell ref="AU124:AV126"/>
    <mergeCell ref="O124:P126"/>
    <mergeCell ref="Y124:Z126"/>
    <mergeCell ref="AW124:AX126"/>
  </mergeCells>
  <pageMargins left="0.7" right="0.7" top="0.75" bottom="0.75" header="0.3" footer="0.3"/>
  <ignoredErrors>
    <ignoredError sqref="I14:I114" numberStoredAsText="1"/>
    <ignoredError sqref="L117:AZ118"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0"/>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3"/>
      <c r="K2" s="246" t="s">
        <v>398</v>
      </c>
      <c r="L2" s="247"/>
      <c r="M2" s="247"/>
      <c r="N2" s="247"/>
      <c r="O2" s="247"/>
      <c r="P2" s="247"/>
      <c r="Q2" s="247"/>
      <c r="R2" s="247"/>
      <c r="S2" s="247"/>
      <c r="T2" s="247"/>
      <c r="U2" s="247"/>
      <c r="V2" s="247"/>
      <c r="W2" s="247"/>
      <c r="X2" s="247"/>
      <c r="Y2" s="247"/>
      <c r="Z2" s="247"/>
      <c r="AA2" s="247"/>
      <c r="AB2" s="247"/>
      <c r="AC2" s="247"/>
      <c r="AD2" s="248"/>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190" t="s">
        <v>399</v>
      </c>
      <c r="K3" s="218" t="s">
        <v>239</v>
      </c>
      <c r="L3" s="213"/>
      <c r="M3" s="212" t="s">
        <v>160</v>
      </c>
      <c r="N3" s="213"/>
      <c r="O3" s="218" t="s">
        <v>241</v>
      </c>
      <c r="P3" s="213"/>
      <c r="Q3" s="212" t="s">
        <v>173</v>
      </c>
      <c r="R3" s="213"/>
      <c r="S3" s="212" t="s">
        <v>164</v>
      </c>
      <c r="T3" s="213"/>
      <c r="U3" s="260" t="s">
        <v>210</v>
      </c>
      <c r="V3" s="213"/>
      <c r="W3" s="212" t="s">
        <v>174</v>
      </c>
      <c r="X3" s="213"/>
      <c r="Y3" s="212" t="s">
        <v>172</v>
      </c>
      <c r="Z3" s="213"/>
      <c r="AA3" s="212" t="s">
        <v>175</v>
      </c>
      <c r="AB3" s="213"/>
      <c r="AC3" s="212" t="s">
        <v>161</v>
      </c>
      <c r="AD3" s="213"/>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4"/>
      <c r="D4" s="191"/>
      <c r="K4" s="214"/>
      <c r="L4" s="215"/>
      <c r="M4" s="214"/>
      <c r="N4" s="215"/>
      <c r="O4" s="214"/>
      <c r="P4" s="215"/>
      <c r="Q4" s="214"/>
      <c r="R4" s="215"/>
      <c r="S4" s="214"/>
      <c r="T4" s="215"/>
      <c r="U4" s="258"/>
      <c r="V4" s="215"/>
      <c r="W4" s="214"/>
      <c r="X4" s="215"/>
      <c r="Y4" s="214"/>
      <c r="Z4" s="215"/>
      <c r="AA4" s="214"/>
      <c r="AB4" s="215"/>
      <c r="AC4" s="214"/>
      <c r="AD4" s="215"/>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3"/>
      <c r="D5" s="188" t="s">
        <v>248</v>
      </c>
      <c r="I5" s="24"/>
      <c r="J5" s="24"/>
      <c r="K5" s="216"/>
      <c r="L5" s="217"/>
      <c r="M5" s="216"/>
      <c r="N5" s="217"/>
      <c r="O5" s="216"/>
      <c r="P5" s="217"/>
      <c r="Q5" s="216"/>
      <c r="R5" s="217"/>
      <c r="S5" s="216"/>
      <c r="T5" s="217"/>
      <c r="U5" s="261"/>
      <c r="V5" s="217"/>
      <c r="W5" s="216"/>
      <c r="X5" s="217"/>
      <c r="Y5" s="216"/>
      <c r="Z5" s="217"/>
      <c r="AA5" s="216"/>
      <c r="AB5" s="217"/>
      <c r="AC5" s="216"/>
      <c r="AD5" s="217"/>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2"/>
      <c r="D6" s="188"/>
      <c r="G6" s="184" t="s">
        <v>24</v>
      </c>
      <c r="H6" s="195" t="s">
        <v>330</v>
      </c>
      <c r="I6" s="198" t="s">
        <v>328</v>
      </c>
      <c r="J6" s="201" t="s">
        <v>329</v>
      </c>
      <c r="K6" s="219" t="s">
        <v>242</v>
      </c>
      <c r="L6" s="220" t="s">
        <v>243</v>
      </c>
      <c r="M6" s="192" t="s">
        <v>242</v>
      </c>
      <c r="N6" s="220" t="s">
        <v>243</v>
      </c>
      <c r="O6" s="192" t="s">
        <v>242</v>
      </c>
      <c r="P6" s="220" t="s">
        <v>243</v>
      </c>
      <c r="Q6" s="192" t="s">
        <v>242</v>
      </c>
      <c r="R6" s="220" t="s">
        <v>243</v>
      </c>
      <c r="S6" s="192" t="s">
        <v>242</v>
      </c>
      <c r="T6" s="220" t="s">
        <v>243</v>
      </c>
      <c r="U6" s="222" t="s">
        <v>242</v>
      </c>
      <c r="V6" s="220" t="s">
        <v>243</v>
      </c>
      <c r="W6" s="225" t="s">
        <v>242</v>
      </c>
      <c r="X6" s="262" t="s">
        <v>243</v>
      </c>
      <c r="Y6" s="192" t="s">
        <v>242</v>
      </c>
      <c r="Z6" s="220" t="s">
        <v>243</v>
      </c>
      <c r="AA6" s="192" t="s">
        <v>242</v>
      </c>
      <c r="AB6" s="220" t="s">
        <v>243</v>
      </c>
      <c r="AC6" s="204" t="s">
        <v>242</v>
      </c>
      <c r="AD6" s="220" t="s">
        <v>243</v>
      </c>
      <c r="AE6" s="23"/>
      <c r="AF6" s="23"/>
      <c r="AG6" s="23"/>
      <c r="AH6" s="23"/>
      <c r="AI6" s="23"/>
      <c r="AJ6" s="23"/>
      <c r="AK6" s="23"/>
      <c r="AL6" s="23"/>
      <c r="AM6" s="23"/>
      <c r="AN6" s="23"/>
      <c r="AO6" s="23"/>
      <c r="AP6" s="23"/>
      <c r="AQ6" s="23"/>
      <c r="AR6" s="23"/>
      <c r="AS6" s="23"/>
      <c r="AT6" s="23"/>
      <c r="AU6" s="23"/>
      <c r="AV6" s="23"/>
      <c r="AW6" s="23"/>
      <c r="AX6" s="23"/>
      <c r="AY6" s="23"/>
      <c r="AZ6" s="23"/>
    </row>
    <row r="7" spans="1:53" ht="20" customHeight="1" thickBot="1" x14ac:dyDescent="0.25">
      <c r="A7" s="184" t="s">
        <v>251</v>
      </c>
      <c r="B7" s="186" t="s">
        <v>334</v>
      </c>
      <c r="D7" s="189"/>
      <c r="G7" s="184"/>
      <c r="H7" s="196"/>
      <c r="I7" s="199"/>
      <c r="J7" s="202"/>
      <c r="K7" s="219"/>
      <c r="L7" s="220"/>
      <c r="M7" s="192"/>
      <c r="N7" s="220"/>
      <c r="O7" s="192"/>
      <c r="P7" s="220"/>
      <c r="Q7" s="192"/>
      <c r="R7" s="220"/>
      <c r="S7" s="192"/>
      <c r="T7" s="220"/>
      <c r="U7" s="222"/>
      <c r="V7" s="220"/>
      <c r="W7" s="226"/>
      <c r="X7" s="263"/>
      <c r="Y7" s="192"/>
      <c r="Z7" s="220"/>
      <c r="AA7" s="192"/>
      <c r="AB7" s="220"/>
      <c r="AC7" s="205"/>
      <c r="AD7" s="220"/>
      <c r="AE7" s="23"/>
      <c r="AF7" s="23"/>
      <c r="AG7" s="23"/>
      <c r="AH7" s="23"/>
      <c r="AI7" s="23"/>
      <c r="AJ7" s="23"/>
      <c r="AK7" s="23"/>
      <c r="AL7" s="23"/>
      <c r="AM7" s="23"/>
      <c r="AN7" s="23"/>
      <c r="AO7" s="23"/>
      <c r="AP7" s="23"/>
      <c r="AQ7" s="23"/>
      <c r="AR7" s="23"/>
      <c r="AS7" s="23"/>
      <c r="AT7" s="23"/>
      <c r="AU7" s="23"/>
      <c r="AV7" s="23"/>
      <c r="AW7" s="23"/>
      <c r="AX7" s="23"/>
      <c r="AY7" s="23"/>
      <c r="AZ7" s="23"/>
    </row>
    <row r="8" spans="1:53" ht="20" customHeight="1" x14ac:dyDescent="0.2">
      <c r="A8" s="184"/>
      <c r="B8" s="186"/>
      <c r="G8" s="184"/>
      <c r="H8" s="196"/>
      <c r="I8" s="199"/>
      <c r="J8" s="202"/>
      <c r="K8" s="219"/>
      <c r="L8" s="220"/>
      <c r="M8" s="192"/>
      <c r="N8" s="220"/>
      <c r="O8" s="192"/>
      <c r="P8" s="220"/>
      <c r="Q8" s="192"/>
      <c r="R8" s="220"/>
      <c r="S8" s="192"/>
      <c r="T8" s="220"/>
      <c r="U8" s="222"/>
      <c r="V8" s="220"/>
      <c r="W8" s="226"/>
      <c r="X8" s="263"/>
      <c r="Y8" s="192"/>
      <c r="Z8" s="220"/>
      <c r="AA8" s="192"/>
      <c r="AB8" s="220"/>
      <c r="AC8" s="205"/>
      <c r="AD8" s="220"/>
      <c r="AE8" s="23"/>
      <c r="AF8" s="23"/>
      <c r="AG8" s="23"/>
      <c r="AH8" s="23"/>
      <c r="AI8" s="23"/>
      <c r="AJ8" s="23"/>
      <c r="AK8" s="23"/>
      <c r="AL8" s="23"/>
      <c r="AM8" s="23"/>
      <c r="AN8" s="23"/>
      <c r="AO8" s="23"/>
      <c r="AP8" s="23"/>
      <c r="AQ8" s="23"/>
      <c r="AR8" s="23"/>
      <c r="AS8" s="23"/>
      <c r="AT8" s="23"/>
      <c r="AU8" s="23"/>
      <c r="AV8" s="23"/>
      <c r="AW8" s="23"/>
      <c r="AX8" s="23"/>
      <c r="AY8" s="23"/>
      <c r="AZ8" s="23"/>
    </row>
    <row r="9" spans="1:53" ht="20" customHeight="1" x14ac:dyDescent="0.2">
      <c r="A9" s="184"/>
      <c r="B9" s="186"/>
      <c r="G9" s="184"/>
      <c r="H9" s="196"/>
      <c r="I9" s="199"/>
      <c r="J9" s="202"/>
      <c r="K9" s="219"/>
      <c r="L9" s="220"/>
      <c r="M9" s="192"/>
      <c r="N9" s="220"/>
      <c r="O9" s="192"/>
      <c r="P9" s="220"/>
      <c r="Q9" s="192"/>
      <c r="R9" s="220"/>
      <c r="S9" s="192"/>
      <c r="T9" s="220"/>
      <c r="U9" s="222"/>
      <c r="V9" s="220"/>
      <c r="W9" s="226"/>
      <c r="X9" s="263"/>
      <c r="Y9" s="192"/>
      <c r="Z9" s="220"/>
      <c r="AA9" s="192"/>
      <c r="AB9" s="220"/>
      <c r="AC9" s="205"/>
      <c r="AD9" s="220"/>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0" customHeight="1" thickBot="1" x14ac:dyDescent="0.25">
      <c r="A10" s="185"/>
      <c r="B10" s="187"/>
      <c r="C10" s="21" t="s">
        <v>20</v>
      </c>
      <c r="D10" s="20" t="s">
        <v>21</v>
      </c>
      <c r="E10" s="20" t="s">
        <v>22</v>
      </c>
      <c r="F10" s="21" t="s">
        <v>23</v>
      </c>
      <c r="G10" s="194"/>
      <c r="H10" s="197"/>
      <c r="I10" s="200"/>
      <c r="J10" s="203"/>
      <c r="K10" s="224"/>
      <c r="L10" s="221"/>
      <c r="M10" s="193"/>
      <c r="N10" s="221"/>
      <c r="O10" s="193"/>
      <c r="P10" s="221"/>
      <c r="Q10" s="193"/>
      <c r="R10" s="221"/>
      <c r="S10" s="193"/>
      <c r="T10" s="221"/>
      <c r="U10" s="223"/>
      <c r="V10" s="221"/>
      <c r="W10" s="227"/>
      <c r="X10" s="264"/>
      <c r="Y10" s="193"/>
      <c r="Z10" s="221"/>
      <c r="AA10" s="193"/>
      <c r="AB10" s="221"/>
      <c r="AC10" s="206"/>
      <c r="AD10" s="221"/>
      <c r="AE10" s="91" t="s">
        <v>25</v>
      </c>
      <c r="AF10" s="92"/>
      <c r="AG10" s="92"/>
      <c r="AH10" s="92"/>
      <c r="AI10" s="92"/>
      <c r="AJ10" s="92"/>
      <c r="AK10" s="92"/>
      <c r="AL10" s="92"/>
      <c r="AM10" s="92"/>
      <c r="AN10" s="92"/>
      <c r="AO10" s="92"/>
      <c r="AP10" s="92"/>
      <c r="AQ10" s="92"/>
      <c r="AR10" s="92"/>
      <c r="AS10" s="92"/>
      <c r="AT10" s="92"/>
      <c r="AU10" s="92"/>
      <c r="AV10" s="92"/>
      <c r="AW10" s="92"/>
      <c r="AX10" s="92"/>
      <c r="AY10" s="92"/>
      <c r="AZ10" s="92"/>
      <c r="BA10" s="92"/>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 si="6">IF((ISERROR((W12/$H12)*100)), "", IF(AND(NOT(ISERROR((W12/$H12)*100)),((W12/$H12)*100) &lt;&gt; 0), (W12/$H12)*100, ""))</f>
        <v/>
      </c>
      <c r="Y12" s="67"/>
      <c r="Z12" s="68" t="str">
        <f t="shared" ref="Z12" si="7">IF((ISERROR((Y12/$H12)*100)), "", IF(AND(NOT(ISERROR((Y12/$H12)*100)),((Y12/$H12)*100) &lt;&gt; 0), (Y12/$H12)*100, ""))</f>
        <v/>
      </c>
      <c r="AA12" s="67"/>
      <c r="AB12" s="68" t="str">
        <f t="shared" ref="AB12" si="8">IF((ISERROR((AA12/$H12)*100)), "", IF(AND(NOT(ISERROR((AA12/$H12)*100)),((AA12/$H12)*100) &lt;&gt; 0), (AA12/$H12)*100, ""))</f>
        <v/>
      </c>
      <c r="AC12" s="67"/>
      <c r="AD12" s="68" t="str">
        <f t="shared" ref="AD12" si="9">IF((ISERROR((AC12/$H12)*100)), "", IF(AND(NOT(ISERROR((AC12/$H12)*100)),((AC12/$H12)*100) &lt;&gt; 0), (AC12/$H12)*100, ""))</f>
        <v/>
      </c>
      <c r="AE12" s="23" t="s">
        <v>165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3"/>
      <c r="C13" s="24" t="s">
        <v>85</v>
      </c>
      <c r="D13" s="23" t="s">
        <v>254</v>
      </c>
      <c r="E13" s="23" t="s">
        <v>255</v>
      </c>
      <c r="F13" s="24">
        <v>2016</v>
      </c>
      <c r="H13" s="89">
        <v>12</v>
      </c>
      <c r="I13" s="85" t="s">
        <v>335</v>
      </c>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336</v>
      </c>
    </row>
    <row r="14" spans="1:53" ht="20" customHeight="1" x14ac:dyDescent="0.2">
      <c r="A14" s="61"/>
      <c r="B14" s="82"/>
      <c r="C14" s="24" t="s">
        <v>85</v>
      </c>
      <c r="D14" s="23" t="s">
        <v>33</v>
      </c>
      <c r="E14" s="23" t="s">
        <v>34</v>
      </c>
      <c r="F14" s="24">
        <v>2003</v>
      </c>
      <c r="G14" s="24">
        <v>291</v>
      </c>
      <c r="H14" s="89">
        <v>14</v>
      </c>
      <c r="I14" s="85" t="s">
        <v>167</v>
      </c>
      <c r="J14" s="86"/>
      <c r="K14" s="33"/>
      <c r="L14" s="36" t="str">
        <f t="shared" si="0"/>
        <v/>
      </c>
      <c r="M14" s="33"/>
      <c r="N14" s="36" t="str">
        <f t="shared" si="1"/>
        <v/>
      </c>
      <c r="O14" s="33"/>
      <c r="P14" s="36" t="str">
        <f t="shared" si="2"/>
        <v/>
      </c>
      <c r="Q14" s="33"/>
      <c r="R14" s="36" t="str">
        <f t="shared" si="3"/>
        <v/>
      </c>
      <c r="S14" s="33">
        <v>2</v>
      </c>
      <c r="T14" s="36">
        <f t="shared" si="4"/>
        <v>14.285714285714285</v>
      </c>
      <c r="U14" s="76"/>
      <c r="V14" s="36" t="str">
        <f t="shared" si="5"/>
        <v/>
      </c>
      <c r="W14" s="33"/>
      <c r="X14" s="36" t="str">
        <f t="shared" ref="X14" si="10">IF((ISERROR((W14/$H14)*100)), "", IF(AND(NOT(ISERROR((W14/$H14)*100)),((W14/$H14)*100) &lt;&gt; 0), (W14/$H14)*100, ""))</f>
        <v/>
      </c>
      <c r="Y14" s="33"/>
      <c r="Z14" s="36" t="str">
        <f t="shared" ref="Z14" si="11">IF((ISERROR((Y14/$H14)*100)), "", IF(AND(NOT(ISERROR((Y14/$H14)*100)),((Y14/$H14)*100) &lt;&gt; 0), (Y14/$H14)*100, ""))</f>
        <v/>
      </c>
      <c r="AA14" s="33"/>
      <c r="AB14" s="36" t="str">
        <f t="shared" ref="AB14" si="12">IF((ISERROR((AA14/$H14)*100)), "", IF(AND(NOT(ISERROR((AA14/$H14)*100)),((AA14/$H14)*100) &lt;&gt; 0), (AA14/$H14)*100, ""))</f>
        <v/>
      </c>
      <c r="AC14" s="33"/>
      <c r="AD14" s="36" t="str">
        <f t="shared" ref="AD14" si="13">IF((ISERROR((AC14/$H14)*100)), "", IF(AND(NOT(ISERROR((AC14/$H14)*100)),((AC14/$H14)*100) &lt;&gt; 0), (AC14/$H14)*100, ""))</f>
        <v/>
      </c>
      <c r="AE14" s="23" t="s">
        <v>337</v>
      </c>
      <c r="AF14" s="23"/>
      <c r="AG14" s="23"/>
      <c r="AH14" s="23"/>
      <c r="AI14" s="23"/>
      <c r="AJ14" s="23"/>
      <c r="AK14" s="23"/>
      <c r="AL14" s="23"/>
      <c r="AM14" s="23"/>
      <c r="AN14" s="23"/>
      <c r="AO14" s="23"/>
      <c r="AP14" s="23"/>
      <c r="AQ14" s="23"/>
      <c r="AR14" s="23"/>
      <c r="AS14" s="23"/>
      <c r="AT14" s="23"/>
      <c r="AU14" s="23"/>
      <c r="AV14" s="23"/>
      <c r="AW14" s="23"/>
      <c r="AX14" s="23"/>
      <c r="AY14" s="23"/>
      <c r="AZ14" s="23"/>
    </row>
    <row r="15" spans="1:53" ht="20" customHeight="1" x14ac:dyDescent="0.2">
      <c r="A15" s="60"/>
      <c r="B15" s="82"/>
      <c r="C15" s="24" t="s">
        <v>85</v>
      </c>
      <c r="D15" s="23" t="s">
        <v>256</v>
      </c>
      <c r="E15" s="23" t="s">
        <v>257</v>
      </c>
      <c r="F15" s="24">
        <v>2008</v>
      </c>
      <c r="H15" s="89">
        <v>13</v>
      </c>
      <c r="I15" s="85" t="s">
        <v>220</v>
      </c>
      <c r="J15" s="86" t="s">
        <v>338</v>
      </c>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1"/>
      <c r="B16" s="82"/>
      <c r="C16" s="24" t="s">
        <v>85</v>
      </c>
      <c r="D16" s="23" t="s">
        <v>36</v>
      </c>
      <c r="E16" s="23" t="s">
        <v>37</v>
      </c>
      <c r="F16" s="24">
        <v>2008</v>
      </c>
      <c r="G16" s="24">
        <v>40</v>
      </c>
      <c r="H16" s="89"/>
      <c r="I16" s="85"/>
      <c r="J16" s="86" t="s">
        <v>169</v>
      </c>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23" t="s">
        <v>171</v>
      </c>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0"/>
      <c r="B17" s="82"/>
      <c r="C17" s="24" t="s">
        <v>85</v>
      </c>
      <c r="D17" s="23" t="s">
        <v>41</v>
      </c>
      <c r="E17" s="23" t="s">
        <v>42</v>
      </c>
      <c r="F17" s="24">
        <v>2004</v>
      </c>
      <c r="G17" s="24">
        <v>79</v>
      </c>
      <c r="H17" s="89">
        <v>12</v>
      </c>
      <c r="I17" s="85" t="s">
        <v>168</v>
      </c>
      <c r="J17" s="86" t="s">
        <v>169</v>
      </c>
      <c r="K17" s="33"/>
      <c r="L17" s="36" t="str">
        <f t="shared" si="0"/>
        <v/>
      </c>
      <c r="M17" s="33"/>
      <c r="N17" s="36" t="str">
        <f t="shared" si="1"/>
        <v/>
      </c>
      <c r="O17" s="33"/>
      <c r="P17" s="36" t="str">
        <f t="shared" si="2"/>
        <v/>
      </c>
      <c r="Q17" s="33"/>
      <c r="R17" s="36" t="str">
        <f t="shared" si="3"/>
        <v/>
      </c>
      <c r="S17" s="33"/>
      <c r="T17" s="36" t="str">
        <f t="shared" si="4"/>
        <v/>
      </c>
      <c r="U17" s="76"/>
      <c r="V17" s="36" t="str">
        <f t="shared" si="5"/>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23" t="s">
        <v>170</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2"/>
      <c r="C18" s="24" t="s">
        <v>85</v>
      </c>
      <c r="D18" s="23" t="s">
        <v>43</v>
      </c>
      <c r="E18" s="23" t="s">
        <v>44</v>
      </c>
      <c r="F18" s="24">
        <v>1976</v>
      </c>
      <c r="G18" s="24">
        <v>179</v>
      </c>
      <c r="H18" s="89">
        <v>8</v>
      </c>
      <c r="I18" s="112" t="s">
        <v>339</v>
      </c>
      <c r="J18" s="86"/>
      <c r="K18" s="38">
        <v>2</v>
      </c>
      <c r="L18" s="39">
        <f t="shared" si="0"/>
        <v>25</v>
      </c>
      <c r="M18" s="33"/>
      <c r="N18" s="36" t="str">
        <f t="shared" si="1"/>
        <v/>
      </c>
      <c r="O18" s="38">
        <v>5</v>
      </c>
      <c r="P18" s="39">
        <f t="shared" si="2"/>
        <v>62.5</v>
      </c>
      <c r="Q18" s="38">
        <v>2</v>
      </c>
      <c r="R18" s="39">
        <f t="shared" si="3"/>
        <v>25</v>
      </c>
      <c r="S18" s="38">
        <v>1</v>
      </c>
      <c r="T18" s="39">
        <f t="shared" si="4"/>
        <v>12.5</v>
      </c>
      <c r="U18" s="76">
        <v>1</v>
      </c>
      <c r="V18" s="36">
        <f t="shared" si="5"/>
        <v>12.5</v>
      </c>
      <c r="W18" s="38">
        <v>1</v>
      </c>
      <c r="X18" s="39">
        <f>IF((ISERROR((W18/$H18)*100)), "", IF(AND(NOT(ISERROR((W18/$H18)*100)),((W18/$H18)*100) &lt;&gt; 0), (W18/$H18)*100, ""))</f>
        <v>12.5</v>
      </c>
      <c r="Y18" s="38">
        <v>1</v>
      </c>
      <c r="Z18" s="39">
        <f>IF((ISERROR((Y18/$H18)*100)), "", IF(AND(NOT(ISERROR((Y18/$H18)*100)),((Y18/$H18)*100) &lt;&gt; 0), (Y18/$H18)*100, ""))</f>
        <v>12.5</v>
      </c>
      <c r="AA18" s="38">
        <v>1</v>
      </c>
      <c r="AB18" s="39">
        <f>IF((ISERROR((AA18/$H18)*100)), "", IF(AND(NOT(ISERROR((AA18/$H18)*100)),((AA18/$H18)*100) &lt;&gt; 0), (AA18/$H18)*100, ""))</f>
        <v>12.5</v>
      </c>
      <c r="AC18" s="33"/>
      <c r="AD18" s="36" t="str">
        <f>IF((ISERROR((AC18/$H18)*100)), "", IF(AND(NOT(ISERROR((AC18/$H18)*100)),((AC18/$H18)*100) &lt;&gt; 0), (AC18/$H18)*100, ""))</f>
        <v/>
      </c>
      <c r="AE18" s="23" t="s">
        <v>184</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1"/>
      <c r="B19" s="83"/>
      <c r="C19" s="24" t="s">
        <v>85</v>
      </c>
      <c r="D19" s="23" t="s">
        <v>152</v>
      </c>
      <c r="E19" s="23" t="s">
        <v>153</v>
      </c>
      <c r="F19" s="24">
        <v>2007</v>
      </c>
      <c r="H19" s="89">
        <v>44</v>
      </c>
      <c r="I19" s="85"/>
      <c r="J19" s="86"/>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 t="shared" ref="X19" si="14">IF((ISERROR((W19/$H19)*100)), "", IF(AND(NOT(ISERROR((W19/$H19)*100)),((W19/$H19)*100) &lt;&gt; 0), (W19/$H19)*100, ""))</f>
        <v/>
      </c>
      <c r="Y19" s="33"/>
      <c r="Z19" s="36" t="str">
        <f t="shared" ref="Z19" si="15">IF((ISERROR((Y19/$H19)*100)), "", IF(AND(NOT(ISERROR((Y19/$H19)*100)),((Y19/$H19)*100) &lt;&gt; 0), (Y19/$H19)*100, ""))</f>
        <v/>
      </c>
      <c r="AA19" s="33"/>
      <c r="AB19" s="36" t="str">
        <f t="shared" ref="AB19" si="16">IF((ISERROR((AA19/$H19)*100)), "", IF(AND(NOT(ISERROR((AA19/$H19)*100)),((AA19/$H19)*100) &lt;&gt; 0), (AA19/$H19)*100, ""))</f>
        <v/>
      </c>
      <c r="AC19" s="33"/>
      <c r="AD19" s="36" t="str">
        <f t="shared" ref="AD19" si="17">IF((ISERROR((AC19/$H19)*100)), "", IF(AND(NOT(ISERROR((AC19/$H19)*100)),((AC19/$H19)*100) &lt;&gt; 0), (AC19/$H19)*100, ""))</f>
        <v/>
      </c>
      <c r="AE19" s="23" t="s">
        <v>176</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3"/>
      <c r="C20" s="24" t="s">
        <v>85</v>
      </c>
      <c r="D20" s="23" t="s">
        <v>258</v>
      </c>
      <c r="E20" s="23" t="s">
        <v>259</v>
      </c>
      <c r="F20" s="24">
        <v>2014</v>
      </c>
      <c r="H20" s="89">
        <v>48</v>
      </c>
      <c r="I20" s="85" t="s">
        <v>216</v>
      </c>
      <c r="J20" s="86" t="s">
        <v>340</v>
      </c>
      <c r="K20" s="38"/>
      <c r="L20" s="38" t="str">
        <f t="shared" si="0"/>
        <v/>
      </c>
      <c r="M20" s="33"/>
      <c r="N20" s="36" t="str">
        <f t="shared" si="1"/>
        <v/>
      </c>
      <c r="O20" s="33"/>
      <c r="P20" s="36" t="str">
        <f t="shared" si="2"/>
        <v/>
      </c>
      <c r="Q20" s="33"/>
      <c r="R20" s="36" t="str">
        <f t="shared" si="3"/>
        <v/>
      </c>
      <c r="S20" s="33"/>
      <c r="T20" s="36" t="str">
        <f t="shared" si="4"/>
        <v/>
      </c>
      <c r="U20" s="76"/>
      <c r="V20" s="36" t="str">
        <f t="shared" si="5"/>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23" t="s">
        <v>404</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24"/>
      <c r="D21" s="23" t="s">
        <v>260</v>
      </c>
      <c r="E21" s="23" t="s">
        <v>261</v>
      </c>
      <c r="F21" s="24">
        <v>2015</v>
      </c>
      <c r="H21" s="89"/>
      <c r="I21" s="85"/>
      <c r="J21" s="86"/>
      <c r="K21" s="33"/>
      <c r="L21" s="36" t="str">
        <f t="shared" si="0"/>
        <v/>
      </c>
      <c r="M21" s="33"/>
      <c r="N21" s="36" t="str">
        <f t="shared" si="1"/>
        <v/>
      </c>
      <c r="O21" s="33"/>
      <c r="P21" s="36" t="str">
        <f t="shared" si="2"/>
        <v/>
      </c>
      <c r="Q21" s="33"/>
      <c r="R21" s="36" t="str">
        <f t="shared" si="3"/>
        <v/>
      </c>
      <c r="S21" s="33"/>
      <c r="T21" s="36" t="str">
        <f t="shared" si="4"/>
        <v/>
      </c>
      <c r="U21" s="76"/>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3"/>
      <c r="C22" s="24" t="s">
        <v>85</v>
      </c>
      <c r="D22" s="23" t="s">
        <v>262</v>
      </c>
      <c r="E22" s="23" t="s">
        <v>263</v>
      </c>
      <c r="F22" s="24">
        <v>2012</v>
      </c>
      <c r="H22" s="89">
        <v>80</v>
      </c>
      <c r="I22" s="85" t="s">
        <v>216</v>
      </c>
      <c r="J22" s="86" t="s">
        <v>193</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0"/>
      <c r="B23" s="82"/>
      <c r="C23" s="24" t="s">
        <v>85</v>
      </c>
      <c r="D23" s="23" t="s">
        <v>264</v>
      </c>
      <c r="E23" s="23" t="s">
        <v>265</v>
      </c>
      <c r="F23" s="24">
        <v>2013</v>
      </c>
      <c r="H23" s="89">
        <v>12</v>
      </c>
      <c r="I23" s="85" t="s">
        <v>216</v>
      </c>
      <c r="J23" s="86" t="s">
        <v>341</v>
      </c>
      <c r="K23" s="33"/>
      <c r="L23" s="36" t="str">
        <f t="shared" si="0"/>
        <v/>
      </c>
      <c r="M23" s="33"/>
      <c r="N23" s="36" t="str">
        <f t="shared" si="1"/>
        <v/>
      </c>
      <c r="O23" s="33"/>
      <c r="P23" s="36" t="str">
        <f t="shared" si="2"/>
        <v/>
      </c>
      <c r="Q23" s="33"/>
      <c r="R23" s="36" t="str">
        <f t="shared" si="3"/>
        <v/>
      </c>
      <c r="S23" s="38"/>
      <c r="T23" s="39" t="str">
        <f t="shared" si="4"/>
        <v/>
      </c>
      <c r="U23" s="40"/>
      <c r="V23" s="39"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23" t="s">
        <v>405</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1"/>
      <c r="B24" s="84"/>
      <c r="C24" s="24" t="s">
        <v>85</v>
      </c>
      <c r="D24" s="23" t="s">
        <v>45</v>
      </c>
      <c r="E24" s="23" t="s">
        <v>46</v>
      </c>
      <c r="F24" s="24">
        <v>1998</v>
      </c>
      <c r="G24" s="24">
        <v>96</v>
      </c>
      <c r="H24" s="89">
        <v>61</v>
      </c>
      <c r="I24" s="85" t="s">
        <v>177</v>
      </c>
      <c r="J24" s="86" t="s">
        <v>190</v>
      </c>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ref="X24:X25" si="18">IF((ISERROR((W24/$H24)*100)), "", IF(AND(NOT(ISERROR((W24/$H24)*100)),((W24/$H24)*100) &lt;&gt; 0), (W24/$H24)*100, ""))</f>
        <v/>
      </c>
      <c r="Y24" s="33"/>
      <c r="Z24" s="36" t="str">
        <f t="shared" ref="Z24:Z25" si="19">IF((ISERROR((Y24/$H24)*100)), "", IF(AND(NOT(ISERROR((Y24/$H24)*100)),((Y24/$H24)*100) &lt;&gt; 0), (Y24/$H24)*100, ""))</f>
        <v/>
      </c>
      <c r="AA24" s="33"/>
      <c r="AB24" s="36" t="str">
        <f t="shared" ref="AB24:AB25" si="20">IF((ISERROR((AA24/$H24)*100)), "", IF(AND(NOT(ISERROR((AA24/$H24)*100)),((AA24/$H24)*100) &lt;&gt; 0), (AA24/$H24)*100, ""))</f>
        <v/>
      </c>
      <c r="AC24" s="33"/>
      <c r="AD24" s="36" t="str">
        <f t="shared" ref="AD24:AD25" si="21">IF((ISERROR((AC24/$H24)*100)), "", IF(AND(NOT(ISERROR((AC24/$H24)*100)),((AC24/$H24)*100) &lt;&gt; 0), (AC24/$H24)*100, ""))</f>
        <v/>
      </c>
      <c r="AE24" s="23" t="s">
        <v>178</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2"/>
      <c r="C25" s="24" t="s">
        <v>85</v>
      </c>
      <c r="D25" s="23" t="s">
        <v>266</v>
      </c>
      <c r="E25" s="23" t="s">
        <v>267</v>
      </c>
      <c r="F25" s="24">
        <v>2000</v>
      </c>
      <c r="H25" s="89">
        <v>9</v>
      </c>
      <c r="I25" s="85" t="s">
        <v>220</v>
      </c>
      <c r="J25" s="86" t="s">
        <v>169</v>
      </c>
      <c r="K25" s="33"/>
      <c r="L25" s="36" t="str">
        <f t="shared" si="0"/>
        <v/>
      </c>
      <c r="M25" s="33"/>
      <c r="N25" s="36" t="str">
        <f t="shared" si="1"/>
        <v/>
      </c>
      <c r="O25" s="33">
        <v>1</v>
      </c>
      <c r="P25" s="36">
        <f t="shared" si="2"/>
        <v>11.111111111111111</v>
      </c>
      <c r="Q25" s="33"/>
      <c r="R25" s="36" t="str">
        <f t="shared" si="3"/>
        <v/>
      </c>
      <c r="S25" s="33">
        <v>1</v>
      </c>
      <c r="T25" s="36">
        <f t="shared" si="4"/>
        <v>11.111111111111111</v>
      </c>
      <c r="U25" s="76">
        <v>1</v>
      </c>
      <c r="V25" s="36">
        <f t="shared" si="5"/>
        <v>11.111111111111111</v>
      </c>
      <c r="W25" s="33"/>
      <c r="X25" s="36" t="str">
        <f t="shared" si="18"/>
        <v/>
      </c>
      <c r="Y25" s="33"/>
      <c r="Z25" s="36" t="str">
        <f t="shared" si="19"/>
        <v/>
      </c>
      <c r="AA25" s="33"/>
      <c r="AB25" s="36" t="str">
        <f t="shared" si="20"/>
        <v/>
      </c>
      <c r="AC25" s="33"/>
      <c r="AD25" s="36" t="str">
        <f t="shared" si="21"/>
        <v/>
      </c>
      <c r="AE25" s="23" t="s">
        <v>342</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3"/>
      <c r="C26" s="24" t="s">
        <v>85</v>
      </c>
      <c r="D26" s="23" t="s">
        <v>268</v>
      </c>
      <c r="E26" s="23" t="s">
        <v>269</v>
      </c>
      <c r="F26" s="24">
        <v>2003</v>
      </c>
      <c r="H26" s="89">
        <v>10</v>
      </c>
      <c r="I26" s="85" t="s">
        <v>186</v>
      </c>
      <c r="J26" s="86" t="s">
        <v>192</v>
      </c>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 t="shared" ref="X26" si="22">IF((ISERROR((W26/$H26)*100)), "", IF(AND(NOT(ISERROR((W26/$H26)*100)),((W26/$H26)*100) &lt;&gt; 0), (W26/$H26)*100, ""))</f>
        <v/>
      </c>
      <c r="Y26" s="33"/>
      <c r="Z26" s="36" t="str">
        <f t="shared" ref="Z26" si="23">IF((ISERROR((Y26/$H26)*100)), "", IF(AND(NOT(ISERROR((Y26/$H26)*100)),((Y26/$H26)*100) &lt;&gt; 0), (Y26/$H26)*100, ""))</f>
        <v/>
      </c>
      <c r="AA26" s="33"/>
      <c r="AB26" s="36" t="str">
        <f t="shared" ref="AB26" si="24">IF((ISERROR((AA26/$H26)*100)), "", IF(AND(NOT(ISERROR((AA26/$H26)*100)),((AA26/$H26)*100) &lt;&gt; 0), (AA26/$H26)*100, ""))</f>
        <v/>
      </c>
      <c r="AC26" s="33"/>
      <c r="AD26" s="36" t="str">
        <f t="shared" ref="AD26" si="25">IF((ISERROR((AC26/$H26)*100)), "", IF(AND(NOT(ISERROR((AC26/$H26)*100)),((AC26/$H26)*100) &lt;&gt; 0), (AC26/$H26)*100, ""))</f>
        <v/>
      </c>
      <c r="AE26" s="23" t="s">
        <v>202</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0"/>
      <c r="B27" s="82"/>
      <c r="C27" s="24" t="s">
        <v>85</v>
      </c>
      <c r="D27" s="23" t="s">
        <v>406</v>
      </c>
      <c r="E27" s="23" t="s">
        <v>407</v>
      </c>
      <c r="F27" s="24">
        <v>2013</v>
      </c>
      <c r="H27" s="89">
        <v>38</v>
      </c>
      <c r="I27" s="85" t="s">
        <v>408</v>
      </c>
      <c r="J27" s="86" t="s">
        <v>169</v>
      </c>
      <c r="K27" s="33"/>
      <c r="L27" s="36" t="str">
        <f t="shared" si="0"/>
        <v/>
      </c>
      <c r="M27" s="33"/>
      <c r="N27" s="36" t="str">
        <f t="shared" si="1"/>
        <v/>
      </c>
      <c r="O27" s="33"/>
      <c r="P27" s="36" t="str">
        <f t="shared" si="2"/>
        <v/>
      </c>
      <c r="Q27" s="33"/>
      <c r="R27" s="36" t="str">
        <f t="shared" si="3"/>
        <v/>
      </c>
      <c r="S27" s="33"/>
      <c r="T27" s="36" t="str">
        <f t="shared" si="4"/>
        <v/>
      </c>
      <c r="U27" s="33"/>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416</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1"/>
      <c r="B28" s="83"/>
      <c r="C28" s="24" t="s">
        <v>85</v>
      </c>
      <c r="D28" s="23" t="s">
        <v>52</v>
      </c>
      <c r="E28" s="23" t="s">
        <v>53</v>
      </c>
      <c r="F28" s="24">
        <v>2001</v>
      </c>
      <c r="G28" s="24">
        <v>118</v>
      </c>
      <c r="H28" s="89">
        <v>20</v>
      </c>
      <c r="I28" s="85"/>
      <c r="J28" s="86" t="s">
        <v>190</v>
      </c>
      <c r="K28" s="33"/>
      <c r="L28" s="36" t="str">
        <f t="shared" si="0"/>
        <v/>
      </c>
      <c r="M28" s="33"/>
      <c r="N28" s="36" t="str">
        <f t="shared" si="1"/>
        <v/>
      </c>
      <c r="O28" s="33"/>
      <c r="P28" s="36" t="str">
        <f t="shared" si="2"/>
        <v/>
      </c>
      <c r="Q28" s="33"/>
      <c r="R28" s="36" t="str">
        <f t="shared" si="3"/>
        <v/>
      </c>
      <c r="S28" s="33"/>
      <c r="T28" s="36" t="str">
        <f t="shared" si="4"/>
        <v/>
      </c>
      <c r="U28" s="76"/>
      <c r="V28" s="36"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181</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2"/>
      <c r="C29" s="24" t="s">
        <v>85</v>
      </c>
      <c r="D29" s="23" t="s">
        <v>270</v>
      </c>
      <c r="E29" s="23" t="s">
        <v>271</v>
      </c>
      <c r="F29" s="24">
        <v>1994</v>
      </c>
      <c r="H29" s="89">
        <v>20</v>
      </c>
      <c r="I29" s="85" t="s">
        <v>343</v>
      </c>
      <c r="J29" s="86"/>
      <c r="K29" s="33"/>
      <c r="L29" s="36" t="str">
        <f t="shared" si="0"/>
        <v/>
      </c>
      <c r="M29" s="33"/>
      <c r="N29" s="36" t="str">
        <f t="shared" si="1"/>
        <v/>
      </c>
      <c r="O29" s="33"/>
      <c r="P29" s="36" t="str">
        <f t="shared" si="2"/>
        <v/>
      </c>
      <c r="Q29" s="33"/>
      <c r="R29" s="36" t="str">
        <f t="shared" si="3"/>
        <v/>
      </c>
      <c r="S29" s="38"/>
      <c r="T29" s="39" t="str">
        <f t="shared" si="4"/>
        <v/>
      </c>
      <c r="U29" s="40"/>
      <c r="V29" s="39" t="str">
        <f t="shared" si="5"/>
        <v/>
      </c>
      <c r="W29" s="38"/>
      <c r="X29" s="39"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409</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3"/>
      <c r="C30" s="24" t="s">
        <v>85</v>
      </c>
      <c r="D30" s="23" t="s">
        <v>344</v>
      </c>
      <c r="E30" s="23" t="s">
        <v>345</v>
      </c>
      <c r="F30" s="24">
        <v>2008</v>
      </c>
      <c r="H30" s="89">
        <v>16</v>
      </c>
      <c r="I30" s="85" t="s">
        <v>177</v>
      </c>
      <c r="J30" s="86" t="s">
        <v>346</v>
      </c>
      <c r="K30" s="33"/>
      <c r="L30" s="36" t="str">
        <f t="shared" si="0"/>
        <v/>
      </c>
      <c r="M30" s="33"/>
      <c r="N30" s="36" t="str">
        <f t="shared" si="1"/>
        <v/>
      </c>
      <c r="O30" s="33"/>
      <c r="P30" s="36" t="str">
        <f t="shared" si="2"/>
        <v/>
      </c>
      <c r="Q30" s="33"/>
      <c r="R30" s="36" t="str">
        <f t="shared" si="3"/>
        <v/>
      </c>
      <c r="S30" s="33"/>
      <c r="T30" s="36" t="str">
        <f t="shared" si="4"/>
        <v/>
      </c>
      <c r="U30" s="76"/>
      <c r="V30" s="36" t="str">
        <f t="shared" si="5"/>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417</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2"/>
      <c r="C31" s="24" t="s">
        <v>85</v>
      </c>
      <c r="D31" s="23" t="s">
        <v>54</v>
      </c>
      <c r="E31" s="23" t="s">
        <v>55</v>
      </c>
      <c r="F31" s="24">
        <v>1996</v>
      </c>
      <c r="G31" s="24">
        <v>82</v>
      </c>
      <c r="H31" s="89">
        <v>15</v>
      </c>
      <c r="I31" s="85" t="s">
        <v>177</v>
      </c>
      <c r="J31" s="86" t="s">
        <v>179</v>
      </c>
      <c r="K31" s="33">
        <v>1</v>
      </c>
      <c r="L31" s="36">
        <f t="shared" si="0"/>
        <v>6.666666666666667</v>
      </c>
      <c r="M31" s="33"/>
      <c r="N31" s="36" t="str">
        <f t="shared" si="1"/>
        <v/>
      </c>
      <c r="O31" s="33"/>
      <c r="P31" s="36" t="str">
        <f t="shared" si="2"/>
        <v/>
      </c>
      <c r="Q31" s="33"/>
      <c r="R31" s="36" t="str">
        <f t="shared" si="3"/>
        <v/>
      </c>
      <c r="S31" s="33"/>
      <c r="T31" s="36" t="str">
        <f t="shared" si="4"/>
        <v/>
      </c>
      <c r="U31" s="76">
        <v>1</v>
      </c>
      <c r="V31" s="36">
        <f t="shared" si="5"/>
        <v>6.666666666666667</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23" t="s">
        <v>347</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0"/>
      <c r="B32" s="83"/>
      <c r="C32" s="24" t="s">
        <v>85</v>
      </c>
      <c r="D32" s="23" t="s">
        <v>272</v>
      </c>
      <c r="E32" s="23" t="s">
        <v>273</v>
      </c>
      <c r="F32" s="24">
        <v>2016</v>
      </c>
      <c r="H32" s="89">
        <v>49</v>
      </c>
      <c r="I32" s="85" t="s">
        <v>348</v>
      </c>
      <c r="J32" s="86" t="s">
        <v>195</v>
      </c>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ref="X32:X37" si="26">IF((ISERROR((W32/$H32)*100)), "", IF(AND(NOT(ISERROR((W32/$H32)*100)),((W32/$H32)*100) &lt;&gt; 0), (W32/$H32)*100, ""))</f>
        <v/>
      </c>
      <c r="Y32" s="33"/>
      <c r="Z32" s="36" t="str">
        <f t="shared" ref="Z32:Z37" si="27">IF((ISERROR((Y32/$H32)*100)), "", IF(AND(NOT(ISERROR((Y32/$H32)*100)),((Y32/$H32)*100) &lt;&gt; 0), (Y32/$H32)*100, ""))</f>
        <v/>
      </c>
      <c r="AA32" s="33"/>
      <c r="AB32" s="36" t="str">
        <f t="shared" ref="AB32:AB37" si="28">IF((ISERROR((AA32/$H32)*100)), "", IF(AND(NOT(ISERROR((AA32/$H32)*100)),((AA32/$H32)*100) &lt;&gt; 0), (AA32/$H32)*100, ""))</f>
        <v/>
      </c>
      <c r="AC32" s="33"/>
      <c r="AD32" s="36" t="str">
        <f t="shared" ref="AD32:AD37" si="29">IF((ISERROR((AC32/$H32)*100)), "", IF(AND(NOT(ISERROR((AC32/$H32)*100)),((AC32/$H32)*100) &lt;&gt; 0), (AC32/$H32)*100, ""))</f>
        <v/>
      </c>
      <c r="AE32" s="23" t="s">
        <v>349</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3"/>
      <c r="C33" s="24" t="s">
        <v>85</v>
      </c>
      <c r="D33" s="23" t="s">
        <v>86</v>
      </c>
      <c r="E33" s="23" t="s">
        <v>56</v>
      </c>
      <c r="F33" s="24">
        <v>2014</v>
      </c>
      <c r="G33" s="24">
        <v>41</v>
      </c>
      <c r="H33" s="89">
        <v>20</v>
      </c>
      <c r="I33" s="85" t="s">
        <v>180</v>
      </c>
      <c r="J33" s="86"/>
      <c r="K33" s="33"/>
      <c r="L33" s="36" t="str">
        <f t="shared" si="0"/>
        <v/>
      </c>
      <c r="M33" s="33"/>
      <c r="N33" s="36" t="str">
        <f t="shared" si="1"/>
        <v/>
      </c>
      <c r="O33" s="33"/>
      <c r="P33" s="36" t="str">
        <f t="shared" si="2"/>
        <v/>
      </c>
      <c r="Q33" s="33"/>
      <c r="R33" s="36" t="str">
        <f t="shared" si="3"/>
        <v/>
      </c>
      <c r="S33" s="38"/>
      <c r="T33" s="39" t="str">
        <f t="shared" si="4"/>
        <v/>
      </c>
      <c r="U33" s="76"/>
      <c r="V33" s="36" t="str">
        <f t="shared" si="5"/>
        <v/>
      </c>
      <c r="W33" s="33"/>
      <c r="X33" s="36" t="str">
        <f t="shared" si="26"/>
        <v/>
      </c>
      <c r="Y33" s="33"/>
      <c r="Z33" s="36" t="str">
        <f t="shared" si="27"/>
        <v/>
      </c>
      <c r="AA33" s="33"/>
      <c r="AB33" s="36" t="str">
        <f t="shared" si="28"/>
        <v/>
      </c>
      <c r="AC33" s="33"/>
      <c r="AD33" s="36" t="str">
        <f t="shared" si="29"/>
        <v/>
      </c>
      <c r="AE33" s="23" t="s">
        <v>350</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1"/>
      <c r="B34" s="24"/>
      <c r="C34" s="24" t="s">
        <v>85</v>
      </c>
      <c r="D34" s="23" t="s">
        <v>57</v>
      </c>
      <c r="E34" s="23" t="s">
        <v>58</v>
      </c>
      <c r="F34" s="24">
        <v>2006</v>
      </c>
      <c r="G34" s="24">
        <v>132</v>
      </c>
      <c r="H34" s="89">
        <v>7</v>
      </c>
      <c r="I34" s="85"/>
      <c r="J34" s="86"/>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351</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0"/>
      <c r="B35" s="83"/>
      <c r="C35" s="24" t="s">
        <v>85</v>
      </c>
      <c r="D35" s="23" t="s">
        <v>59</v>
      </c>
      <c r="E35" s="23" t="s">
        <v>60</v>
      </c>
      <c r="F35" s="24">
        <v>2009</v>
      </c>
      <c r="G35" s="24">
        <v>49</v>
      </c>
      <c r="H35" s="89">
        <v>22</v>
      </c>
      <c r="I35" s="85" t="s">
        <v>177</v>
      </c>
      <c r="J35" s="86" t="s">
        <v>191</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23" t="s">
        <v>410</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83"/>
      <c r="C36" s="24" t="s">
        <v>85</v>
      </c>
      <c r="D36" s="23" t="s">
        <v>61</v>
      </c>
      <c r="E36" s="23" t="s">
        <v>62</v>
      </c>
      <c r="F36" s="24">
        <v>2006</v>
      </c>
      <c r="G36" s="24">
        <v>144</v>
      </c>
      <c r="H36" s="89">
        <v>25</v>
      </c>
      <c r="I36" s="85"/>
      <c r="J36" s="86" t="s">
        <v>192</v>
      </c>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 t="shared" si="26"/>
        <v/>
      </c>
      <c r="Y36" s="33"/>
      <c r="Z36" s="36" t="str">
        <f t="shared" si="27"/>
        <v/>
      </c>
      <c r="AA36" s="33"/>
      <c r="AB36" s="36" t="str">
        <f t="shared" si="28"/>
        <v/>
      </c>
      <c r="AC36" s="33"/>
      <c r="AD36" s="36" t="str">
        <f t="shared" si="29"/>
        <v/>
      </c>
      <c r="AE36" s="23" t="s">
        <v>182</v>
      </c>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1"/>
      <c r="B37" s="24"/>
      <c r="D37" s="23" t="s">
        <v>274</v>
      </c>
      <c r="E37" s="23" t="s">
        <v>275</v>
      </c>
      <c r="F37" s="24">
        <v>2004</v>
      </c>
      <c r="H37" s="89"/>
      <c r="I37" s="85"/>
      <c r="J37" s="86"/>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 t="shared" si="26"/>
        <v/>
      </c>
      <c r="Y37" s="33"/>
      <c r="Z37" s="36" t="str">
        <f t="shared" si="27"/>
        <v/>
      </c>
      <c r="AA37" s="33"/>
      <c r="AB37" s="36" t="str">
        <f t="shared" si="28"/>
        <v/>
      </c>
      <c r="AC37" s="33"/>
      <c r="AD37" s="36" t="str">
        <f t="shared" si="29"/>
        <v/>
      </c>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82"/>
      <c r="C38" s="24" t="s">
        <v>85</v>
      </c>
      <c r="D38" s="23" t="s">
        <v>276</v>
      </c>
      <c r="E38" s="23" t="s">
        <v>277</v>
      </c>
      <c r="F38" s="24">
        <v>2014</v>
      </c>
      <c r="H38" s="89">
        <v>39</v>
      </c>
      <c r="I38" s="85" t="s">
        <v>411</v>
      </c>
      <c r="J38" s="86" t="s">
        <v>346</v>
      </c>
      <c r="K38" s="33">
        <v>22</v>
      </c>
      <c r="L38" s="36">
        <f t="shared" si="0"/>
        <v>56.410256410256409</v>
      </c>
      <c r="M38" s="33"/>
      <c r="N38" s="36" t="str">
        <f t="shared" si="1"/>
        <v/>
      </c>
      <c r="O38" s="33"/>
      <c r="P38" s="36" t="str">
        <f t="shared" si="2"/>
        <v/>
      </c>
      <c r="Q38" s="33"/>
      <c r="R38" s="36" t="str">
        <f t="shared" si="3"/>
        <v/>
      </c>
      <c r="S38" s="33">
        <v>22</v>
      </c>
      <c r="T38" s="36">
        <f t="shared" si="4"/>
        <v>56.410256410256409</v>
      </c>
      <c r="U38" s="76"/>
      <c r="V38" s="36" t="str">
        <f t="shared" si="5"/>
        <v/>
      </c>
      <c r="W38" s="33">
        <v>23</v>
      </c>
      <c r="X38" s="36">
        <f t="shared" ref="X38:X43" si="30">IF((ISERROR((W38/$H38)*100)), "", IF(AND(NOT(ISERROR((W38/$H38)*100)),((W38/$H38)*100) &lt;&gt; 0), (W38/$H38)*100, ""))</f>
        <v>58.974358974358978</v>
      </c>
      <c r="Y38" s="33"/>
      <c r="Z38" s="36" t="str">
        <f t="shared" ref="Z38:Z43" si="31">IF((ISERROR((Y38/$H38)*100)), "", IF(AND(NOT(ISERROR((Y38/$H38)*100)),((Y38/$H38)*100) &lt;&gt; 0), (Y38/$H38)*100, ""))</f>
        <v/>
      </c>
      <c r="AA38" s="33"/>
      <c r="AB38" s="36" t="str">
        <f t="shared" ref="AB38:AB43" si="32">IF((ISERROR((AA38/$H38)*100)), "", IF(AND(NOT(ISERROR((AA38/$H38)*100)),((AA38/$H38)*100) &lt;&gt; 0), (AA38/$H38)*100, ""))</f>
        <v/>
      </c>
      <c r="AC38" s="33"/>
      <c r="AD38" s="36" t="str">
        <f t="shared" ref="AD38:AD43" si="33">IF((ISERROR((AC38/$H38)*100)), "", IF(AND(NOT(ISERROR((AC38/$H38)*100)),((AC38/$H38)*100) &lt;&gt; 0), (AC38/$H38)*100, ""))</f>
        <v/>
      </c>
      <c r="AE38" s="23" t="s">
        <v>352</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0"/>
      <c r="B39" s="24"/>
      <c r="C39" s="24" t="s">
        <v>85</v>
      </c>
      <c r="D39" s="23" t="s">
        <v>278</v>
      </c>
      <c r="E39" s="23" t="s">
        <v>279</v>
      </c>
      <c r="F39" s="24">
        <v>2015</v>
      </c>
      <c r="H39" s="89">
        <v>8</v>
      </c>
      <c r="I39" s="85" t="s">
        <v>216</v>
      </c>
      <c r="J39" s="86" t="s">
        <v>353</v>
      </c>
      <c r="K39" s="33"/>
      <c r="L39" s="36" t="str">
        <f t="shared" si="0"/>
        <v/>
      </c>
      <c r="M39" s="33"/>
      <c r="N39" s="36" t="str">
        <f t="shared" si="1"/>
        <v/>
      </c>
      <c r="O39" s="33"/>
      <c r="P39" s="36" t="str">
        <f t="shared" si="2"/>
        <v/>
      </c>
      <c r="Q39" s="33"/>
      <c r="R39" s="36" t="str">
        <f t="shared" si="3"/>
        <v/>
      </c>
      <c r="S39" s="33">
        <v>2</v>
      </c>
      <c r="T39" s="36">
        <f t="shared" si="4"/>
        <v>25</v>
      </c>
      <c r="U39" s="76"/>
      <c r="V39" s="36" t="str">
        <f t="shared" si="5"/>
        <v/>
      </c>
      <c r="W39" s="33"/>
      <c r="X39" s="36" t="str">
        <f t="shared" si="30"/>
        <v/>
      </c>
      <c r="Y39" s="33"/>
      <c r="Z39" s="36" t="str">
        <f t="shared" si="31"/>
        <v/>
      </c>
      <c r="AA39" s="33"/>
      <c r="AB39" s="36" t="str">
        <f t="shared" si="32"/>
        <v/>
      </c>
      <c r="AC39" s="33"/>
      <c r="AD39" s="36" t="str">
        <f t="shared" si="33"/>
        <v/>
      </c>
      <c r="AE39" s="23" t="s">
        <v>412</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1"/>
      <c r="B40" s="82"/>
      <c r="C40" s="24" t="s">
        <v>85</v>
      </c>
      <c r="D40" s="23" t="s">
        <v>280</v>
      </c>
      <c r="E40" s="23" t="s">
        <v>281</v>
      </c>
      <c r="F40" s="24">
        <v>2001</v>
      </c>
      <c r="H40" s="89">
        <v>9</v>
      </c>
      <c r="I40" s="85"/>
      <c r="J40" s="86" t="s">
        <v>354</v>
      </c>
      <c r="K40" s="33"/>
      <c r="L40" s="36" t="str">
        <f t="shared" si="0"/>
        <v/>
      </c>
      <c r="M40" s="33"/>
      <c r="N40" s="36" t="str">
        <f t="shared" si="1"/>
        <v/>
      </c>
      <c r="O40" s="33"/>
      <c r="P40" s="36" t="str">
        <f t="shared" si="2"/>
        <v/>
      </c>
      <c r="Q40" s="33"/>
      <c r="R40" s="36" t="str">
        <f t="shared" si="3"/>
        <v/>
      </c>
      <c r="S40" s="33"/>
      <c r="T40" s="36" t="str">
        <f t="shared" si="4"/>
        <v/>
      </c>
      <c r="U40" s="40"/>
      <c r="V40" s="39" t="str">
        <f t="shared" si="5"/>
        <v/>
      </c>
      <c r="W40" s="33"/>
      <c r="X40" s="36" t="str">
        <f t="shared" si="30"/>
        <v/>
      </c>
      <c r="Y40" s="33"/>
      <c r="Z40" s="36" t="str">
        <f t="shared" si="31"/>
        <v/>
      </c>
      <c r="AA40" s="33"/>
      <c r="AB40" s="36" t="str">
        <f t="shared" si="32"/>
        <v/>
      </c>
      <c r="AC40" s="33"/>
      <c r="AD40" s="36" t="str">
        <f t="shared" si="33"/>
        <v/>
      </c>
      <c r="AE40" s="23" t="s">
        <v>355</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2"/>
      <c r="C41" s="24" t="s">
        <v>85</v>
      </c>
      <c r="D41" s="23" t="s">
        <v>63</v>
      </c>
      <c r="E41" s="23" t="s">
        <v>64</v>
      </c>
      <c r="F41" s="24">
        <v>2012</v>
      </c>
      <c r="G41" s="24">
        <v>83</v>
      </c>
      <c r="H41" s="89">
        <v>70</v>
      </c>
      <c r="I41" s="85" t="s">
        <v>183</v>
      </c>
      <c r="J41" s="86" t="s">
        <v>193</v>
      </c>
      <c r="K41" s="33"/>
      <c r="L41" s="36" t="str">
        <f t="shared" si="0"/>
        <v/>
      </c>
      <c r="M41" s="33"/>
      <c r="N41" s="36" t="str">
        <f t="shared" si="1"/>
        <v/>
      </c>
      <c r="O41" s="33"/>
      <c r="P41" s="36" t="str">
        <f t="shared" si="2"/>
        <v/>
      </c>
      <c r="Q41" s="33"/>
      <c r="R41" s="36" t="str">
        <f t="shared" si="3"/>
        <v/>
      </c>
      <c r="S41" s="33">
        <v>9</v>
      </c>
      <c r="T41" s="36">
        <f t="shared" si="4"/>
        <v>12.857142857142856</v>
      </c>
      <c r="U41" s="76">
        <v>31</v>
      </c>
      <c r="V41" s="36">
        <f t="shared" si="5"/>
        <v>44.285714285714285</v>
      </c>
      <c r="W41" s="33">
        <v>8</v>
      </c>
      <c r="X41" s="36">
        <f t="shared" si="30"/>
        <v>11.428571428571429</v>
      </c>
      <c r="Y41" s="33"/>
      <c r="Z41" s="36" t="str">
        <f t="shared" si="31"/>
        <v/>
      </c>
      <c r="AA41" s="33"/>
      <c r="AB41" s="36" t="str">
        <f t="shared" si="32"/>
        <v/>
      </c>
      <c r="AC41" s="33"/>
      <c r="AD41" s="36" t="str">
        <f t="shared" si="33"/>
        <v/>
      </c>
      <c r="AE41" s="23" t="s">
        <v>418</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4"/>
      <c r="C42" s="24" t="s">
        <v>85</v>
      </c>
      <c r="D42" s="23" t="s">
        <v>69</v>
      </c>
      <c r="E42" s="23" t="s">
        <v>70</v>
      </c>
      <c r="F42" s="24">
        <v>2004</v>
      </c>
      <c r="G42" s="24">
        <v>61</v>
      </c>
      <c r="H42" s="89">
        <v>15</v>
      </c>
      <c r="I42" s="85" t="s">
        <v>185</v>
      </c>
      <c r="J42" s="86" t="s">
        <v>194</v>
      </c>
      <c r="K42" s="33"/>
      <c r="L42" s="36" t="str">
        <f t="shared" si="0"/>
        <v/>
      </c>
      <c r="M42" s="33"/>
      <c r="N42" s="36" t="str">
        <f t="shared" si="1"/>
        <v/>
      </c>
      <c r="O42" s="33"/>
      <c r="P42" s="36" t="str">
        <f t="shared" si="2"/>
        <v/>
      </c>
      <c r="Q42" s="33"/>
      <c r="R42" s="36" t="str">
        <f t="shared" si="3"/>
        <v/>
      </c>
      <c r="S42" s="33"/>
      <c r="T42" s="36" t="str">
        <f t="shared" si="4"/>
        <v/>
      </c>
      <c r="U42" s="76">
        <v>13</v>
      </c>
      <c r="V42" s="36">
        <f t="shared" si="5"/>
        <v>86.666666666666671</v>
      </c>
      <c r="W42" s="33"/>
      <c r="X42" s="36" t="str">
        <f t="shared" si="30"/>
        <v/>
      </c>
      <c r="Y42" s="33"/>
      <c r="Z42" s="36" t="str">
        <f t="shared" si="31"/>
        <v/>
      </c>
      <c r="AA42" s="33"/>
      <c r="AB42" s="36" t="str">
        <f t="shared" si="32"/>
        <v/>
      </c>
      <c r="AC42" s="33"/>
      <c r="AD42" s="36" t="str">
        <f t="shared" si="33"/>
        <v/>
      </c>
      <c r="AE42" s="23" t="s">
        <v>419</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3"/>
      <c r="C43" s="50" t="s">
        <v>85</v>
      </c>
      <c r="D43" s="49" t="s">
        <v>71</v>
      </c>
      <c r="E43" s="49" t="s">
        <v>70</v>
      </c>
      <c r="F43" s="50">
        <v>2004</v>
      </c>
      <c r="G43" s="50">
        <v>45</v>
      </c>
      <c r="H43" s="89">
        <v>15</v>
      </c>
      <c r="I43" s="85" t="s">
        <v>185</v>
      </c>
      <c r="J43" s="86" t="s">
        <v>194</v>
      </c>
      <c r="K43" s="33"/>
      <c r="L43" s="36" t="str">
        <f t="shared" ref="L43:L74" si="34">IF((ISERROR((K43/$H43)*100)), "", IF(AND(NOT(ISERROR((K43/$H43)*100)),((K43/$H43)*100) &lt;&gt; 0), (K43/$H43)*100, ""))</f>
        <v/>
      </c>
      <c r="M43" s="33"/>
      <c r="N43" s="36" t="str">
        <f t="shared" ref="N43:N74" si="35">IF((ISERROR((M43/$H43)*100)), "", IF(AND(NOT(ISERROR((M43/$H43)*100)),((M43/$H43)*100) &lt;&gt; 0), (M43/$H43)*100, ""))</f>
        <v/>
      </c>
      <c r="O43" s="33"/>
      <c r="P43" s="36" t="str">
        <f t="shared" ref="P43:P74" si="36">IF((ISERROR((O43/$H43)*100)), "", IF(AND(NOT(ISERROR((O43/$H43)*100)),((O43/$H43)*100) &lt;&gt; 0), (O43/$H43)*100, ""))</f>
        <v/>
      </c>
      <c r="Q43" s="33"/>
      <c r="R43" s="36" t="str">
        <f t="shared" ref="R43:R74" si="37">IF((ISERROR((Q43/$H43)*100)), "", IF(AND(NOT(ISERROR((Q43/$H43)*100)),((Q43/$H43)*100) &lt;&gt; 0), (Q43/$H43)*100, ""))</f>
        <v/>
      </c>
      <c r="S43" s="33"/>
      <c r="T43" s="36" t="str">
        <f t="shared" ref="T43:T74" si="38">IF((ISERROR((S43/$H43)*100)), "", IF(AND(NOT(ISERROR((S43/$H43)*100)),((S43/$H43)*100) &lt;&gt; 0), (S43/$H43)*100, ""))</f>
        <v/>
      </c>
      <c r="U43" s="76"/>
      <c r="V43" s="36" t="str">
        <f t="shared" ref="V43:V65" si="39">IF((ISERROR((U43/$H43)*100)), "", IF(AND(NOT(ISERROR((U43/$H43)*100)),((U43/$H43)*100) &lt;&gt; 0), (U43/$H43)*100, ""))</f>
        <v/>
      </c>
      <c r="W43" s="33"/>
      <c r="X43" s="36" t="str">
        <f t="shared" si="30"/>
        <v/>
      </c>
      <c r="Y43" s="33"/>
      <c r="Z43" s="36" t="str">
        <f t="shared" si="31"/>
        <v/>
      </c>
      <c r="AA43" s="33"/>
      <c r="AB43" s="36" t="str">
        <f t="shared" si="32"/>
        <v/>
      </c>
      <c r="AC43" s="33"/>
      <c r="AD43" s="36" t="str">
        <f t="shared" si="33"/>
        <v/>
      </c>
      <c r="AE43" s="23" t="s">
        <v>420</v>
      </c>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2"/>
      <c r="D44" s="23" t="s">
        <v>282</v>
      </c>
      <c r="E44" s="23" t="s">
        <v>285</v>
      </c>
      <c r="F44" s="24">
        <v>2008</v>
      </c>
      <c r="H44" s="89"/>
      <c r="I44" s="85"/>
      <c r="J44" s="86" t="s">
        <v>356</v>
      </c>
      <c r="K44" s="33"/>
      <c r="L44" s="36" t="str">
        <f t="shared" si="34"/>
        <v/>
      </c>
      <c r="M44" s="33"/>
      <c r="N44" s="36" t="str">
        <f t="shared" si="35"/>
        <v/>
      </c>
      <c r="O44" s="33"/>
      <c r="P44" s="36" t="str">
        <f t="shared" si="36"/>
        <v/>
      </c>
      <c r="Q44" s="33"/>
      <c r="R44" s="36" t="str">
        <f t="shared" si="37"/>
        <v/>
      </c>
      <c r="S44" s="33">
        <v>2</v>
      </c>
      <c r="T44" s="36" t="str">
        <f t="shared" si="38"/>
        <v/>
      </c>
      <c r="U44" s="76"/>
      <c r="V44" s="36" t="str">
        <f t="shared" si="39"/>
        <v/>
      </c>
      <c r="W44" s="33"/>
      <c r="X44" s="36" t="str">
        <f t="shared" ref="X44" si="40">IF((ISERROR((W44/$H44)*100)), "", IF(AND(NOT(ISERROR((W44/$H44)*100)),((W44/$H44)*100) &lt;&gt; 0), (W44/$H44)*100, ""))</f>
        <v/>
      </c>
      <c r="Y44" s="33"/>
      <c r="Z44" s="36" t="str">
        <f t="shared" ref="Z44" si="41">IF((ISERROR((Y44/$H44)*100)), "", IF(AND(NOT(ISERROR((Y44/$H44)*100)),((Y44/$H44)*100) &lt;&gt; 0), (Y44/$H44)*100, ""))</f>
        <v/>
      </c>
      <c r="AA44" s="33"/>
      <c r="AB44" s="36" t="str">
        <f t="shared" ref="AB44" si="42">IF((ISERROR((AA44/$H44)*100)), "", IF(AND(NOT(ISERROR((AA44/$H44)*100)),((AA44/$H44)*100) &lt;&gt; 0), (AA44/$H44)*100, ""))</f>
        <v/>
      </c>
      <c r="AC44" s="33"/>
      <c r="AD44" s="36" t="str">
        <f t="shared" ref="AD44" si="43">IF((ISERROR((AC44/$H44)*100)), "", IF(AND(NOT(ISERROR((AC44/$H44)*100)),((AC44/$H44)*100) &lt;&gt; 0), (AC44/$H44)*100, ""))</f>
        <v/>
      </c>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0"/>
      <c r="B45" s="83"/>
      <c r="C45" s="24" t="s">
        <v>85</v>
      </c>
      <c r="D45" s="23" t="s">
        <v>283</v>
      </c>
      <c r="E45" s="23" t="s">
        <v>284</v>
      </c>
      <c r="F45" s="24">
        <v>2013</v>
      </c>
      <c r="H45" s="89">
        <v>23</v>
      </c>
      <c r="I45" s="85"/>
      <c r="J45" s="86"/>
      <c r="K45" s="33"/>
      <c r="L45" s="36" t="str">
        <f t="shared" si="34"/>
        <v/>
      </c>
      <c r="M45" s="33"/>
      <c r="N45" s="36" t="str">
        <f t="shared" si="35"/>
        <v/>
      </c>
      <c r="O45" s="33"/>
      <c r="P45" s="36" t="str">
        <f t="shared" si="36"/>
        <v/>
      </c>
      <c r="Q45" s="33"/>
      <c r="R45" s="36" t="str">
        <f t="shared" si="37"/>
        <v/>
      </c>
      <c r="S45" s="33"/>
      <c r="T45" s="36" t="str">
        <f t="shared" si="38"/>
        <v/>
      </c>
      <c r="U45" s="76"/>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421</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1"/>
      <c r="B46" s="24"/>
      <c r="C46" s="50" t="s">
        <v>85</v>
      </c>
      <c r="D46" s="49" t="s">
        <v>357</v>
      </c>
      <c r="E46" s="49" t="s">
        <v>72</v>
      </c>
      <c r="F46" s="50">
        <v>2014</v>
      </c>
      <c r="G46" s="50">
        <v>23</v>
      </c>
      <c r="H46" s="89">
        <v>28</v>
      </c>
      <c r="I46" s="85" t="s">
        <v>186</v>
      </c>
      <c r="J46" s="86" t="s">
        <v>195</v>
      </c>
      <c r="K46" s="33"/>
      <c r="L46" s="36" t="str">
        <f t="shared" si="34"/>
        <v/>
      </c>
      <c r="M46" s="33"/>
      <c r="N46" s="36" t="str">
        <f t="shared" si="35"/>
        <v/>
      </c>
      <c r="O46" s="33"/>
      <c r="P46" s="36" t="str">
        <f t="shared" si="36"/>
        <v/>
      </c>
      <c r="Q46" s="33"/>
      <c r="R46" s="36" t="str">
        <f t="shared" si="37"/>
        <v/>
      </c>
      <c r="S46" s="33"/>
      <c r="T46" s="36" t="str">
        <f t="shared" si="38"/>
        <v/>
      </c>
      <c r="U46" s="76"/>
      <c r="V46" s="36" t="str">
        <f t="shared" si="3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422</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2"/>
      <c r="C47" s="24" t="s">
        <v>85</v>
      </c>
      <c r="D47" s="23" t="s">
        <v>286</v>
      </c>
      <c r="E47" s="23" t="s">
        <v>287</v>
      </c>
      <c r="F47" s="24">
        <v>2014</v>
      </c>
      <c r="H47" s="89">
        <v>28</v>
      </c>
      <c r="I47" s="85" t="s">
        <v>186</v>
      </c>
      <c r="J47" s="86" t="s">
        <v>195</v>
      </c>
      <c r="K47" s="33"/>
      <c r="L47" s="36" t="str">
        <f t="shared" si="34"/>
        <v/>
      </c>
      <c r="M47" s="33"/>
      <c r="N47" s="36" t="str">
        <f t="shared" si="35"/>
        <v/>
      </c>
      <c r="O47" s="33"/>
      <c r="P47" s="36" t="str">
        <f t="shared" si="36"/>
        <v/>
      </c>
      <c r="Q47" s="33"/>
      <c r="R47" s="36" t="str">
        <f t="shared" si="37"/>
        <v/>
      </c>
      <c r="S47" s="33"/>
      <c r="T47" s="36" t="str">
        <f t="shared" si="38"/>
        <v/>
      </c>
      <c r="U47" s="76">
        <v>3</v>
      </c>
      <c r="V47" s="36">
        <f t="shared" si="39"/>
        <v>10.714285714285714</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23" t="s">
        <v>358</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1"/>
      <c r="B48" s="24"/>
      <c r="C48" s="24" t="s">
        <v>85</v>
      </c>
      <c r="D48" s="23" t="s">
        <v>77</v>
      </c>
      <c r="E48" s="23" t="s">
        <v>78</v>
      </c>
      <c r="F48" s="24">
        <v>2009</v>
      </c>
      <c r="G48" s="24">
        <v>134</v>
      </c>
      <c r="H48" s="89">
        <v>94</v>
      </c>
      <c r="I48" s="85"/>
      <c r="J48" s="86"/>
      <c r="K48" s="33"/>
      <c r="L48" s="36" t="str">
        <f t="shared" si="34"/>
        <v/>
      </c>
      <c r="M48" s="33"/>
      <c r="N48" s="36" t="str">
        <f t="shared" si="35"/>
        <v/>
      </c>
      <c r="O48" s="33"/>
      <c r="P48" s="36" t="str">
        <f t="shared" si="36"/>
        <v/>
      </c>
      <c r="Q48" s="33"/>
      <c r="R48" s="36" t="str">
        <f t="shared" si="37"/>
        <v/>
      </c>
      <c r="S48" s="33"/>
      <c r="T48" s="36" t="str">
        <f t="shared" si="38"/>
        <v/>
      </c>
      <c r="U48" s="76"/>
      <c r="V48" s="36" t="str">
        <f t="shared" si="39"/>
        <v/>
      </c>
      <c r="W48" s="33"/>
      <c r="X48" s="36" t="str">
        <f t="shared" ref="X48:X56" si="44">IF((ISERROR((W48/$H48)*100)), "", IF(AND(NOT(ISERROR((W48/$H48)*100)),((W48/$H48)*100) &lt;&gt; 0), (W48/$H48)*100, ""))</f>
        <v/>
      </c>
      <c r="Y48" s="33"/>
      <c r="Z48" s="36" t="str">
        <f t="shared" ref="Z48:Z56" si="45">IF((ISERROR((Y48/$H48)*100)), "", IF(AND(NOT(ISERROR((Y48/$H48)*100)),((Y48/$H48)*100) &lt;&gt; 0), (Y48/$H48)*100, ""))</f>
        <v/>
      </c>
      <c r="AA48" s="33"/>
      <c r="AB48" s="36" t="str">
        <f t="shared" ref="AB48:AB56" si="46">IF((ISERROR((AA48/$H48)*100)), "", IF(AND(NOT(ISERROR((AA48/$H48)*100)),((AA48/$H48)*100) &lt;&gt; 0), (AA48/$H48)*100, ""))</f>
        <v/>
      </c>
      <c r="AC48" s="33"/>
      <c r="AD48" s="36" t="str">
        <f t="shared" ref="AD48:AD56" si="47">IF((ISERROR((AC48/$H48)*100)), "", IF(AND(NOT(ISERROR((AC48/$H48)*100)),((AC48/$H48)*100) &lt;&gt; 0), (AC48/$H48)*100, ""))</f>
        <v/>
      </c>
      <c r="AE48" s="23" t="s">
        <v>189</v>
      </c>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3"/>
      <c r="C49" s="24" t="s">
        <v>85</v>
      </c>
      <c r="D49" s="23" t="s">
        <v>288</v>
      </c>
      <c r="E49" s="23" t="s">
        <v>289</v>
      </c>
      <c r="F49" s="24">
        <v>2011</v>
      </c>
      <c r="H49" s="89">
        <v>4</v>
      </c>
      <c r="I49" s="85"/>
      <c r="J49" s="86"/>
      <c r="K49" s="33"/>
      <c r="L49" s="36" t="str">
        <f t="shared" si="34"/>
        <v/>
      </c>
      <c r="M49" s="33"/>
      <c r="N49" s="36" t="str">
        <f t="shared" si="35"/>
        <v/>
      </c>
      <c r="O49" s="33"/>
      <c r="P49" s="36" t="str">
        <f t="shared" si="36"/>
        <v/>
      </c>
      <c r="Q49" s="33"/>
      <c r="R49" s="36" t="str">
        <f t="shared" si="37"/>
        <v/>
      </c>
      <c r="S49" s="33"/>
      <c r="T49" s="36" t="str">
        <f t="shared" si="38"/>
        <v/>
      </c>
      <c r="U49" s="76"/>
      <c r="V49" s="36" t="str">
        <f t="shared" si="39"/>
        <v/>
      </c>
      <c r="W49" s="33"/>
      <c r="X49" s="36" t="str">
        <f t="shared" si="44"/>
        <v/>
      </c>
      <c r="Y49" s="33"/>
      <c r="Z49" s="36" t="str">
        <f t="shared" si="45"/>
        <v/>
      </c>
      <c r="AA49" s="33"/>
      <c r="AB49" s="36" t="str">
        <f t="shared" si="46"/>
        <v/>
      </c>
      <c r="AC49" s="33"/>
      <c r="AD49" s="36" t="str">
        <f t="shared" si="47"/>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3"/>
      <c r="C50" s="24" t="s">
        <v>85</v>
      </c>
      <c r="D50" s="23" t="s">
        <v>290</v>
      </c>
      <c r="E50" s="23" t="s">
        <v>291</v>
      </c>
      <c r="F50" s="24">
        <v>2015</v>
      </c>
      <c r="H50" s="89">
        <v>10</v>
      </c>
      <c r="I50" s="85" t="s">
        <v>348</v>
      </c>
      <c r="J50" s="86" t="s">
        <v>359</v>
      </c>
      <c r="K50" s="33"/>
      <c r="L50" s="36" t="str">
        <f t="shared" si="34"/>
        <v/>
      </c>
      <c r="M50" s="33"/>
      <c r="N50" s="36" t="str">
        <f t="shared" si="35"/>
        <v/>
      </c>
      <c r="O50" s="33"/>
      <c r="P50" s="36" t="str">
        <f t="shared" si="36"/>
        <v/>
      </c>
      <c r="Q50" s="33"/>
      <c r="R50" s="36" t="str">
        <f t="shared" si="37"/>
        <v/>
      </c>
      <c r="S50" s="33"/>
      <c r="T50" s="36" t="str">
        <f t="shared" si="38"/>
        <v/>
      </c>
      <c r="U50" s="76"/>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0"/>
      <c r="B51" s="82"/>
      <c r="C51" s="24" t="s">
        <v>85</v>
      </c>
      <c r="D51" s="23" t="s">
        <v>79</v>
      </c>
      <c r="E51" s="23" t="s">
        <v>80</v>
      </c>
      <c r="F51" s="24">
        <v>2015</v>
      </c>
      <c r="G51" s="24">
        <v>10</v>
      </c>
      <c r="H51" s="89">
        <v>11</v>
      </c>
      <c r="I51" s="85" t="s">
        <v>197</v>
      </c>
      <c r="J51" s="86" t="s">
        <v>169</v>
      </c>
      <c r="K51" s="33"/>
      <c r="L51" s="36" t="str">
        <f t="shared" si="34"/>
        <v/>
      </c>
      <c r="M51" s="33"/>
      <c r="N51" s="36" t="str">
        <f t="shared" si="35"/>
        <v/>
      </c>
      <c r="O51" s="33"/>
      <c r="P51" s="36" t="str">
        <f t="shared" si="36"/>
        <v/>
      </c>
      <c r="Q51" s="33"/>
      <c r="R51" s="36" t="str">
        <f t="shared" si="37"/>
        <v/>
      </c>
      <c r="S51" s="33"/>
      <c r="T51" s="36" t="str">
        <f t="shared" si="38"/>
        <v/>
      </c>
      <c r="U51" s="76"/>
      <c r="V51" s="36" t="str">
        <f t="shared" si="3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23" t="s">
        <v>196</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1"/>
      <c r="B52" s="83"/>
      <c r="C52" s="24" t="s">
        <v>85</v>
      </c>
      <c r="D52" s="23" t="s">
        <v>81</v>
      </c>
      <c r="E52" s="23" t="s">
        <v>82</v>
      </c>
      <c r="F52" s="24">
        <v>1994</v>
      </c>
      <c r="G52" s="24">
        <v>292</v>
      </c>
      <c r="H52" s="89">
        <v>15</v>
      </c>
      <c r="I52" s="85" t="s">
        <v>198</v>
      </c>
      <c r="J52" s="86"/>
      <c r="K52" s="33"/>
      <c r="L52" s="36" t="str">
        <f t="shared" si="34"/>
        <v/>
      </c>
      <c r="M52" s="33"/>
      <c r="N52" s="36" t="str">
        <f t="shared" si="35"/>
        <v/>
      </c>
      <c r="O52" s="33"/>
      <c r="P52" s="36" t="str">
        <f t="shared" si="36"/>
        <v/>
      </c>
      <c r="Q52" s="33"/>
      <c r="R52" s="36" t="str">
        <f t="shared" si="37"/>
        <v/>
      </c>
      <c r="S52" s="33"/>
      <c r="T52" s="36" t="str">
        <f t="shared" si="38"/>
        <v/>
      </c>
      <c r="U52" s="76"/>
      <c r="V52" s="36" t="str">
        <f t="shared" si="39"/>
        <v/>
      </c>
      <c r="W52" s="33"/>
      <c r="X52" s="36" t="str">
        <f t="shared" si="44"/>
        <v/>
      </c>
      <c r="Y52" s="33"/>
      <c r="Z52" s="36" t="str">
        <f t="shared" si="45"/>
        <v/>
      </c>
      <c r="AA52" s="33"/>
      <c r="AB52" s="36" t="str">
        <f t="shared" si="46"/>
        <v/>
      </c>
      <c r="AC52" s="33"/>
      <c r="AD52" s="36" t="str">
        <f t="shared" si="47"/>
        <v/>
      </c>
      <c r="AE52" s="23" t="s">
        <v>199</v>
      </c>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24"/>
      <c r="C53" s="24" t="s">
        <v>85</v>
      </c>
      <c r="D53" s="23" t="s">
        <v>83</v>
      </c>
      <c r="E53" s="23" t="s">
        <v>84</v>
      </c>
      <c r="F53" s="24">
        <v>2000</v>
      </c>
      <c r="G53" s="24">
        <v>146</v>
      </c>
      <c r="H53" s="89">
        <v>42</v>
      </c>
      <c r="I53" s="85" t="s">
        <v>360</v>
      </c>
      <c r="J53" s="86"/>
      <c r="K53" s="33"/>
      <c r="L53" s="36" t="str">
        <f t="shared" si="34"/>
        <v/>
      </c>
      <c r="M53" s="33"/>
      <c r="N53" s="36" t="str">
        <f t="shared" si="35"/>
        <v/>
      </c>
      <c r="O53" s="33"/>
      <c r="P53" s="36" t="str">
        <f t="shared" si="36"/>
        <v/>
      </c>
      <c r="Q53" s="33"/>
      <c r="R53" s="36" t="str">
        <f t="shared" si="37"/>
        <v/>
      </c>
      <c r="S53" s="33"/>
      <c r="T53" s="36" t="str">
        <f t="shared" si="38"/>
        <v/>
      </c>
      <c r="U53" s="76"/>
      <c r="V53" s="36" t="str">
        <f t="shared" si="39"/>
        <v/>
      </c>
      <c r="W53" s="33"/>
      <c r="X53" s="36" t="str">
        <f t="shared" si="44"/>
        <v/>
      </c>
      <c r="Y53" s="33"/>
      <c r="Z53" s="36" t="str">
        <f t="shared" si="45"/>
        <v/>
      </c>
      <c r="AA53" s="33"/>
      <c r="AB53" s="36" t="str">
        <f t="shared" si="46"/>
        <v/>
      </c>
      <c r="AC53" s="33"/>
      <c r="AD53" s="36" t="str">
        <f t="shared" si="47"/>
        <v/>
      </c>
      <c r="AE53" s="23"/>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1"/>
      <c r="B54" s="83"/>
      <c r="C54" s="50" t="s">
        <v>35</v>
      </c>
      <c r="D54" s="49" t="s">
        <v>87</v>
      </c>
      <c r="E54" s="49" t="s">
        <v>88</v>
      </c>
      <c r="F54" s="50">
        <v>1996</v>
      </c>
      <c r="G54" s="50">
        <v>187</v>
      </c>
      <c r="H54" s="89">
        <v>100</v>
      </c>
      <c r="I54" s="85" t="s">
        <v>200</v>
      </c>
      <c r="J54" s="86"/>
      <c r="K54" s="33"/>
      <c r="L54" s="36" t="str">
        <f t="shared" si="34"/>
        <v/>
      </c>
      <c r="M54" s="33"/>
      <c r="N54" s="36" t="str">
        <f t="shared" si="35"/>
        <v/>
      </c>
      <c r="O54" s="33"/>
      <c r="P54" s="36" t="str">
        <f t="shared" si="36"/>
        <v/>
      </c>
      <c r="Q54" s="33"/>
      <c r="R54" s="36" t="str">
        <f t="shared" si="37"/>
        <v/>
      </c>
      <c r="S54" s="33"/>
      <c r="T54" s="36" t="str">
        <f t="shared" si="38"/>
        <v/>
      </c>
      <c r="U54" s="76"/>
      <c r="V54" s="36" t="str">
        <f t="shared" si="39"/>
        <v/>
      </c>
      <c r="W54" s="33"/>
      <c r="X54" s="36" t="str">
        <f t="shared" si="44"/>
        <v/>
      </c>
      <c r="Y54" s="33"/>
      <c r="Z54" s="36" t="str">
        <f t="shared" si="45"/>
        <v/>
      </c>
      <c r="AA54" s="33"/>
      <c r="AB54" s="36" t="str">
        <f t="shared" si="46"/>
        <v/>
      </c>
      <c r="AC54" s="33"/>
      <c r="AD54" s="36" t="str">
        <f t="shared" si="47"/>
        <v/>
      </c>
      <c r="AE54" s="23" t="s">
        <v>201</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1"/>
      <c r="B55" s="83"/>
      <c r="C55" s="24" t="s">
        <v>85</v>
      </c>
      <c r="D55" s="23" t="s">
        <v>89</v>
      </c>
      <c r="E55" s="23" t="s">
        <v>90</v>
      </c>
      <c r="F55" s="24">
        <v>2000</v>
      </c>
      <c r="G55" s="24">
        <v>79</v>
      </c>
      <c r="H55" s="89">
        <v>10</v>
      </c>
      <c r="I55" s="85" t="s">
        <v>168</v>
      </c>
      <c r="J55" s="86"/>
      <c r="K55" s="33"/>
      <c r="L55" s="36" t="str">
        <f t="shared" si="34"/>
        <v/>
      </c>
      <c r="M55" s="33"/>
      <c r="N55" s="36" t="str">
        <f t="shared" si="35"/>
        <v/>
      </c>
      <c r="O55" s="33"/>
      <c r="P55" s="36" t="str">
        <f t="shared" si="36"/>
        <v/>
      </c>
      <c r="Q55" s="33"/>
      <c r="R55" s="36" t="str">
        <f t="shared" si="37"/>
        <v/>
      </c>
      <c r="S55" s="33"/>
      <c r="T55" s="36" t="str">
        <f t="shared" si="38"/>
        <v/>
      </c>
      <c r="U55" s="76"/>
      <c r="V55" s="36" t="str">
        <f t="shared" si="39"/>
        <v/>
      </c>
      <c r="W55" s="33"/>
      <c r="X55" s="36" t="str">
        <f t="shared" si="44"/>
        <v/>
      </c>
      <c r="Y55" s="33"/>
      <c r="Z55" s="36" t="str">
        <f t="shared" si="45"/>
        <v/>
      </c>
      <c r="AA55" s="33"/>
      <c r="AB55" s="36" t="str">
        <f t="shared" si="46"/>
        <v/>
      </c>
      <c r="AC55" s="33"/>
      <c r="AD55" s="36" t="str">
        <f t="shared" si="47"/>
        <v/>
      </c>
      <c r="AE55" s="23" t="s">
        <v>202</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0"/>
      <c r="B56" s="82"/>
      <c r="D56" s="23" t="s">
        <v>292</v>
      </c>
      <c r="E56" s="23" t="s">
        <v>293</v>
      </c>
      <c r="F56" s="24">
        <v>2005</v>
      </c>
      <c r="H56" s="89">
        <v>13</v>
      </c>
      <c r="I56" s="85" t="s">
        <v>361</v>
      </c>
      <c r="J56" s="86"/>
      <c r="K56" s="33"/>
      <c r="L56" s="36" t="str">
        <f t="shared" si="34"/>
        <v/>
      </c>
      <c r="M56" s="33">
        <v>3</v>
      </c>
      <c r="N56" s="36">
        <f t="shared" si="35"/>
        <v>23.076923076923077</v>
      </c>
      <c r="O56" s="33"/>
      <c r="P56" s="36" t="str">
        <f t="shared" si="36"/>
        <v/>
      </c>
      <c r="Q56" s="33"/>
      <c r="R56" s="36" t="str">
        <f t="shared" si="37"/>
        <v/>
      </c>
      <c r="S56" s="33"/>
      <c r="T56" s="36" t="str">
        <f t="shared" si="38"/>
        <v/>
      </c>
      <c r="U56" s="76">
        <v>1</v>
      </c>
      <c r="V56" s="36">
        <f t="shared" si="39"/>
        <v>7.6923076923076925</v>
      </c>
      <c r="W56" s="33"/>
      <c r="X56" s="36" t="str">
        <f t="shared" si="44"/>
        <v/>
      </c>
      <c r="Y56" s="33"/>
      <c r="Z56" s="36" t="str">
        <f t="shared" si="45"/>
        <v/>
      </c>
      <c r="AA56" s="33"/>
      <c r="AB56" s="36" t="str">
        <f t="shared" si="46"/>
        <v/>
      </c>
      <c r="AC56" s="33"/>
      <c r="AD56" s="36" t="str">
        <f t="shared" si="47"/>
        <v/>
      </c>
      <c r="AE56" s="23" t="s">
        <v>362</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1"/>
      <c r="B57" s="83"/>
      <c r="C57" s="24" t="s">
        <v>85</v>
      </c>
      <c r="D57" s="23" t="s">
        <v>91</v>
      </c>
      <c r="E57" s="23" t="s">
        <v>92</v>
      </c>
      <c r="F57" s="24">
        <v>2001</v>
      </c>
      <c r="G57" s="24">
        <v>170</v>
      </c>
      <c r="H57" s="89">
        <v>22</v>
      </c>
      <c r="I57" s="85" t="s">
        <v>177</v>
      </c>
      <c r="J57" s="86" t="s">
        <v>169</v>
      </c>
      <c r="K57" s="33"/>
      <c r="L57" s="36" t="str">
        <f t="shared" si="34"/>
        <v/>
      </c>
      <c r="M57" s="33"/>
      <c r="N57" s="36" t="str">
        <f t="shared" si="35"/>
        <v/>
      </c>
      <c r="O57" s="33"/>
      <c r="P57" s="36" t="str">
        <f t="shared" si="36"/>
        <v/>
      </c>
      <c r="Q57" s="33"/>
      <c r="R57" s="36" t="str">
        <f t="shared" si="37"/>
        <v/>
      </c>
      <c r="S57" s="33"/>
      <c r="T57" s="36" t="str">
        <f t="shared" si="38"/>
        <v/>
      </c>
      <c r="U57" s="76"/>
      <c r="V57" s="36" t="str">
        <f t="shared" si="39"/>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23" t="s">
        <v>182</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83"/>
      <c r="C58" s="24" t="s">
        <v>85</v>
      </c>
      <c r="D58" s="23" t="s">
        <v>294</v>
      </c>
      <c r="E58" s="23" t="s">
        <v>295</v>
      </c>
      <c r="F58" s="24">
        <v>2009</v>
      </c>
      <c r="H58" s="89">
        <v>20</v>
      </c>
      <c r="I58" s="85" t="s">
        <v>216</v>
      </c>
      <c r="J58" s="86" t="s">
        <v>193</v>
      </c>
      <c r="K58" s="33"/>
      <c r="L58" s="36" t="str">
        <f t="shared" si="34"/>
        <v/>
      </c>
      <c r="M58" s="33"/>
      <c r="N58" s="36" t="str">
        <f t="shared" si="35"/>
        <v/>
      </c>
      <c r="O58" s="33"/>
      <c r="P58" s="36" t="str">
        <f t="shared" si="36"/>
        <v/>
      </c>
      <c r="Q58" s="33"/>
      <c r="R58" s="36" t="str">
        <f t="shared" si="37"/>
        <v/>
      </c>
      <c r="S58" s="33"/>
      <c r="T58" s="36" t="str">
        <f t="shared" si="38"/>
        <v/>
      </c>
      <c r="U58" s="76"/>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363</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0"/>
      <c r="B59" s="24"/>
      <c r="C59" s="24" t="s">
        <v>85</v>
      </c>
      <c r="D59" s="23" t="s">
        <v>296</v>
      </c>
      <c r="E59" s="23" t="s">
        <v>297</v>
      </c>
      <c r="F59" s="24">
        <v>2006</v>
      </c>
      <c r="H59" s="89">
        <v>10</v>
      </c>
      <c r="I59" s="85" t="s">
        <v>364</v>
      </c>
      <c r="J59" s="86" t="s">
        <v>169</v>
      </c>
      <c r="K59" s="33"/>
      <c r="L59" s="36" t="str">
        <f t="shared" si="34"/>
        <v/>
      </c>
      <c r="M59" s="33"/>
      <c r="N59" s="36" t="str">
        <f t="shared" si="35"/>
        <v/>
      </c>
      <c r="O59" s="33"/>
      <c r="P59" s="36" t="str">
        <f t="shared" si="36"/>
        <v/>
      </c>
      <c r="Q59" s="33"/>
      <c r="R59" s="36" t="str">
        <f t="shared" si="37"/>
        <v/>
      </c>
      <c r="S59" s="38"/>
      <c r="T59" s="39" t="str">
        <f t="shared" si="38"/>
        <v/>
      </c>
      <c r="U59" s="76"/>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t="s">
        <v>365</v>
      </c>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1"/>
      <c r="B60" s="24"/>
      <c r="C60" s="24" t="s">
        <v>85</v>
      </c>
      <c r="D60" s="23" t="s">
        <v>300</v>
      </c>
      <c r="E60" s="23" t="s">
        <v>301</v>
      </c>
      <c r="F60" s="24">
        <v>2016</v>
      </c>
      <c r="H60" s="89">
        <v>25</v>
      </c>
      <c r="I60" s="85" t="s">
        <v>216</v>
      </c>
      <c r="J60" s="86" t="s">
        <v>194</v>
      </c>
      <c r="K60" s="33"/>
      <c r="L60" s="36" t="str">
        <f t="shared" si="34"/>
        <v/>
      </c>
      <c r="M60" s="33"/>
      <c r="N60" s="36" t="str">
        <f t="shared" si="35"/>
        <v/>
      </c>
      <c r="O60" s="33"/>
      <c r="P60" s="36" t="str">
        <f t="shared" si="36"/>
        <v/>
      </c>
      <c r="Q60" s="33"/>
      <c r="R60" s="36" t="str">
        <f t="shared" si="37"/>
        <v/>
      </c>
      <c r="S60" s="33"/>
      <c r="T60" s="36" t="str">
        <f t="shared" si="38"/>
        <v/>
      </c>
      <c r="U60" s="76"/>
      <c r="V60" s="36" t="str">
        <f t="shared" si="3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23"/>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0"/>
      <c r="B61" s="82"/>
      <c r="C61" s="24" t="s">
        <v>85</v>
      </c>
      <c r="D61" s="23" t="s">
        <v>298</v>
      </c>
      <c r="E61" s="23" t="s">
        <v>299</v>
      </c>
      <c r="F61" s="24">
        <v>2011</v>
      </c>
      <c r="H61" s="89">
        <v>244</v>
      </c>
      <c r="I61" s="85" t="s">
        <v>213</v>
      </c>
      <c r="J61" s="86" t="s">
        <v>192</v>
      </c>
      <c r="K61" s="33"/>
      <c r="L61" s="36" t="str">
        <f t="shared" si="34"/>
        <v/>
      </c>
      <c r="M61" s="33"/>
      <c r="N61" s="36" t="str">
        <f t="shared" si="35"/>
        <v/>
      </c>
      <c r="O61" s="33"/>
      <c r="P61" s="36" t="str">
        <f t="shared" si="36"/>
        <v/>
      </c>
      <c r="Q61" s="33"/>
      <c r="R61" s="36" t="str">
        <f t="shared" si="37"/>
        <v/>
      </c>
      <c r="S61" s="33"/>
      <c r="T61" s="36" t="str">
        <f t="shared" si="38"/>
        <v/>
      </c>
      <c r="U61" s="76"/>
      <c r="V61" s="36" t="str">
        <f t="shared" si="39"/>
        <v/>
      </c>
      <c r="W61" s="33"/>
      <c r="X61" s="36" t="str">
        <f t="shared" ref="X61" si="48">IF((ISERROR((W61/$H61)*100)), "", IF(AND(NOT(ISERROR((W61/$H61)*100)),((W61/$H61)*100) &lt;&gt; 0), (W61/$H61)*100, ""))</f>
        <v/>
      </c>
      <c r="Y61" s="33"/>
      <c r="Z61" s="36" t="str">
        <f t="shared" ref="Z61" si="49">IF((ISERROR((Y61/$H61)*100)), "", IF(AND(NOT(ISERROR((Y61/$H61)*100)),((Y61/$H61)*100) &lt;&gt; 0), (Y61/$H61)*100, ""))</f>
        <v/>
      </c>
      <c r="AA61" s="33"/>
      <c r="AB61" s="36" t="str">
        <f t="shared" ref="AB61" si="50">IF((ISERROR((AA61/$H61)*100)), "", IF(AND(NOT(ISERROR((AA61/$H61)*100)),((AA61/$H61)*100) &lt;&gt; 0), (AA61/$H61)*100, ""))</f>
        <v/>
      </c>
      <c r="AC61" s="33"/>
      <c r="AD61" s="36" t="str">
        <f t="shared" ref="AD61" si="51">IF((ISERROR((AC61/$H61)*100)), "", IF(AND(NOT(ISERROR((AC61/$H61)*100)),((AC61/$H61)*100) &lt;&gt; 0), (AC61/$H61)*100, ""))</f>
        <v/>
      </c>
      <c r="AE61" s="23"/>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2"/>
      <c r="C62" s="24" t="s">
        <v>85</v>
      </c>
      <c r="D62" s="23" t="s">
        <v>99</v>
      </c>
      <c r="E62" s="23" t="s">
        <v>100</v>
      </c>
      <c r="F62" s="24">
        <v>2002</v>
      </c>
      <c r="G62" s="24">
        <v>103</v>
      </c>
      <c r="H62" s="89">
        <v>8</v>
      </c>
      <c r="I62" s="85"/>
      <c r="J62" s="86"/>
      <c r="K62" s="33"/>
      <c r="L62" s="36" t="str">
        <f t="shared" si="34"/>
        <v/>
      </c>
      <c r="M62" s="33"/>
      <c r="N62" s="36" t="str">
        <f t="shared" si="35"/>
        <v/>
      </c>
      <c r="O62" s="33"/>
      <c r="P62" s="36" t="str">
        <f t="shared" si="36"/>
        <v/>
      </c>
      <c r="Q62" s="33"/>
      <c r="R62" s="36" t="str">
        <f t="shared" si="37"/>
        <v/>
      </c>
      <c r="S62" s="33"/>
      <c r="T62" s="36" t="str">
        <f t="shared" si="38"/>
        <v/>
      </c>
      <c r="U62" s="76">
        <v>2</v>
      </c>
      <c r="V62" s="36">
        <f t="shared" si="39"/>
        <v>25</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23" t="s">
        <v>203</v>
      </c>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3"/>
      <c r="D63" s="23" t="s">
        <v>302</v>
      </c>
      <c r="E63" s="23" t="s">
        <v>303</v>
      </c>
      <c r="F63" s="24">
        <v>2013</v>
      </c>
      <c r="H63" s="89">
        <v>18</v>
      </c>
      <c r="I63" s="85"/>
      <c r="J63" s="86"/>
      <c r="K63" s="33"/>
      <c r="L63" s="36" t="str">
        <f t="shared" si="34"/>
        <v/>
      </c>
      <c r="M63" s="33"/>
      <c r="N63" s="36" t="str">
        <f t="shared" si="35"/>
        <v/>
      </c>
      <c r="O63" s="33"/>
      <c r="P63" s="36" t="str">
        <f t="shared" si="36"/>
        <v/>
      </c>
      <c r="Q63" s="33"/>
      <c r="R63" s="36" t="str">
        <f t="shared" si="37"/>
        <v/>
      </c>
      <c r="S63" s="33"/>
      <c r="T63" s="36" t="str">
        <f t="shared" si="38"/>
        <v/>
      </c>
      <c r="U63" s="76"/>
      <c r="V63" s="36" t="str">
        <f t="shared" si="39"/>
        <v/>
      </c>
      <c r="W63" s="33"/>
      <c r="X63" s="36" t="str">
        <f t="shared" ref="X63:X74" si="52">IF((ISERROR((W63/$H63)*100)), "", IF(AND(NOT(ISERROR((W63/$H63)*100)),((W63/$H63)*100) &lt;&gt; 0), (W63/$H63)*100, ""))</f>
        <v/>
      </c>
      <c r="Y63" s="33"/>
      <c r="Z63" s="36" t="str">
        <f t="shared" ref="Z63:Z74" si="53">IF((ISERROR((Y63/$H63)*100)), "", IF(AND(NOT(ISERROR((Y63/$H63)*100)),((Y63/$H63)*100) &lt;&gt; 0), (Y63/$H63)*100, ""))</f>
        <v/>
      </c>
      <c r="AA63" s="33"/>
      <c r="AB63" s="36" t="str">
        <f t="shared" ref="AB63:AB74" si="54">IF((ISERROR((AA63/$H63)*100)), "", IF(AND(NOT(ISERROR((AA63/$H63)*100)),((AA63/$H63)*100) &lt;&gt; 0), (AA63/$H63)*100, ""))</f>
        <v/>
      </c>
      <c r="AC63" s="33"/>
      <c r="AD63" s="36" t="str">
        <f t="shared" ref="AD63:AD74" si="55">IF((ISERROR((AC63/$H63)*100)), "", IF(AND(NOT(ISERROR((AC63/$H63)*100)),((AC63/$H63)*100) &lt;&gt; 0), (AC63/$H63)*100, ""))</f>
        <v/>
      </c>
      <c r="AE63" s="23" t="s">
        <v>366</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3"/>
      <c r="C64" s="24" t="s">
        <v>85</v>
      </c>
      <c r="D64" s="23" t="s">
        <v>304</v>
      </c>
      <c r="E64" s="23" t="s">
        <v>305</v>
      </c>
      <c r="F64" s="24">
        <v>2015</v>
      </c>
      <c r="H64" s="89">
        <v>41</v>
      </c>
      <c r="I64" s="85" t="s">
        <v>186</v>
      </c>
      <c r="J64" s="86"/>
      <c r="K64" s="33"/>
      <c r="L64" s="36" t="str">
        <f t="shared" si="34"/>
        <v/>
      </c>
      <c r="M64" s="33"/>
      <c r="N64" s="36" t="str">
        <f t="shared" si="35"/>
        <v/>
      </c>
      <c r="O64" s="33"/>
      <c r="P64" s="36" t="str">
        <f t="shared" si="36"/>
        <v/>
      </c>
      <c r="Q64" s="33"/>
      <c r="R64" s="36" t="str">
        <f t="shared" si="37"/>
        <v/>
      </c>
      <c r="S64" s="33"/>
      <c r="T64" s="36" t="str">
        <f t="shared" si="38"/>
        <v/>
      </c>
      <c r="U64" s="76"/>
      <c r="V64" s="36" t="str">
        <f t="shared" si="39"/>
        <v/>
      </c>
      <c r="W64" s="33"/>
      <c r="X64" s="36" t="str">
        <f>IF((ISERROR((W64/$H64)*100)), "", IF(AND(NOT(ISERROR((W64/$H64)*100)),((W64/$H64)*100) &lt;&gt; 0), (W64/$H64)*100, ""))</f>
        <v/>
      </c>
      <c r="Y64" s="33"/>
      <c r="Z64" s="36" t="str">
        <f>IF((ISERROR((Y64/$H64)*100)), "", IF(AND(NOT(ISERROR((Y64/$H64)*100)),((Y64/$H64)*100) &lt;&gt; 0), (Y64/$H64)*100, ""))</f>
        <v/>
      </c>
      <c r="AA64" s="33"/>
      <c r="AB64" s="36" t="str">
        <f>IF((ISERROR((AA64/$H64)*100)), "", IF(AND(NOT(ISERROR((AA64/$H64)*100)),((AA64/$H64)*100) &lt;&gt; 0), (AA64/$H64)*100, ""))</f>
        <v/>
      </c>
      <c r="AC64" s="33"/>
      <c r="AD64" s="36" t="str">
        <f>IF((ISERROR((AC64/$H64)*100)), "", IF(AND(NOT(ISERROR((AC64/$H64)*100)),((AC64/$H64)*100) &lt;&gt; 0), (AC64/$H64)*100, ""))</f>
        <v/>
      </c>
      <c r="AE64" s="23" t="s">
        <v>367</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2"/>
      <c r="C65" s="24" t="s">
        <v>85</v>
      </c>
      <c r="D65" s="23" t="s">
        <v>103</v>
      </c>
      <c r="E65" s="23" t="s">
        <v>104</v>
      </c>
      <c r="F65" s="24">
        <v>1996</v>
      </c>
      <c r="G65" s="24">
        <v>12</v>
      </c>
      <c r="H65" s="89">
        <v>97</v>
      </c>
      <c r="I65" s="85" t="s">
        <v>205</v>
      </c>
      <c r="J65" s="86" t="s">
        <v>206</v>
      </c>
      <c r="K65" s="33"/>
      <c r="L65" s="36" t="str">
        <f t="shared" si="34"/>
        <v/>
      </c>
      <c r="M65" s="33"/>
      <c r="N65" s="36" t="str">
        <f t="shared" si="35"/>
        <v/>
      </c>
      <c r="O65" s="33"/>
      <c r="P65" s="36" t="str">
        <f t="shared" si="36"/>
        <v/>
      </c>
      <c r="Q65" s="33"/>
      <c r="R65" s="36" t="str">
        <f t="shared" si="37"/>
        <v/>
      </c>
      <c r="S65" s="33"/>
      <c r="T65" s="36" t="str">
        <f t="shared" si="38"/>
        <v/>
      </c>
      <c r="U65" s="76">
        <v>16</v>
      </c>
      <c r="V65" s="36">
        <f t="shared" si="39"/>
        <v>16.494845360824741</v>
      </c>
      <c r="W65" s="33"/>
      <c r="X65" s="36" t="str">
        <f t="shared" si="52"/>
        <v/>
      </c>
      <c r="Y65" s="33"/>
      <c r="Z65" s="36" t="str">
        <f t="shared" si="53"/>
        <v/>
      </c>
      <c r="AA65" s="33"/>
      <c r="AB65" s="36" t="str">
        <f t="shared" si="54"/>
        <v/>
      </c>
      <c r="AC65" s="33"/>
      <c r="AD65" s="36" t="str">
        <f t="shared" si="55"/>
        <v/>
      </c>
      <c r="AE65" s="23" t="s">
        <v>390</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0"/>
      <c r="B66" s="83"/>
      <c r="C66" s="24" t="s">
        <v>85</v>
      </c>
      <c r="D66" s="23" t="s">
        <v>306</v>
      </c>
      <c r="E66" s="23" t="s">
        <v>307</v>
      </c>
      <c r="F66" s="24">
        <v>2009</v>
      </c>
      <c r="H66" s="89">
        <v>68</v>
      </c>
      <c r="I66" s="85" t="s">
        <v>216</v>
      </c>
      <c r="J66" s="86" t="s">
        <v>368</v>
      </c>
      <c r="K66" s="33"/>
      <c r="L66" s="36" t="str">
        <f t="shared" si="34"/>
        <v/>
      </c>
      <c r="M66" s="33"/>
      <c r="N66" s="36" t="str">
        <f t="shared" si="35"/>
        <v/>
      </c>
      <c r="O66" s="33"/>
      <c r="P66" s="36" t="str">
        <f t="shared" si="36"/>
        <v/>
      </c>
      <c r="Q66" s="33"/>
      <c r="R66" s="36" t="str">
        <f t="shared" si="37"/>
        <v/>
      </c>
      <c r="S66" s="33"/>
      <c r="T66" s="36" t="str">
        <f t="shared" si="38"/>
        <v/>
      </c>
      <c r="U66" s="76"/>
      <c r="V66" s="36"/>
      <c r="W66" s="33"/>
      <c r="X66" s="36"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23" t="s">
        <v>423</v>
      </c>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1"/>
      <c r="B67" s="24"/>
      <c r="C67" s="24" t="s">
        <v>85</v>
      </c>
      <c r="D67" s="23" t="s">
        <v>105</v>
      </c>
      <c r="E67" s="23" t="s">
        <v>106</v>
      </c>
      <c r="F67" s="24">
        <v>1989</v>
      </c>
      <c r="G67" s="24">
        <v>27</v>
      </c>
      <c r="H67" s="89"/>
      <c r="I67" s="85" t="s">
        <v>211</v>
      </c>
      <c r="J67" s="86" t="s">
        <v>179</v>
      </c>
      <c r="K67" s="33"/>
      <c r="L67" s="36" t="str">
        <f t="shared" si="34"/>
        <v/>
      </c>
      <c r="M67" s="33"/>
      <c r="N67" s="36" t="str">
        <f t="shared" si="35"/>
        <v/>
      </c>
      <c r="O67" s="33"/>
      <c r="P67" s="36" t="str">
        <f t="shared" si="36"/>
        <v/>
      </c>
      <c r="Q67" s="33"/>
      <c r="R67" s="36" t="str">
        <f t="shared" si="37"/>
        <v/>
      </c>
      <c r="S67" s="33"/>
      <c r="T67" s="36" t="str">
        <f t="shared" si="38"/>
        <v/>
      </c>
      <c r="U67" s="76"/>
      <c r="V67" s="36" t="str">
        <f t="shared" ref="V67:V83" si="56">IF((ISERROR((U67/$H67)*100)), "", IF(AND(NOT(ISERROR((U67/$H67)*100)),((U67/$H67)*100) &lt;&gt; 0), (U67/$H67)*100, ""))</f>
        <v/>
      </c>
      <c r="W67" s="38"/>
      <c r="X67" s="39"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83"/>
      <c r="C68" s="24" t="s">
        <v>85</v>
      </c>
      <c r="D68" s="23" t="s">
        <v>308</v>
      </c>
      <c r="E68" s="23" t="s">
        <v>309</v>
      </c>
      <c r="F68" s="24">
        <v>2011</v>
      </c>
      <c r="H68" s="89"/>
      <c r="I68" s="85"/>
      <c r="J68" s="86"/>
      <c r="K68" s="33"/>
      <c r="L68" s="36" t="str">
        <f t="shared" si="34"/>
        <v/>
      </c>
      <c r="M68" s="33"/>
      <c r="N68" s="36" t="str">
        <f t="shared" si="35"/>
        <v/>
      </c>
      <c r="O68" s="33"/>
      <c r="P68" s="36" t="str">
        <f t="shared" si="36"/>
        <v/>
      </c>
      <c r="Q68" s="33"/>
      <c r="R68" s="36" t="str">
        <f t="shared" si="37"/>
        <v/>
      </c>
      <c r="S68" s="33"/>
      <c r="T68" s="36" t="str">
        <f t="shared" si="38"/>
        <v/>
      </c>
      <c r="U68" s="76"/>
      <c r="V68" s="36" t="str">
        <f t="shared" si="56"/>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23" t="s">
        <v>369</v>
      </c>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1"/>
      <c r="B69" s="82"/>
      <c r="C69" s="24" t="s">
        <v>85</v>
      </c>
      <c r="D69" s="23" t="s">
        <v>310</v>
      </c>
      <c r="E69" s="23" t="s">
        <v>311</v>
      </c>
      <c r="F69" s="24">
        <v>1977</v>
      </c>
      <c r="H69" s="89">
        <v>5</v>
      </c>
      <c r="I69" s="85" t="s">
        <v>370</v>
      </c>
      <c r="J69" s="86"/>
      <c r="K69" s="33"/>
      <c r="L69" s="36" t="str">
        <f t="shared" si="34"/>
        <v/>
      </c>
      <c r="M69" s="33"/>
      <c r="N69" s="36" t="str">
        <f t="shared" si="35"/>
        <v/>
      </c>
      <c r="O69" s="33"/>
      <c r="P69" s="36" t="str">
        <f t="shared" si="36"/>
        <v/>
      </c>
      <c r="Q69" s="33"/>
      <c r="R69" s="36" t="str">
        <f t="shared" si="37"/>
        <v/>
      </c>
      <c r="S69" s="33">
        <v>5</v>
      </c>
      <c r="T69" s="36">
        <f t="shared" si="38"/>
        <v>100</v>
      </c>
      <c r="U69" s="76"/>
      <c r="V69" s="36" t="str">
        <f t="shared" si="56"/>
        <v/>
      </c>
      <c r="W69" s="33"/>
      <c r="X69" s="36" t="str">
        <f t="shared" si="52"/>
        <v/>
      </c>
      <c r="Y69" s="33"/>
      <c r="Z69" s="36" t="str">
        <f t="shared" si="53"/>
        <v/>
      </c>
      <c r="AA69" s="33"/>
      <c r="AB69" s="36" t="str">
        <f t="shared" si="54"/>
        <v/>
      </c>
      <c r="AC69" s="33"/>
      <c r="AD69" s="36" t="str">
        <f t="shared" si="55"/>
        <v/>
      </c>
      <c r="AE69" s="23" t="s">
        <v>371</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0"/>
      <c r="B70" s="82"/>
      <c r="C70" s="24" t="s">
        <v>85</v>
      </c>
      <c r="D70" s="23" t="s">
        <v>107</v>
      </c>
      <c r="E70" s="23" t="s">
        <v>108</v>
      </c>
      <c r="F70" s="24">
        <v>2008</v>
      </c>
      <c r="G70" s="24">
        <v>54</v>
      </c>
      <c r="H70" s="89">
        <v>12</v>
      </c>
      <c r="I70" s="85" t="s">
        <v>168</v>
      </c>
      <c r="J70" s="86" t="s">
        <v>212</v>
      </c>
      <c r="K70" s="33"/>
      <c r="L70" s="36" t="str">
        <f t="shared" si="34"/>
        <v/>
      </c>
      <c r="M70" s="33"/>
      <c r="N70" s="36" t="str">
        <f t="shared" si="35"/>
        <v/>
      </c>
      <c r="O70" s="33"/>
      <c r="P70" s="36" t="str">
        <f t="shared" si="36"/>
        <v/>
      </c>
      <c r="Q70" s="33"/>
      <c r="R70" s="36" t="str">
        <f t="shared" si="37"/>
        <v/>
      </c>
      <c r="S70" s="33"/>
      <c r="T70" s="36" t="str">
        <f t="shared" si="38"/>
        <v/>
      </c>
      <c r="U70" s="76"/>
      <c r="V70" s="36" t="str">
        <f t="shared" si="56"/>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23" t="s">
        <v>424</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0"/>
      <c r="B71" s="83"/>
      <c r="C71" s="24" t="s">
        <v>85</v>
      </c>
      <c r="D71" s="23" t="s">
        <v>109</v>
      </c>
      <c r="E71" s="23" t="s">
        <v>110</v>
      </c>
      <c r="F71" s="24">
        <v>1999</v>
      </c>
      <c r="G71" s="24">
        <v>76</v>
      </c>
      <c r="H71" s="89">
        <v>7</v>
      </c>
      <c r="I71" s="85" t="s">
        <v>177</v>
      </c>
      <c r="J71" s="86" t="s">
        <v>194</v>
      </c>
      <c r="K71" s="33"/>
      <c r="L71" s="36" t="str">
        <f t="shared" si="34"/>
        <v/>
      </c>
      <c r="M71" s="33"/>
      <c r="N71" s="36" t="str">
        <f t="shared" si="35"/>
        <v/>
      </c>
      <c r="O71" s="33"/>
      <c r="P71" s="36" t="str">
        <f t="shared" si="36"/>
        <v/>
      </c>
      <c r="Q71" s="33"/>
      <c r="R71" s="36" t="str">
        <f t="shared" si="37"/>
        <v/>
      </c>
      <c r="S71" s="33"/>
      <c r="T71" s="36" t="str">
        <f t="shared" si="38"/>
        <v/>
      </c>
      <c r="U71" s="76"/>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182</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1"/>
      <c r="B72" s="83"/>
      <c r="C72" s="24" t="s">
        <v>85</v>
      </c>
      <c r="D72" s="23" t="s">
        <v>111</v>
      </c>
      <c r="E72" s="23" t="s">
        <v>112</v>
      </c>
      <c r="F72" s="24">
        <v>2008</v>
      </c>
      <c r="G72" s="24">
        <v>101</v>
      </c>
      <c r="H72" s="89">
        <v>16</v>
      </c>
      <c r="I72" s="85" t="s">
        <v>213</v>
      </c>
      <c r="J72" s="86"/>
      <c r="K72" s="33"/>
      <c r="L72" s="36" t="str">
        <f t="shared" si="34"/>
        <v/>
      </c>
      <c r="M72" s="33"/>
      <c r="N72" s="36" t="str">
        <f t="shared" si="35"/>
        <v/>
      </c>
      <c r="O72" s="33"/>
      <c r="P72" s="36" t="str">
        <f t="shared" si="36"/>
        <v/>
      </c>
      <c r="Q72" s="33"/>
      <c r="R72" s="36" t="str">
        <f t="shared" si="37"/>
        <v/>
      </c>
      <c r="S72" s="33"/>
      <c r="T72" s="36" t="str">
        <f t="shared" si="38"/>
        <v/>
      </c>
      <c r="U72" s="76"/>
      <c r="V72" s="36" t="str">
        <f t="shared" si="56"/>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23" t="s">
        <v>391</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0"/>
      <c r="B73" s="82"/>
      <c r="C73" s="24" t="s">
        <v>85</v>
      </c>
      <c r="D73" s="23" t="s">
        <v>113</v>
      </c>
      <c r="E73" s="23" t="s">
        <v>114</v>
      </c>
      <c r="F73" s="24">
        <v>1997</v>
      </c>
      <c r="G73" s="24">
        <v>127</v>
      </c>
      <c r="H73" s="89">
        <v>8</v>
      </c>
      <c r="I73" s="85" t="s">
        <v>214</v>
      </c>
      <c r="J73" s="86" t="s">
        <v>215</v>
      </c>
      <c r="K73" s="33"/>
      <c r="L73" s="36" t="str">
        <f t="shared" si="34"/>
        <v/>
      </c>
      <c r="M73" s="33"/>
      <c r="N73" s="36" t="str">
        <f t="shared" si="35"/>
        <v/>
      </c>
      <c r="O73" s="33"/>
      <c r="P73" s="36" t="str">
        <f t="shared" si="36"/>
        <v/>
      </c>
      <c r="Q73" s="33"/>
      <c r="R73" s="36" t="str">
        <f t="shared" si="37"/>
        <v/>
      </c>
      <c r="S73" s="33"/>
      <c r="T73" s="36" t="str">
        <f t="shared" si="38"/>
        <v/>
      </c>
      <c r="U73" s="76">
        <v>1</v>
      </c>
      <c r="V73" s="36">
        <f t="shared" si="56"/>
        <v>12.5</v>
      </c>
      <c r="W73" s="33"/>
      <c r="X73" s="36" t="str">
        <f t="shared" si="52"/>
        <v/>
      </c>
      <c r="Y73" s="33"/>
      <c r="Z73" s="36" t="str">
        <f t="shared" si="53"/>
        <v/>
      </c>
      <c r="AA73" s="33"/>
      <c r="AB73" s="36" t="str">
        <f t="shared" si="54"/>
        <v/>
      </c>
      <c r="AC73" s="33">
        <v>1</v>
      </c>
      <c r="AD73" s="36">
        <f t="shared" si="55"/>
        <v>12.5</v>
      </c>
      <c r="AE73" s="23" t="s">
        <v>392</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24"/>
      <c r="C74" s="24" t="s">
        <v>85</v>
      </c>
      <c r="D74" s="23" t="s">
        <v>115</v>
      </c>
      <c r="E74" s="23" t="s">
        <v>116</v>
      </c>
      <c r="F74" s="24">
        <v>2001</v>
      </c>
      <c r="G74" s="24">
        <v>143</v>
      </c>
      <c r="H74" s="89">
        <v>6</v>
      </c>
      <c r="I74" s="85" t="s">
        <v>216</v>
      </c>
      <c r="J74" s="86" t="s">
        <v>195</v>
      </c>
      <c r="K74" s="33"/>
      <c r="L74" s="36" t="str">
        <f t="shared" si="34"/>
        <v/>
      </c>
      <c r="M74" s="33"/>
      <c r="N74" s="36" t="str">
        <f t="shared" si="35"/>
        <v/>
      </c>
      <c r="O74" s="33"/>
      <c r="P74" s="36" t="str">
        <f t="shared" si="36"/>
        <v/>
      </c>
      <c r="Q74" s="33"/>
      <c r="R74" s="36" t="str">
        <f t="shared" si="37"/>
        <v/>
      </c>
      <c r="S74" s="33"/>
      <c r="T74" s="36" t="str">
        <f t="shared" si="38"/>
        <v/>
      </c>
      <c r="U74" s="76"/>
      <c r="V74" s="36" t="str">
        <f t="shared" si="56"/>
        <v/>
      </c>
      <c r="W74" s="33"/>
      <c r="X74" s="36" t="str">
        <f t="shared" si="52"/>
        <v/>
      </c>
      <c r="Y74" s="33"/>
      <c r="Z74" s="36" t="str">
        <f t="shared" si="53"/>
        <v/>
      </c>
      <c r="AA74" s="33"/>
      <c r="AB74" s="36" t="str">
        <f t="shared" si="54"/>
        <v/>
      </c>
      <c r="AC74" s="33"/>
      <c r="AD74" s="36" t="str">
        <f t="shared" si="55"/>
        <v/>
      </c>
      <c r="AE74" s="23" t="s">
        <v>217</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82"/>
      <c r="C75" s="24" t="s">
        <v>85</v>
      </c>
      <c r="D75" s="23" t="s">
        <v>119</v>
      </c>
      <c r="E75" s="23" t="s">
        <v>120</v>
      </c>
      <c r="F75" s="24">
        <v>2003</v>
      </c>
      <c r="G75" s="24">
        <v>45</v>
      </c>
      <c r="H75" s="89">
        <v>16</v>
      </c>
      <c r="I75" s="85" t="s">
        <v>177</v>
      </c>
      <c r="J75" s="86" t="s">
        <v>425</v>
      </c>
      <c r="K75" s="33"/>
      <c r="L75" s="36" t="str">
        <f t="shared" ref="L75:L83" si="57">IF((ISERROR((K75/$H75)*100)), "", IF(AND(NOT(ISERROR((K75/$H75)*100)),((K75/$H75)*100) &lt;&gt; 0), (K75/$H75)*100, ""))</f>
        <v/>
      </c>
      <c r="M75" s="33"/>
      <c r="N75" s="36" t="str">
        <f t="shared" ref="N75:N83" si="58">IF((ISERROR((M75/$H75)*100)), "", IF(AND(NOT(ISERROR((M75/$H75)*100)),((M75/$H75)*100) &lt;&gt; 0), (M75/$H75)*100, ""))</f>
        <v/>
      </c>
      <c r="O75" s="33"/>
      <c r="P75" s="36" t="str">
        <f t="shared" ref="P75:P83" si="59">IF((ISERROR((O75/$H75)*100)), "", IF(AND(NOT(ISERROR((O75/$H75)*100)),((O75/$H75)*100) &lt;&gt; 0), (O75/$H75)*100, ""))</f>
        <v/>
      </c>
      <c r="Q75" s="33"/>
      <c r="R75" s="36" t="str">
        <f t="shared" ref="R75:R83" si="60">IF((ISERROR((Q75/$H75)*100)), "", IF(AND(NOT(ISERROR((Q75/$H75)*100)),((Q75/$H75)*100) &lt;&gt; 0), (Q75/$H75)*100, ""))</f>
        <v/>
      </c>
      <c r="S75" s="38"/>
      <c r="T75" s="39" t="str">
        <f t="shared" ref="T75:T83" si="61">IF((ISERROR((S75/$H75)*100)), "", IF(AND(NOT(ISERROR((S75/$H75)*100)),((S75/$H75)*100) &lt;&gt; 0), (S75/$H75)*100, ""))</f>
        <v/>
      </c>
      <c r="U75" s="38"/>
      <c r="V75" s="39" t="str">
        <f t="shared" si="56"/>
        <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23" t="s">
        <v>413</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3"/>
      <c r="C76" s="24" t="s">
        <v>85</v>
      </c>
      <c r="D76" s="23" t="s">
        <v>121</v>
      </c>
      <c r="E76" s="23" t="s">
        <v>122</v>
      </c>
      <c r="F76" s="24">
        <v>2002</v>
      </c>
      <c r="G76" s="24">
        <v>73</v>
      </c>
      <c r="H76" s="89">
        <v>49</v>
      </c>
      <c r="I76" s="85" t="s">
        <v>200</v>
      </c>
      <c r="J76" s="86"/>
      <c r="K76" s="33"/>
      <c r="L76" s="36" t="str">
        <f t="shared" si="57"/>
        <v/>
      </c>
      <c r="M76" s="33"/>
      <c r="N76" s="36" t="str">
        <f t="shared" si="58"/>
        <v/>
      </c>
      <c r="O76" s="33"/>
      <c r="P76" s="36" t="str">
        <f t="shared" si="59"/>
        <v/>
      </c>
      <c r="Q76" s="33"/>
      <c r="R76" s="36" t="str">
        <f t="shared" si="60"/>
        <v/>
      </c>
      <c r="S76" s="33"/>
      <c r="T76" s="36" t="str">
        <f t="shared" si="61"/>
        <v/>
      </c>
      <c r="U76" s="76"/>
      <c r="V76" s="36" t="str">
        <f t="shared" si="56"/>
        <v/>
      </c>
      <c r="W76" s="33"/>
      <c r="X76" s="36" t="str">
        <f t="shared" ref="X76:X80" si="62">IF((ISERROR((W76/$H76)*100)), "", IF(AND(NOT(ISERROR((W76/$H76)*100)),((W76/$H76)*100) &lt;&gt; 0), (W76/$H76)*100, ""))</f>
        <v/>
      </c>
      <c r="Y76" s="33"/>
      <c r="Z76" s="36" t="str">
        <f t="shared" ref="Z76:Z80" si="63">IF((ISERROR((Y76/$H76)*100)), "", IF(AND(NOT(ISERROR((Y76/$H76)*100)),((Y76/$H76)*100) &lt;&gt; 0), (Y76/$H76)*100, ""))</f>
        <v/>
      </c>
      <c r="AA76" s="33"/>
      <c r="AB76" s="36" t="str">
        <f t="shared" ref="AB76:AB80" si="64">IF((ISERROR((AA76/$H76)*100)), "", IF(AND(NOT(ISERROR((AA76/$H76)*100)),((AA76/$H76)*100) &lt;&gt; 0), (AA76/$H76)*100, ""))</f>
        <v/>
      </c>
      <c r="AC76" s="33"/>
      <c r="AD76" s="36" t="str">
        <f t="shared" ref="AD76:AD80" si="65">IF((ISERROR((AC76/$H76)*100)), "", IF(AND(NOT(ISERROR((AC76/$H76)*100)),((AC76/$H76)*100) &lt;&gt; 0), (AC76/$H76)*100, ""))</f>
        <v/>
      </c>
      <c r="AE76" s="23" t="s">
        <v>182</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2"/>
      <c r="C77" s="24" t="s">
        <v>85</v>
      </c>
      <c r="D77" s="23" t="s">
        <v>312</v>
      </c>
      <c r="E77" s="23" t="s">
        <v>313</v>
      </c>
      <c r="F77" s="24">
        <v>2015</v>
      </c>
      <c r="H77" s="89">
        <v>5</v>
      </c>
      <c r="I77" s="85" t="s">
        <v>213</v>
      </c>
      <c r="J77" s="86" t="s">
        <v>190</v>
      </c>
      <c r="K77" s="33"/>
      <c r="L77" s="36" t="str">
        <f t="shared" si="57"/>
        <v/>
      </c>
      <c r="M77" s="33"/>
      <c r="N77" s="36" t="str">
        <f t="shared" si="58"/>
        <v/>
      </c>
      <c r="O77" s="33"/>
      <c r="P77" s="36" t="str">
        <f t="shared" si="59"/>
        <v/>
      </c>
      <c r="Q77" s="33"/>
      <c r="R77" s="36" t="str">
        <f t="shared" si="60"/>
        <v/>
      </c>
      <c r="S77" s="33"/>
      <c r="T77" s="36" t="str">
        <f t="shared" si="61"/>
        <v/>
      </c>
      <c r="U77" s="76"/>
      <c r="V77" s="36" t="str">
        <f t="shared" si="56"/>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23" t="s">
        <v>426</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3"/>
      <c r="C78" s="24" t="s">
        <v>85</v>
      </c>
      <c r="D78" s="23" t="s">
        <v>314</v>
      </c>
      <c r="E78" s="23" t="s">
        <v>315</v>
      </c>
      <c r="F78" s="24">
        <v>2008</v>
      </c>
      <c r="H78" s="89">
        <v>86</v>
      </c>
      <c r="I78" s="85" t="s">
        <v>177</v>
      </c>
      <c r="J78" s="86"/>
      <c r="K78" s="33"/>
      <c r="L78" s="36" t="str">
        <f t="shared" si="57"/>
        <v/>
      </c>
      <c r="M78" s="33"/>
      <c r="N78" s="36" t="str">
        <f t="shared" si="58"/>
        <v/>
      </c>
      <c r="O78" s="33"/>
      <c r="P78" s="36" t="str">
        <f t="shared" si="59"/>
        <v/>
      </c>
      <c r="Q78" s="33"/>
      <c r="R78" s="36" t="str">
        <f t="shared" si="60"/>
        <v/>
      </c>
      <c r="S78" s="33"/>
      <c r="T78" s="36" t="str">
        <f t="shared" si="61"/>
        <v/>
      </c>
      <c r="U78" s="76"/>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t="s">
        <v>372</v>
      </c>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0"/>
      <c r="B79" s="83"/>
      <c r="C79" s="24" t="s">
        <v>85</v>
      </c>
      <c r="D79" s="23" t="s">
        <v>316</v>
      </c>
      <c r="E79" s="23" t="s">
        <v>317</v>
      </c>
      <c r="F79" s="24">
        <v>2012</v>
      </c>
      <c r="H79" s="89"/>
      <c r="I79" s="85" t="s">
        <v>373</v>
      </c>
      <c r="J79" s="86" t="s">
        <v>212</v>
      </c>
      <c r="K79" s="33"/>
      <c r="L79" s="36" t="str">
        <f t="shared" si="57"/>
        <v/>
      </c>
      <c r="M79" s="33"/>
      <c r="N79" s="36" t="str">
        <f t="shared" si="58"/>
        <v/>
      </c>
      <c r="O79" s="33"/>
      <c r="P79" s="36" t="str">
        <f t="shared" si="59"/>
        <v/>
      </c>
      <c r="Q79" s="33"/>
      <c r="R79" s="36" t="str">
        <f t="shared" si="60"/>
        <v/>
      </c>
      <c r="S79" s="33"/>
      <c r="T79" s="36" t="str">
        <f t="shared" si="61"/>
        <v/>
      </c>
      <c r="U79" s="76"/>
      <c r="V79" s="36" t="str">
        <f t="shared" si="5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23"/>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1"/>
      <c r="B80" s="24"/>
      <c r="C80" s="50" t="s">
        <v>35</v>
      </c>
      <c r="D80" s="49" t="s">
        <v>123</v>
      </c>
      <c r="E80" s="49" t="s">
        <v>124</v>
      </c>
      <c r="F80" s="50">
        <v>2007</v>
      </c>
      <c r="G80" s="50">
        <v>60</v>
      </c>
      <c r="H80" s="89"/>
      <c r="I80" s="85"/>
      <c r="J80" s="86"/>
      <c r="K80" s="33"/>
      <c r="L80" s="36" t="str">
        <f t="shared" si="57"/>
        <v/>
      </c>
      <c r="M80" s="33"/>
      <c r="N80" s="36" t="str">
        <f t="shared" si="58"/>
        <v/>
      </c>
      <c r="O80" s="33"/>
      <c r="P80" s="36" t="str">
        <f t="shared" si="59"/>
        <v/>
      </c>
      <c r="Q80" s="33"/>
      <c r="R80" s="36" t="str">
        <f t="shared" si="60"/>
        <v/>
      </c>
      <c r="S80" s="33"/>
      <c r="T80" s="36" t="str">
        <f t="shared" si="61"/>
        <v/>
      </c>
      <c r="U80" s="76"/>
      <c r="V80" s="36" t="str">
        <f t="shared" si="56"/>
        <v/>
      </c>
      <c r="W80" s="33"/>
      <c r="X80" s="36" t="str">
        <f t="shared" si="62"/>
        <v/>
      </c>
      <c r="Y80" s="33"/>
      <c r="Z80" s="36" t="str">
        <f t="shared" si="63"/>
        <v/>
      </c>
      <c r="AA80" s="33"/>
      <c r="AB80" s="36" t="str">
        <f t="shared" si="64"/>
        <v/>
      </c>
      <c r="AC80" s="33"/>
      <c r="AD80" s="36" t="str">
        <f t="shared" si="65"/>
        <v/>
      </c>
      <c r="AE80" s="23" t="s">
        <v>394</v>
      </c>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1"/>
      <c r="B81" s="24"/>
      <c r="C81" s="24" t="s">
        <v>85</v>
      </c>
      <c r="D81" s="23" t="s">
        <v>127</v>
      </c>
      <c r="E81" s="23" t="s">
        <v>128</v>
      </c>
      <c r="F81" s="24">
        <v>2000</v>
      </c>
      <c r="G81" s="24">
        <v>252</v>
      </c>
      <c r="H81" s="89">
        <v>30</v>
      </c>
      <c r="I81" s="85" t="s">
        <v>220</v>
      </c>
      <c r="J81" s="86" t="s">
        <v>169</v>
      </c>
      <c r="K81" s="33"/>
      <c r="L81" s="36" t="str">
        <f t="shared" si="57"/>
        <v/>
      </c>
      <c r="M81" s="33"/>
      <c r="N81" s="36" t="str">
        <f t="shared" si="58"/>
        <v/>
      </c>
      <c r="O81" s="33"/>
      <c r="P81" s="36" t="str">
        <f t="shared" si="59"/>
        <v/>
      </c>
      <c r="Q81" s="33"/>
      <c r="R81" s="36" t="str">
        <f t="shared" si="60"/>
        <v/>
      </c>
      <c r="S81" s="33"/>
      <c r="T81" s="36" t="str">
        <f t="shared" si="61"/>
        <v/>
      </c>
      <c r="U81" s="76"/>
      <c r="V81" s="36" t="str">
        <f t="shared" si="56"/>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23" t="s">
        <v>427</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0"/>
      <c r="B82" s="82"/>
      <c r="C82" s="24" t="s">
        <v>85</v>
      </c>
      <c r="D82" s="23" t="s">
        <v>131</v>
      </c>
      <c r="E82" s="23" t="s">
        <v>132</v>
      </c>
      <c r="F82" s="24">
        <v>1998</v>
      </c>
      <c r="G82" s="24">
        <v>213</v>
      </c>
      <c r="H82" s="89">
        <v>6</v>
      </c>
      <c r="I82" s="85" t="s">
        <v>177</v>
      </c>
      <c r="J82" s="86"/>
      <c r="K82" s="33"/>
      <c r="L82" s="36" t="str">
        <f t="shared" si="57"/>
        <v/>
      </c>
      <c r="M82" s="38">
        <v>4</v>
      </c>
      <c r="N82" s="39">
        <f t="shared" si="58"/>
        <v>66.666666666666657</v>
      </c>
      <c r="O82" s="33"/>
      <c r="P82" s="36" t="str">
        <f t="shared" si="59"/>
        <v/>
      </c>
      <c r="Q82" s="33"/>
      <c r="R82" s="36" t="str">
        <f t="shared" si="60"/>
        <v/>
      </c>
      <c r="S82" s="33"/>
      <c r="T82" s="36" t="str">
        <f t="shared" si="61"/>
        <v/>
      </c>
      <c r="U82" s="76"/>
      <c r="V82" s="36" t="str">
        <f t="shared" si="56"/>
        <v/>
      </c>
      <c r="W82" s="33"/>
      <c r="X82" s="36" t="str">
        <f t="shared" ref="X82:X86" si="66">IF((ISERROR((W82/$H82)*100)), "", IF(AND(NOT(ISERROR((W82/$H82)*100)),((W82/$H82)*100) &lt;&gt; 0), (W82/$H82)*100, ""))</f>
        <v/>
      </c>
      <c r="Y82" s="33"/>
      <c r="Z82" s="36" t="str">
        <f t="shared" ref="Z82:Z86" si="67">IF((ISERROR((Y82/$H82)*100)), "", IF(AND(NOT(ISERROR((Y82/$H82)*100)),((Y82/$H82)*100) &lt;&gt; 0), (Y82/$H82)*100, ""))</f>
        <v/>
      </c>
      <c r="AA82" s="33"/>
      <c r="AB82" s="36" t="str">
        <f t="shared" ref="AB82:AB86" si="68">IF((ISERROR((AA82/$H82)*100)), "", IF(AND(NOT(ISERROR((AA82/$H82)*100)),((AA82/$H82)*100) &lt;&gt; 0), (AA82/$H82)*100, ""))</f>
        <v/>
      </c>
      <c r="AC82" s="33"/>
      <c r="AD82" s="36" t="str">
        <f t="shared" ref="AD82:AD86" si="69">IF((ISERROR((AC82/$H82)*100)), "", IF(AND(NOT(ISERROR((AC82/$H82)*100)),((AC82/$H82)*100) &lt;&gt; 0), (AC82/$H82)*100, ""))</f>
        <v/>
      </c>
      <c r="AE82" s="23" t="s">
        <v>221</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1"/>
      <c r="B83" s="82"/>
      <c r="C83" s="24" t="s">
        <v>85</v>
      </c>
      <c r="D83" s="23" t="s">
        <v>133</v>
      </c>
      <c r="E83" s="23" t="s">
        <v>134</v>
      </c>
      <c r="F83" s="24">
        <v>2001</v>
      </c>
      <c r="G83" s="24">
        <v>192</v>
      </c>
      <c r="H83" s="89"/>
      <c r="I83" s="85" t="s">
        <v>177</v>
      </c>
      <c r="J83" s="86" t="s">
        <v>169</v>
      </c>
      <c r="K83" s="33"/>
      <c r="L83" s="36" t="str">
        <f t="shared" si="57"/>
        <v/>
      </c>
      <c r="M83" s="38">
        <v>1</v>
      </c>
      <c r="N83" s="39" t="str">
        <f t="shared" si="58"/>
        <v/>
      </c>
      <c r="O83" s="33"/>
      <c r="P83" s="36" t="str">
        <f t="shared" si="59"/>
        <v/>
      </c>
      <c r="Q83" s="33"/>
      <c r="R83" s="36" t="str">
        <f t="shared" si="60"/>
        <v/>
      </c>
      <c r="S83" s="33"/>
      <c r="T83" s="36" t="str">
        <f t="shared" si="61"/>
        <v/>
      </c>
      <c r="U83" s="76"/>
      <c r="V83" s="36" t="str">
        <f t="shared" si="56"/>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23" t="s">
        <v>395</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1"/>
      <c r="B84" s="82"/>
      <c r="D84" s="23" t="s">
        <v>151</v>
      </c>
      <c r="E84" s="23" t="s">
        <v>428</v>
      </c>
      <c r="F84" s="24">
        <v>1999</v>
      </c>
      <c r="H84" s="89">
        <v>30</v>
      </c>
      <c r="I84" s="85" t="s">
        <v>429</v>
      </c>
      <c r="J84" s="86" t="s">
        <v>222</v>
      </c>
      <c r="K84" s="33"/>
      <c r="L84" s="36"/>
      <c r="M84" s="33"/>
      <c r="N84" s="36"/>
      <c r="O84" s="33"/>
      <c r="P84" s="36"/>
      <c r="Q84" s="33"/>
      <c r="R84" s="36"/>
      <c r="S84" s="33"/>
      <c r="T84" s="36"/>
      <c r="U84" s="76"/>
      <c r="V84" s="36"/>
      <c r="W84" s="33"/>
      <c r="X84" s="36"/>
      <c r="Y84" s="33"/>
      <c r="Z84" s="36"/>
      <c r="AA84" s="33"/>
      <c r="AB84" s="36"/>
      <c r="AC84" s="33"/>
      <c r="AD84" s="36"/>
      <c r="AE84" s="23" t="s">
        <v>396</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1"/>
      <c r="B85" s="24"/>
      <c r="C85" s="24" t="s">
        <v>85</v>
      </c>
      <c r="D85" s="23" t="s">
        <v>135</v>
      </c>
      <c r="E85" s="23" t="s">
        <v>136</v>
      </c>
      <c r="F85" s="24">
        <v>2007</v>
      </c>
      <c r="G85" s="24">
        <v>240</v>
      </c>
      <c r="H85" s="89"/>
      <c r="I85" s="85" t="s">
        <v>223</v>
      </c>
      <c r="J85" s="86" t="s">
        <v>169</v>
      </c>
      <c r="K85" s="33"/>
      <c r="L85" s="36" t="str">
        <f t="shared" ref="L85:L95" si="70">IF((ISERROR((K85/$H85)*100)), "", IF(AND(NOT(ISERROR((K85/$H85)*100)),((K85/$H85)*100) &lt;&gt; 0), (K85/$H85)*100, ""))</f>
        <v/>
      </c>
      <c r="M85" s="33"/>
      <c r="N85" s="36" t="str">
        <f t="shared" ref="N85:N95" si="71">IF((ISERROR((M85/$H85)*100)), "", IF(AND(NOT(ISERROR((M85/$H85)*100)),((M85/$H85)*100) &lt;&gt; 0), (M85/$H85)*100, ""))</f>
        <v/>
      </c>
      <c r="O85" s="33"/>
      <c r="P85" s="36" t="str">
        <f t="shared" ref="P85:P95" si="72">IF((ISERROR((O85/$H85)*100)), "", IF(AND(NOT(ISERROR((O85/$H85)*100)),((O85/$H85)*100) &lt;&gt; 0), (O85/$H85)*100, ""))</f>
        <v/>
      </c>
      <c r="Q85" s="33"/>
      <c r="R85" s="36" t="str">
        <f t="shared" ref="R85:R95" si="73">IF((ISERROR((Q85/$H85)*100)), "", IF(AND(NOT(ISERROR((Q85/$H85)*100)),((Q85/$H85)*100) &lt;&gt; 0), (Q85/$H85)*100, ""))</f>
        <v/>
      </c>
      <c r="S85" s="33"/>
      <c r="T85" s="36" t="str">
        <f t="shared" ref="T85:T95" si="74">IF((ISERROR((S85/$H85)*100)), "", IF(AND(NOT(ISERROR((S85/$H85)*100)),((S85/$H85)*100) &lt;&gt; 0), (S85/$H85)*100, ""))</f>
        <v/>
      </c>
      <c r="U85" s="76"/>
      <c r="V85" s="36" t="str">
        <f t="shared" ref="V85:V95" si="75">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23" t="s">
        <v>224</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0"/>
      <c r="B86" s="82"/>
      <c r="C86" s="24" t="s">
        <v>85</v>
      </c>
      <c r="D86" s="23" t="s">
        <v>137</v>
      </c>
      <c r="E86" s="23" t="s">
        <v>138</v>
      </c>
      <c r="F86" s="24">
        <v>2011</v>
      </c>
      <c r="G86" s="24">
        <v>42</v>
      </c>
      <c r="H86" s="89">
        <v>51</v>
      </c>
      <c r="I86" s="85" t="s">
        <v>225</v>
      </c>
      <c r="J86" s="86" t="s">
        <v>226</v>
      </c>
      <c r="K86" s="33"/>
      <c r="L86" s="36" t="str">
        <f t="shared" si="70"/>
        <v/>
      </c>
      <c r="M86" s="33"/>
      <c r="N86" s="36" t="str">
        <f t="shared" si="71"/>
        <v/>
      </c>
      <c r="O86" s="33"/>
      <c r="P86" s="36" t="str">
        <f t="shared" si="72"/>
        <v/>
      </c>
      <c r="Q86" s="33"/>
      <c r="R86" s="36" t="str">
        <f t="shared" si="73"/>
        <v/>
      </c>
      <c r="S86" s="33"/>
      <c r="T86" s="36" t="str">
        <f t="shared" si="74"/>
        <v/>
      </c>
      <c r="U86" s="40">
        <v>4</v>
      </c>
      <c r="V86" s="39">
        <f t="shared" si="75"/>
        <v>7.8431372549019605</v>
      </c>
      <c r="W86" s="33"/>
      <c r="X86" s="36" t="str">
        <f t="shared" si="66"/>
        <v/>
      </c>
      <c r="Y86" s="33"/>
      <c r="Z86" s="36" t="str">
        <f t="shared" si="67"/>
        <v/>
      </c>
      <c r="AA86" s="33"/>
      <c r="AB86" s="36" t="str">
        <f t="shared" si="68"/>
        <v/>
      </c>
      <c r="AC86" s="38" t="s">
        <v>227</v>
      </c>
      <c r="AD86" s="39" t="str">
        <f t="shared" si="69"/>
        <v/>
      </c>
      <c r="AE86" s="23" t="s">
        <v>397</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2"/>
      <c r="C87" s="24" t="s">
        <v>85</v>
      </c>
      <c r="D87" s="23" t="s">
        <v>318</v>
      </c>
      <c r="E87" s="23" t="s">
        <v>319</v>
      </c>
      <c r="F87" s="24">
        <v>2010</v>
      </c>
      <c r="H87" s="89">
        <v>53</v>
      </c>
      <c r="I87" s="112" t="s">
        <v>374</v>
      </c>
      <c r="J87" s="86" t="s">
        <v>414</v>
      </c>
      <c r="K87" s="33"/>
      <c r="L87" s="36" t="str">
        <f t="shared" si="70"/>
        <v/>
      </c>
      <c r="M87" s="33"/>
      <c r="N87" s="36" t="str">
        <f t="shared" si="71"/>
        <v/>
      </c>
      <c r="O87" s="33"/>
      <c r="P87" s="36" t="str">
        <f t="shared" si="72"/>
        <v/>
      </c>
      <c r="Q87" s="33"/>
      <c r="R87" s="36" t="str">
        <f t="shared" si="73"/>
        <v/>
      </c>
      <c r="S87" s="33">
        <v>15</v>
      </c>
      <c r="T87" s="36">
        <f t="shared" si="74"/>
        <v>28.30188679245283</v>
      </c>
      <c r="U87" s="76">
        <v>15</v>
      </c>
      <c r="V87" s="36">
        <f t="shared" si="75"/>
        <v>28.30188679245283</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23" t="s">
        <v>375</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2"/>
      <c r="C88" s="24" t="s">
        <v>85</v>
      </c>
      <c r="D88" s="23" t="s">
        <v>320</v>
      </c>
      <c r="E88" s="23" t="s">
        <v>321</v>
      </c>
      <c r="F88" s="24">
        <v>2014</v>
      </c>
      <c r="H88" s="89">
        <v>39</v>
      </c>
      <c r="I88" s="85" t="s">
        <v>213</v>
      </c>
      <c r="J88" s="86" t="s">
        <v>376</v>
      </c>
      <c r="K88" s="33"/>
      <c r="L88" s="36" t="str">
        <f t="shared" si="70"/>
        <v/>
      </c>
      <c r="M88" s="33"/>
      <c r="N88" s="36" t="str">
        <f t="shared" si="71"/>
        <v/>
      </c>
      <c r="O88" s="33"/>
      <c r="P88" s="36" t="str">
        <f t="shared" si="72"/>
        <v/>
      </c>
      <c r="Q88" s="33"/>
      <c r="R88" s="36" t="str">
        <f t="shared" si="73"/>
        <v/>
      </c>
      <c r="S88" s="33">
        <v>1</v>
      </c>
      <c r="T88" s="36">
        <f t="shared" si="74"/>
        <v>2.5641025641025639</v>
      </c>
      <c r="U88" s="76">
        <v>6</v>
      </c>
      <c r="V88" s="36">
        <f t="shared" si="75"/>
        <v>15.384615384615385</v>
      </c>
      <c r="W88" s="33">
        <v>2</v>
      </c>
      <c r="X88" s="36">
        <f>IF((ISERROR((W88/$H88)*100)), "", IF(AND(NOT(ISERROR((W88/$H88)*100)),((W88/$H88)*100) &lt;&gt; 0), (W88/$H88)*100, ""))</f>
        <v>5.1282051282051277</v>
      </c>
      <c r="Y88" s="33"/>
      <c r="Z88" s="36" t="str">
        <f>IF((ISERROR((Y88/$H88)*100)), "", IF(AND(NOT(ISERROR((Y88/$H88)*100)),((Y88/$H88)*100) &lt;&gt; 0), (Y88/$H88)*100, ""))</f>
        <v/>
      </c>
      <c r="AA88" s="33"/>
      <c r="AB88" s="36"/>
      <c r="AC88" s="33"/>
      <c r="AD88" s="36" t="str">
        <f>IF((ISERROR((AC88/$H88)*100)), "", IF(AND(NOT(ISERROR((AC88/$H88)*100)),((AC88/$H88)*100) &lt;&gt; 0), (AC88/$H88)*100, ""))</f>
        <v/>
      </c>
      <c r="AE88" s="23" t="s">
        <v>415</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2"/>
      <c r="C89" s="24" t="s">
        <v>85</v>
      </c>
      <c r="D89" s="23" t="s">
        <v>322</v>
      </c>
      <c r="E89" s="23" t="s">
        <v>323</v>
      </c>
      <c r="F89" s="24">
        <v>2010</v>
      </c>
      <c r="H89" s="89">
        <v>789</v>
      </c>
      <c r="I89" s="85" t="s">
        <v>213</v>
      </c>
      <c r="J89" s="86" t="s">
        <v>378</v>
      </c>
      <c r="K89" s="33"/>
      <c r="L89" s="36" t="str">
        <f t="shared" si="70"/>
        <v/>
      </c>
      <c r="M89" s="33"/>
      <c r="N89" s="36" t="str">
        <f t="shared" si="71"/>
        <v/>
      </c>
      <c r="O89" s="33"/>
      <c r="P89" s="36" t="str">
        <f t="shared" si="72"/>
        <v/>
      </c>
      <c r="Q89" s="33"/>
      <c r="R89" s="36" t="str">
        <f t="shared" si="73"/>
        <v/>
      </c>
      <c r="S89" s="33"/>
      <c r="T89" s="36" t="str">
        <f t="shared" si="74"/>
        <v/>
      </c>
      <c r="U89" s="76"/>
      <c r="V89" s="36" t="str">
        <f t="shared" si="75"/>
        <v/>
      </c>
      <c r="W89" s="33"/>
      <c r="X89" s="36" t="str">
        <f>IF((ISERROR((W89/$H89)*100)), "", IF(AND(NOT(ISERROR((W89/$H89)*100)),((W89/$H89)*100) &lt;&gt; 0), (W89/$H89)*100, ""))</f>
        <v/>
      </c>
      <c r="Y89" s="33"/>
      <c r="Z89" s="36" t="str">
        <f>IF((ISERROR((Y89/$H89)*100)), "", IF(AND(NOT(ISERROR((Y89/$H89)*100)),((Y89/$H89)*100) &lt;&gt; 0), (Y89/$H89)*100, ""))</f>
        <v/>
      </c>
      <c r="AA89" s="33"/>
      <c r="AB89" s="36" t="str">
        <f>IF((ISERROR((AA89/$H89)*100)), "", IF(AND(NOT(ISERROR((AA89/$H89)*100)),((AA89/$H89)*100) &lt;&gt; 0), (AA89/$H89)*100, ""))</f>
        <v/>
      </c>
      <c r="AC89" s="33"/>
      <c r="AD89" s="36" t="str">
        <f>IF((ISERROR((AC89/$H89)*100)), "", IF(AND(NOT(ISERROR((AC89/$H89)*100)),((AC89/$H89)*100) &lt;&gt; 0), (AC89/$H89)*100, ""))</f>
        <v/>
      </c>
      <c r="AE89" s="23" t="s">
        <v>377</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3"/>
      <c r="C90" s="80" t="s">
        <v>382</v>
      </c>
      <c r="D90" s="23" t="s">
        <v>324</v>
      </c>
      <c r="E90" s="23" t="s">
        <v>325</v>
      </c>
      <c r="F90" s="24">
        <v>2016</v>
      </c>
      <c r="H90" s="89">
        <v>16</v>
      </c>
      <c r="I90" s="85" t="s">
        <v>380</v>
      </c>
      <c r="J90" s="113" t="s">
        <v>381</v>
      </c>
      <c r="K90" s="33"/>
      <c r="L90" s="36" t="str">
        <f t="shared" si="70"/>
        <v/>
      </c>
      <c r="M90" s="33"/>
      <c r="N90" s="36" t="str">
        <f t="shared" si="71"/>
        <v/>
      </c>
      <c r="O90" s="33"/>
      <c r="P90" s="36" t="str">
        <f t="shared" si="72"/>
        <v/>
      </c>
      <c r="Q90" s="33"/>
      <c r="R90" s="36" t="str">
        <f t="shared" si="73"/>
        <v/>
      </c>
      <c r="S90" s="33"/>
      <c r="T90" s="36" t="str">
        <f t="shared" si="74"/>
        <v/>
      </c>
      <c r="U90" s="76"/>
      <c r="V90" s="36" t="str">
        <f t="shared" si="75"/>
        <v/>
      </c>
      <c r="W90" s="33"/>
      <c r="X90" s="36" t="str">
        <f t="shared" ref="X90:X92" si="76">IF((ISERROR((W90/$H90)*100)), "", IF(AND(NOT(ISERROR((W90/$H90)*100)),((W90/$H90)*100) &lt;&gt; 0), (W90/$H90)*100, ""))</f>
        <v/>
      </c>
      <c r="Y90" s="33"/>
      <c r="Z90" s="36" t="str">
        <f t="shared" ref="Z90:Z92" si="77">IF((ISERROR((Y90/$H90)*100)), "", IF(AND(NOT(ISERROR((Y90/$H90)*100)),((Y90/$H90)*100) &lt;&gt; 0), (Y90/$H90)*100, ""))</f>
        <v/>
      </c>
      <c r="AA90" s="33"/>
      <c r="AB90" s="36" t="str">
        <f t="shared" ref="AB90:AB92" si="78">IF((ISERROR((AA90/$H90)*100)), "", IF(AND(NOT(ISERROR((AA90/$H90)*100)),((AA90/$H90)*100) &lt;&gt; 0), (AA90/$H90)*100, ""))</f>
        <v/>
      </c>
      <c r="AC90" s="33"/>
      <c r="AD90" s="36" t="str">
        <f t="shared" ref="AD90:AD92" si="79">IF((ISERROR((AC90/$H90)*100)), "", IF(AND(NOT(ISERROR((AC90/$H90)*100)),((AC90/$H90)*100) &lt;&gt; 0), (AC90/$H90)*100, ""))</f>
        <v/>
      </c>
      <c r="AE90" s="23" t="s">
        <v>383</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0"/>
      <c r="B91" s="82"/>
      <c r="C91" s="81" t="s">
        <v>384</v>
      </c>
      <c r="D91" s="49" t="s">
        <v>139</v>
      </c>
      <c r="E91" s="49" t="s">
        <v>140</v>
      </c>
      <c r="F91" s="50">
        <v>2005</v>
      </c>
      <c r="G91" s="50">
        <v>21</v>
      </c>
      <c r="H91" s="89"/>
      <c r="I91" s="85" t="s">
        <v>228</v>
      </c>
      <c r="J91" s="86"/>
      <c r="K91" s="33"/>
      <c r="L91" s="36" t="str">
        <f t="shared" si="70"/>
        <v/>
      </c>
      <c r="M91" s="38">
        <v>5</v>
      </c>
      <c r="N91" s="39" t="str">
        <f t="shared" si="71"/>
        <v/>
      </c>
      <c r="O91" s="33"/>
      <c r="P91" s="36" t="str">
        <f t="shared" si="72"/>
        <v/>
      </c>
      <c r="Q91" s="33"/>
      <c r="R91" s="36" t="str">
        <f t="shared" si="73"/>
        <v/>
      </c>
      <c r="S91" s="33"/>
      <c r="T91" s="36" t="str">
        <f t="shared" si="74"/>
        <v/>
      </c>
      <c r="U91" s="40">
        <v>16</v>
      </c>
      <c r="V91" s="39" t="str">
        <f t="shared" si="75"/>
        <v/>
      </c>
      <c r="W91" s="33"/>
      <c r="X91" s="36" t="str">
        <f t="shared" si="76"/>
        <v/>
      </c>
      <c r="Y91" s="33"/>
      <c r="Z91" s="36" t="str">
        <f t="shared" si="77"/>
        <v/>
      </c>
      <c r="AA91" s="33"/>
      <c r="AB91" s="36" t="str">
        <f t="shared" si="78"/>
        <v/>
      </c>
      <c r="AC91" s="33"/>
      <c r="AD91" s="36" t="str">
        <f t="shared" si="79"/>
        <v/>
      </c>
      <c r="AE91" s="23" t="s">
        <v>229</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1"/>
      <c r="B92" s="24"/>
      <c r="C92" s="24" t="s">
        <v>35</v>
      </c>
      <c r="D92" s="23" t="s">
        <v>141</v>
      </c>
      <c r="E92" s="23" t="s">
        <v>142</v>
      </c>
      <c r="F92" s="24">
        <v>2015</v>
      </c>
      <c r="G92" s="24">
        <v>1</v>
      </c>
      <c r="H92" s="89">
        <v>119</v>
      </c>
      <c r="I92" s="85"/>
      <c r="J92" s="86"/>
      <c r="K92" s="33"/>
      <c r="L92" s="36" t="str">
        <f t="shared" si="70"/>
        <v/>
      </c>
      <c r="M92" s="33"/>
      <c r="N92" s="36" t="str">
        <f t="shared" si="71"/>
        <v/>
      </c>
      <c r="O92" s="33"/>
      <c r="P92" s="36" t="str">
        <f t="shared" si="72"/>
        <v/>
      </c>
      <c r="Q92" s="33"/>
      <c r="R92" s="36" t="str">
        <f t="shared" si="73"/>
        <v/>
      </c>
      <c r="S92" s="33"/>
      <c r="T92" s="36" t="str">
        <f t="shared" si="74"/>
        <v/>
      </c>
      <c r="U92" s="76"/>
      <c r="V92" s="36" t="str">
        <f t="shared" si="75"/>
        <v/>
      </c>
      <c r="W92" s="33"/>
      <c r="X92" s="36" t="str">
        <f t="shared" si="76"/>
        <v/>
      </c>
      <c r="Y92" s="33"/>
      <c r="Z92" s="36" t="str">
        <f t="shared" si="77"/>
        <v/>
      </c>
      <c r="AA92" s="33"/>
      <c r="AB92" s="36" t="str">
        <f t="shared" si="78"/>
        <v/>
      </c>
      <c r="AC92" s="33"/>
      <c r="AD92" s="36" t="str">
        <f t="shared" si="79"/>
        <v/>
      </c>
      <c r="AE92" s="23" t="s">
        <v>230</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1"/>
      <c r="B93" s="24"/>
      <c r="C93" s="24" t="s">
        <v>85</v>
      </c>
      <c r="D93" s="23" t="s">
        <v>143</v>
      </c>
      <c r="E93" s="23" t="s">
        <v>144</v>
      </c>
      <c r="F93" s="24">
        <v>2008</v>
      </c>
      <c r="G93" s="24">
        <v>156</v>
      </c>
      <c r="H93" s="89">
        <v>50</v>
      </c>
      <c r="I93" s="85" t="s">
        <v>177</v>
      </c>
      <c r="J93" s="86"/>
      <c r="K93" s="33"/>
      <c r="L93" s="36" t="str">
        <f t="shared" si="70"/>
        <v/>
      </c>
      <c r="M93" s="33"/>
      <c r="N93" s="36" t="str">
        <f t="shared" si="71"/>
        <v/>
      </c>
      <c r="O93" s="33"/>
      <c r="P93" s="36" t="str">
        <f t="shared" si="72"/>
        <v/>
      </c>
      <c r="Q93" s="33"/>
      <c r="R93" s="36" t="str">
        <f t="shared" si="73"/>
        <v/>
      </c>
      <c r="S93" s="33"/>
      <c r="T93" s="36" t="str">
        <f t="shared" si="74"/>
        <v/>
      </c>
      <c r="U93" s="76"/>
      <c r="V93" s="36" t="str">
        <f t="shared" si="75"/>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23" t="s">
        <v>231</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x14ac:dyDescent="0.2">
      <c r="A94" s="60"/>
      <c r="B94" s="83"/>
      <c r="C94" s="24" t="s">
        <v>85</v>
      </c>
      <c r="D94" s="23" t="s">
        <v>326</v>
      </c>
      <c r="E94" s="23" t="s">
        <v>327</v>
      </c>
      <c r="F94" s="24">
        <v>2009</v>
      </c>
      <c r="H94" s="89">
        <v>12</v>
      </c>
      <c r="I94" s="85" t="s">
        <v>216</v>
      </c>
      <c r="J94" s="86" t="s">
        <v>194</v>
      </c>
      <c r="K94" s="73"/>
      <c r="L94" s="74" t="str">
        <f t="shared" si="70"/>
        <v/>
      </c>
      <c r="M94" s="73"/>
      <c r="N94" s="74" t="str">
        <f t="shared" si="71"/>
        <v/>
      </c>
      <c r="O94" s="73"/>
      <c r="P94" s="74" t="str">
        <f t="shared" si="72"/>
        <v/>
      </c>
      <c r="Q94" s="73"/>
      <c r="R94" s="74" t="str">
        <f t="shared" si="73"/>
        <v/>
      </c>
      <c r="S94" s="73"/>
      <c r="T94" s="74" t="str">
        <f t="shared" si="74"/>
        <v/>
      </c>
      <c r="U94" s="75"/>
      <c r="V94" s="74" t="str">
        <f t="shared" si="75"/>
        <v/>
      </c>
      <c r="W94" s="73"/>
      <c r="X94" s="74" t="str">
        <f>IF((ISERROR((W94/$H94)*100)), "", IF(AND(NOT(ISERROR((W94/$H94)*100)),((W94/$H94)*100) &lt;&gt; 0), (W94/$H94)*100, ""))</f>
        <v/>
      </c>
      <c r="Y94" s="73"/>
      <c r="Z94" s="74" t="str">
        <f>IF((ISERROR((Y94/$H94)*100)), "", IF(AND(NOT(ISERROR((Y94/$H94)*100)),((Y94/$H94)*100) &lt;&gt; 0), (Y94/$H94)*100, ""))</f>
        <v/>
      </c>
      <c r="AA94" s="73"/>
      <c r="AB94" s="74" t="str">
        <f>IF((ISERROR((AA94/$H94)*100)), "", IF(AND(NOT(ISERROR((AA94/$H94)*100)),((AA94/$H94)*100) &lt;&gt; 0), (AA94/$H94)*100, ""))</f>
        <v/>
      </c>
      <c r="AC94" s="73"/>
      <c r="AD94" s="74" t="str">
        <f>IF((ISERROR((AC94/$H94)*100)), "", IF(AND(NOT(ISERROR((AC94/$H94)*100)),((AC94/$H94)*100) &lt;&gt; 0), (AC94/$H94)*100, ""))</f>
        <v/>
      </c>
      <c r="AE94" s="23" t="s">
        <v>181</v>
      </c>
      <c r="AF94" s="23"/>
      <c r="AG94" s="23"/>
      <c r="AH94" s="23"/>
      <c r="AI94" s="23"/>
      <c r="AJ94" s="23"/>
      <c r="AK94" s="23"/>
      <c r="AL94" s="23"/>
      <c r="AM94" s="23"/>
      <c r="AN94" s="23"/>
      <c r="AO94" s="23"/>
      <c r="AP94" s="23"/>
      <c r="AQ94" s="23"/>
      <c r="AR94" s="23"/>
      <c r="AS94" s="23"/>
      <c r="AT94" s="23"/>
      <c r="AU94" s="23"/>
      <c r="AV94" s="23"/>
      <c r="AW94" s="23"/>
      <c r="AX94" s="23"/>
      <c r="AY94" s="23"/>
      <c r="AZ94" s="23"/>
    </row>
    <row r="95" spans="1:52" ht="20" customHeight="1" thickBot="1" x14ac:dyDescent="0.25">
      <c r="A95" s="61"/>
      <c r="B95" s="24"/>
      <c r="C95" s="24" t="s">
        <v>85</v>
      </c>
      <c r="D95" s="23" t="s">
        <v>147</v>
      </c>
      <c r="E95" s="23" t="s">
        <v>148</v>
      </c>
      <c r="F95" s="24">
        <v>2011</v>
      </c>
      <c r="G95" s="24">
        <v>112</v>
      </c>
      <c r="H95" s="90">
        <v>22</v>
      </c>
      <c r="I95" s="87" t="s">
        <v>220</v>
      </c>
      <c r="J95" s="88" t="s">
        <v>195</v>
      </c>
      <c r="K95" s="34"/>
      <c r="L95" s="37" t="str">
        <f t="shared" si="70"/>
        <v/>
      </c>
      <c r="M95" s="34"/>
      <c r="N95" s="37" t="str">
        <f t="shared" si="71"/>
        <v/>
      </c>
      <c r="O95" s="34"/>
      <c r="P95" s="37" t="str">
        <f t="shared" si="72"/>
        <v/>
      </c>
      <c r="Q95" s="34"/>
      <c r="R95" s="37" t="str">
        <f t="shared" si="73"/>
        <v/>
      </c>
      <c r="S95" s="34"/>
      <c r="T95" s="37" t="str">
        <f t="shared" si="74"/>
        <v/>
      </c>
      <c r="U95" s="35"/>
      <c r="V95" s="37" t="str">
        <f t="shared" si="75"/>
        <v/>
      </c>
      <c r="W95" s="34"/>
      <c r="X95" s="37" t="str">
        <f>IF((ISERROR((W95/$H95)*100)), "", IF(AND(NOT(ISERROR((W95/$H95)*100)),((W95/$H95)*100) &lt;&gt; 0), (W95/$H95)*100, ""))</f>
        <v/>
      </c>
      <c r="Y95" s="34"/>
      <c r="Z95" s="37" t="str">
        <f>IF((ISERROR((Y95/$H95)*100)), "", IF(AND(NOT(ISERROR((Y95/$H95)*100)),((Y95/$H95)*100) &lt;&gt; 0), (Y95/$H95)*100, ""))</f>
        <v/>
      </c>
      <c r="AA95" s="34"/>
      <c r="AB95" s="37" t="str">
        <f>IF((ISERROR((AA95/$H95)*100)), "", IF(AND(NOT(ISERROR((AA95/$H95)*100)),((AA95/$H95)*100) &lt;&gt; 0), (AA95/$H95)*100, ""))</f>
        <v/>
      </c>
      <c r="AC95" s="34"/>
      <c r="AD95" s="37" t="str">
        <f>IF((ISERROR((AC95/$H95)*100)), "", IF(AND(NOT(ISERROR((AC95/$H95)*100)),((AC95/$H95)*100) &lt;&gt; 0), (AC95/$H95)*100, ""))</f>
        <v/>
      </c>
      <c r="AE95" s="23" t="s">
        <v>233</v>
      </c>
      <c r="AF95" s="23"/>
      <c r="AG95" s="23"/>
      <c r="AH95" s="23"/>
      <c r="AI95" s="23"/>
      <c r="AJ95" s="23"/>
      <c r="AK95" s="23"/>
      <c r="AL95" s="23"/>
      <c r="AM95" s="23"/>
      <c r="AN95" s="23"/>
      <c r="AO95" s="23"/>
      <c r="AP95" s="23"/>
      <c r="AQ95" s="23"/>
      <c r="AR95" s="23"/>
      <c r="AS95" s="23"/>
      <c r="AT95" s="23"/>
      <c r="AU95" s="23"/>
      <c r="AV95" s="23"/>
      <c r="AW95" s="23"/>
      <c r="AX95" s="23"/>
      <c r="AY95" s="23"/>
      <c r="AZ95" s="23"/>
    </row>
    <row r="96" spans="1:52" x14ac:dyDescent="0.2">
      <c r="AE96" s="23"/>
      <c r="AF96" s="23"/>
      <c r="AG96" s="23"/>
      <c r="AH96" s="23"/>
      <c r="AI96" s="23"/>
      <c r="AJ96" s="23"/>
      <c r="AK96" s="23"/>
      <c r="AL96" s="23"/>
      <c r="AM96" s="23"/>
      <c r="AN96" s="23"/>
      <c r="AO96" s="23"/>
      <c r="AP96" s="23"/>
      <c r="AQ96" s="23"/>
      <c r="AR96" s="23"/>
      <c r="AS96" s="23"/>
      <c r="AT96" s="23"/>
      <c r="AU96" s="23"/>
      <c r="AV96" s="23"/>
      <c r="AW96" s="23"/>
      <c r="AX96" s="23"/>
      <c r="AY96" s="23"/>
      <c r="AZ96" s="23"/>
    </row>
    <row r="97" spans="3:52" ht="17" thickBot="1" x14ac:dyDescent="0.25">
      <c r="AE97" s="23"/>
      <c r="AF97" s="23"/>
      <c r="AG97" s="23"/>
      <c r="AH97" s="23"/>
      <c r="AI97" s="23"/>
      <c r="AJ97" s="23"/>
      <c r="AK97" s="23"/>
      <c r="AL97" s="23"/>
      <c r="AM97" s="23"/>
      <c r="AN97" s="23"/>
      <c r="AO97" s="23"/>
      <c r="AP97" s="23"/>
      <c r="AQ97" s="23"/>
      <c r="AR97" s="23"/>
      <c r="AS97" s="23"/>
      <c r="AT97" s="23"/>
      <c r="AU97" s="23"/>
      <c r="AV97" s="23"/>
      <c r="AW97" s="23"/>
      <c r="AX97" s="23"/>
      <c r="AY97" s="23"/>
      <c r="AZ97" s="23"/>
    </row>
    <row r="98" spans="3:52" s="22" customFormat="1" x14ac:dyDescent="0.2">
      <c r="C98" s="41"/>
      <c r="F98" s="24"/>
      <c r="G98" s="43" t="s">
        <v>246</v>
      </c>
      <c r="H98" s="44">
        <f>SUM(H11:H95)</f>
        <v>3216</v>
      </c>
      <c r="I98" s="45" t="s">
        <v>244</v>
      </c>
      <c r="J98" s="46" t="s">
        <v>243</v>
      </c>
      <c r="K98" s="51">
        <f>IF((SUM(K11:K95)&lt;&gt;0), SUMIF($H11:$H95, "&gt;0", K11:K95), "")</f>
        <v>25</v>
      </c>
      <c r="L98" s="52">
        <f>IF(ISERROR((K98/$H98)*100), "", IF(((K98/$H98)*100) &lt;&gt; 0, (K98/$H98)*100, ""))</f>
        <v>0.77736318407960203</v>
      </c>
      <c r="M98" s="51">
        <f>IF((SUM(M11:M95)&lt;&gt;0), SUMIF($H11:$H95, "&gt;0", M11:M95), "")</f>
        <v>7</v>
      </c>
      <c r="N98" s="52">
        <f>IF(ISERROR((M98/$H98)*100), "", IF(((M98/$H98)*100) &lt;&gt; 0, (M98/$H98)*100, ""))</f>
        <v>0.21766169154228857</v>
      </c>
      <c r="O98" s="51">
        <f>IF((SUM(O11:O95)&lt;&gt;0), SUMIF($H11:$H95, "&gt;0", O11:O95), "")</f>
        <v>6</v>
      </c>
      <c r="P98" s="52">
        <f>IF(ISERROR((O98/$H98)*100), "", IF(((O98/$H98)*100) &lt;&gt; 0, (O98/$H98)*100, ""))</f>
        <v>0.18656716417910446</v>
      </c>
      <c r="Q98" s="51">
        <f>IF((SUM(Q11:Q95)&lt;&gt;0), SUMIF($H11:$H95, "&gt;0", Q11:Q95), "")</f>
        <v>2</v>
      </c>
      <c r="R98" s="52">
        <f>IF(ISERROR((Q98/$H98)*100), "", IF(((Q98/$H98)*100) &lt;&gt; 0, (Q98/$H98)*100, ""))</f>
        <v>6.2189054726368161E-2</v>
      </c>
      <c r="S98" s="51">
        <f>IF((SUM(S11:S95)&lt;&gt;0), SUMIF($H11:$H95, "&gt;0", S11:S95), "")</f>
        <v>58</v>
      </c>
      <c r="T98" s="52">
        <f>IF(ISERROR((S98/$H98)*100), "", IF(((S98/$H98)*100) &lt;&gt; 0, (S98/$H98)*100, ""))</f>
        <v>1.8034825870646767</v>
      </c>
      <c r="U98" s="51">
        <f>IF((SUM(U11:U95)&lt;&gt;0), SUMIF($H11:$H95, "&gt;0", U11:U95), "")</f>
        <v>95</v>
      </c>
      <c r="V98" s="52">
        <f>IF(ISERROR((U98/$H98)*100), "", IF(((U98/$H98)*100) &lt;&gt; 0, (U98/$H98)*100, ""))</f>
        <v>2.9539800995024876</v>
      </c>
      <c r="W98" s="51">
        <f>IF((SUM(W11:W95)&lt;&gt;0), SUMIF($H11:$H95, "&gt;0", W11:W95), "")</f>
        <v>34</v>
      </c>
      <c r="X98" s="52">
        <f>IF(ISERROR((W98/$H98)*100), "", IF(((W98/$H98)*100) &lt;&gt; 0, (W98/$H98)*100, ""))</f>
        <v>1.0572139303482588</v>
      </c>
      <c r="Y98" s="51">
        <f>IF((SUM(Y11:Y95)&lt;&gt;0), SUMIF($H11:$H95, "&gt;0", Y11:Y95), "")</f>
        <v>1</v>
      </c>
      <c r="Z98" s="52">
        <f>IF(ISERROR((Y98/$H98)*100), "", IF(((Y98/$H98)*100) &lt;&gt; 0, (Y98/$H98)*100, ""))</f>
        <v>3.109452736318408E-2</v>
      </c>
      <c r="AA98" s="51">
        <f>IF((SUM(AA11:AA95)&lt;&gt;0), SUMIF($H11:$H95, "&gt;0", AA11:AA95), "")</f>
        <v>1</v>
      </c>
      <c r="AB98" s="52">
        <f>IF(ISERROR((AA98/$H98)*100), "", IF(((AA98/$H98)*100) &lt;&gt; 0, (AA98/$H98)*100, ""))</f>
        <v>3.109452736318408E-2</v>
      </c>
      <c r="AC98" s="51">
        <f>IF((SUM(AC11:AC95)&lt;&gt;0), SUMIF($H11:$H95, "&gt;0", AC11:AC95), "")</f>
        <v>1</v>
      </c>
      <c r="AD98" s="52">
        <f>IF(ISERROR((AC98/$H98)*100), "", IF(((AC98/$H98)*100) &lt;&gt; 0, (AC98/$H98)*100, ""))</f>
        <v>3.109452736318408E-2</v>
      </c>
    </row>
    <row r="99" spans="3:52" s="22" customFormat="1" ht="18" customHeight="1" x14ac:dyDescent="0.2">
      <c r="C99" s="41"/>
      <c r="F99" s="24"/>
      <c r="G99" s="43" t="s">
        <v>247</v>
      </c>
      <c r="H99" s="42" t="s">
        <v>245</v>
      </c>
      <c r="I99" s="47" t="s">
        <v>244</v>
      </c>
      <c r="J99" s="48" t="s">
        <v>243</v>
      </c>
      <c r="K99" s="53">
        <f>IF(SUMIF(K11:K95, "&gt; 0", $H11:$H95) &gt; 0, SUMIF(K11:K95, "&gt; 0", $H11:$H95), "")</f>
        <v>62</v>
      </c>
      <c r="L99" s="54">
        <f>(K98/K99)*100</f>
        <v>40.322580645161288</v>
      </c>
      <c r="M99" s="53">
        <f>IF(SUMIF(M11:M95, "&gt; 0", $H11:$H95) &gt; 0, SUMIF(M11:M95, "&gt; 0", $H11:$H95), "")</f>
        <v>19</v>
      </c>
      <c r="N99" s="54">
        <f>(M98/M99)*100</f>
        <v>36.84210526315789</v>
      </c>
      <c r="O99" s="53">
        <f>IF(SUMIF(O11:O95, "&gt; 0", $H11:$H95) &gt; 0, SUMIF(O11:O95, "&gt; 0", $H11:$H95), "")</f>
        <v>17</v>
      </c>
      <c r="P99" s="54">
        <f>(O98/O99)*100</f>
        <v>35.294117647058826</v>
      </c>
      <c r="Q99" s="53">
        <f>IF(SUMIF(Q11:Q95, "&gt; 0", $H11:$H95) &gt; 0, SUMIF(Q11:Q95, "&gt; 0", $H11:$H95), "")</f>
        <v>8</v>
      </c>
      <c r="R99" s="54">
        <f>(Q98/Q99)*100</f>
        <v>25</v>
      </c>
      <c r="S99" s="53">
        <f>IF(SUMIF(S11:S95, "&gt; 0", $H11:$H95) &gt; 0, SUMIF(S11:S95, "&gt; 0", $H11:$H95), "")</f>
        <v>245</v>
      </c>
      <c r="T99" s="54">
        <f>(S98/S99)*100</f>
        <v>23.673469387755102</v>
      </c>
      <c r="U99" s="53">
        <f>IF(SUMIF(U11:U95, "&gt; 0", $H11:$H95) &gt; 0, SUMIF(U11:U95, "&gt; 0", $H11:$H95), "")</f>
        <v>414</v>
      </c>
      <c r="V99" s="54">
        <f>(U98/U99)*100</f>
        <v>22.946859903381643</v>
      </c>
      <c r="W99" s="53">
        <f>IF(SUMIF(W11:W95, "&gt; 0", $H11:$H95) &gt; 0, SUMIF(W11:W95, "&gt; 0", $H11:$H95), "")</f>
        <v>156</v>
      </c>
      <c r="X99" s="54">
        <f>(W98/W99)*100</f>
        <v>21.794871794871796</v>
      </c>
      <c r="Y99" s="53">
        <f>IF(SUMIF(Y11:Y95, "&gt; 0", $H11:$H95) &gt; 0, SUMIF(Y11:Y95, "&gt; 0", $H11:$H95), "")</f>
        <v>8</v>
      </c>
      <c r="Z99" s="54">
        <f>(Y98/Y99)*100</f>
        <v>12.5</v>
      </c>
      <c r="AA99" s="53">
        <f>IF(SUMIF(AA11:AA95, "&gt; 0", $H11:$H95) &gt; 0, SUMIF(AA11:AA95, "&gt; 0", $H11:$H95), "")</f>
        <v>8</v>
      </c>
      <c r="AB99" s="54">
        <f>(AA98/AA99)*100</f>
        <v>12.5</v>
      </c>
      <c r="AC99" s="53">
        <f>IF(SUMIF(AC11:AC95, "&gt; 0", $H11:$H95) &gt; 0, SUMIF(AC11:AC95, "&gt; 0", $H11:$H95), "")</f>
        <v>8</v>
      </c>
      <c r="AD99" s="54">
        <f>(AC98/AC99)*100</f>
        <v>12.5</v>
      </c>
    </row>
    <row r="100" spans="3:52" ht="18" customHeight="1" thickBot="1" x14ac:dyDescent="0.25">
      <c r="H100" s="228" t="s">
        <v>244</v>
      </c>
      <c r="I100" s="231"/>
      <c r="J100" s="232"/>
      <c r="K100" s="207" t="s">
        <v>242</v>
      </c>
      <c r="L100" s="209" t="s">
        <v>243</v>
      </c>
      <c r="M100" s="207" t="s">
        <v>242</v>
      </c>
      <c r="N100" s="209" t="s">
        <v>243</v>
      </c>
      <c r="O100" s="207" t="s">
        <v>242</v>
      </c>
      <c r="P100" s="209" t="s">
        <v>243</v>
      </c>
      <c r="Q100" s="207" t="s">
        <v>242</v>
      </c>
      <c r="R100" s="209" t="s">
        <v>243</v>
      </c>
      <c r="S100" s="207" t="s">
        <v>242</v>
      </c>
      <c r="T100" s="209" t="s">
        <v>243</v>
      </c>
      <c r="U100" s="207" t="s">
        <v>242</v>
      </c>
      <c r="V100" s="209" t="s">
        <v>243</v>
      </c>
      <c r="W100" s="208" t="s">
        <v>242</v>
      </c>
      <c r="X100" s="209" t="s">
        <v>243</v>
      </c>
      <c r="Y100" s="207" t="s">
        <v>242</v>
      </c>
      <c r="Z100" s="209" t="s">
        <v>243</v>
      </c>
      <c r="AA100" s="207" t="s">
        <v>242</v>
      </c>
      <c r="AB100" s="209" t="s">
        <v>243</v>
      </c>
      <c r="AC100" s="207" t="s">
        <v>242</v>
      </c>
      <c r="AD100" s="209" t="s">
        <v>243</v>
      </c>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row>
    <row r="101" spans="3:52" ht="18" customHeight="1" x14ac:dyDescent="0.2">
      <c r="E101" s="55" t="s">
        <v>249</v>
      </c>
      <c r="F101" s="58">
        <v>1</v>
      </c>
      <c r="H101" s="229"/>
      <c r="I101" s="233"/>
      <c r="J101" s="234"/>
      <c r="K101" s="207"/>
      <c r="L101" s="210"/>
      <c r="M101" s="207"/>
      <c r="N101" s="210"/>
      <c r="O101" s="207"/>
      <c r="P101" s="210"/>
      <c r="Q101" s="207"/>
      <c r="R101" s="210"/>
      <c r="S101" s="207"/>
      <c r="T101" s="210"/>
      <c r="U101" s="207"/>
      <c r="V101" s="210"/>
      <c r="W101" s="275"/>
      <c r="X101" s="210"/>
      <c r="Y101" s="207"/>
      <c r="Z101" s="210"/>
      <c r="AA101" s="207"/>
      <c r="AB101" s="210"/>
      <c r="AC101" s="207"/>
      <c r="AD101" s="210"/>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row>
    <row r="102" spans="3:52" ht="18" customHeight="1" x14ac:dyDescent="0.2">
      <c r="E102" s="56"/>
      <c r="F102" s="57"/>
      <c r="H102" s="229"/>
      <c r="I102" s="233"/>
      <c r="J102" s="234"/>
      <c r="K102" s="207"/>
      <c r="L102" s="210"/>
      <c r="M102" s="207"/>
      <c r="N102" s="210"/>
      <c r="O102" s="207"/>
      <c r="P102" s="210"/>
      <c r="Q102" s="207"/>
      <c r="R102" s="210"/>
      <c r="S102" s="207"/>
      <c r="T102" s="210"/>
      <c r="U102" s="207"/>
      <c r="V102" s="210"/>
      <c r="W102" s="275"/>
      <c r="X102" s="210"/>
      <c r="Y102" s="207"/>
      <c r="Z102" s="210"/>
      <c r="AA102" s="207"/>
      <c r="AB102" s="210"/>
      <c r="AC102" s="207"/>
      <c r="AD102" s="210"/>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3:52" ht="18" customHeight="1" x14ac:dyDescent="0.2">
      <c r="E103" s="242" t="s">
        <v>250</v>
      </c>
      <c r="F103" s="243"/>
      <c r="H103" s="229"/>
      <c r="I103" s="233"/>
      <c r="J103" s="234"/>
      <c r="K103" s="207"/>
      <c r="L103" s="210"/>
      <c r="M103" s="207"/>
      <c r="N103" s="210"/>
      <c r="O103" s="207"/>
      <c r="P103" s="210"/>
      <c r="Q103" s="207"/>
      <c r="R103" s="210"/>
      <c r="S103" s="207"/>
      <c r="T103" s="210"/>
      <c r="U103" s="207"/>
      <c r="V103" s="210"/>
      <c r="W103" s="275"/>
      <c r="X103" s="210"/>
      <c r="Y103" s="207"/>
      <c r="Z103" s="210"/>
      <c r="AA103" s="207"/>
      <c r="AB103" s="210"/>
      <c r="AC103" s="207"/>
      <c r="AD103" s="210"/>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3:52" ht="18" customHeight="1" x14ac:dyDescent="0.2">
      <c r="E104" s="242"/>
      <c r="F104" s="243"/>
      <c r="H104" s="229"/>
      <c r="I104" s="233"/>
      <c r="J104" s="234"/>
      <c r="K104" s="208"/>
      <c r="L104" s="210"/>
      <c r="M104" s="208"/>
      <c r="N104" s="210"/>
      <c r="O104" s="208"/>
      <c r="P104" s="210"/>
      <c r="Q104" s="208"/>
      <c r="R104" s="210"/>
      <c r="S104" s="208"/>
      <c r="T104" s="210"/>
      <c r="U104" s="208"/>
      <c r="V104" s="210"/>
      <c r="W104" s="211"/>
      <c r="X104" s="276"/>
      <c r="Y104" s="208"/>
      <c r="Z104" s="210"/>
      <c r="AA104" s="208"/>
      <c r="AB104" s="210"/>
      <c r="AC104" s="208"/>
      <c r="AD104" s="210"/>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3:52" ht="18" customHeight="1" x14ac:dyDescent="0.2">
      <c r="E105" s="242"/>
      <c r="F105" s="243"/>
      <c r="H105" s="229"/>
      <c r="I105" s="233"/>
      <c r="J105" s="234"/>
      <c r="K105" s="241" t="s">
        <v>239</v>
      </c>
      <c r="L105" s="238"/>
      <c r="M105" s="237" t="s">
        <v>160</v>
      </c>
      <c r="N105" s="238"/>
      <c r="O105" s="241" t="s">
        <v>241</v>
      </c>
      <c r="P105" s="238"/>
      <c r="Q105" s="237" t="s">
        <v>173</v>
      </c>
      <c r="R105" s="238"/>
      <c r="S105" s="237" t="s">
        <v>164</v>
      </c>
      <c r="T105" s="238"/>
      <c r="U105" s="257" t="s">
        <v>210</v>
      </c>
      <c r="V105" s="238"/>
      <c r="W105" s="237" t="s">
        <v>174</v>
      </c>
      <c r="X105" s="238"/>
      <c r="Y105" s="237" t="s">
        <v>172</v>
      </c>
      <c r="Z105" s="238"/>
      <c r="AA105" s="237" t="s">
        <v>175</v>
      </c>
      <c r="AB105" s="238"/>
      <c r="AC105" s="237" t="s">
        <v>161</v>
      </c>
      <c r="AD105" s="238"/>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3:52" ht="18" customHeight="1" x14ac:dyDescent="0.2">
      <c r="E106" s="242"/>
      <c r="F106" s="243"/>
      <c r="H106" s="229"/>
      <c r="I106" s="233"/>
      <c r="J106" s="234"/>
      <c r="K106" s="214"/>
      <c r="L106" s="215"/>
      <c r="M106" s="214"/>
      <c r="N106" s="215"/>
      <c r="O106" s="214"/>
      <c r="P106" s="215"/>
      <c r="Q106" s="214"/>
      <c r="R106" s="215"/>
      <c r="S106" s="214"/>
      <c r="T106" s="215"/>
      <c r="U106" s="258"/>
      <c r="V106" s="215"/>
      <c r="W106" s="214"/>
      <c r="X106" s="215"/>
      <c r="Y106" s="214"/>
      <c r="Z106" s="215"/>
      <c r="AA106" s="214"/>
      <c r="AB106" s="215"/>
      <c r="AC106" s="214"/>
      <c r="AD106" s="215"/>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3:52" ht="18" customHeight="1" thickBot="1" x14ac:dyDescent="0.25">
      <c r="E107" s="242"/>
      <c r="F107" s="243"/>
      <c r="H107" s="229"/>
      <c r="I107" s="233"/>
      <c r="J107" s="234"/>
      <c r="K107" s="239"/>
      <c r="L107" s="240"/>
      <c r="M107" s="239"/>
      <c r="N107" s="240"/>
      <c r="O107" s="239"/>
      <c r="P107" s="240"/>
      <c r="Q107" s="239"/>
      <c r="R107" s="240"/>
      <c r="S107" s="239"/>
      <c r="T107" s="240"/>
      <c r="U107" s="259"/>
      <c r="V107" s="240"/>
      <c r="W107" s="239"/>
      <c r="X107" s="240"/>
      <c r="Y107" s="239"/>
      <c r="Z107" s="240"/>
      <c r="AA107" s="239"/>
      <c r="AB107" s="240"/>
      <c r="AC107" s="239"/>
      <c r="AD107" s="240"/>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3:52" ht="20" customHeight="1" thickBot="1" x14ac:dyDescent="0.3">
      <c r="E108" s="244"/>
      <c r="F108" s="245"/>
      <c r="H108" s="230"/>
      <c r="I108" s="235"/>
      <c r="J108" s="236"/>
      <c r="K108" s="249" t="s">
        <v>398</v>
      </c>
      <c r="L108" s="250"/>
      <c r="M108" s="250"/>
      <c r="N108" s="250"/>
      <c r="O108" s="250"/>
      <c r="P108" s="250"/>
      <c r="Q108" s="250"/>
      <c r="R108" s="250"/>
      <c r="S108" s="250"/>
      <c r="T108" s="250"/>
      <c r="U108" s="250"/>
      <c r="V108" s="250"/>
      <c r="W108" s="250"/>
      <c r="X108" s="250"/>
      <c r="Y108" s="250"/>
      <c r="Z108" s="250"/>
      <c r="AA108" s="250"/>
      <c r="AB108" s="250"/>
      <c r="AC108" s="250"/>
      <c r="AD108" s="251"/>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row>
    <row r="113" spans="1:53" ht="17" thickBot="1" x14ac:dyDescent="0.25"/>
    <row r="114" spans="1:53" ht="20" thickBot="1" x14ac:dyDescent="0.3">
      <c r="K114" s="246" t="s">
        <v>401</v>
      </c>
      <c r="L114" s="247"/>
      <c r="M114" s="247"/>
      <c r="N114" s="247"/>
      <c r="O114" s="247"/>
      <c r="P114" s="247"/>
      <c r="Q114" s="247"/>
      <c r="R114" s="247"/>
      <c r="S114" s="247"/>
      <c r="T114" s="247"/>
      <c r="U114" s="247"/>
      <c r="V114" s="247"/>
      <c r="W114" s="247"/>
      <c r="X114" s="247"/>
      <c r="Y114" s="247"/>
      <c r="Z114" s="247"/>
      <c r="AA114" s="247"/>
      <c r="AB114" s="247"/>
      <c r="AC114" s="247"/>
      <c r="AD114" s="247"/>
      <c r="AE114" s="247"/>
      <c r="AF114" s="248"/>
    </row>
    <row r="115" spans="1:53" ht="16" customHeight="1" x14ac:dyDescent="0.2">
      <c r="D115" s="190" t="s">
        <v>400</v>
      </c>
      <c r="K115" s="218" t="s">
        <v>379</v>
      </c>
      <c r="L115" s="252"/>
      <c r="M115" s="212" t="s">
        <v>157</v>
      </c>
      <c r="N115" s="213"/>
      <c r="O115" s="218" t="s">
        <v>238</v>
      </c>
      <c r="P115" s="213"/>
      <c r="Q115" s="212" t="s">
        <v>163</v>
      </c>
      <c r="R115" s="213"/>
      <c r="S115" s="212" t="s">
        <v>209</v>
      </c>
      <c r="T115" s="213"/>
      <c r="U115" s="212" t="s">
        <v>158</v>
      </c>
      <c r="V115" s="213"/>
      <c r="W115" s="218" t="s">
        <v>240</v>
      </c>
      <c r="X115" s="213"/>
      <c r="Y115" s="212" t="s">
        <v>159</v>
      </c>
      <c r="Z115" s="213"/>
      <c r="AA115" s="212" t="s">
        <v>208</v>
      </c>
      <c r="AB115" s="213"/>
      <c r="AC115" s="212" t="s">
        <v>207</v>
      </c>
      <c r="AD115" s="213"/>
      <c r="AE115" s="212" t="s">
        <v>204</v>
      </c>
      <c r="AF115" s="213"/>
      <c r="AG115" s="23"/>
      <c r="AH115" s="23"/>
      <c r="AI115" s="23"/>
      <c r="AJ115" s="23"/>
      <c r="AK115" s="23"/>
      <c r="AL115" s="23"/>
      <c r="AM115" s="23"/>
      <c r="AN115" s="23"/>
      <c r="AO115" s="23"/>
      <c r="AP115" s="23"/>
      <c r="AQ115" s="23"/>
      <c r="AR115" s="23"/>
      <c r="AS115" s="23"/>
      <c r="AT115" s="23"/>
      <c r="AU115" s="23"/>
      <c r="AV115" s="23"/>
      <c r="AW115" s="23"/>
      <c r="AX115" s="23"/>
      <c r="AY115" s="23"/>
      <c r="AZ115" s="23"/>
    </row>
    <row r="116" spans="1:53" ht="20" customHeight="1" x14ac:dyDescent="0.2">
      <c r="B116" s="84"/>
      <c r="D116" s="191"/>
      <c r="K116" s="253"/>
      <c r="L116" s="254"/>
      <c r="M116" s="214"/>
      <c r="N116" s="215"/>
      <c r="O116" s="214"/>
      <c r="P116" s="215"/>
      <c r="Q116" s="214"/>
      <c r="R116" s="215"/>
      <c r="S116" s="214"/>
      <c r="T116" s="215"/>
      <c r="U116" s="214"/>
      <c r="V116" s="215"/>
      <c r="W116" s="214"/>
      <c r="X116" s="215"/>
      <c r="Y116" s="214"/>
      <c r="Z116" s="215"/>
      <c r="AA116" s="214"/>
      <c r="AB116" s="215"/>
      <c r="AC116" s="214"/>
      <c r="AD116" s="215"/>
      <c r="AE116" s="214"/>
      <c r="AF116" s="215"/>
      <c r="AG116" s="23"/>
      <c r="AH116" s="23"/>
      <c r="AI116" s="23"/>
      <c r="AJ116" s="23"/>
      <c r="AK116" s="23"/>
      <c r="AL116" s="23"/>
      <c r="AM116" s="23"/>
      <c r="AN116" s="23"/>
      <c r="AO116" s="23"/>
      <c r="AP116" s="23"/>
      <c r="AQ116" s="23"/>
      <c r="AR116" s="23"/>
      <c r="AS116" s="23"/>
      <c r="AT116" s="23"/>
      <c r="AU116" s="23"/>
      <c r="AV116" s="23"/>
      <c r="AW116" s="23"/>
      <c r="AX116" s="23"/>
      <c r="AY116" s="23"/>
      <c r="AZ116" s="23"/>
    </row>
    <row r="117" spans="1:53" ht="20" customHeight="1" thickBot="1" x14ac:dyDescent="0.25">
      <c r="A117" s="61"/>
      <c r="B117" s="83"/>
      <c r="D117" s="188" t="s">
        <v>248</v>
      </c>
      <c r="I117" s="24"/>
      <c r="J117" s="24"/>
      <c r="K117" s="255"/>
      <c r="L117" s="256"/>
      <c r="M117" s="216"/>
      <c r="N117" s="217"/>
      <c r="O117" s="216"/>
      <c r="P117" s="217"/>
      <c r="Q117" s="216"/>
      <c r="R117" s="217"/>
      <c r="S117" s="216"/>
      <c r="T117" s="217"/>
      <c r="U117" s="216"/>
      <c r="V117" s="217"/>
      <c r="W117" s="216"/>
      <c r="X117" s="217"/>
      <c r="Y117" s="216"/>
      <c r="Z117" s="217"/>
      <c r="AA117" s="216"/>
      <c r="AB117" s="217"/>
      <c r="AC117" s="216"/>
      <c r="AD117" s="217"/>
      <c r="AE117" s="216"/>
      <c r="AF117" s="217"/>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x14ac:dyDescent="0.2">
      <c r="A118" s="60"/>
      <c r="B118" s="82"/>
      <c r="D118" s="188"/>
      <c r="G118" s="184" t="s">
        <v>24</v>
      </c>
      <c r="H118" s="195" t="s">
        <v>330</v>
      </c>
      <c r="I118" s="198" t="s">
        <v>328</v>
      </c>
      <c r="J118" s="390" t="s">
        <v>329</v>
      </c>
      <c r="K118" s="192" t="s">
        <v>242</v>
      </c>
      <c r="L118" s="220" t="s">
        <v>243</v>
      </c>
      <c r="M118" s="204" t="s">
        <v>242</v>
      </c>
      <c r="N118" s="262" t="s">
        <v>243</v>
      </c>
      <c r="O118" s="219" t="s">
        <v>242</v>
      </c>
      <c r="P118" s="220" t="s">
        <v>243</v>
      </c>
      <c r="Q118" s="192" t="s">
        <v>242</v>
      </c>
      <c r="R118" s="220" t="s">
        <v>243</v>
      </c>
      <c r="S118" s="192" t="s">
        <v>242</v>
      </c>
      <c r="T118" s="220" t="s">
        <v>243</v>
      </c>
      <c r="U118" s="192" t="s">
        <v>242</v>
      </c>
      <c r="V118" s="220" t="s">
        <v>243</v>
      </c>
      <c r="W118" s="219" t="s">
        <v>242</v>
      </c>
      <c r="X118" s="220" t="s">
        <v>243</v>
      </c>
      <c r="Y118" s="192" t="s">
        <v>242</v>
      </c>
      <c r="Z118" s="220" t="s">
        <v>243</v>
      </c>
      <c r="AA118" s="192" t="s">
        <v>242</v>
      </c>
      <c r="AB118" s="220" t="s">
        <v>243</v>
      </c>
      <c r="AC118" s="192" t="s">
        <v>242</v>
      </c>
      <c r="AD118" s="220" t="s">
        <v>243</v>
      </c>
      <c r="AE118" s="192" t="s">
        <v>242</v>
      </c>
      <c r="AF118" s="220" t="s">
        <v>243</v>
      </c>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thickBot="1" x14ac:dyDescent="0.25">
      <c r="A119" s="184" t="s">
        <v>251</v>
      </c>
      <c r="B119" s="186" t="s">
        <v>334</v>
      </c>
      <c r="D119" s="189"/>
      <c r="G119" s="184"/>
      <c r="H119" s="196"/>
      <c r="I119" s="199"/>
      <c r="J119" s="391"/>
      <c r="K119" s="192"/>
      <c r="L119" s="220"/>
      <c r="M119" s="205"/>
      <c r="N119" s="263"/>
      <c r="O119" s="192"/>
      <c r="P119" s="220"/>
      <c r="Q119" s="192"/>
      <c r="R119" s="220"/>
      <c r="S119" s="192"/>
      <c r="T119" s="220"/>
      <c r="U119" s="192"/>
      <c r="V119" s="220"/>
      <c r="W119" s="219"/>
      <c r="X119" s="220"/>
      <c r="Y119" s="192"/>
      <c r="Z119" s="220"/>
      <c r="AA119" s="192"/>
      <c r="AB119" s="220"/>
      <c r="AC119" s="192"/>
      <c r="AD119" s="220"/>
      <c r="AE119" s="192"/>
      <c r="AF119" s="220"/>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184"/>
      <c r="B120" s="186"/>
      <c r="G120" s="184"/>
      <c r="H120" s="196"/>
      <c r="I120" s="199"/>
      <c r="J120" s="391"/>
      <c r="K120" s="192"/>
      <c r="L120" s="220"/>
      <c r="M120" s="205"/>
      <c r="N120" s="263"/>
      <c r="O120" s="192"/>
      <c r="P120" s="220"/>
      <c r="Q120" s="192"/>
      <c r="R120" s="220"/>
      <c r="S120" s="192"/>
      <c r="T120" s="220"/>
      <c r="U120" s="192"/>
      <c r="V120" s="220"/>
      <c r="W120" s="219"/>
      <c r="X120" s="220"/>
      <c r="Y120" s="192"/>
      <c r="Z120" s="220"/>
      <c r="AA120" s="192"/>
      <c r="AB120" s="220"/>
      <c r="AC120" s="192"/>
      <c r="AD120" s="220"/>
      <c r="AE120" s="192"/>
      <c r="AF120" s="220"/>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x14ac:dyDescent="0.2">
      <c r="A121" s="184"/>
      <c r="B121" s="186"/>
      <c r="G121" s="184"/>
      <c r="H121" s="196"/>
      <c r="I121" s="199"/>
      <c r="J121" s="391"/>
      <c r="K121" s="192"/>
      <c r="L121" s="220"/>
      <c r="M121" s="205"/>
      <c r="N121" s="263"/>
      <c r="O121" s="192"/>
      <c r="P121" s="220"/>
      <c r="Q121" s="192"/>
      <c r="R121" s="220"/>
      <c r="S121" s="192"/>
      <c r="T121" s="220"/>
      <c r="U121" s="192"/>
      <c r="V121" s="220"/>
      <c r="W121" s="219"/>
      <c r="X121" s="220"/>
      <c r="Y121" s="192"/>
      <c r="Z121" s="220"/>
      <c r="AA121" s="192"/>
      <c r="AB121" s="220"/>
      <c r="AC121" s="192"/>
      <c r="AD121" s="220"/>
      <c r="AE121" s="192"/>
      <c r="AF121" s="220"/>
      <c r="AG121" s="23"/>
      <c r="AH121" s="23"/>
      <c r="AI121" s="23"/>
      <c r="AJ121" s="23"/>
      <c r="AK121" s="23"/>
      <c r="AL121" s="23"/>
      <c r="AM121" s="23"/>
      <c r="AN121" s="23"/>
      <c r="AO121" s="23"/>
      <c r="AP121" s="23"/>
      <c r="AQ121" s="23"/>
      <c r="AR121" s="23"/>
      <c r="AS121" s="23"/>
      <c r="AT121" s="23"/>
      <c r="AU121" s="23"/>
      <c r="AV121" s="23"/>
      <c r="AW121" s="23"/>
      <c r="AX121" s="23"/>
      <c r="AY121" s="23"/>
      <c r="AZ121" s="23"/>
    </row>
    <row r="122" spans="1:53" ht="20" customHeight="1" thickBot="1" x14ac:dyDescent="0.25">
      <c r="A122" s="185"/>
      <c r="B122" s="187"/>
      <c r="C122" s="21" t="s">
        <v>20</v>
      </c>
      <c r="D122" s="20" t="s">
        <v>21</v>
      </c>
      <c r="E122" s="20" t="s">
        <v>22</v>
      </c>
      <c r="F122" s="21" t="s">
        <v>23</v>
      </c>
      <c r="G122" s="194"/>
      <c r="H122" s="197"/>
      <c r="I122" s="200"/>
      <c r="J122" s="392"/>
      <c r="K122" s="193"/>
      <c r="L122" s="221"/>
      <c r="M122" s="206"/>
      <c r="N122" s="264"/>
      <c r="O122" s="193"/>
      <c r="P122" s="221"/>
      <c r="Q122" s="193"/>
      <c r="R122" s="221"/>
      <c r="S122" s="193"/>
      <c r="T122" s="221"/>
      <c r="U122" s="193"/>
      <c r="V122" s="221"/>
      <c r="W122" s="224"/>
      <c r="X122" s="221"/>
      <c r="Y122" s="193"/>
      <c r="Z122" s="221"/>
      <c r="AA122" s="193"/>
      <c r="AB122" s="221"/>
      <c r="AC122" s="193"/>
      <c r="AD122" s="221"/>
      <c r="AE122" s="193"/>
      <c r="AF122" s="221"/>
      <c r="AG122" s="20" t="s">
        <v>25</v>
      </c>
      <c r="AH122" s="93"/>
      <c r="AI122" s="93"/>
      <c r="AJ122" s="93"/>
      <c r="AK122" s="93"/>
      <c r="AL122" s="93"/>
      <c r="AM122" s="93"/>
      <c r="AN122" s="93"/>
      <c r="AO122" s="93"/>
      <c r="AP122" s="93"/>
      <c r="AQ122" s="93"/>
      <c r="AR122" s="93"/>
      <c r="AS122" s="93"/>
      <c r="AT122" s="93"/>
      <c r="AU122" s="93"/>
      <c r="AV122" s="93"/>
      <c r="AW122" s="93"/>
      <c r="AX122" s="93"/>
      <c r="AY122" s="93"/>
      <c r="AZ122" s="93"/>
      <c r="BA122" s="93"/>
    </row>
    <row r="123" spans="1:53" ht="20" customHeight="1" x14ac:dyDescent="0.2">
      <c r="A123" s="60"/>
      <c r="B123" s="84"/>
      <c r="C123" s="63" t="s">
        <v>85</v>
      </c>
      <c r="D123" s="62" t="s">
        <v>252</v>
      </c>
      <c r="E123" s="62" t="s">
        <v>253</v>
      </c>
      <c r="F123" s="63">
        <v>2015</v>
      </c>
      <c r="G123" s="63"/>
      <c r="H123" s="115">
        <v>40</v>
      </c>
      <c r="I123" s="110" t="s">
        <v>331</v>
      </c>
      <c r="J123" s="64" t="s">
        <v>332</v>
      </c>
      <c r="K123" s="104"/>
      <c r="L123" s="78" t="str">
        <f t="shared" ref="L123:L154" si="80">IF((ISERROR((K123/$H123)*100)), "", IF(AND(NOT(ISERROR((K123/$H123)*100)),((K123/$H123)*100) &lt;&gt; 0), (K123/$H123)*100, ""))</f>
        <v/>
      </c>
      <c r="M123" s="70"/>
      <c r="N123" s="77" t="str">
        <f t="shared" ref="N123:N154" si="81">IF((ISERROR((M123/$H123)*100)), "", IF(AND(NOT(ISERROR((M123/$H123)*100)),((M123/$H123)*100) &lt;&gt; 0), (M123/$H123)*100, ""))</f>
        <v/>
      </c>
      <c r="O123" s="70"/>
      <c r="P123" s="77" t="str">
        <f t="shared" ref="P123:P154" si="82">IF((ISERROR((O123/$H123)*100)), "", IF(AND(NOT(ISERROR((O123/$H123)*100)),((O123/$H123)*100) &lt;&gt; 0), (O123/$H123)*100, ""))</f>
        <v/>
      </c>
      <c r="Q123" s="70"/>
      <c r="R123" s="77" t="str">
        <f t="shared" ref="R123:R154" si="83">IF((ISERROR((Q123/$H123)*100)), "", IF(AND(NOT(ISERROR((Q123/$H123)*100)),((Q123/$H123)*100) &lt;&gt; 0), (Q123/$H123)*100, ""))</f>
        <v/>
      </c>
      <c r="S123" s="70"/>
      <c r="T123" s="77" t="str">
        <f t="shared" ref="T123:T154" si="84">IF((ISERROR((S123/$H123)*100)), "", IF(AND(NOT(ISERROR((S123/$H123)*100)),((S123/$H123)*100) &lt;&gt; 0), (S123/$H123)*100, ""))</f>
        <v/>
      </c>
      <c r="U123" s="70"/>
      <c r="V123" s="77" t="str">
        <f t="shared" ref="V123:V154" si="85">IF((ISERROR((U123/$H123)*100)), "", IF(AND(NOT(ISERROR((U123/$H123)*100)),((U123/$H123)*100) &lt;&gt; 0), (U123/$H123)*100, ""))</f>
        <v/>
      </c>
      <c r="W123" s="71"/>
      <c r="X123" s="77" t="str">
        <f>IF((ISERROR((W123/$H123)*100)), "", IF(AND(NOT(ISERROR((W123/$H123)*100)),((W123/$H123)*100) &lt;&gt; 0), (W123/$H123)*100, ""))</f>
        <v/>
      </c>
      <c r="Y123" s="70"/>
      <c r="Z123" s="77" t="str">
        <f t="shared" ref="Z123" si="86">IF((ISERROR((Y123/$H123)*100)), "", IF(AND(NOT(ISERROR((Y123/$H123)*100)),((Y123/$H123)*100) &lt;&gt; 0), (Y123/$H123)*100, ""))</f>
        <v/>
      </c>
      <c r="AA123" s="70"/>
      <c r="AB123" s="77" t="str">
        <f t="shared" ref="AB123:AB186" si="87">IF((ISERROR((AA123/$H123)*100)), "", IF(AND(NOT(ISERROR((AA123/$H123)*100)),((AA123/$H123)*100) &lt;&gt; 0), (AA123/$H123)*100, ""))</f>
        <v/>
      </c>
      <c r="AC123" s="70"/>
      <c r="AD123" s="77" t="str">
        <f t="shared" ref="AD123:AD186" si="88">IF((ISERROR((AC123/$H123)*100)), "", IF(AND(NOT(ISERROR((AC123/$H123)*100)),((AC123/$H123)*100) &lt;&gt; 0), (AC123/$H123)*100, ""))</f>
        <v/>
      </c>
      <c r="AE123" s="70"/>
      <c r="AF123" s="77" t="str">
        <f t="shared" ref="AF123:AF186" si="89">IF((ISERROR((AE123/$H123)*100)), "", IF(AND(NOT(ISERROR((AE123/$H123)*100)),((AE123/$H123)*100) &lt;&gt; 0), (AE123/$H123)*100, ""))</f>
        <v/>
      </c>
      <c r="AG123" s="62" t="s">
        <v>333</v>
      </c>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x14ac:dyDescent="0.2">
      <c r="A124" s="61"/>
      <c r="B124" s="82"/>
      <c r="C124" s="24" t="s">
        <v>85</v>
      </c>
      <c r="D124" s="23" t="s">
        <v>26</v>
      </c>
      <c r="E124" s="23" t="s">
        <v>27</v>
      </c>
      <c r="F124" s="24">
        <v>2008</v>
      </c>
      <c r="G124" s="24">
        <v>165</v>
      </c>
      <c r="H124" s="115">
        <v>107</v>
      </c>
      <c r="I124" s="110" t="s">
        <v>166</v>
      </c>
      <c r="J124" s="64"/>
      <c r="K124" s="105"/>
      <c r="L124" s="36" t="str">
        <f t="shared" si="80"/>
        <v/>
      </c>
      <c r="M124" s="65"/>
      <c r="N124" s="66" t="str">
        <f t="shared" si="81"/>
        <v/>
      </c>
      <c r="O124" s="67"/>
      <c r="P124" s="68" t="str">
        <f t="shared" si="82"/>
        <v/>
      </c>
      <c r="Q124" s="67"/>
      <c r="R124" s="68" t="str">
        <f t="shared" si="83"/>
        <v/>
      </c>
      <c r="S124" s="65"/>
      <c r="T124" s="66" t="str">
        <f t="shared" si="84"/>
        <v/>
      </c>
      <c r="U124" s="67"/>
      <c r="V124" s="68" t="str">
        <f t="shared" si="85"/>
        <v/>
      </c>
      <c r="W124" s="67"/>
      <c r="X124" s="68" t="str">
        <f t="shared" ref="X124" si="90">IF((ISERROR((W124/$H124)*100)), "", IF(AND(NOT(ISERROR((W124/$H124)*100)),((W124/$H124)*100) &lt;&gt; 0), (W124/$H124)*100, ""))</f>
        <v/>
      </c>
      <c r="Y124" s="67"/>
      <c r="Z124" s="68" t="str">
        <f t="shared" ref="Z124:Z125" si="91">IF((ISERROR((Y124/$H124)*100)), "", IF(AND(NOT(ISERROR((Y124/$H124)*100)),((Y124/$H124)*100) &lt;&gt; 0), (Y124/$H124)*100, ""))</f>
        <v/>
      </c>
      <c r="AA124" s="67"/>
      <c r="AB124" s="68" t="str">
        <f t="shared" si="87"/>
        <v/>
      </c>
      <c r="AC124" s="67"/>
      <c r="AD124" s="68" t="str">
        <f t="shared" si="88"/>
        <v/>
      </c>
      <c r="AE124" s="67"/>
      <c r="AF124" s="68" t="str">
        <f t="shared" si="89"/>
        <v/>
      </c>
      <c r="AG124" s="23" t="s">
        <v>165</v>
      </c>
      <c r="AH124" s="23"/>
      <c r="AI124" s="23"/>
      <c r="AJ124" s="23"/>
      <c r="AK124" s="23"/>
      <c r="AL124" s="23"/>
      <c r="AM124" s="23"/>
      <c r="AN124" s="23"/>
      <c r="AO124" s="23"/>
      <c r="AP124" s="23"/>
      <c r="AQ124" s="23"/>
      <c r="AR124" s="23"/>
      <c r="AS124" s="23"/>
      <c r="AT124" s="23"/>
      <c r="AU124" s="23"/>
      <c r="AV124" s="23"/>
      <c r="AW124" s="23"/>
      <c r="AX124" s="23"/>
      <c r="AY124" s="23"/>
      <c r="AZ124" s="23"/>
    </row>
    <row r="125" spans="1:53" ht="20" customHeight="1" x14ac:dyDescent="0.2">
      <c r="A125" s="61"/>
      <c r="B125" s="83"/>
      <c r="C125" s="24" t="s">
        <v>85</v>
      </c>
      <c r="D125" s="23" t="s">
        <v>254</v>
      </c>
      <c r="E125" s="23" t="s">
        <v>255</v>
      </c>
      <c r="F125" s="24">
        <v>2016</v>
      </c>
      <c r="G125"/>
      <c r="H125" s="89">
        <v>12</v>
      </c>
      <c r="I125" s="85" t="s">
        <v>335</v>
      </c>
      <c r="J125" s="32"/>
      <c r="K125" s="106"/>
      <c r="L125" s="36" t="str">
        <f t="shared" si="80"/>
        <v/>
      </c>
      <c r="M125" s="33"/>
      <c r="N125" s="36" t="str">
        <f t="shared" si="81"/>
        <v/>
      </c>
      <c r="O125" s="33"/>
      <c r="P125" s="36" t="str">
        <f t="shared" si="82"/>
        <v/>
      </c>
      <c r="Q125" s="33"/>
      <c r="R125" s="36" t="str">
        <f t="shared" si="83"/>
        <v/>
      </c>
      <c r="S125" s="33"/>
      <c r="T125" s="36" t="str">
        <f t="shared" si="84"/>
        <v/>
      </c>
      <c r="U125" s="33"/>
      <c r="V125" s="36" t="str">
        <f t="shared" si="85"/>
        <v/>
      </c>
      <c r="W125" s="33"/>
      <c r="X125" s="36" t="str">
        <f>IF((ISERROR((W125/$H125)*100)), "", IF(AND(NOT(ISERROR((W125/$H125)*100)),((W125/$H125)*100) &lt;&gt; 0), (W125/$H125)*100, ""))</f>
        <v/>
      </c>
      <c r="Y125" s="33"/>
      <c r="Z125" s="36" t="str">
        <f t="shared" si="91"/>
        <v/>
      </c>
      <c r="AA125" s="33"/>
      <c r="AB125" s="36" t="str">
        <f t="shared" si="87"/>
        <v/>
      </c>
      <c r="AC125" s="33"/>
      <c r="AD125" s="36" t="str">
        <f t="shared" si="88"/>
        <v/>
      </c>
      <c r="AE125" s="33"/>
      <c r="AF125" s="36" t="str">
        <f t="shared" si="89"/>
        <v/>
      </c>
      <c r="AG125" s="23" t="s">
        <v>336</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1"/>
      <c r="B126" s="82"/>
      <c r="C126" s="24" t="s">
        <v>85</v>
      </c>
      <c r="D126" s="23" t="s">
        <v>33</v>
      </c>
      <c r="E126" s="23" t="s">
        <v>34</v>
      </c>
      <c r="F126" s="24">
        <v>2003</v>
      </c>
      <c r="G126" s="24">
        <v>291</v>
      </c>
      <c r="H126" s="89">
        <v>14</v>
      </c>
      <c r="I126" s="85" t="s">
        <v>167</v>
      </c>
      <c r="J126" s="32"/>
      <c r="K126" s="106"/>
      <c r="L126" s="36" t="str">
        <f t="shared" si="80"/>
        <v/>
      </c>
      <c r="M126" s="33">
        <v>2</v>
      </c>
      <c r="N126" s="36">
        <f t="shared" si="81"/>
        <v>14.285714285714285</v>
      </c>
      <c r="O126" s="33"/>
      <c r="P126" s="36" t="str">
        <f t="shared" si="82"/>
        <v/>
      </c>
      <c r="Q126" s="33"/>
      <c r="R126" s="36" t="str">
        <f t="shared" si="83"/>
        <v/>
      </c>
      <c r="S126" s="33"/>
      <c r="T126" s="36" t="str">
        <f t="shared" si="84"/>
        <v/>
      </c>
      <c r="U126" s="33"/>
      <c r="V126" s="36" t="str">
        <f t="shared" si="85"/>
        <v/>
      </c>
      <c r="W126" s="33">
        <v>1</v>
      </c>
      <c r="X126" s="36">
        <f t="shared" ref="X126" si="92">IF((ISERROR((W126/$H126)*100)), "", IF(AND(NOT(ISERROR((W126/$H126)*100)),((W126/$H126)*100) &lt;&gt; 0), (W126/$H126)*100, ""))</f>
        <v>7.1428571428571423</v>
      </c>
      <c r="Y126" s="33"/>
      <c r="Z126" s="36" t="str">
        <f t="shared" ref="Z126:Z141" si="93">IF((ISERROR((Y126/$H126)*100)), "", IF(AND(NOT(ISERROR((Y126/$H126)*100)),((Y126/$H126)*100) &lt;&gt; 0), (Y126/$H126)*100, ""))</f>
        <v/>
      </c>
      <c r="AA126" s="33"/>
      <c r="AB126" s="36" t="str">
        <f t="shared" si="87"/>
        <v/>
      </c>
      <c r="AC126" s="33"/>
      <c r="AD126" s="36" t="str">
        <f t="shared" si="88"/>
        <v/>
      </c>
      <c r="AE126" s="33"/>
      <c r="AF126" s="36" t="str">
        <f t="shared" si="89"/>
        <v/>
      </c>
      <c r="AG126" s="23" t="s">
        <v>337</v>
      </c>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0"/>
      <c r="B127" s="82"/>
      <c r="C127" s="24" t="s">
        <v>85</v>
      </c>
      <c r="D127" s="23" t="s">
        <v>256</v>
      </c>
      <c r="E127" s="23" t="s">
        <v>257</v>
      </c>
      <c r="F127" s="24">
        <v>2008</v>
      </c>
      <c r="H127" s="89">
        <v>13</v>
      </c>
      <c r="I127" s="85" t="s">
        <v>220</v>
      </c>
      <c r="J127" s="32" t="s">
        <v>338</v>
      </c>
      <c r="K127" s="106"/>
      <c r="L127" s="36" t="str">
        <f t="shared" si="80"/>
        <v/>
      </c>
      <c r="M127" s="33">
        <v>1</v>
      </c>
      <c r="N127" s="36">
        <f t="shared" si="81"/>
        <v>7.6923076923076925</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3"/>
        <v/>
      </c>
      <c r="AA127" s="33"/>
      <c r="AB127" s="36" t="str">
        <f t="shared" si="87"/>
        <v/>
      </c>
      <c r="AC127" s="33"/>
      <c r="AD127" s="36" t="str">
        <f t="shared" si="88"/>
        <v/>
      </c>
      <c r="AE127" s="33"/>
      <c r="AF127" s="36" t="str">
        <f t="shared" si="89"/>
        <v/>
      </c>
      <c r="AG127" s="23"/>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61"/>
      <c r="B128" s="82"/>
      <c r="C128" s="24" t="s">
        <v>85</v>
      </c>
      <c r="D128" s="23" t="s">
        <v>36</v>
      </c>
      <c r="E128" s="23" t="s">
        <v>37</v>
      </c>
      <c r="F128" s="24">
        <v>2008</v>
      </c>
      <c r="G128" s="24">
        <v>40</v>
      </c>
      <c r="H128" s="89"/>
      <c r="I128" s="85"/>
      <c r="J128" s="32" t="s">
        <v>169</v>
      </c>
      <c r="K128" s="107"/>
      <c r="L128" s="39" t="str">
        <f t="shared" si="80"/>
        <v/>
      </c>
      <c r="M128" s="33"/>
      <c r="N128" s="36" t="str">
        <f t="shared" si="81"/>
        <v/>
      </c>
      <c r="O128" s="33"/>
      <c r="P128" s="36" t="str">
        <f t="shared" si="82"/>
        <v/>
      </c>
      <c r="Q128" s="33"/>
      <c r="R128" s="36" t="str">
        <f t="shared" si="83"/>
        <v/>
      </c>
      <c r="S128" s="33"/>
      <c r="T128" s="36" t="str">
        <f t="shared" si="84"/>
        <v/>
      </c>
      <c r="U128" s="33"/>
      <c r="V128" s="36" t="str">
        <f t="shared" si="85"/>
        <v/>
      </c>
      <c r="W128" s="33"/>
      <c r="X128" s="36" t="str">
        <f>IF((ISERROR((W128/$H128)*100)), "", IF(AND(NOT(ISERROR((W128/$H128)*100)),((W128/$H128)*100) &lt;&gt; 0), (W128/$H128)*100, ""))</f>
        <v/>
      </c>
      <c r="Y128" s="33"/>
      <c r="Z128" s="36" t="str">
        <f t="shared" si="93"/>
        <v/>
      </c>
      <c r="AA128" s="33"/>
      <c r="AB128" s="36" t="str">
        <f t="shared" si="87"/>
        <v/>
      </c>
      <c r="AC128" s="33"/>
      <c r="AD128" s="36" t="str">
        <f t="shared" si="88"/>
        <v/>
      </c>
      <c r="AE128" s="33"/>
      <c r="AF128" s="36" t="str">
        <f t="shared" si="89"/>
        <v/>
      </c>
      <c r="AG128" s="23" t="s">
        <v>171</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0"/>
      <c r="B129" s="82"/>
      <c r="C129" s="24" t="s">
        <v>85</v>
      </c>
      <c r="D129" s="23" t="s">
        <v>41</v>
      </c>
      <c r="E129" s="23" t="s">
        <v>42</v>
      </c>
      <c r="F129" s="24">
        <v>2004</v>
      </c>
      <c r="G129" s="24">
        <v>79</v>
      </c>
      <c r="H129" s="89">
        <v>12</v>
      </c>
      <c r="I129" s="85" t="s">
        <v>168</v>
      </c>
      <c r="J129" s="32" t="s">
        <v>169</v>
      </c>
      <c r="K129" s="106"/>
      <c r="L129" s="36" t="str">
        <f t="shared" si="80"/>
        <v/>
      </c>
      <c r="M129" s="33">
        <v>5</v>
      </c>
      <c r="N129" s="36">
        <f t="shared" si="81"/>
        <v>41.666666666666671</v>
      </c>
      <c r="O129" s="33"/>
      <c r="P129" s="36" t="str">
        <f t="shared" si="82"/>
        <v/>
      </c>
      <c r="Q129" s="33"/>
      <c r="R129" s="36" t="str">
        <f t="shared" si="83"/>
        <v/>
      </c>
      <c r="S129" s="33"/>
      <c r="T129" s="36" t="str">
        <f t="shared" si="84"/>
        <v/>
      </c>
      <c r="U129" s="33"/>
      <c r="V129" s="36" t="str">
        <f t="shared" si="85"/>
        <v/>
      </c>
      <c r="W129" s="33"/>
      <c r="X129" s="36" t="str">
        <f>IF((ISERROR((W129/$H129)*100)), "", IF(AND(NOT(ISERROR((W129/$H129)*100)),((W129/$H129)*100) &lt;&gt; 0), (W129/$H129)*100, ""))</f>
        <v/>
      </c>
      <c r="Y129" s="33"/>
      <c r="Z129" s="36" t="str">
        <f t="shared" si="93"/>
        <v/>
      </c>
      <c r="AA129" s="33"/>
      <c r="AB129" s="36" t="str">
        <f t="shared" si="87"/>
        <v/>
      </c>
      <c r="AC129" s="33"/>
      <c r="AD129" s="36" t="str">
        <f t="shared" si="88"/>
        <v/>
      </c>
      <c r="AE129" s="33"/>
      <c r="AF129" s="36" t="str">
        <f t="shared" si="89"/>
        <v/>
      </c>
      <c r="AG129" s="23" t="s">
        <v>170</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0"/>
      <c r="B130" s="82"/>
      <c r="C130" s="24" t="s">
        <v>85</v>
      </c>
      <c r="D130" s="23" t="s">
        <v>43</v>
      </c>
      <c r="E130" s="23" t="s">
        <v>44</v>
      </c>
      <c r="F130" s="24">
        <v>1976</v>
      </c>
      <c r="G130" s="24">
        <v>179</v>
      </c>
      <c r="H130" s="89">
        <v>8</v>
      </c>
      <c r="I130" s="112" t="s">
        <v>339</v>
      </c>
      <c r="J130" s="32"/>
      <c r="K130" s="106"/>
      <c r="L130" s="36" t="str">
        <f t="shared" si="80"/>
        <v/>
      </c>
      <c r="M130" s="33"/>
      <c r="N130" s="36" t="str">
        <f t="shared" si="81"/>
        <v/>
      </c>
      <c r="O130" s="33"/>
      <c r="P130" s="36" t="str">
        <f t="shared" si="82"/>
        <v/>
      </c>
      <c r="Q130" s="38">
        <v>1</v>
      </c>
      <c r="R130" s="39">
        <f t="shared" si="83"/>
        <v>12.5</v>
      </c>
      <c r="S130" s="33"/>
      <c r="T130" s="36" t="str">
        <f t="shared" si="84"/>
        <v/>
      </c>
      <c r="U130" s="33"/>
      <c r="V130" s="36" t="str">
        <f t="shared" si="85"/>
        <v/>
      </c>
      <c r="W130" s="38">
        <v>1</v>
      </c>
      <c r="X130" s="39">
        <f>IF((ISERROR((W130/$H130)*100)), "", IF(AND(NOT(ISERROR((W130/$H130)*100)),((W130/$H130)*100) &lt;&gt; 0), (W130/$H130)*100, ""))</f>
        <v>12.5</v>
      </c>
      <c r="Y130" s="33"/>
      <c r="Z130" s="36" t="str">
        <f t="shared" si="93"/>
        <v/>
      </c>
      <c r="AA130" s="38"/>
      <c r="AB130" s="39" t="str">
        <f t="shared" si="87"/>
        <v/>
      </c>
      <c r="AC130" s="38"/>
      <c r="AD130" s="39" t="str">
        <f t="shared" si="88"/>
        <v/>
      </c>
      <c r="AE130" s="33"/>
      <c r="AF130" s="36" t="str">
        <f t="shared" si="89"/>
        <v/>
      </c>
      <c r="AG130" s="23" t="s">
        <v>184</v>
      </c>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1"/>
      <c r="B131" s="83"/>
      <c r="C131" s="24" t="s">
        <v>85</v>
      </c>
      <c r="D131" s="23" t="s">
        <v>152</v>
      </c>
      <c r="E131" s="23" t="s">
        <v>153</v>
      </c>
      <c r="F131" s="24">
        <v>2007</v>
      </c>
      <c r="H131" s="89">
        <v>44</v>
      </c>
      <c r="I131" s="85"/>
      <c r="J131" s="32"/>
      <c r="K131" s="106"/>
      <c r="L131" s="36" t="str">
        <f t="shared" si="80"/>
        <v/>
      </c>
      <c r="M131" s="33"/>
      <c r="N131" s="36" t="str">
        <f t="shared" si="81"/>
        <v/>
      </c>
      <c r="O131" s="33"/>
      <c r="P131" s="36" t="str">
        <f t="shared" si="82"/>
        <v/>
      </c>
      <c r="Q131" s="33"/>
      <c r="R131" s="36" t="str">
        <f t="shared" si="83"/>
        <v/>
      </c>
      <c r="S131" s="33"/>
      <c r="T131" s="36" t="str">
        <f t="shared" si="84"/>
        <v/>
      </c>
      <c r="U131" s="33"/>
      <c r="V131" s="36" t="str">
        <f t="shared" si="85"/>
        <v/>
      </c>
      <c r="W131" s="33"/>
      <c r="X131" s="36" t="str">
        <f t="shared" ref="X131:X138" si="94">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176</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3"/>
      <c r="C132" s="24" t="s">
        <v>85</v>
      </c>
      <c r="D132" s="23" t="s">
        <v>258</v>
      </c>
      <c r="E132" s="23" t="s">
        <v>259</v>
      </c>
      <c r="F132" s="24">
        <v>2014</v>
      </c>
      <c r="H132" s="89">
        <v>48</v>
      </c>
      <c r="I132" s="85" t="s">
        <v>216</v>
      </c>
      <c r="J132" s="32" t="s">
        <v>340</v>
      </c>
      <c r="K132" s="106"/>
      <c r="L132" s="36" t="str">
        <f t="shared" si="80"/>
        <v/>
      </c>
      <c r="M132" s="38"/>
      <c r="N132" s="38" t="str">
        <f t="shared" si="81"/>
        <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t="s">
        <v>404</v>
      </c>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24"/>
      <c r="D133" s="23" t="s">
        <v>260</v>
      </c>
      <c r="E133" s="23" t="s">
        <v>261</v>
      </c>
      <c r="F133" s="24">
        <v>2015</v>
      </c>
      <c r="H133" s="89"/>
      <c r="I133" s="85"/>
      <c r="J133" s="32"/>
      <c r="K133" s="106"/>
      <c r="L133" s="36" t="str">
        <f t="shared" si="80"/>
        <v/>
      </c>
      <c r="M133" s="33"/>
      <c r="N133" s="36" t="str">
        <f t="shared" si="81"/>
        <v/>
      </c>
      <c r="O133" s="33"/>
      <c r="P133" s="36" t="str">
        <f t="shared" si="82"/>
        <v/>
      </c>
      <c r="Q133" s="33"/>
      <c r="R133" s="36" t="str">
        <f t="shared" si="83"/>
        <v/>
      </c>
      <c r="S133" s="33"/>
      <c r="T133" s="36" t="str">
        <f t="shared" si="84"/>
        <v/>
      </c>
      <c r="U133" s="33"/>
      <c r="V133" s="36" t="str">
        <f t="shared" si="85"/>
        <v/>
      </c>
      <c r="W133" s="33"/>
      <c r="X133" s="36" t="str">
        <f>IF((ISERROR((W133/$H133)*100)), "", IF(AND(NOT(ISERROR((W133/$H133)*100)),((W133/$H133)*100) &lt;&gt; 0), (W133/$H133)*100, ""))</f>
        <v/>
      </c>
      <c r="Y133" s="33"/>
      <c r="Z133" s="36" t="str">
        <f t="shared" si="93"/>
        <v/>
      </c>
      <c r="AA133" s="33"/>
      <c r="AB133" s="36" t="str">
        <f t="shared" si="87"/>
        <v/>
      </c>
      <c r="AC133" s="33"/>
      <c r="AD133" s="36" t="str">
        <f t="shared" si="88"/>
        <v/>
      </c>
      <c r="AE133" s="33"/>
      <c r="AF133" s="36" t="str">
        <f t="shared" si="89"/>
        <v/>
      </c>
      <c r="AG133" s="23"/>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0"/>
      <c r="B134" s="83"/>
      <c r="C134" s="24" t="s">
        <v>85</v>
      </c>
      <c r="D134" s="23" t="s">
        <v>262</v>
      </c>
      <c r="E134" s="23" t="s">
        <v>263</v>
      </c>
      <c r="F134" s="24">
        <v>2012</v>
      </c>
      <c r="H134" s="89">
        <v>80</v>
      </c>
      <c r="I134" s="85" t="s">
        <v>216</v>
      </c>
      <c r="J134" s="32" t="s">
        <v>193</v>
      </c>
      <c r="K134" s="106"/>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IF((ISERROR((W134/$H134)*100)), "", IF(AND(NOT(ISERROR((W134/$H134)*100)),((W134/$H134)*100) &lt;&gt; 0), (W134/$H134)*100, ""))</f>
        <v/>
      </c>
      <c r="Y134" s="33"/>
      <c r="Z134" s="36" t="str">
        <f t="shared" si="93"/>
        <v/>
      </c>
      <c r="AA134" s="33"/>
      <c r="AB134" s="36" t="str">
        <f t="shared" si="87"/>
        <v/>
      </c>
      <c r="AC134" s="33"/>
      <c r="AD134" s="36" t="str">
        <f t="shared" si="88"/>
        <v/>
      </c>
      <c r="AE134" s="33"/>
      <c r="AF134" s="36" t="str">
        <f t="shared" si="89"/>
        <v/>
      </c>
      <c r="AG134" s="23"/>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2"/>
      <c r="C135" s="24" t="s">
        <v>85</v>
      </c>
      <c r="D135" s="23" t="s">
        <v>264</v>
      </c>
      <c r="E135" s="23" t="s">
        <v>265</v>
      </c>
      <c r="F135" s="24">
        <v>2013</v>
      </c>
      <c r="H135" s="89">
        <v>12</v>
      </c>
      <c r="I135" s="85" t="s">
        <v>216</v>
      </c>
      <c r="J135" s="32" t="s">
        <v>341</v>
      </c>
      <c r="K135" s="106"/>
      <c r="L135" s="36" t="str">
        <f t="shared" si="80"/>
        <v/>
      </c>
      <c r="M135" s="33"/>
      <c r="N135" s="36" t="str">
        <f t="shared" si="81"/>
        <v/>
      </c>
      <c r="O135" s="33"/>
      <c r="P135" s="36" t="str">
        <f t="shared" si="82"/>
        <v/>
      </c>
      <c r="Q135" s="33"/>
      <c r="R135" s="36" t="str">
        <f t="shared" si="83"/>
        <v/>
      </c>
      <c r="S135" s="33"/>
      <c r="T135" s="36" t="str">
        <f t="shared" si="84"/>
        <v/>
      </c>
      <c r="U135" s="33"/>
      <c r="V135" s="36" t="str">
        <f t="shared" si="85"/>
        <v/>
      </c>
      <c r="W135" s="33"/>
      <c r="X135" s="36" t="str">
        <f>IF((ISERROR((W135/$H135)*100)), "", IF(AND(NOT(ISERROR((W135/$H135)*100)),((W135/$H135)*100) &lt;&gt; 0), (W135/$H135)*100, ""))</f>
        <v/>
      </c>
      <c r="Y135" s="33"/>
      <c r="Z135" s="36" t="str">
        <f t="shared" si="93"/>
        <v/>
      </c>
      <c r="AA135" s="33"/>
      <c r="AB135" s="36" t="str">
        <f t="shared" si="87"/>
        <v/>
      </c>
      <c r="AC135" s="33"/>
      <c r="AD135" s="36" t="str">
        <f t="shared" si="88"/>
        <v/>
      </c>
      <c r="AE135" s="33"/>
      <c r="AF135" s="36" t="str">
        <f t="shared" si="89"/>
        <v/>
      </c>
      <c r="AG135" s="23" t="s">
        <v>405</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1"/>
      <c r="B136" s="84"/>
      <c r="C136" s="24" t="s">
        <v>85</v>
      </c>
      <c r="D136" s="23" t="s">
        <v>45</v>
      </c>
      <c r="E136" s="23" t="s">
        <v>46</v>
      </c>
      <c r="F136" s="24">
        <v>1998</v>
      </c>
      <c r="G136" s="24">
        <v>96</v>
      </c>
      <c r="H136" s="89">
        <v>61</v>
      </c>
      <c r="I136" s="85" t="s">
        <v>177</v>
      </c>
      <c r="J136" s="32" t="s">
        <v>190</v>
      </c>
      <c r="K136" s="106"/>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 t="shared" si="94"/>
        <v/>
      </c>
      <c r="Y136" s="33"/>
      <c r="Z136" s="36" t="str">
        <f t="shared" si="93"/>
        <v/>
      </c>
      <c r="AA136" s="33"/>
      <c r="AB136" s="36" t="str">
        <f t="shared" si="87"/>
        <v/>
      </c>
      <c r="AC136" s="33"/>
      <c r="AD136" s="36" t="str">
        <f t="shared" si="88"/>
        <v/>
      </c>
      <c r="AE136" s="33"/>
      <c r="AF136" s="36" t="str">
        <f t="shared" si="89"/>
        <v/>
      </c>
      <c r="AG136" s="23" t="s">
        <v>178</v>
      </c>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2"/>
      <c r="C137" s="24" t="s">
        <v>85</v>
      </c>
      <c r="D137" s="23" t="s">
        <v>266</v>
      </c>
      <c r="E137" s="23" t="s">
        <v>267</v>
      </c>
      <c r="F137" s="24">
        <v>2000</v>
      </c>
      <c r="H137" s="89">
        <v>9</v>
      </c>
      <c r="I137" s="85" t="s">
        <v>220</v>
      </c>
      <c r="J137" s="32" t="s">
        <v>169</v>
      </c>
      <c r="K137" s="106"/>
      <c r="L137" s="36" t="str">
        <f t="shared" si="80"/>
        <v/>
      </c>
      <c r="M137" s="33"/>
      <c r="N137" s="36" t="str">
        <f t="shared" si="81"/>
        <v/>
      </c>
      <c r="O137" s="33"/>
      <c r="P137" s="36" t="str">
        <f t="shared" si="82"/>
        <v/>
      </c>
      <c r="Q137" s="33"/>
      <c r="R137" s="36" t="str">
        <f t="shared" si="83"/>
        <v/>
      </c>
      <c r="S137" s="33"/>
      <c r="T137" s="36" t="str">
        <f t="shared" si="84"/>
        <v/>
      </c>
      <c r="U137" s="33"/>
      <c r="V137" s="36" t="str">
        <f t="shared" si="85"/>
        <v/>
      </c>
      <c r="W137" s="33"/>
      <c r="X137" s="36" t="str">
        <f t="shared" si="94"/>
        <v/>
      </c>
      <c r="Y137" s="33"/>
      <c r="Z137" s="36" t="str">
        <f t="shared" si="93"/>
        <v/>
      </c>
      <c r="AA137" s="33"/>
      <c r="AB137" s="36" t="str">
        <f t="shared" si="87"/>
        <v/>
      </c>
      <c r="AC137" s="33"/>
      <c r="AD137" s="36" t="str">
        <f t="shared" si="88"/>
        <v/>
      </c>
      <c r="AE137" s="33"/>
      <c r="AF137" s="36" t="str">
        <f t="shared" si="89"/>
        <v/>
      </c>
      <c r="AG137" s="23" t="s">
        <v>342</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0"/>
      <c r="B138" s="83"/>
      <c r="C138" s="24" t="s">
        <v>85</v>
      </c>
      <c r="D138" s="23" t="s">
        <v>268</v>
      </c>
      <c r="E138" s="23" t="s">
        <v>269</v>
      </c>
      <c r="F138" s="24">
        <v>2003</v>
      </c>
      <c r="H138" s="89">
        <v>10</v>
      </c>
      <c r="I138" s="85" t="s">
        <v>186</v>
      </c>
      <c r="J138" s="32" t="s">
        <v>192</v>
      </c>
      <c r="K138" s="106"/>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 t="shared" si="94"/>
        <v/>
      </c>
      <c r="Y138" s="33"/>
      <c r="Z138" s="36" t="str">
        <f t="shared" si="93"/>
        <v/>
      </c>
      <c r="AA138" s="33"/>
      <c r="AB138" s="36" t="str">
        <f t="shared" si="87"/>
        <v/>
      </c>
      <c r="AC138" s="33"/>
      <c r="AD138" s="36" t="str">
        <f t="shared" si="88"/>
        <v/>
      </c>
      <c r="AE138" s="33"/>
      <c r="AF138" s="36" t="str">
        <f t="shared" si="89"/>
        <v/>
      </c>
      <c r="AG138" s="23" t="s">
        <v>202</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2"/>
      <c r="C139" s="24" t="s">
        <v>85</v>
      </c>
      <c r="D139" s="23" t="s">
        <v>406</v>
      </c>
      <c r="E139" s="23" t="s">
        <v>407</v>
      </c>
      <c r="F139" s="24">
        <v>2013</v>
      </c>
      <c r="H139" s="89">
        <v>38</v>
      </c>
      <c r="I139" s="85" t="s">
        <v>408</v>
      </c>
      <c r="J139" s="32" t="s">
        <v>169</v>
      </c>
      <c r="K139" s="106">
        <v>37</v>
      </c>
      <c r="L139" s="36">
        <f t="shared" si="80"/>
        <v>97.368421052631575</v>
      </c>
      <c r="M139" s="33"/>
      <c r="N139" s="36" t="str">
        <f t="shared" si="81"/>
        <v/>
      </c>
      <c r="O139" s="33"/>
      <c r="P139" s="36" t="str">
        <f t="shared" si="82"/>
        <v/>
      </c>
      <c r="Q139" s="33"/>
      <c r="R139" s="36" t="str">
        <f t="shared" si="83"/>
        <v/>
      </c>
      <c r="S139" s="33"/>
      <c r="T139" s="36" t="str">
        <f t="shared" si="84"/>
        <v/>
      </c>
      <c r="U139" s="33"/>
      <c r="V139" s="36" t="str">
        <f t="shared" si="85"/>
        <v/>
      </c>
      <c r="W139" s="33"/>
      <c r="X139" s="36" t="str">
        <f>IF((ISERROR((W139/$H139)*100)), "", IF(AND(NOT(ISERROR((W139/$H139)*100)),((W139/$H139)*100) &lt;&gt; 0), (W139/$H139)*100, ""))</f>
        <v/>
      </c>
      <c r="Y139" s="33"/>
      <c r="Z139" s="36" t="str">
        <f t="shared" si="93"/>
        <v/>
      </c>
      <c r="AA139" s="33"/>
      <c r="AB139" s="36" t="str">
        <f t="shared" si="87"/>
        <v/>
      </c>
      <c r="AC139" s="33"/>
      <c r="AD139" s="36" t="str">
        <f t="shared" si="88"/>
        <v/>
      </c>
      <c r="AE139" s="33"/>
      <c r="AF139" s="36" t="str">
        <f t="shared" si="89"/>
        <v/>
      </c>
      <c r="AG139" s="23" t="s">
        <v>416</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1"/>
      <c r="B140" s="83"/>
      <c r="C140" s="24" t="s">
        <v>85</v>
      </c>
      <c r="D140" s="23" t="s">
        <v>52</v>
      </c>
      <c r="E140" s="23" t="s">
        <v>53</v>
      </c>
      <c r="F140" s="24">
        <v>2001</v>
      </c>
      <c r="G140" s="24">
        <v>118</v>
      </c>
      <c r="H140" s="89">
        <v>20</v>
      </c>
      <c r="I140" s="85"/>
      <c r="J140" s="32" t="s">
        <v>190</v>
      </c>
      <c r="K140" s="106"/>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IF((ISERROR((W140/$H140)*100)), "", IF(AND(NOT(ISERROR((W140/$H140)*100)),((W140/$H140)*100) &lt;&gt; 0), (W140/$H140)*100, ""))</f>
        <v/>
      </c>
      <c r="Y140" s="33"/>
      <c r="Z140" s="36" t="str">
        <f t="shared" si="93"/>
        <v/>
      </c>
      <c r="AA140" s="33"/>
      <c r="AB140" s="36" t="str">
        <f t="shared" si="87"/>
        <v/>
      </c>
      <c r="AC140" s="33"/>
      <c r="AD140" s="36" t="str">
        <f t="shared" si="88"/>
        <v/>
      </c>
      <c r="AE140" s="33"/>
      <c r="AF140" s="36" t="str">
        <f t="shared" si="89"/>
        <v/>
      </c>
      <c r="AG140" s="23" t="s">
        <v>181</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2"/>
      <c r="C141" s="24" t="s">
        <v>85</v>
      </c>
      <c r="D141" s="23" t="s">
        <v>270</v>
      </c>
      <c r="E141" s="23" t="s">
        <v>271</v>
      </c>
      <c r="F141" s="24">
        <v>1994</v>
      </c>
      <c r="H141" s="89">
        <v>20</v>
      </c>
      <c r="I141" s="85" t="s">
        <v>343</v>
      </c>
      <c r="J141" s="32"/>
      <c r="K141" s="106"/>
      <c r="L141" s="36" t="str">
        <f t="shared" si="80"/>
        <v/>
      </c>
      <c r="M141" s="33"/>
      <c r="N141" s="36" t="str">
        <f t="shared" si="81"/>
        <v/>
      </c>
      <c r="O141" s="33"/>
      <c r="P141" s="36" t="str">
        <f t="shared" si="82"/>
        <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3"/>
        <v/>
      </c>
      <c r="AA141" s="33"/>
      <c r="AB141" s="36" t="str">
        <f t="shared" si="87"/>
        <v/>
      </c>
      <c r="AC141" s="33"/>
      <c r="AD141" s="36" t="str">
        <f t="shared" si="88"/>
        <v/>
      </c>
      <c r="AE141" s="33"/>
      <c r="AF141" s="36" t="str">
        <f t="shared" si="89"/>
        <v/>
      </c>
      <c r="AG141" s="23" t="s">
        <v>409</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3"/>
      <c r="C142" s="24" t="s">
        <v>85</v>
      </c>
      <c r="D142" s="23" t="s">
        <v>344</v>
      </c>
      <c r="E142" s="23" t="s">
        <v>345</v>
      </c>
      <c r="F142" s="24">
        <v>2008</v>
      </c>
      <c r="H142" s="89">
        <v>16</v>
      </c>
      <c r="I142" s="85" t="s">
        <v>177</v>
      </c>
      <c r="J142" s="32" t="s">
        <v>346</v>
      </c>
      <c r="K142" s="106"/>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IF((ISERROR((W142/$H142)*100)), "", IF(AND(NOT(ISERROR((W142/$H142)*100)),((W142/$H142)*100) &lt;&gt; 0), (W142/$H142)*100, ""))</f>
        <v/>
      </c>
      <c r="Y142" s="33"/>
      <c r="Z142" s="36" t="str">
        <f t="shared" ref="Z142:Z157" si="95">IF((ISERROR((Y142/$H142)*100)), "", IF(AND(NOT(ISERROR((Y142/$H142)*100)),((Y142/$H142)*100) &lt;&gt; 0), (Y142/$H142)*100, ""))</f>
        <v/>
      </c>
      <c r="AA142" s="33"/>
      <c r="AB142" s="36" t="str">
        <f t="shared" si="87"/>
        <v/>
      </c>
      <c r="AC142" s="33"/>
      <c r="AD142" s="36" t="str">
        <f t="shared" si="88"/>
        <v/>
      </c>
      <c r="AE142" s="33"/>
      <c r="AF142" s="36" t="str">
        <f t="shared" si="89"/>
        <v/>
      </c>
      <c r="AG142" s="23" t="s">
        <v>417</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0"/>
      <c r="B143" s="82"/>
      <c r="C143" s="24" t="s">
        <v>85</v>
      </c>
      <c r="D143" s="23" t="s">
        <v>54</v>
      </c>
      <c r="E143" s="23" t="s">
        <v>55</v>
      </c>
      <c r="F143" s="24">
        <v>1996</v>
      </c>
      <c r="G143" s="24">
        <v>82</v>
      </c>
      <c r="H143" s="89">
        <v>15</v>
      </c>
      <c r="I143" s="85" t="s">
        <v>177</v>
      </c>
      <c r="J143" s="32" t="s">
        <v>179</v>
      </c>
      <c r="K143" s="106"/>
      <c r="L143" s="36" t="str">
        <f t="shared" si="80"/>
        <v/>
      </c>
      <c r="M143" s="33">
        <v>3</v>
      </c>
      <c r="N143" s="36">
        <f t="shared" si="81"/>
        <v>20</v>
      </c>
      <c r="O143" s="33">
        <v>1</v>
      </c>
      <c r="P143" s="36">
        <f t="shared" si="82"/>
        <v>6.666666666666667</v>
      </c>
      <c r="Q143" s="33"/>
      <c r="R143" s="36" t="str">
        <f t="shared" si="83"/>
        <v/>
      </c>
      <c r="S143" s="33"/>
      <c r="T143" s="36" t="str">
        <f t="shared" si="84"/>
        <v/>
      </c>
      <c r="U143" s="33"/>
      <c r="V143" s="36" t="str">
        <f t="shared" si="85"/>
        <v/>
      </c>
      <c r="W143" s="33"/>
      <c r="X143" s="36" t="str">
        <f>IF((ISERROR((W143/$H143)*100)), "", IF(AND(NOT(ISERROR((W143/$H143)*100)),((W143/$H143)*100) &lt;&gt; 0), (W143/$H143)*100, ""))</f>
        <v/>
      </c>
      <c r="Y143" s="33"/>
      <c r="Z143" s="36" t="str">
        <f t="shared" si="95"/>
        <v/>
      </c>
      <c r="AA143" s="33"/>
      <c r="AB143" s="36" t="str">
        <f t="shared" si="87"/>
        <v/>
      </c>
      <c r="AC143" s="33"/>
      <c r="AD143" s="36" t="str">
        <f t="shared" si="88"/>
        <v/>
      </c>
      <c r="AE143" s="33"/>
      <c r="AF143" s="36" t="str">
        <f t="shared" si="89"/>
        <v/>
      </c>
      <c r="AG143" s="23" t="s">
        <v>347</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0"/>
      <c r="B144" s="83"/>
      <c r="C144" s="24" t="s">
        <v>85</v>
      </c>
      <c r="D144" s="23" t="s">
        <v>272</v>
      </c>
      <c r="E144" s="23" t="s">
        <v>273</v>
      </c>
      <c r="F144" s="24">
        <v>2016</v>
      </c>
      <c r="H144" s="89">
        <v>49</v>
      </c>
      <c r="I144" s="85" t="s">
        <v>348</v>
      </c>
      <c r="J144" s="32" t="s">
        <v>195</v>
      </c>
      <c r="K144" s="106"/>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 t="shared" ref="X144:X149" si="96">IF((ISERROR((W144/$H144)*100)), "", IF(AND(NOT(ISERROR((W144/$H144)*100)),((W144/$H144)*100) &lt;&gt; 0), (W144/$H144)*100, ""))</f>
        <v/>
      </c>
      <c r="Y144" s="33"/>
      <c r="Z144" s="36" t="str">
        <f t="shared" si="95"/>
        <v/>
      </c>
      <c r="AA144" s="33"/>
      <c r="AB144" s="36" t="str">
        <f t="shared" si="87"/>
        <v/>
      </c>
      <c r="AC144" s="33"/>
      <c r="AD144" s="36" t="str">
        <f t="shared" si="88"/>
        <v/>
      </c>
      <c r="AE144" s="33"/>
      <c r="AF144" s="36" t="str">
        <f t="shared" si="89"/>
        <v/>
      </c>
      <c r="AG144" s="23" t="s">
        <v>349</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1"/>
      <c r="B145" s="83"/>
      <c r="C145" s="24" t="s">
        <v>85</v>
      </c>
      <c r="D145" s="23" t="s">
        <v>86</v>
      </c>
      <c r="E145" s="23" t="s">
        <v>56</v>
      </c>
      <c r="F145" s="24">
        <v>2014</v>
      </c>
      <c r="G145" s="24">
        <v>41</v>
      </c>
      <c r="H145" s="89">
        <v>20</v>
      </c>
      <c r="I145" s="85" t="s">
        <v>180</v>
      </c>
      <c r="J145" s="32"/>
      <c r="K145" s="106"/>
      <c r="L145" s="36" t="str">
        <f t="shared" si="80"/>
        <v/>
      </c>
      <c r="M145" s="33"/>
      <c r="N145" s="36" t="str">
        <f t="shared" si="81"/>
        <v/>
      </c>
      <c r="O145" s="33"/>
      <c r="P145" s="36" t="str">
        <f t="shared" si="82"/>
        <v/>
      </c>
      <c r="Q145" s="33"/>
      <c r="R145" s="36" t="str">
        <f t="shared" si="83"/>
        <v/>
      </c>
      <c r="S145" s="33"/>
      <c r="T145" s="36" t="str">
        <f t="shared" si="84"/>
        <v/>
      </c>
      <c r="U145" s="33"/>
      <c r="V145" s="36" t="str">
        <f t="shared" si="85"/>
        <v/>
      </c>
      <c r="W145" s="33"/>
      <c r="X145" s="36" t="str">
        <f t="shared" si="96"/>
        <v/>
      </c>
      <c r="Y145" s="33"/>
      <c r="Z145" s="36" t="str">
        <f t="shared" si="95"/>
        <v/>
      </c>
      <c r="AA145" s="33"/>
      <c r="AB145" s="36" t="str">
        <f t="shared" si="87"/>
        <v/>
      </c>
      <c r="AC145" s="33"/>
      <c r="AD145" s="36" t="str">
        <f t="shared" si="88"/>
        <v/>
      </c>
      <c r="AE145" s="33"/>
      <c r="AF145" s="36" t="str">
        <f t="shared" si="89"/>
        <v/>
      </c>
      <c r="AG145" s="23" t="s">
        <v>350</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1"/>
      <c r="B146" s="24"/>
      <c r="C146" s="24" t="s">
        <v>85</v>
      </c>
      <c r="D146" s="23" t="s">
        <v>57</v>
      </c>
      <c r="E146" s="23" t="s">
        <v>58</v>
      </c>
      <c r="F146" s="24">
        <v>2006</v>
      </c>
      <c r="G146" s="24">
        <v>132</v>
      </c>
      <c r="H146" s="89">
        <v>7</v>
      </c>
      <c r="I146" s="85"/>
      <c r="J146" s="32"/>
      <c r="K146" s="106"/>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IF((ISERROR((W146/$H146)*100)), "", IF(AND(NOT(ISERROR((W146/$H146)*100)),((W146/$H146)*100) &lt;&gt; 0), (W146/$H146)*100, ""))</f>
        <v/>
      </c>
      <c r="Y146" s="33"/>
      <c r="Z146" s="36" t="str">
        <f t="shared" si="95"/>
        <v/>
      </c>
      <c r="AA146" s="33"/>
      <c r="AB146" s="36" t="str">
        <f t="shared" si="87"/>
        <v/>
      </c>
      <c r="AC146" s="33"/>
      <c r="AD146" s="36" t="str">
        <f t="shared" si="88"/>
        <v/>
      </c>
      <c r="AE146" s="33"/>
      <c r="AF146" s="36" t="str">
        <f t="shared" si="89"/>
        <v/>
      </c>
      <c r="AG146" s="23" t="s">
        <v>351</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0"/>
      <c r="B147" s="83"/>
      <c r="C147" s="24" t="s">
        <v>85</v>
      </c>
      <c r="D147" s="23" t="s">
        <v>59</v>
      </c>
      <c r="E147" s="23" t="s">
        <v>60</v>
      </c>
      <c r="F147" s="24">
        <v>2009</v>
      </c>
      <c r="G147" s="24">
        <v>49</v>
      </c>
      <c r="H147" s="89">
        <v>22</v>
      </c>
      <c r="I147" s="85" t="s">
        <v>177</v>
      </c>
      <c r="J147" s="32" t="s">
        <v>191</v>
      </c>
      <c r="K147" s="106"/>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IF((ISERROR((W147/$H147)*100)), "", IF(AND(NOT(ISERROR((W147/$H147)*100)),((W147/$H147)*100) &lt;&gt; 0), (W147/$H147)*100, ""))</f>
        <v/>
      </c>
      <c r="Y147" s="33"/>
      <c r="Z147" s="36" t="str">
        <f t="shared" si="95"/>
        <v/>
      </c>
      <c r="AA147" s="33"/>
      <c r="AB147" s="36" t="str">
        <f t="shared" si="87"/>
        <v/>
      </c>
      <c r="AC147" s="33"/>
      <c r="AD147" s="36" t="str">
        <f t="shared" si="88"/>
        <v/>
      </c>
      <c r="AE147" s="33"/>
      <c r="AF147" s="36" t="str">
        <f t="shared" si="89"/>
        <v/>
      </c>
      <c r="AG147" s="23" t="s">
        <v>410</v>
      </c>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1"/>
      <c r="B148" s="83"/>
      <c r="C148" s="24" t="s">
        <v>85</v>
      </c>
      <c r="D148" s="23" t="s">
        <v>61</v>
      </c>
      <c r="E148" s="23" t="s">
        <v>62</v>
      </c>
      <c r="F148" s="24">
        <v>2006</v>
      </c>
      <c r="G148" s="24">
        <v>144</v>
      </c>
      <c r="H148" s="89">
        <v>25</v>
      </c>
      <c r="I148" s="85"/>
      <c r="J148" s="32" t="s">
        <v>192</v>
      </c>
      <c r="K148" s="106"/>
      <c r="L148" s="36" t="str">
        <f t="shared" si="80"/>
        <v/>
      </c>
      <c r="M148" s="33"/>
      <c r="N148" s="36" t="str">
        <f t="shared" si="81"/>
        <v/>
      </c>
      <c r="O148" s="33"/>
      <c r="P148" s="36" t="str">
        <f t="shared" si="82"/>
        <v/>
      </c>
      <c r="Q148" s="33"/>
      <c r="R148" s="36" t="str">
        <f t="shared" si="83"/>
        <v/>
      </c>
      <c r="S148" s="33"/>
      <c r="T148" s="36" t="str">
        <f t="shared" si="84"/>
        <v/>
      </c>
      <c r="U148" s="33"/>
      <c r="V148" s="36" t="str">
        <f t="shared" si="85"/>
        <v/>
      </c>
      <c r="W148" s="33"/>
      <c r="X148" s="36" t="str">
        <f t="shared" si="96"/>
        <v/>
      </c>
      <c r="Y148" s="33"/>
      <c r="Z148" s="36" t="str">
        <f t="shared" si="95"/>
        <v/>
      </c>
      <c r="AA148" s="33"/>
      <c r="AB148" s="36" t="str">
        <f t="shared" si="87"/>
        <v/>
      </c>
      <c r="AC148" s="33"/>
      <c r="AD148" s="36" t="str">
        <f t="shared" si="88"/>
        <v/>
      </c>
      <c r="AE148" s="33"/>
      <c r="AF148" s="36" t="str">
        <f t="shared" si="89"/>
        <v/>
      </c>
      <c r="AG148" s="23" t="s">
        <v>182</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1"/>
      <c r="B149" s="24"/>
      <c r="D149" s="23" t="s">
        <v>274</v>
      </c>
      <c r="E149" s="23" t="s">
        <v>275</v>
      </c>
      <c r="F149" s="24">
        <v>2004</v>
      </c>
      <c r="H149" s="89"/>
      <c r="I149" s="85"/>
      <c r="J149" s="32"/>
      <c r="K149" s="106"/>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 t="shared" si="96"/>
        <v/>
      </c>
      <c r="Y149" s="33"/>
      <c r="Z149" s="36" t="str">
        <f t="shared" si="95"/>
        <v/>
      </c>
      <c r="AA149" s="33"/>
      <c r="AB149" s="36" t="str">
        <f t="shared" si="87"/>
        <v/>
      </c>
      <c r="AC149" s="33"/>
      <c r="AD149" s="36" t="str">
        <f t="shared" si="88"/>
        <v/>
      </c>
      <c r="AE149" s="33"/>
      <c r="AF149" s="36" t="str">
        <f t="shared" si="89"/>
        <v/>
      </c>
      <c r="AG149" s="23"/>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0"/>
      <c r="B150" s="82"/>
      <c r="C150" s="24" t="s">
        <v>85</v>
      </c>
      <c r="D150" s="23" t="s">
        <v>276</v>
      </c>
      <c r="E150" s="23" t="s">
        <v>277</v>
      </c>
      <c r="F150" s="24">
        <v>2014</v>
      </c>
      <c r="H150" s="89">
        <v>39</v>
      </c>
      <c r="I150" s="85" t="s">
        <v>411</v>
      </c>
      <c r="J150" s="32" t="s">
        <v>346</v>
      </c>
      <c r="K150" s="106"/>
      <c r="L150" s="36" t="str">
        <f t="shared" si="80"/>
        <v/>
      </c>
      <c r="M150" s="33"/>
      <c r="N150" s="36" t="str">
        <f t="shared" si="81"/>
        <v/>
      </c>
      <c r="O150" s="33"/>
      <c r="P150" s="36" t="str">
        <f t="shared" si="82"/>
        <v/>
      </c>
      <c r="Q150" s="33"/>
      <c r="R150" s="36" t="str">
        <f t="shared" si="83"/>
        <v/>
      </c>
      <c r="S150" s="33"/>
      <c r="T150" s="36" t="str">
        <f t="shared" si="84"/>
        <v/>
      </c>
      <c r="U150" s="33">
        <v>8</v>
      </c>
      <c r="V150" s="36">
        <f t="shared" si="85"/>
        <v>20.512820512820511</v>
      </c>
      <c r="W150" s="33"/>
      <c r="X150" s="36" t="str">
        <f t="shared" ref="X150:X155" si="97">IF((ISERROR((W150/$H150)*100)), "", IF(AND(NOT(ISERROR((W150/$H150)*100)),((W150/$H150)*100) &lt;&gt; 0), (W150/$H150)*100, ""))</f>
        <v/>
      </c>
      <c r="Y150" s="33">
        <v>3</v>
      </c>
      <c r="Z150" s="36">
        <f t="shared" si="95"/>
        <v>7.6923076923076925</v>
      </c>
      <c r="AA150" s="33"/>
      <c r="AB150" s="36" t="str">
        <f t="shared" si="87"/>
        <v/>
      </c>
      <c r="AC150" s="33"/>
      <c r="AD150" s="36" t="str">
        <f t="shared" si="88"/>
        <v/>
      </c>
      <c r="AE150" s="33"/>
      <c r="AF150" s="36" t="str">
        <f t="shared" si="89"/>
        <v/>
      </c>
      <c r="AG150" s="23" t="s">
        <v>352</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0"/>
      <c r="B151" s="24"/>
      <c r="C151" s="24" t="s">
        <v>85</v>
      </c>
      <c r="D151" s="23" t="s">
        <v>278</v>
      </c>
      <c r="E151" s="23" t="s">
        <v>279</v>
      </c>
      <c r="F151" s="24">
        <v>2015</v>
      </c>
      <c r="H151" s="89">
        <v>8</v>
      </c>
      <c r="I151" s="85" t="s">
        <v>216</v>
      </c>
      <c r="J151" s="32" t="s">
        <v>353</v>
      </c>
      <c r="K151" s="106"/>
      <c r="L151" s="36" t="str">
        <f t="shared" si="80"/>
        <v/>
      </c>
      <c r="M151" s="33"/>
      <c r="N151" s="36" t="str">
        <f t="shared" si="81"/>
        <v/>
      </c>
      <c r="O151" s="33"/>
      <c r="P151" s="36" t="str">
        <f t="shared" si="82"/>
        <v/>
      </c>
      <c r="Q151" s="33"/>
      <c r="R151" s="36" t="str">
        <f t="shared" si="83"/>
        <v/>
      </c>
      <c r="S151" s="33"/>
      <c r="T151" s="36" t="str">
        <f t="shared" si="84"/>
        <v/>
      </c>
      <c r="U151" s="33"/>
      <c r="V151" s="36" t="str">
        <f t="shared" si="85"/>
        <v/>
      </c>
      <c r="W151" s="33"/>
      <c r="X151" s="36" t="str">
        <f t="shared" si="97"/>
        <v/>
      </c>
      <c r="Y151" s="33"/>
      <c r="Z151" s="36" t="str">
        <f t="shared" si="95"/>
        <v/>
      </c>
      <c r="AA151" s="33"/>
      <c r="AB151" s="36" t="str">
        <f t="shared" si="87"/>
        <v/>
      </c>
      <c r="AC151" s="33"/>
      <c r="AD151" s="36" t="str">
        <f t="shared" si="88"/>
        <v/>
      </c>
      <c r="AE151" s="33"/>
      <c r="AF151" s="36" t="str">
        <f t="shared" si="89"/>
        <v/>
      </c>
      <c r="AG151" s="23" t="s">
        <v>412</v>
      </c>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1"/>
      <c r="B152" s="82"/>
      <c r="C152" s="24" t="s">
        <v>85</v>
      </c>
      <c r="D152" s="23" t="s">
        <v>280</v>
      </c>
      <c r="E152" s="23" t="s">
        <v>281</v>
      </c>
      <c r="F152" s="24">
        <v>2001</v>
      </c>
      <c r="H152" s="89">
        <v>9</v>
      </c>
      <c r="I152" s="85"/>
      <c r="J152" s="32" t="s">
        <v>354</v>
      </c>
      <c r="K152" s="106"/>
      <c r="L152" s="36" t="str">
        <f t="shared" si="80"/>
        <v/>
      </c>
      <c r="M152" s="33"/>
      <c r="N152" s="36" t="str">
        <f t="shared" si="81"/>
        <v/>
      </c>
      <c r="O152" s="33"/>
      <c r="P152" s="36" t="str">
        <f t="shared" si="82"/>
        <v/>
      </c>
      <c r="Q152" s="33"/>
      <c r="R152" s="36" t="str">
        <f t="shared" si="83"/>
        <v/>
      </c>
      <c r="S152" s="33"/>
      <c r="T152" s="36" t="str">
        <f t="shared" si="84"/>
        <v/>
      </c>
      <c r="U152" s="33"/>
      <c r="V152" s="36" t="str">
        <f t="shared" si="85"/>
        <v/>
      </c>
      <c r="W152" s="33"/>
      <c r="X152" s="36" t="str">
        <f t="shared" si="97"/>
        <v/>
      </c>
      <c r="Y152" s="33"/>
      <c r="Z152" s="36" t="str">
        <f t="shared" si="95"/>
        <v/>
      </c>
      <c r="AA152" s="33"/>
      <c r="AB152" s="36" t="str">
        <f t="shared" si="87"/>
        <v/>
      </c>
      <c r="AC152" s="33"/>
      <c r="AD152" s="36" t="str">
        <f t="shared" si="88"/>
        <v/>
      </c>
      <c r="AE152" s="33"/>
      <c r="AF152" s="36" t="str">
        <f t="shared" si="89"/>
        <v/>
      </c>
      <c r="AG152" s="23" t="s">
        <v>355</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82"/>
      <c r="C153" s="24" t="s">
        <v>85</v>
      </c>
      <c r="D153" s="23" t="s">
        <v>63</v>
      </c>
      <c r="E153" s="23" t="s">
        <v>64</v>
      </c>
      <c r="F153" s="24">
        <v>2012</v>
      </c>
      <c r="G153" s="24">
        <v>83</v>
      </c>
      <c r="H153" s="89">
        <v>70</v>
      </c>
      <c r="I153" s="85" t="s">
        <v>183</v>
      </c>
      <c r="J153" s="32" t="s">
        <v>193</v>
      </c>
      <c r="K153" s="106">
        <v>1</v>
      </c>
      <c r="L153" s="36">
        <f t="shared" si="80"/>
        <v>1.4285714285714286</v>
      </c>
      <c r="M153" s="33">
        <v>10</v>
      </c>
      <c r="N153" s="36">
        <f t="shared" si="81"/>
        <v>14.285714285714285</v>
      </c>
      <c r="O153" s="33"/>
      <c r="P153" s="36" t="str">
        <f t="shared" si="82"/>
        <v/>
      </c>
      <c r="Q153" s="33"/>
      <c r="R153" s="36" t="str">
        <f t="shared" si="83"/>
        <v/>
      </c>
      <c r="S153" s="33"/>
      <c r="T153" s="36" t="str">
        <f t="shared" si="84"/>
        <v/>
      </c>
      <c r="U153" s="33">
        <v>1</v>
      </c>
      <c r="V153" s="36">
        <f t="shared" si="85"/>
        <v>1.4285714285714286</v>
      </c>
      <c r="W153" s="33"/>
      <c r="X153" s="36" t="str">
        <f t="shared" si="97"/>
        <v/>
      </c>
      <c r="Y153" s="33">
        <v>3</v>
      </c>
      <c r="Z153" s="36">
        <f t="shared" si="95"/>
        <v>4.2857142857142856</v>
      </c>
      <c r="AA153" s="33"/>
      <c r="AB153" s="36" t="str">
        <f t="shared" si="87"/>
        <v/>
      </c>
      <c r="AC153" s="33"/>
      <c r="AD153" s="36" t="str">
        <f t="shared" si="88"/>
        <v/>
      </c>
      <c r="AE153" s="33"/>
      <c r="AF153" s="36" t="str">
        <f t="shared" si="89"/>
        <v/>
      </c>
      <c r="AG153" s="23" t="s">
        <v>418</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0"/>
      <c r="B154" s="84"/>
      <c r="C154" s="24" t="s">
        <v>85</v>
      </c>
      <c r="D154" s="23" t="s">
        <v>69</v>
      </c>
      <c r="E154" s="23" t="s">
        <v>70</v>
      </c>
      <c r="F154" s="24">
        <v>2004</v>
      </c>
      <c r="G154" s="24">
        <v>61</v>
      </c>
      <c r="H154" s="89">
        <v>15</v>
      </c>
      <c r="I154" s="85" t="s">
        <v>185</v>
      </c>
      <c r="J154" s="32" t="s">
        <v>194</v>
      </c>
      <c r="K154" s="106"/>
      <c r="L154" s="36" t="str">
        <f t="shared" si="80"/>
        <v/>
      </c>
      <c r="M154" s="33"/>
      <c r="N154" s="36" t="str">
        <f t="shared" si="81"/>
        <v/>
      </c>
      <c r="O154" s="33"/>
      <c r="P154" s="36" t="str">
        <f t="shared" si="82"/>
        <v/>
      </c>
      <c r="Q154" s="33"/>
      <c r="R154" s="36" t="str">
        <f t="shared" si="83"/>
        <v/>
      </c>
      <c r="S154" s="33"/>
      <c r="T154" s="36" t="str">
        <f t="shared" si="84"/>
        <v/>
      </c>
      <c r="U154" s="33"/>
      <c r="V154" s="36" t="str">
        <f t="shared" si="85"/>
        <v/>
      </c>
      <c r="W154" s="33"/>
      <c r="X154" s="36" t="str">
        <f t="shared" si="97"/>
        <v/>
      </c>
      <c r="Y154" s="33"/>
      <c r="Z154" s="36" t="str">
        <f t="shared" si="95"/>
        <v/>
      </c>
      <c r="AA154" s="33"/>
      <c r="AB154" s="36" t="str">
        <f t="shared" si="87"/>
        <v/>
      </c>
      <c r="AC154" s="33"/>
      <c r="AD154" s="36" t="str">
        <f t="shared" si="88"/>
        <v/>
      </c>
      <c r="AE154" s="33"/>
      <c r="AF154" s="36" t="str">
        <f t="shared" si="89"/>
        <v/>
      </c>
      <c r="AG154" s="23" t="s">
        <v>419</v>
      </c>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3"/>
      <c r="C155" s="24" t="s">
        <v>85</v>
      </c>
      <c r="D155" s="23" t="s">
        <v>71</v>
      </c>
      <c r="E155" s="23" t="s">
        <v>70</v>
      </c>
      <c r="F155" s="24">
        <v>2004</v>
      </c>
      <c r="G155" s="24">
        <v>45</v>
      </c>
      <c r="H155" s="89">
        <v>15</v>
      </c>
      <c r="I155" s="85" t="s">
        <v>185</v>
      </c>
      <c r="J155" s="32" t="s">
        <v>194</v>
      </c>
      <c r="K155" s="106"/>
      <c r="L155" s="36" t="str">
        <f t="shared" ref="L155:L186" si="98">IF((ISERROR((K155/$H155)*100)), "", IF(AND(NOT(ISERROR((K155/$H155)*100)),((K155/$H155)*100) &lt;&gt; 0), (K155/$H155)*100, ""))</f>
        <v/>
      </c>
      <c r="M155" s="33"/>
      <c r="N155" s="36" t="str">
        <f t="shared" ref="N155:N186" si="99">IF((ISERROR((M155/$H155)*100)), "", IF(AND(NOT(ISERROR((M155/$H155)*100)),((M155/$H155)*100) &lt;&gt; 0), (M155/$H155)*100, ""))</f>
        <v/>
      </c>
      <c r="O155" s="33"/>
      <c r="P155" s="36" t="str">
        <f t="shared" ref="P155:P186" si="100">IF((ISERROR((O155/$H155)*100)), "", IF(AND(NOT(ISERROR((O155/$H155)*100)),((O155/$H155)*100) &lt;&gt; 0), (O155/$H155)*100, ""))</f>
        <v/>
      </c>
      <c r="Q155" s="33"/>
      <c r="R155" s="36" t="str">
        <f t="shared" ref="R155:R186" si="101">IF((ISERROR((Q155/$H155)*100)), "", IF(AND(NOT(ISERROR((Q155/$H155)*100)),((Q155/$H155)*100) &lt;&gt; 0), (Q155/$H155)*100, ""))</f>
        <v/>
      </c>
      <c r="S155" s="33"/>
      <c r="T155" s="36" t="str">
        <f t="shared" ref="T155:T186" si="102">IF((ISERROR((S155/$H155)*100)), "", IF(AND(NOT(ISERROR((S155/$H155)*100)),((S155/$H155)*100) &lt;&gt; 0), (S155/$H155)*100, ""))</f>
        <v/>
      </c>
      <c r="U155" s="33"/>
      <c r="V155" s="36" t="str">
        <f t="shared" ref="V155:V186" si="103">IF((ISERROR((U155/$H155)*100)), "", IF(AND(NOT(ISERROR((U155/$H155)*100)),((U155/$H155)*100) &lt;&gt; 0), (U155/$H155)*100, ""))</f>
        <v/>
      </c>
      <c r="W155" s="33"/>
      <c r="X155" s="36" t="str">
        <f t="shared" si="97"/>
        <v/>
      </c>
      <c r="Y155" s="33"/>
      <c r="Z155" s="36" t="str">
        <f t="shared" si="95"/>
        <v/>
      </c>
      <c r="AA155" s="33"/>
      <c r="AB155" s="36" t="str">
        <f t="shared" si="87"/>
        <v/>
      </c>
      <c r="AC155" s="33"/>
      <c r="AD155" s="36" t="str">
        <f t="shared" si="88"/>
        <v/>
      </c>
      <c r="AE155" s="33"/>
      <c r="AF155" s="36" t="str">
        <f t="shared" si="89"/>
        <v/>
      </c>
      <c r="AG155" s="23" t="s">
        <v>420</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0"/>
      <c r="B156" s="82"/>
      <c r="D156" s="23" t="s">
        <v>282</v>
      </c>
      <c r="E156" s="23" t="s">
        <v>285</v>
      </c>
      <c r="F156" s="24">
        <v>2008</v>
      </c>
      <c r="H156" s="89"/>
      <c r="I156" s="85"/>
      <c r="J156" s="32" t="s">
        <v>356</v>
      </c>
      <c r="K156" s="106"/>
      <c r="L156" s="36" t="str">
        <f t="shared" si="98"/>
        <v/>
      </c>
      <c r="M156" s="33"/>
      <c r="N156" s="36" t="str">
        <f t="shared" si="99"/>
        <v/>
      </c>
      <c r="O156" s="33"/>
      <c r="P156" s="36" t="str">
        <f t="shared" si="100"/>
        <v/>
      </c>
      <c r="Q156" s="33"/>
      <c r="R156" s="36" t="str">
        <f t="shared" si="101"/>
        <v/>
      </c>
      <c r="S156" s="33"/>
      <c r="T156" s="36" t="str">
        <f t="shared" si="102"/>
        <v/>
      </c>
      <c r="U156" s="33"/>
      <c r="V156" s="36" t="str">
        <f t="shared" si="103"/>
        <v/>
      </c>
      <c r="W156" s="33"/>
      <c r="X156" s="36" t="str">
        <f t="shared" ref="X156" si="104">IF((ISERROR((W156/$H156)*100)), "", IF(AND(NOT(ISERROR((W156/$H156)*100)),((W156/$H156)*100) &lt;&gt; 0), (W156/$H156)*100, ""))</f>
        <v/>
      </c>
      <c r="Y156" s="33"/>
      <c r="Z156" s="36" t="str">
        <f t="shared" si="95"/>
        <v/>
      </c>
      <c r="AA156" s="33"/>
      <c r="AB156" s="36" t="str">
        <f t="shared" si="87"/>
        <v/>
      </c>
      <c r="AC156" s="33"/>
      <c r="AD156" s="36" t="str">
        <f t="shared" si="88"/>
        <v/>
      </c>
      <c r="AE156" s="33"/>
      <c r="AF156" s="36" t="str">
        <f t="shared" si="89"/>
        <v/>
      </c>
      <c r="AG156" s="23"/>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3"/>
      <c r="C157" s="24" t="s">
        <v>85</v>
      </c>
      <c r="D157" s="23" t="s">
        <v>283</v>
      </c>
      <c r="E157" s="23" t="s">
        <v>284</v>
      </c>
      <c r="F157" s="24">
        <v>2013</v>
      </c>
      <c r="H157" s="89">
        <v>23</v>
      </c>
      <c r="I157" s="85"/>
      <c r="J157" s="32"/>
      <c r="K157" s="106"/>
      <c r="L157" s="36" t="str">
        <f t="shared" si="98"/>
        <v/>
      </c>
      <c r="M157" s="33"/>
      <c r="N157" s="36" t="str">
        <f t="shared" si="99"/>
        <v/>
      </c>
      <c r="O157" s="33"/>
      <c r="P157" s="36" t="str">
        <f t="shared" si="100"/>
        <v/>
      </c>
      <c r="Q157" s="33"/>
      <c r="R157" s="36" t="str">
        <f t="shared" si="101"/>
        <v/>
      </c>
      <c r="S157" s="33"/>
      <c r="T157" s="36" t="str">
        <f t="shared" si="102"/>
        <v/>
      </c>
      <c r="U157" s="33"/>
      <c r="V157" s="36" t="str">
        <f t="shared" si="103"/>
        <v/>
      </c>
      <c r="W157" s="33"/>
      <c r="X157" s="36" t="str">
        <f>IF((ISERROR((W157/$H157)*100)), "", IF(AND(NOT(ISERROR((W157/$H157)*100)),((W157/$H157)*100) &lt;&gt; 0), (W157/$H157)*100, ""))</f>
        <v/>
      </c>
      <c r="Y157" s="33"/>
      <c r="Z157" s="36" t="str">
        <f t="shared" si="95"/>
        <v/>
      </c>
      <c r="AA157" s="33"/>
      <c r="AB157" s="36" t="str">
        <f t="shared" si="87"/>
        <v/>
      </c>
      <c r="AC157" s="33"/>
      <c r="AD157" s="36" t="str">
        <f t="shared" si="88"/>
        <v/>
      </c>
      <c r="AE157" s="33"/>
      <c r="AF157" s="36" t="str">
        <f t="shared" si="89"/>
        <v/>
      </c>
      <c r="AG157" s="23" t="s">
        <v>421</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1"/>
      <c r="B158" s="24"/>
      <c r="C158" s="24" t="s">
        <v>85</v>
      </c>
      <c r="D158" s="23" t="s">
        <v>357</v>
      </c>
      <c r="E158" s="23" t="s">
        <v>72</v>
      </c>
      <c r="F158" s="24">
        <v>2014</v>
      </c>
      <c r="G158" s="24">
        <v>23</v>
      </c>
      <c r="H158" s="89">
        <v>28</v>
      </c>
      <c r="I158" s="85" t="s">
        <v>186</v>
      </c>
      <c r="J158" s="32" t="s">
        <v>195</v>
      </c>
      <c r="K158" s="106"/>
      <c r="L158" s="36" t="str">
        <f t="shared" si="98"/>
        <v/>
      </c>
      <c r="M158" s="33"/>
      <c r="N158" s="36" t="str">
        <f t="shared" si="99"/>
        <v/>
      </c>
      <c r="O158" s="33"/>
      <c r="P158" s="36" t="str">
        <f t="shared" si="100"/>
        <v/>
      </c>
      <c r="Q158" s="33"/>
      <c r="R158" s="36" t="str">
        <f t="shared" si="101"/>
        <v/>
      </c>
      <c r="S158" s="33"/>
      <c r="T158" s="36" t="str">
        <f t="shared" si="102"/>
        <v/>
      </c>
      <c r="U158" s="33"/>
      <c r="V158" s="36" t="str">
        <f t="shared" si="103"/>
        <v/>
      </c>
      <c r="W158" s="33"/>
      <c r="X158" s="36" t="str">
        <f>IF((ISERROR((W158/$H158)*100)), "", IF(AND(NOT(ISERROR((W158/$H158)*100)),((W158/$H158)*100) &lt;&gt; 0), (W158/$H158)*100, ""))</f>
        <v/>
      </c>
      <c r="Y158" s="33"/>
      <c r="Z158" s="36" t="str">
        <f t="shared" ref="Z158:Z159" si="105">IF((ISERROR((Y158/$H158)*100)), "", IF(AND(NOT(ISERROR((Y158/$H158)*100)),((Y158/$H158)*100) &lt;&gt; 0), (Y158/$H158)*100, ""))</f>
        <v/>
      </c>
      <c r="AA158" s="33"/>
      <c r="AB158" s="36" t="str">
        <f t="shared" si="87"/>
        <v/>
      </c>
      <c r="AC158" s="33"/>
      <c r="AD158" s="36" t="str">
        <f t="shared" si="88"/>
        <v/>
      </c>
      <c r="AE158" s="33"/>
      <c r="AF158" s="36" t="str">
        <f t="shared" si="89"/>
        <v/>
      </c>
      <c r="AG158" s="23" t="s">
        <v>422</v>
      </c>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2"/>
      <c r="C159" s="24" t="s">
        <v>85</v>
      </c>
      <c r="D159" s="23" t="s">
        <v>286</v>
      </c>
      <c r="E159" s="23" t="s">
        <v>287</v>
      </c>
      <c r="F159" s="24">
        <v>2014</v>
      </c>
      <c r="H159" s="89">
        <v>28</v>
      </c>
      <c r="I159" s="85" t="s">
        <v>186</v>
      </c>
      <c r="J159" s="32" t="s">
        <v>195</v>
      </c>
      <c r="K159" s="106">
        <v>5</v>
      </c>
      <c r="L159" s="36">
        <f t="shared" si="98"/>
        <v>17.857142857142858</v>
      </c>
      <c r="M159" s="33">
        <v>3</v>
      </c>
      <c r="N159" s="36">
        <f t="shared" si="99"/>
        <v>10.714285714285714</v>
      </c>
      <c r="O159" s="33"/>
      <c r="P159" s="36" t="str">
        <f t="shared" si="100"/>
        <v/>
      </c>
      <c r="Q159" s="33"/>
      <c r="R159" s="36" t="str">
        <f t="shared" si="101"/>
        <v/>
      </c>
      <c r="S159" s="33"/>
      <c r="T159" s="36" t="str">
        <f t="shared" si="102"/>
        <v/>
      </c>
      <c r="U159" s="33">
        <v>4</v>
      </c>
      <c r="V159" s="36">
        <f t="shared" si="103"/>
        <v>14.285714285714285</v>
      </c>
      <c r="W159" s="33"/>
      <c r="X159" s="36" t="str">
        <f>IF((ISERROR((W159/$H159)*100)), "", IF(AND(NOT(ISERROR((W159/$H159)*100)),((W159/$H159)*100) &lt;&gt; 0), (W159/$H159)*100, ""))</f>
        <v/>
      </c>
      <c r="Y159" s="33"/>
      <c r="Z159" s="36" t="str">
        <f t="shared" si="105"/>
        <v/>
      </c>
      <c r="AA159" s="33"/>
      <c r="AB159" s="36" t="str">
        <f t="shared" si="87"/>
        <v/>
      </c>
      <c r="AC159" s="33"/>
      <c r="AD159" s="36" t="str">
        <f t="shared" si="88"/>
        <v/>
      </c>
      <c r="AE159" s="33"/>
      <c r="AF159" s="36" t="str">
        <f t="shared" si="89"/>
        <v/>
      </c>
      <c r="AG159" s="23" t="s">
        <v>358</v>
      </c>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1"/>
      <c r="B160" s="24"/>
      <c r="C160" s="24" t="s">
        <v>85</v>
      </c>
      <c r="D160" s="23" t="s">
        <v>77</v>
      </c>
      <c r="E160" s="23" t="s">
        <v>78</v>
      </c>
      <c r="F160" s="24">
        <v>2009</v>
      </c>
      <c r="G160" s="24">
        <v>134</v>
      </c>
      <c r="H160" s="89">
        <v>94</v>
      </c>
      <c r="I160" s="85"/>
      <c r="J160" s="32"/>
      <c r="K160" s="106"/>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 t="shared" ref="X160:X168" si="106">IF((ISERROR((W160/$H160)*100)), "", IF(AND(NOT(ISERROR((W160/$H160)*100)),((W160/$H160)*100) &lt;&gt; 0), (W160/$H160)*100, ""))</f>
        <v/>
      </c>
      <c r="Y160" s="33"/>
      <c r="Z160" s="36" t="str">
        <f t="shared" ref="Z160:Z172" si="107">IF((ISERROR((Y160/$H160)*100)), "", IF(AND(NOT(ISERROR((Y160/$H160)*100)),((Y160/$H160)*100) &lt;&gt; 0), (Y160/$H160)*100, ""))</f>
        <v/>
      </c>
      <c r="AA160" s="33"/>
      <c r="AB160" s="36" t="str">
        <f t="shared" si="87"/>
        <v/>
      </c>
      <c r="AC160" s="33"/>
      <c r="AD160" s="36" t="str">
        <f t="shared" si="88"/>
        <v/>
      </c>
      <c r="AE160" s="33"/>
      <c r="AF160" s="36" t="str">
        <f t="shared" si="89"/>
        <v/>
      </c>
      <c r="AG160" s="23" t="s">
        <v>189</v>
      </c>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3"/>
      <c r="C161" s="24" t="s">
        <v>85</v>
      </c>
      <c r="D161" s="23" t="s">
        <v>288</v>
      </c>
      <c r="E161" s="23" t="s">
        <v>289</v>
      </c>
      <c r="F161" s="24">
        <v>2011</v>
      </c>
      <c r="H161" s="89">
        <v>4</v>
      </c>
      <c r="I161" s="85"/>
      <c r="J161" s="32"/>
      <c r="K161" s="106"/>
      <c r="L161" s="36" t="str">
        <f t="shared" si="98"/>
        <v/>
      </c>
      <c r="M161" s="33"/>
      <c r="N161" s="36" t="str">
        <f t="shared" si="99"/>
        <v/>
      </c>
      <c r="O161" s="33"/>
      <c r="P161" s="36" t="str">
        <f t="shared" si="100"/>
        <v/>
      </c>
      <c r="Q161" s="33"/>
      <c r="R161" s="36" t="str">
        <f t="shared" si="101"/>
        <v/>
      </c>
      <c r="S161" s="33"/>
      <c r="T161" s="36" t="str">
        <f t="shared" si="102"/>
        <v/>
      </c>
      <c r="U161" s="33"/>
      <c r="V161" s="36" t="str">
        <f t="shared" si="103"/>
        <v/>
      </c>
      <c r="W161" s="33"/>
      <c r="X161" s="36" t="str">
        <f t="shared" si="106"/>
        <v/>
      </c>
      <c r="Y161" s="33"/>
      <c r="Z161" s="36" t="str">
        <f t="shared" si="107"/>
        <v/>
      </c>
      <c r="AA161" s="33"/>
      <c r="AB161" s="36" t="str">
        <f t="shared" si="87"/>
        <v/>
      </c>
      <c r="AC161" s="33"/>
      <c r="AD161" s="36" t="str">
        <f t="shared" si="88"/>
        <v/>
      </c>
      <c r="AE161" s="33"/>
      <c r="AF161" s="36" t="str">
        <f t="shared" si="89"/>
        <v/>
      </c>
      <c r="AG161" s="23"/>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0"/>
      <c r="B162" s="83"/>
      <c r="C162" s="24" t="s">
        <v>85</v>
      </c>
      <c r="D162" s="23" t="s">
        <v>290</v>
      </c>
      <c r="E162" s="23" t="s">
        <v>291</v>
      </c>
      <c r="F162" s="24">
        <v>2015</v>
      </c>
      <c r="H162" s="89">
        <v>10</v>
      </c>
      <c r="I162" s="85" t="s">
        <v>348</v>
      </c>
      <c r="J162" s="32" t="s">
        <v>359</v>
      </c>
      <c r="K162" s="106"/>
      <c r="L162" s="36" t="str">
        <f t="shared" si="98"/>
        <v/>
      </c>
      <c r="M162" s="33"/>
      <c r="N162" s="36" t="str">
        <f t="shared" si="99"/>
        <v/>
      </c>
      <c r="O162" s="33"/>
      <c r="P162" s="36" t="str">
        <f t="shared" si="100"/>
        <v/>
      </c>
      <c r="Q162" s="33"/>
      <c r="R162" s="36" t="str">
        <f t="shared" si="101"/>
        <v/>
      </c>
      <c r="S162" s="33"/>
      <c r="T162" s="36" t="str">
        <f t="shared" si="102"/>
        <v/>
      </c>
      <c r="U162" s="33"/>
      <c r="V162" s="36" t="str">
        <f t="shared" si="103"/>
        <v/>
      </c>
      <c r="W162" s="33"/>
      <c r="X162" s="36" t="str">
        <f>IF((ISERROR((W162/$H162)*100)), "", IF(AND(NOT(ISERROR((W162/$H162)*100)),((W162/$H162)*100) &lt;&gt; 0), (W162/$H162)*100, ""))</f>
        <v/>
      </c>
      <c r="Y162" s="33"/>
      <c r="Z162" s="36" t="str">
        <f t="shared" si="107"/>
        <v/>
      </c>
      <c r="AA162" s="33"/>
      <c r="AB162" s="36" t="str">
        <f t="shared" si="87"/>
        <v/>
      </c>
      <c r="AC162" s="33"/>
      <c r="AD162" s="36" t="str">
        <f t="shared" si="88"/>
        <v/>
      </c>
      <c r="AE162" s="33"/>
      <c r="AF162" s="36" t="str">
        <f t="shared" si="89"/>
        <v/>
      </c>
      <c r="AG162" s="23"/>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2"/>
      <c r="C163" s="24" t="s">
        <v>85</v>
      </c>
      <c r="D163" s="23" t="s">
        <v>79</v>
      </c>
      <c r="E163" s="23" t="s">
        <v>80</v>
      </c>
      <c r="F163" s="24">
        <v>2015</v>
      </c>
      <c r="G163" s="24">
        <v>10</v>
      </c>
      <c r="H163" s="89">
        <v>11</v>
      </c>
      <c r="I163" s="85" t="s">
        <v>197</v>
      </c>
      <c r="J163" s="32" t="s">
        <v>169</v>
      </c>
      <c r="K163" s="106">
        <v>3</v>
      </c>
      <c r="L163" s="36">
        <f t="shared" si="98"/>
        <v>27.27272727272727</v>
      </c>
      <c r="M163" s="38">
        <v>1</v>
      </c>
      <c r="N163" s="39">
        <f t="shared" si="99"/>
        <v>9.0909090909090917</v>
      </c>
      <c r="O163" s="33"/>
      <c r="P163" s="36" t="str">
        <f t="shared" si="100"/>
        <v/>
      </c>
      <c r="Q163" s="33"/>
      <c r="R163" s="36" t="str">
        <f t="shared" si="101"/>
        <v/>
      </c>
      <c r="S163" s="33"/>
      <c r="T163" s="36" t="str">
        <f t="shared" si="102"/>
        <v/>
      </c>
      <c r="U163" s="33"/>
      <c r="V163" s="36" t="str">
        <f t="shared" si="103"/>
        <v/>
      </c>
      <c r="W163" s="33"/>
      <c r="X163" s="36" t="str">
        <f>IF((ISERROR((W163/$H163)*100)), "", IF(AND(NOT(ISERROR((W163/$H163)*100)),((W163/$H163)*100) &lt;&gt; 0), (W163/$H163)*100, ""))</f>
        <v/>
      </c>
      <c r="Y163" s="33"/>
      <c r="Z163" s="36" t="str">
        <f t="shared" si="107"/>
        <v/>
      </c>
      <c r="AA163" s="33"/>
      <c r="AB163" s="36" t="str">
        <f t="shared" si="87"/>
        <v/>
      </c>
      <c r="AC163" s="33"/>
      <c r="AD163" s="36" t="str">
        <f t="shared" si="88"/>
        <v/>
      </c>
      <c r="AE163" s="33"/>
      <c r="AF163" s="36" t="str">
        <f t="shared" si="89"/>
        <v/>
      </c>
      <c r="AG163" s="23" t="s">
        <v>196</v>
      </c>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1"/>
      <c r="B164" s="83"/>
      <c r="C164" s="24" t="s">
        <v>85</v>
      </c>
      <c r="D164" s="23" t="s">
        <v>81</v>
      </c>
      <c r="E164" s="23" t="s">
        <v>82</v>
      </c>
      <c r="F164" s="24">
        <v>1994</v>
      </c>
      <c r="G164" s="24">
        <v>292</v>
      </c>
      <c r="H164" s="89">
        <v>15</v>
      </c>
      <c r="I164" s="85" t="s">
        <v>198</v>
      </c>
      <c r="J164" s="32"/>
      <c r="K164" s="106"/>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 t="shared" si="106"/>
        <v/>
      </c>
      <c r="Y164" s="33"/>
      <c r="Z164" s="36" t="str">
        <f t="shared" si="107"/>
        <v/>
      </c>
      <c r="AA164" s="33"/>
      <c r="AB164" s="36" t="str">
        <f t="shared" si="87"/>
        <v/>
      </c>
      <c r="AC164" s="33"/>
      <c r="AD164" s="36" t="str">
        <f t="shared" si="88"/>
        <v/>
      </c>
      <c r="AE164" s="33"/>
      <c r="AF164" s="36" t="str">
        <f t="shared" si="89"/>
        <v/>
      </c>
      <c r="AG164" s="23" t="s">
        <v>199</v>
      </c>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1"/>
      <c r="B165" s="24"/>
      <c r="C165" s="24" t="s">
        <v>85</v>
      </c>
      <c r="D165" s="23" t="s">
        <v>83</v>
      </c>
      <c r="E165" s="23" t="s">
        <v>84</v>
      </c>
      <c r="F165" s="24">
        <v>2000</v>
      </c>
      <c r="G165" s="24">
        <v>146</v>
      </c>
      <c r="H165" s="89">
        <v>42</v>
      </c>
      <c r="I165" s="85" t="s">
        <v>360</v>
      </c>
      <c r="J165" s="32"/>
      <c r="K165" s="106"/>
      <c r="L165" s="36" t="str">
        <f t="shared" si="98"/>
        <v/>
      </c>
      <c r="M165" s="33"/>
      <c r="N165" s="36" t="str">
        <f t="shared" si="99"/>
        <v/>
      </c>
      <c r="O165" s="33"/>
      <c r="P165" s="36" t="str">
        <f t="shared" si="100"/>
        <v/>
      </c>
      <c r="Q165" s="33"/>
      <c r="R165" s="36" t="str">
        <f t="shared" si="101"/>
        <v/>
      </c>
      <c r="S165" s="33"/>
      <c r="T165" s="36" t="str">
        <f t="shared" si="102"/>
        <v/>
      </c>
      <c r="U165" s="33"/>
      <c r="V165" s="36" t="str">
        <f t="shared" si="103"/>
        <v/>
      </c>
      <c r="W165" s="33"/>
      <c r="X165" s="36" t="str">
        <f t="shared" si="106"/>
        <v/>
      </c>
      <c r="Y165" s="33"/>
      <c r="Z165" s="36" t="str">
        <f t="shared" si="107"/>
        <v/>
      </c>
      <c r="AA165" s="33"/>
      <c r="AB165" s="36" t="str">
        <f t="shared" si="87"/>
        <v/>
      </c>
      <c r="AC165" s="33"/>
      <c r="AD165" s="36" t="str">
        <f t="shared" si="88"/>
        <v/>
      </c>
      <c r="AE165" s="33"/>
      <c r="AF165" s="36" t="str">
        <f t="shared" si="89"/>
        <v/>
      </c>
      <c r="AG165" s="23"/>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1"/>
      <c r="B166" s="83"/>
      <c r="C166" s="50" t="s">
        <v>35</v>
      </c>
      <c r="D166" s="49" t="s">
        <v>87</v>
      </c>
      <c r="E166" s="49" t="s">
        <v>88</v>
      </c>
      <c r="F166" s="50">
        <v>1996</v>
      </c>
      <c r="G166" s="50">
        <v>187</v>
      </c>
      <c r="H166" s="89">
        <v>100</v>
      </c>
      <c r="I166" s="85" t="s">
        <v>200</v>
      </c>
      <c r="J166" s="32"/>
      <c r="K166" s="106"/>
      <c r="L166" s="36" t="str">
        <f t="shared" si="98"/>
        <v/>
      </c>
      <c r="M166" s="33"/>
      <c r="N166" s="36" t="str">
        <f t="shared" si="99"/>
        <v/>
      </c>
      <c r="O166" s="33"/>
      <c r="P166" s="36" t="str">
        <f t="shared" si="100"/>
        <v/>
      </c>
      <c r="Q166" s="33"/>
      <c r="R166" s="36" t="str">
        <f t="shared" si="101"/>
        <v/>
      </c>
      <c r="S166" s="33"/>
      <c r="T166" s="36" t="str">
        <f t="shared" si="102"/>
        <v/>
      </c>
      <c r="U166" s="33"/>
      <c r="V166" s="36" t="str">
        <f t="shared" si="103"/>
        <v/>
      </c>
      <c r="W166" s="33"/>
      <c r="X166" s="36" t="str">
        <f t="shared" si="106"/>
        <v/>
      </c>
      <c r="Y166" s="33"/>
      <c r="Z166" s="36" t="str">
        <f t="shared" si="107"/>
        <v/>
      </c>
      <c r="AA166" s="33"/>
      <c r="AB166" s="36" t="str">
        <f t="shared" si="87"/>
        <v/>
      </c>
      <c r="AC166" s="33"/>
      <c r="AD166" s="36" t="str">
        <f t="shared" si="88"/>
        <v/>
      </c>
      <c r="AE166" s="33"/>
      <c r="AF166" s="36" t="str">
        <f t="shared" si="89"/>
        <v/>
      </c>
      <c r="AG166" s="23" t="s">
        <v>201</v>
      </c>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3"/>
      <c r="C167" s="24" t="s">
        <v>85</v>
      </c>
      <c r="D167" s="23" t="s">
        <v>89</v>
      </c>
      <c r="E167" s="23" t="s">
        <v>90</v>
      </c>
      <c r="F167" s="24">
        <v>2000</v>
      </c>
      <c r="G167" s="24">
        <v>79</v>
      </c>
      <c r="H167" s="89">
        <v>10</v>
      </c>
      <c r="I167" s="85" t="s">
        <v>168</v>
      </c>
      <c r="J167" s="32"/>
      <c r="K167" s="106"/>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 t="shared" si="106"/>
        <v/>
      </c>
      <c r="Y167" s="33"/>
      <c r="Z167" s="36" t="str">
        <f t="shared" si="107"/>
        <v/>
      </c>
      <c r="AA167" s="33"/>
      <c r="AB167" s="36" t="str">
        <f t="shared" si="87"/>
        <v/>
      </c>
      <c r="AC167" s="33"/>
      <c r="AD167" s="36" t="str">
        <f t="shared" si="88"/>
        <v/>
      </c>
      <c r="AE167" s="33"/>
      <c r="AF167" s="36" t="str">
        <f t="shared" si="89"/>
        <v/>
      </c>
      <c r="AG167" s="23" t="s">
        <v>202</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2"/>
      <c r="D168" s="23" t="s">
        <v>292</v>
      </c>
      <c r="E168" s="23" t="s">
        <v>293</v>
      </c>
      <c r="F168" s="24">
        <v>2005</v>
      </c>
      <c r="H168" s="89">
        <v>13</v>
      </c>
      <c r="I168" s="85" t="s">
        <v>361</v>
      </c>
      <c r="J168" s="32"/>
      <c r="K168" s="106"/>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 t="shared" si="106"/>
        <v/>
      </c>
      <c r="Y168" s="33"/>
      <c r="Z168" s="36" t="str">
        <f t="shared" si="107"/>
        <v/>
      </c>
      <c r="AA168" s="33"/>
      <c r="AB168" s="36" t="str">
        <f t="shared" si="87"/>
        <v/>
      </c>
      <c r="AC168" s="33"/>
      <c r="AD168" s="36" t="str">
        <f t="shared" si="88"/>
        <v/>
      </c>
      <c r="AE168" s="33"/>
      <c r="AF168" s="36" t="str">
        <f t="shared" si="89"/>
        <v/>
      </c>
      <c r="AG168" s="23" t="s">
        <v>362</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1"/>
      <c r="B169" s="83"/>
      <c r="C169" s="24" t="s">
        <v>85</v>
      </c>
      <c r="D169" s="23" t="s">
        <v>91</v>
      </c>
      <c r="E169" s="23" t="s">
        <v>92</v>
      </c>
      <c r="F169" s="24">
        <v>2001</v>
      </c>
      <c r="G169" s="24">
        <v>170</v>
      </c>
      <c r="H169" s="89">
        <v>22</v>
      </c>
      <c r="I169" s="85" t="s">
        <v>177</v>
      </c>
      <c r="J169" s="32" t="s">
        <v>169</v>
      </c>
      <c r="K169" s="106"/>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IF((ISERROR((W169/$H169)*100)), "", IF(AND(NOT(ISERROR((W169/$H169)*100)),((W169/$H169)*100) &lt;&gt; 0), (W169/$H169)*100, ""))</f>
        <v/>
      </c>
      <c r="Y169" s="33"/>
      <c r="Z169" s="36" t="str">
        <f t="shared" si="107"/>
        <v/>
      </c>
      <c r="AA169" s="33"/>
      <c r="AB169" s="36" t="str">
        <f t="shared" si="87"/>
        <v/>
      </c>
      <c r="AC169" s="33"/>
      <c r="AD169" s="36" t="str">
        <f t="shared" si="88"/>
        <v/>
      </c>
      <c r="AE169" s="33"/>
      <c r="AF169" s="36" t="str">
        <f t="shared" si="89"/>
        <v/>
      </c>
      <c r="AG169" s="23" t="s">
        <v>182</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0"/>
      <c r="B170" s="83"/>
      <c r="C170" s="24" t="s">
        <v>85</v>
      </c>
      <c r="D170" s="23" t="s">
        <v>294</v>
      </c>
      <c r="E170" s="23" t="s">
        <v>295</v>
      </c>
      <c r="F170" s="24">
        <v>2009</v>
      </c>
      <c r="H170" s="89">
        <v>20</v>
      </c>
      <c r="I170" s="85" t="s">
        <v>216</v>
      </c>
      <c r="J170" s="32" t="s">
        <v>193</v>
      </c>
      <c r="K170" s="106"/>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IF((ISERROR((W170/$H170)*100)), "", IF(AND(NOT(ISERROR((W170/$H170)*100)),((W170/$H170)*100) &lt;&gt; 0), (W170/$H170)*100, ""))</f>
        <v/>
      </c>
      <c r="Y170" s="33"/>
      <c r="Z170" s="36" t="str">
        <f t="shared" si="107"/>
        <v/>
      </c>
      <c r="AA170" s="33"/>
      <c r="AB170" s="36" t="str">
        <f t="shared" si="87"/>
        <v/>
      </c>
      <c r="AC170" s="33"/>
      <c r="AD170" s="36" t="str">
        <f t="shared" si="88"/>
        <v/>
      </c>
      <c r="AE170" s="33"/>
      <c r="AF170" s="36" t="str">
        <f t="shared" si="89"/>
        <v/>
      </c>
      <c r="AG170" s="23" t="s">
        <v>363</v>
      </c>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24"/>
      <c r="C171" s="24" t="s">
        <v>85</v>
      </c>
      <c r="D171" s="23" t="s">
        <v>296</v>
      </c>
      <c r="E171" s="23" t="s">
        <v>297</v>
      </c>
      <c r="F171" s="24">
        <v>2006</v>
      </c>
      <c r="H171" s="89">
        <v>10</v>
      </c>
      <c r="I171" s="85" t="s">
        <v>364</v>
      </c>
      <c r="J171" s="32" t="s">
        <v>169</v>
      </c>
      <c r="K171" s="106"/>
      <c r="L171" s="36" t="str">
        <f t="shared" si="98"/>
        <v/>
      </c>
      <c r="M171" s="33"/>
      <c r="N171" s="36" t="str">
        <f t="shared" si="99"/>
        <v/>
      </c>
      <c r="O171" s="33"/>
      <c r="P171" s="36" t="str">
        <f t="shared" si="100"/>
        <v/>
      </c>
      <c r="Q171" s="33"/>
      <c r="R171" s="36" t="str">
        <f t="shared" si="101"/>
        <v/>
      </c>
      <c r="S171" s="33"/>
      <c r="T171" s="36" t="str">
        <f t="shared" si="102"/>
        <v/>
      </c>
      <c r="U171" s="33"/>
      <c r="V171" s="36" t="str">
        <f t="shared" si="103"/>
        <v/>
      </c>
      <c r="W171" s="33"/>
      <c r="X171" s="36" t="str">
        <f>IF((ISERROR((W171/$H171)*100)), "", IF(AND(NOT(ISERROR((W171/$H171)*100)),((W171/$H171)*100) &lt;&gt; 0), (W171/$H171)*100, ""))</f>
        <v/>
      </c>
      <c r="Y171" s="33"/>
      <c r="Z171" s="36" t="str">
        <f t="shared" si="107"/>
        <v/>
      </c>
      <c r="AA171" s="33"/>
      <c r="AB171" s="36" t="str">
        <f t="shared" si="87"/>
        <v/>
      </c>
      <c r="AC171" s="33"/>
      <c r="AD171" s="36" t="str">
        <f t="shared" si="88"/>
        <v/>
      </c>
      <c r="AE171" s="33"/>
      <c r="AF171" s="36" t="str">
        <f t="shared" si="89"/>
        <v/>
      </c>
      <c r="AG171" s="23" t="s">
        <v>365</v>
      </c>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1"/>
      <c r="B172" s="24"/>
      <c r="C172" s="24" t="s">
        <v>85</v>
      </c>
      <c r="D172" s="23" t="s">
        <v>300</v>
      </c>
      <c r="E172" s="23" t="s">
        <v>301</v>
      </c>
      <c r="F172" s="24">
        <v>2016</v>
      </c>
      <c r="H172" s="89">
        <v>25</v>
      </c>
      <c r="I172" s="85" t="s">
        <v>216</v>
      </c>
      <c r="J172" s="32" t="s">
        <v>194</v>
      </c>
      <c r="K172" s="106"/>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7"/>
        <v/>
      </c>
      <c r="AA172" s="33"/>
      <c r="AB172" s="36" t="str">
        <f t="shared" si="87"/>
        <v/>
      </c>
      <c r="AC172" s="33"/>
      <c r="AD172" s="36" t="str">
        <f t="shared" si="88"/>
        <v/>
      </c>
      <c r="AE172" s="33"/>
      <c r="AF172" s="36" t="str">
        <f t="shared" si="89"/>
        <v/>
      </c>
      <c r="AG172" s="23"/>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2"/>
      <c r="C173" s="24" t="s">
        <v>85</v>
      </c>
      <c r="D173" s="23" t="s">
        <v>298</v>
      </c>
      <c r="E173" s="23" t="s">
        <v>299</v>
      </c>
      <c r="F173" s="24">
        <v>2011</v>
      </c>
      <c r="H173" s="89">
        <v>244</v>
      </c>
      <c r="I173" s="85" t="s">
        <v>213</v>
      </c>
      <c r="J173" s="32" t="s">
        <v>192</v>
      </c>
      <c r="K173" s="106"/>
      <c r="L173" s="36" t="str">
        <f t="shared" si="98"/>
        <v/>
      </c>
      <c r="M173" s="33">
        <v>3</v>
      </c>
      <c r="N173" s="36">
        <f t="shared" si="99"/>
        <v>1.2295081967213115</v>
      </c>
      <c r="O173" s="33"/>
      <c r="P173" s="36" t="str">
        <f t="shared" si="100"/>
        <v/>
      </c>
      <c r="Q173" s="33"/>
      <c r="R173" s="36" t="str">
        <f t="shared" si="101"/>
        <v/>
      </c>
      <c r="S173" s="33"/>
      <c r="T173" s="36" t="str">
        <f t="shared" si="102"/>
        <v/>
      </c>
      <c r="U173" s="33">
        <v>4</v>
      </c>
      <c r="V173" s="36">
        <f t="shared" si="103"/>
        <v>1.639344262295082</v>
      </c>
      <c r="W173" s="33"/>
      <c r="X173" s="36" t="str">
        <f t="shared" ref="X173" si="108">IF((ISERROR((W173/$H173)*100)), "", IF(AND(NOT(ISERROR((W173/$H173)*100)),((W173/$H173)*100) &lt;&gt; 0), (W173/$H173)*100, ""))</f>
        <v/>
      </c>
      <c r="Y173" s="33"/>
      <c r="Z173" s="36" t="str">
        <f t="shared" ref="Z173:Z174" si="109">IF((ISERROR((Y173/$H173)*100)), "", IF(AND(NOT(ISERROR((Y173/$H173)*100)),((Y173/$H173)*100) &lt;&gt; 0), (Y173/$H173)*100, ""))</f>
        <v/>
      </c>
      <c r="AA173" s="33"/>
      <c r="AB173" s="36" t="str">
        <f t="shared" si="87"/>
        <v/>
      </c>
      <c r="AC173" s="33"/>
      <c r="AD173" s="36" t="str">
        <f t="shared" si="88"/>
        <v/>
      </c>
      <c r="AE173" s="33"/>
      <c r="AF173" s="36" t="str">
        <f t="shared" si="89"/>
        <v/>
      </c>
      <c r="AG173" s="23"/>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82"/>
      <c r="C174" s="24" t="s">
        <v>85</v>
      </c>
      <c r="D174" s="23" t="s">
        <v>99</v>
      </c>
      <c r="E174" s="23" t="s">
        <v>100</v>
      </c>
      <c r="F174" s="24">
        <v>2002</v>
      </c>
      <c r="G174" s="24">
        <v>103</v>
      </c>
      <c r="H174" s="89">
        <v>8</v>
      </c>
      <c r="I174" s="85"/>
      <c r="J174" s="32"/>
      <c r="K174" s="106"/>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09"/>
        <v/>
      </c>
      <c r="AA174" s="33"/>
      <c r="AB174" s="36" t="str">
        <f t="shared" si="87"/>
        <v/>
      </c>
      <c r="AC174" s="33"/>
      <c r="AD174" s="36" t="str">
        <f t="shared" si="88"/>
        <v/>
      </c>
      <c r="AE174" s="33"/>
      <c r="AF174" s="36" t="str">
        <f t="shared" si="89"/>
        <v/>
      </c>
      <c r="AG174" s="23" t="s">
        <v>203</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0"/>
      <c r="B175" s="83"/>
      <c r="D175" s="23" t="s">
        <v>302</v>
      </c>
      <c r="E175" s="23" t="s">
        <v>303</v>
      </c>
      <c r="F175" s="24">
        <v>2013</v>
      </c>
      <c r="H175" s="89">
        <v>18</v>
      </c>
      <c r="I175" s="85"/>
      <c r="J175" s="32"/>
      <c r="K175" s="106"/>
      <c r="L175" s="36" t="str">
        <f t="shared" si="98"/>
        <v/>
      </c>
      <c r="M175" s="33"/>
      <c r="N175" s="36" t="str">
        <f t="shared" si="99"/>
        <v/>
      </c>
      <c r="O175" s="33"/>
      <c r="P175" s="36" t="str">
        <f t="shared" si="100"/>
        <v/>
      </c>
      <c r="Q175" s="33"/>
      <c r="R175" s="36" t="str">
        <f t="shared" si="101"/>
        <v/>
      </c>
      <c r="S175" s="33"/>
      <c r="T175" s="36" t="str">
        <f t="shared" si="102"/>
        <v/>
      </c>
      <c r="U175" s="33"/>
      <c r="V175" s="36" t="str">
        <f t="shared" si="103"/>
        <v/>
      </c>
      <c r="W175" s="33"/>
      <c r="X175" s="36" t="str">
        <f t="shared" ref="X175:X186" si="110">IF((ISERROR((W175/$H175)*100)), "", IF(AND(NOT(ISERROR((W175/$H175)*100)),((W175/$H175)*100) &lt;&gt; 0), (W175/$H175)*100, ""))</f>
        <v/>
      </c>
      <c r="Y175" s="33"/>
      <c r="Z175" s="36" t="str">
        <f t="shared" ref="Z175:Z190" si="111">IF((ISERROR((Y175/$H175)*100)), "", IF(AND(NOT(ISERROR((Y175/$H175)*100)),((Y175/$H175)*100) &lt;&gt; 0), (Y175/$H175)*100, ""))</f>
        <v/>
      </c>
      <c r="AA175" s="33"/>
      <c r="AB175" s="36" t="str">
        <f t="shared" si="87"/>
        <v/>
      </c>
      <c r="AC175" s="33"/>
      <c r="AD175" s="36" t="str">
        <f t="shared" si="88"/>
        <v/>
      </c>
      <c r="AE175" s="33"/>
      <c r="AF175" s="36" t="str">
        <f t="shared" si="89"/>
        <v/>
      </c>
      <c r="AG175" s="23" t="s">
        <v>366</v>
      </c>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3"/>
      <c r="C176" s="24" t="s">
        <v>85</v>
      </c>
      <c r="D176" s="23" t="s">
        <v>304</v>
      </c>
      <c r="E176" s="23" t="s">
        <v>305</v>
      </c>
      <c r="F176" s="24">
        <v>2015</v>
      </c>
      <c r="H176" s="89">
        <v>41</v>
      </c>
      <c r="I176" s="85" t="s">
        <v>186</v>
      </c>
      <c r="J176" s="32"/>
      <c r="K176" s="106"/>
      <c r="L176" s="36" t="str">
        <f t="shared" si="98"/>
        <v/>
      </c>
      <c r="M176" s="33"/>
      <c r="N176" s="36" t="str">
        <f t="shared" si="99"/>
        <v/>
      </c>
      <c r="O176" s="33"/>
      <c r="P176" s="36" t="str">
        <f t="shared" si="100"/>
        <v/>
      </c>
      <c r="Q176" s="33"/>
      <c r="R176" s="36" t="str">
        <f t="shared" si="101"/>
        <v/>
      </c>
      <c r="S176" s="33"/>
      <c r="T176" s="36" t="str">
        <f t="shared" si="102"/>
        <v/>
      </c>
      <c r="U176" s="33"/>
      <c r="V176" s="36" t="str">
        <f t="shared" si="103"/>
        <v/>
      </c>
      <c r="W176" s="33"/>
      <c r="X176" s="36" t="str">
        <f>IF((ISERROR((W176/$H176)*100)), "", IF(AND(NOT(ISERROR((W176/$H176)*100)),((W176/$H176)*100) &lt;&gt; 0), (W176/$H176)*100, ""))</f>
        <v/>
      </c>
      <c r="Y176" s="33"/>
      <c r="Z176" s="36" t="str">
        <f t="shared" si="111"/>
        <v/>
      </c>
      <c r="AA176" s="33"/>
      <c r="AB176" s="36" t="str">
        <f t="shared" si="87"/>
        <v/>
      </c>
      <c r="AC176" s="33"/>
      <c r="AD176" s="36" t="str">
        <f t="shared" si="88"/>
        <v/>
      </c>
      <c r="AE176" s="33"/>
      <c r="AF176" s="36" t="str">
        <f t="shared" si="89"/>
        <v/>
      </c>
      <c r="AG176" s="23" t="s">
        <v>367</v>
      </c>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0"/>
      <c r="B177" s="82"/>
      <c r="C177" s="24" t="s">
        <v>85</v>
      </c>
      <c r="D177" s="23" t="s">
        <v>103</v>
      </c>
      <c r="E177" s="23" t="s">
        <v>104</v>
      </c>
      <c r="F177" s="24">
        <v>1996</v>
      </c>
      <c r="G177" s="24">
        <v>12</v>
      </c>
      <c r="H177" s="89">
        <v>97</v>
      </c>
      <c r="I177" s="85" t="s">
        <v>205</v>
      </c>
      <c r="J177" s="32" t="s">
        <v>206</v>
      </c>
      <c r="K177" s="106"/>
      <c r="L177" s="36" t="str">
        <f t="shared" si="98"/>
        <v/>
      </c>
      <c r="M177" s="33">
        <v>3</v>
      </c>
      <c r="N177" s="36">
        <f t="shared" si="99"/>
        <v>3.0927835051546393</v>
      </c>
      <c r="O177" s="33"/>
      <c r="P177" s="36" t="str">
        <f t="shared" si="100"/>
        <v/>
      </c>
      <c r="Q177" s="33"/>
      <c r="R177" s="36" t="str">
        <f t="shared" si="101"/>
        <v/>
      </c>
      <c r="S177" s="33">
        <v>6</v>
      </c>
      <c r="T177" s="36">
        <f t="shared" si="102"/>
        <v>6.1855670103092786</v>
      </c>
      <c r="U177" s="33">
        <v>4</v>
      </c>
      <c r="V177" s="36">
        <f t="shared" si="103"/>
        <v>4.1237113402061851</v>
      </c>
      <c r="W177" s="33"/>
      <c r="X177" s="36" t="str">
        <f t="shared" si="110"/>
        <v/>
      </c>
      <c r="Y177" s="33"/>
      <c r="Z177" s="36" t="str">
        <f t="shared" si="111"/>
        <v/>
      </c>
      <c r="AA177" s="33">
        <v>1</v>
      </c>
      <c r="AB177" s="36">
        <f t="shared" si="87"/>
        <v>1.0309278350515463</v>
      </c>
      <c r="AC177" s="33">
        <v>1</v>
      </c>
      <c r="AD177" s="36">
        <f t="shared" si="88"/>
        <v>1.0309278350515463</v>
      </c>
      <c r="AE177" s="33"/>
      <c r="AF177" s="36" t="str">
        <f t="shared" si="89"/>
        <v/>
      </c>
      <c r="AG177" s="23" t="s">
        <v>390</v>
      </c>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0"/>
      <c r="B178" s="83"/>
      <c r="C178" s="24" t="s">
        <v>85</v>
      </c>
      <c r="D178" s="23" t="s">
        <v>306</v>
      </c>
      <c r="E178" s="23" t="s">
        <v>307</v>
      </c>
      <c r="F178" s="24">
        <v>2009</v>
      </c>
      <c r="H178" s="89">
        <v>68</v>
      </c>
      <c r="I178" s="85" t="s">
        <v>216</v>
      </c>
      <c r="J178" s="32" t="s">
        <v>368</v>
      </c>
      <c r="K178" s="106"/>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IF((ISERROR((W178/$H178)*100)), "", IF(AND(NOT(ISERROR((W178/$H178)*100)),((W178/$H178)*100) &lt;&gt; 0), (W178/$H178)*100, ""))</f>
        <v/>
      </c>
      <c r="Y178" s="33"/>
      <c r="Z178" s="36" t="str">
        <f t="shared" si="111"/>
        <v/>
      </c>
      <c r="AA178" s="33"/>
      <c r="AB178" s="36" t="str">
        <f t="shared" si="87"/>
        <v/>
      </c>
      <c r="AC178" s="33"/>
      <c r="AD178" s="36" t="str">
        <f t="shared" si="88"/>
        <v/>
      </c>
      <c r="AE178" s="33"/>
      <c r="AF178" s="36" t="str">
        <f t="shared" si="89"/>
        <v/>
      </c>
      <c r="AG178" s="23" t="s">
        <v>423</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1"/>
      <c r="B179" s="24"/>
      <c r="C179" s="24" t="s">
        <v>85</v>
      </c>
      <c r="D179" s="23" t="s">
        <v>105</v>
      </c>
      <c r="E179" s="23" t="s">
        <v>106</v>
      </c>
      <c r="F179" s="24">
        <v>1989</v>
      </c>
      <c r="G179" s="24">
        <v>27</v>
      </c>
      <c r="H179" s="89"/>
      <c r="I179" s="85" t="s">
        <v>211</v>
      </c>
      <c r="J179" s="32" t="s">
        <v>179</v>
      </c>
      <c r="K179" s="106"/>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IF((ISERROR((W179/$H179)*100)), "", IF(AND(NOT(ISERROR((W179/$H179)*100)),((W179/$H179)*100) &lt;&gt; 0), (W179/$H179)*100, ""))</f>
        <v/>
      </c>
      <c r="Y179" s="33"/>
      <c r="Z179" s="36" t="str">
        <f t="shared" si="111"/>
        <v/>
      </c>
      <c r="AA179" s="33"/>
      <c r="AB179" s="36" t="str">
        <f t="shared" si="87"/>
        <v/>
      </c>
      <c r="AC179" s="33"/>
      <c r="AD179" s="36" t="str">
        <f t="shared" si="88"/>
        <v/>
      </c>
      <c r="AE179" s="33"/>
      <c r="AF179" s="36" t="str">
        <f t="shared" si="89"/>
        <v/>
      </c>
      <c r="AG179" s="23"/>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1"/>
      <c r="B180" s="83"/>
      <c r="C180" s="24" t="s">
        <v>85</v>
      </c>
      <c r="D180" s="23" t="s">
        <v>308</v>
      </c>
      <c r="E180" s="23" t="s">
        <v>309</v>
      </c>
      <c r="F180" s="24">
        <v>2011</v>
      </c>
      <c r="H180" s="89"/>
      <c r="I180" s="85"/>
      <c r="J180" s="32"/>
      <c r="K180" s="106"/>
      <c r="L180" s="36" t="str">
        <f t="shared" si="98"/>
        <v/>
      </c>
      <c r="M180" s="33"/>
      <c r="N180" s="36" t="str">
        <f t="shared" si="99"/>
        <v/>
      </c>
      <c r="O180" s="33"/>
      <c r="P180" s="36" t="str">
        <f t="shared" si="100"/>
        <v/>
      </c>
      <c r="Q180" s="33"/>
      <c r="R180" s="36" t="str">
        <f t="shared" si="101"/>
        <v/>
      </c>
      <c r="S180" s="33"/>
      <c r="T180" s="36" t="str">
        <f t="shared" si="102"/>
        <v/>
      </c>
      <c r="U180" s="33"/>
      <c r="V180" s="36" t="str">
        <f t="shared" si="103"/>
        <v/>
      </c>
      <c r="W180" s="33"/>
      <c r="X180" s="36" t="str">
        <f>IF((ISERROR((W180/$H180)*100)), "", IF(AND(NOT(ISERROR((W180/$H180)*100)),((W180/$H180)*100) &lt;&gt; 0), (W180/$H180)*100, ""))</f>
        <v/>
      </c>
      <c r="Y180" s="33"/>
      <c r="Z180" s="36" t="str">
        <f t="shared" si="111"/>
        <v/>
      </c>
      <c r="AA180" s="33"/>
      <c r="AB180" s="36" t="str">
        <f t="shared" si="87"/>
        <v/>
      </c>
      <c r="AC180" s="33"/>
      <c r="AD180" s="36" t="str">
        <f t="shared" si="88"/>
        <v/>
      </c>
      <c r="AE180" s="33"/>
      <c r="AF180" s="36" t="str">
        <f t="shared" si="89"/>
        <v/>
      </c>
      <c r="AG180" s="23" t="s">
        <v>369</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1"/>
      <c r="B181" s="82"/>
      <c r="C181" s="24" t="s">
        <v>85</v>
      </c>
      <c r="D181" s="23" t="s">
        <v>310</v>
      </c>
      <c r="E181" s="23" t="s">
        <v>311</v>
      </c>
      <c r="F181" s="24">
        <v>1977</v>
      </c>
      <c r="H181" s="89">
        <v>5</v>
      </c>
      <c r="I181" s="85" t="s">
        <v>370</v>
      </c>
      <c r="J181" s="32"/>
      <c r="K181" s="106"/>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 t="shared" si="110"/>
        <v/>
      </c>
      <c r="Y181" s="33"/>
      <c r="Z181" s="36" t="str">
        <f t="shared" si="111"/>
        <v/>
      </c>
      <c r="AA181" s="33"/>
      <c r="AB181" s="36" t="str">
        <f t="shared" si="87"/>
        <v/>
      </c>
      <c r="AC181" s="33"/>
      <c r="AD181" s="36" t="str">
        <f t="shared" si="88"/>
        <v/>
      </c>
      <c r="AE181" s="33"/>
      <c r="AF181" s="36" t="str">
        <f t="shared" si="89"/>
        <v/>
      </c>
      <c r="AG181" s="23" t="s">
        <v>371</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0"/>
      <c r="B182" s="82"/>
      <c r="C182" s="24" t="s">
        <v>85</v>
      </c>
      <c r="D182" s="23" t="s">
        <v>107</v>
      </c>
      <c r="E182" s="23" t="s">
        <v>108</v>
      </c>
      <c r="F182" s="24">
        <v>2008</v>
      </c>
      <c r="G182" s="24">
        <v>54</v>
      </c>
      <c r="H182" s="89">
        <v>12</v>
      </c>
      <c r="I182" s="85" t="s">
        <v>168</v>
      </c>
      <c r="J182" s="32" t="s">
        <v>212</v>
      </c>
      <c r="K182" s="106"/>
      <c r="L182" s="36" t="str">
        <f t="shared" si="98"/>
        <v/>
      </c>
      <c r="M182" s="33">
        <v>1</v>
      </c>
      <c r="N182" s="36">
        <f t="shared" si="99"/>
        <v>8.3333333333333321</v>
      </c>
      <c r="O182" s="33">
        <v>1</v>
      </c>
      <c r="P182" s="36">
        <f t="shared" si="100"/>
        <v>8.3333333333333321</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t="s">
        <v>424</v>
      </c>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0"/>
      <c r="B183" s="83"/>
      <c r="C183" s="24" t="s">
        <v>85</v>
      </c>
      <c r="D183" s="23" t="s">
        <v>109</v>
      </c>
      <c r="E183" s="23" t="s">
        <v>110</v>
      </c>
      <c r="F183" s="24">
        <v>1999</v>
      </c>
      <c r="G183" s="24">
        <v>76</v>
      </c>
      <c r="H183" s="89">
        <v>7</v>
      </c>
      <c r="I183" s="85" t="s">
        <v>177</v>
      </c>
      <c r="J183" s="32" t="s">
        <v>194</v>
      </c>
      <c r="K183" s="106"/>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IF((ISERROR((W183/$H183)*100)), "", IF(AND(NOT(ISERROR((W183/$H183)*100)),((W183/$H183)*100) &lt;&gt; 0), (W183/$H183)*100, ""))</f>
        <v/>
      </c>
      <c r="Y183" s="33"/>
      <c r="Z183" s="36" t="str">
        <f t="shared" si="111"/>
        <v/>
      </c>
      <c r="AA183" s="33"/>
      <c r="AB183" s="36" t="str">
        <f t="shared" si="87"/>
        <v/>
      </c>
      <c r="AC183" s="33"/>
      <c r="AD183" s="36" t="str">
        <f t="shared" si="88"/>
        <v/>
      </c>
      <c r="AE183" s="33"/>
      <c r="AF183" s="36" t="str">
        <f t="shared" si="89"/>
        <v/>
      </c>
      <c r="AG183" s="23" t="s">
        <v>182</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1"/>
      <c r="B184" s="83"/>
      <c r="C184" s="24" t="s">
        <v>85</v>
      </c>
      <c r="D184" s="23" t="s">
        <v>111</v>
      </c>
      <c r="E184" s="23" t="s">
        <v>112</v>
      </c>
      <c r="F184" s="24">
        <v>2008</v>
      </c>
      <c r="G184" s="24">
        <v>101</v>
      </c>
      <c r="H184" s="89">
        <v>16</v>
      </c>
      <c r="I184" s="85" t="s">
        <v>213</v>
      </c>
      <c r="J184" s="32"/>
      <c r="K184" s="106"/>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IF((ISERROR((W184/$H184)*100)), "", IF(AND(NOT(ISERROR((W184/$H184)*100)),((W184/$H184)*100) &lt;&gt; 0), (W184/$H184)*100, ""))</f>
        <v/>
      </c>
      <c r="Y184" s="33"/>
      <c r="Z184" s="36" t="str">
        <f t="shared" si="111"/>
        <v/>
      </c>
      <c r="AA184" s="33"/>
      <c r="AB184" s="36" t="str">
        <f t="shared" si="87"/>
        <v/>
      </c>
      <c r="AC184" s="33"/>
      <c r="AD184" s="36" t="str">
        <f t="shared" si="88"/>
        <v/>
      </c>
      <c r="AE184" s="33"/>
      <c r="AF184" s="36" t="str">
        <f t="shared" si="89"/>
        <v/>
      </c>
      <c r="AG184" s="23" t="s">
        <v>391</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2"/>
      <c r="C185" s="24" t="s">
        <v>85</v>
      </c>
      <c r="D185" s="23" t="s">
        <v>113</v>
      </c>
      <c r="E185" s="23" t="s">
        <v>114</v>
      </c>
      <c r="F185" s="24">
        <v>1997</v>
      </c>
      <c r="G185" s="24">
        <v>127</v>
      </c>
      <c r="H185" s="89">
        <v>8</v>
      </c>
      <c r="I185" s="85" t="s">
        <v>214</v>
      </c>
      <c r="J185" s="32" t="s">
        <v>215</v>
      </c>
      <c r="K185" s="106"/>
      <c r="L185" s="36" t="str">
        <f t="shared" si="98"/>
        <v/>
      </c>
      <c r="M185" s="33"/>
      <c r="N185" s="36" t="str">
        <f t="shared" si="99"/>
        <v/>
      </c>
      <c r="O185" s="33"/>
      <c r="P185" s="36" t="str">
        <f t="shared" si="100"/>
        <v/>
      </c>
      <c r="Q185" s="33"/>
      <c r="R185" s="36" t="str">
        <f t="shared" si="101"/>
        <v/>
      </c>
      <c r="S185" s="33"/>
      <c r="T185" s="36" t="str">
        <f t="shared" si="102"/>
        <v/>
      </c>
      <c r="U185" s="33"/>
      <c r="V185" s="36" t="str">
        <f t="shared" si="103"/>
        <v/>
      </c>
      <c r="W185" s="33"/>
      <c r="X185" s="36" t="str">
        <f t="shared" si="110"/>
        <v/>
      </c>
      <c r="Y185" s="33"/>
      <c r="Z185" s="36" t="str">
        <f t="shared" si="111"/>
        <v/>
      </c>
      <c r="AA185" s="33"/>
      <c r="AB185" s="36" t="str">
        <f t="shared" si="87"/>
        <v/>
      </c>
      <c r="AC185" s="33"/>
      <c r="AD185" s="36" t="str">
        <f t="shared" si="88"/>
        <v/>
      </c>
      <c r="AE185" s="33"/>
      <c r="AF185" s="36" t="str">
        <f t="shared" si="89"/>
        <v/>
      </c>
      <c r="AG185" s="23" t="s">
        <v>392</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24"/>
      <c r="C186" s="24" t="s">
        <v>85</v>
      </c>
      <c r="D186" s="23" t="s">
        <v>115</v>
      </c>
      <c r="E186" s="23" t="s">
        <v>116</v>
      </c>
      <c r="F186" s="24">
        <v>2001</v>
      </c>
      <c r="G186" s="24">
        <v>143</v>
      </c>
      <c r="H186" s="89">
        <v>6</v>
      </c>
      <c r="I186" s="85" t="s">
        <v>216</v>
      </c>
      <c r="J186" s="32" t="s">
        <v>195</v>
      </c>
      <c r="K186" s="106"/>
      <c r="L186" s="36" t="str">
        <f t="shared" si="98"/>
        <v/>
      </c>
      <c r="M186" s="33"/>
      <c r="N186" s="36" t="str">
        <f t="shared" si="99"/>
        <v/>
      </c>
      <c r="O186" s="33"/>
      <c r="P186" s="36" t="str">
        <f t="shared" si="100"/>
        <v/>
      </c>
      <c r="Q186" s="33"/>
      <c r="R186" s="36" t="str">
        <f t="shared" si="101"/>
        <v/>
      </c>
      <c r="S186" s="33"/>
      <c r="T186" s="36" t="str">
        <f t="shared" si="102"/>
        <v/>
      </c>
      <c r="U186" s="33"/>
      <c r="V186" s="36" t="str">
        <f t="shared" si="103"/>
        <v/>
      </c>
      <c r="W186" s="33"/>
      <c r="X186" s="36" t="str">
        <f t="shared" si="110"/>
        <v/>
      </c>
      <c r="Y186" s="33"/>
      <c r="Z186" s="36" t="str">
        <f t="shared" si="111"/>
        <v/>
      </c>
      <c r="AA186" s="33"/>
      <c r="AB186" s="36" t="str">
        <f t="shared" si="87"/>
        <v/>
      </c>
      <c r="AC186" s="33"/>
      <c r="AD186" s="36" t="str">
        <f t="shared" si="88"/>
        <v/>
      </c>
      <c r="AE186" s="33"/>
      <c r="AF186" s="36" t="str">
        <f t="shared" si="89"/>
        <v/>
      </c>
      <c r="AG186" s="23" t="s">
        <v>217</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0"/>
      <c r="B187" s="82"/>
      <c r="C187" s="24" t="s">
        <v>85</v>
      </c>
      <c r="D187" s="23" t="s">
        <v>119</v>
      </c>
      <c r="E187" s="23" t="s">
        <v>120</v>
      </c>
      <c r="F187" s="24">
        <v>2003</v>
      </c>
      <c r="G187" s="24">
        <v>45</v>
      </c>
      <c r="H187" s="89">
        <v>16</v>
      </c>
      <c r="I187" s="85" t="s">
        <v>177</v>
      </c>
      <c r="J187" s="32" t="s">
        <v>425</v>
      </c>
      <c r="K187" s="106"/>
      <c r="L187" s="36" t="str">
        <f t="shared" ref="L187:L195" si="112">IF((ISERROR((K187/$H187)*100)), "", IF(AND(NOT(ISERROR((K187/$H187)*100)),((K187/$H187)*100) &lt;&gt; 0), (K187/$H187)*100, ""))</f>
        <v/>
      </c>
      <c r="M187" s="33"/>
      <c r="N187" s="36" t="str">
        <f t="shared" ref="N187:N195" si="113">IF((ISERROR((M187/$H187)*100)), "", IF(AND(NOT(ISERROR((M187/$H187)*100)),((M187/$H187)*100) &lt;&gt; 0), (M187/$H187)*100, ""))</f>
        <v/>
      </c>
      <c r="O187" s="33"/>
      <c r="P187" s="36" t="str">
        <f t="shared" ref="P187:P195" si="114">IF((ISERROR((O187/$H187)*100)), "", IF(AND(NOT(ISERROR((O187/$H187)*100)),((O187/$H187)*100) &lt;&gt; 0), (O187/$H187)*100, ""))</f>
        <v/>
      </c>
      <c r="Q187" s="33"/>
      <c r="R187" s="36" t="str">
        <f t="shared" ref="R187:R195" si="115">IF((ISERROR((Q187/$H187)*100)), "", IF(AND(NOT(ISERROR((Q187/$H187)*100)),((Q187/$H187)*100) &lt;&gt; 0), (Q187/$H187)*100, ""))</f>
        <v/>
      </c>
      <c r="S187" s="33"/>
      <c r="T187" s="36" t="str">
        <f t="shared" ref="T187:T195" si="116">IF((ISERROR((S187/$H187)*100)), "", IF(AND(NOT(ISERROR((S187/$H187)*100)),((S187/$H187)*100) &lt;&gt; 0), (S187/$H187)*100, ""))</f>
        <v/>
      </c>
      <c r="U187" s="33"/>
      <c r="V187" s="36" t="str">
        <f t="shared" ref="V187:V195" si="117">IF((ISERROR((U187/$H187)*100)), "", IF(AND(NOT(ISERROR((U187/$H187)*100)),((U187/$H187)*100) &lt;&gt; 0), (U187/$H187)*100, ""))</f>
        <v/>
      </c>
      <c r="W187" s="33"/>
      <c r="X187" s="36" t="str">
        <f>IF((ISERROR((W187/$H187)*100)), "", IF(AND(NOT(ISERROR((W187/$H187)*100)),((W187/$H187)*100) &lt;&gt; 0), (W187/$H187)*100, ""))</f>
        <v/>
      </c>
      <c r="Y187" s="33"/>
      <c r="Z187" s="36" t="str">
        <f t="shared" si="111"/>
        <v/>
      </c>
      <c r="AA187" s="33"/>
      <c r="AB187" s="36" t="str">
        <f t="shared" ref="AB187:AB207" si="118">IF((ISERROR((AA187/$H187)*100)), "", IF(AND(NOT(ISERROR((AA187/$H187)*100)),((AA187/$H187)*100) &lt;&gt; 0), (AA187/$H187)*100, ""))</f>
        <v/>
      </c>
      <c r="AC187" s="33"/>
      <c r="AD187" s="36" t="str">
        <f t="shared" ref="AD187:AD207" si="119">IF((ISERROR((AC187/$H187)*100)), "", IF(AND(NOT(ISERROR((AC187/$H187)*100)),((AC187/$H187)*100) &lt;&gt; 0), (AC187/$H187)*100, ""))</f>
        <v/>
      </c>
      <c r="AE187" s="33"/>
      <c r="AF187" s="36" t="str">
        <f t="shared" ref="AF187:AF207" si="120">IF((ISERROR((AE187/$H187)*100)), "", IF(AND(NOT(ISERROR((AE187/$H187)*100)),((AE187/$H187)*100) &lt;&gt; 0), (AE187/$H187)*100, ""))</f>
        <v/>
      </c>
      <c r="AG187" s="23" t="s">
        <v>413</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3"/>
      <c r="C188" s="24" t="s">
        <v>85</v>
      </c>
      <c r="D188" s="23" t="s">
        <v>121</v>
      </c>
      <c r="E188" s="23" t="s">
        <v>122</v>
      </c>
      <c r="F188" s="24">
        <v>2002</v>
      </c>
      <c r="G188" s="24">
        <v>73</v>
      </c>
      <c r="H188" s="89">
        <v>49</v>
      </c>
      <c r="I188" s="85" t="s">
        <v>200</v>
      </c>
      <c r="J188" s="32"/>
      <c r="K188" s="106"/>
      <c r="L188" s="36" t="str">
        <f t="shared" si="112"/>
        <v/>
      </c>
      <c r="M188" s="33"/>
      <c r="N188" s="36" t="str">
        <f t="shared" si="113"/>
        <v/>
      </c>
      <c r="O188" s="33"/>
      <c r="P188" s="36" t="str">
        <f t="shared" si="114"/>
        <v/>
      </c>
      <c r="Q188" s="33"/>
      <c r="R188" s="36" t="str">
        <f t="shared" si="115"/>
        <v/>
      </c>
      <c r="S188" s="33"/>
      <c r="T188" s="36" t="str">
        <f t="shared" si="116"/>
        <v/>
      </c>
      <c r="U188" s="33"/>
      <c r="V188" s="36" t="str">
        <f t="shared" si="117"/>
        <v/>
      </c>
      <c r="W188" s="33"/>
      <c r="X188" s="36" t="str">
        <f t="shared" ref="X188:X192" si="121">IF((ISERROR((W188/$H188)*100)), "", IF(AND(NOT(ISERROR((W188/$H188)*100)),((W188/$H188)*100) &lt;&gt; 0), (W188/$H188)*100, ""))</f>
        <v/>
      </c>
      <c r="Y188" s="33"/>
      <c r="Z188" s="36" t="str">
        <f t="shared" si="111"/>
        <v/>
      </c>
      <c r="AA188" s="33"/>
      <c r="AB188" s="36" t="str">
        <f t="shared" si="118"/>
        <v/>
      </c>
      <c r="AC188" s="33"/>
      <c r="AD188" s="36" t="str">
        <f t="shared" si="119"/>
        <v/>
      </c>
      <c r="AE188" s="33"/>
      <c r="AF188" s="36" t="str">
        <f t="shared" si="120"/>
        <v/>
      </c>
      <c r="AG188" s="23" t="s">
        <v>182</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82"/>
      <c r="C189" s="24" t="s">
        <v>85</v>
      </c>
      <c r="D189" s="23" t="s">
        <v>312</v>
      </c>
      <c r="E189" s="23" t="s">
        <v>313</v>
      </c>
      <c r="F189" s="24">
        <v>2015</v>
      </c>
      <c r="H189" s="89">
        <v>5</v>
      </c>
      <c r="I189" s="85" t="s">
        <v>213</v>
      </c>
      <c r="J189" s="32" t="s">
        <v>190</v>
      </c>
      <c r="K189" s="106">
        <v>1</v>
      </c>
      <c r="L189" s="36">
        <f t="shared" si="112"/>
        <v>20</v>
      </c>
      <c r="M189" s="33"/>
      <c r="N189" s="36" t="str">
        <f t="shared" si="113"/>
        <v/>
      </c>
      <c r="O189" s="33"/>
      <c r="P189" s="36" t="str">
        <f t="shared" si="114"/>
        <v/>
      </c>
      <c r="Q189" s="33"/>
      <c r="R189" s="36" t="str">
        <f t="shared" si="115"/>
        <v/>
      </c>
      <c r="S189" s="33"/>
      <c r="T189" s="36" t="str">
        <f t="shared" si="116"/>
        <v/>
      </c>
      <c r="U189" s="33"/>
      <c r="V189" s="36" t="str">
        <f t="shared" si="117"/>
        <v/>
      </c>
      <c r="W189" s="33"/>
      <c r="X189" s="36" t="str">
        <f>IF((ISERROR((W189/$H189)*100)), "", IF(AND(NOT(ISERROR((W189/$H189)*100)),((W189/$H189)*100) &lt;&gt; 0), (W189/$H189)*100, ""))</f>
        <v/>
      </c>
      <c r="Y189" s="33"/>
      <c r="Z189" s="36" t="str">
        <f t="shared" si="111"/>
        <v/>
      </c>
      <c r="AA189" s="33"/>
      <c r="AB189" s="36" t="str">
        <f t="shared" si="118"/>
        <v/>
      </c>
      <c r="AC189" s="33"/>
      <c r="AD189" s="36" t="str">
        <f t="shared" si="119"/>
        <v/>
      </c>
      <c r="AE189" s="33"/>
      <c r="AF189" s="36" t="str">
        <f t="shared" si="120"/>
        <v/>
      </c>
      <c r="AG189" s="23" t="s">
        <v>426</v>
      </c>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0"/>
      <c r="B190" s="83"/>
      <c r="C190" s="24" t="s">
        <v>85</v>
      </c>
      <c r="D190" s="23" t="s">
        <v>314</v>
      </c>
      <c r="E190" s="23" t="s">
        <v>315</v>
      </c>
      <c r="F190" s="24">
        <v>2008</v>
      </c>
      <c r="H190" s="89">
        <v>86</v>
      </c>
      <c r="I190" s="85" t="s">
        <v>177</v>
      </c>
      <c r="J190" s="32"/>
      <c r="K190" s="106"/>
      <c r="L190" s="36" t="str">
        <f t="shared" si="112"/>
        <v/>
      </c>
      <c r="M190" s="33"/>
      <c r="N190" s="36" t="str">
        <f t="shared" si="113"/>
        <v/>
      </c>
      <c r="O190" s="33"/>
      <c r="P190" s="36" t="str">
        <f t="shared" si="114"/>
        <v/>
      </c>
      <c r="Q190" s="33"/>
      <c r="R190" s="36" t="str">
        <f t="shared" si="115"/>
        <v/>
      </c>
      <c r="S190" s="33"/>
      <c r="T190" s="36" t="str">
        <f t="shared" si="116"/>
        <v/>
      </c>
      <c r="U190" s="33"/>
      <c r="V190" s="36" t="str">
        <f t="shared" si="117"/>
        <v/>
      </c>
      <c r="W190" s="33"/>
      <c r="X190" s="36" t="str">
        <f>IF((ISERROR((W190/$H190)*100)), "", IF(AND(NOT(ISERROR((W190/$H190)*100)),((W190/$H190)*100) &lt;&gt; 0), (W190/$H190)*100, ""))</f>
        <v/>
      </c>
      <c r="Y190" s="33"/>
      <c r="Z190" s="36" t="str">
        <f t="shared" si="111"/>
        <v/>
      </c>
      <c r="AA190" s="33"/>
      <c r="AB190" s="36" t="str">
        <f t="shared" si="118"/>
        <v/>
      </c>
      <c r="AC190" s="33"/>
      <c r="AD190" s="36" t="str">
        <f t="shared" si="119"/>
        <v/>
      </c>
      <c r="AE190" s="33"/>
      <c r="AF190" s="36" t="str">
        <f t="shared" si="120"/>
        <v/>
      </c>
      <c r="AG190" s="23" t="s">
        <v>372</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0"/>
      <c r="B191" s="83"/>
      <c r="C191" s="24" t="s">
        <v>85</v>
      </c>
      <c r="D191" s="23" t="s">
        <v>316</v>
      </c>
      <c r="E191" s="23" t="s">
        <v>317</v>
      </c>
      <c r="F191" s="24">
        <v>2012</v>
      </c>
      <c r="H191" s="89"/>
      <c r="I191" s="85" t="s">
        <v>373</v>
      </c>
      <c r="J191" s="32" t="s">
        <v>212</v>
      </c>
      <c r="K191" s="106"/>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IF((ISERROR((W191/$H191)*100)), "", IF(AND(NOT(ISERROR((W191/$H191)*100)),((W191/$H191)*100) &lt;&gt; 0), (W191/$H191)*100, ""))</f>
        <v/>
      </c>
      <c r="Y191" s="33"/>
      <c r="Z191" s="36" t="str">
        <f t="shared" ref="Z191:Z193" si="122">IF((ISERROR((Y191/$H191)*100)), "", IF(AND(NOT(ISERROR((Y191/$H191)*100)),((Y191/$H191)*100) &lt;&gt; 0), (Y191/$H191)*100, ""))</f>
        <v/>
      </c>
      <c r="AA191" s="33"/>
      <c r="AB191" s="36" t="str">
        <f t="shared" si="118"/>
        <v/>
      </c>
      <c r="AC191" s="33"/>
      <c r="AD191" s="36" t="str">
        <f t="shared" si="119"/>
        <v/>
      </c>
      <c r="AE191" s="33"/>
      <c r="AF191" s="36" t="str">
        <f t="shared" si="120"/>
        <v/>
      </c>
      <c r="AG191" s="23"/>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1"/>
      <c r="B192" s="24"/>
      <c r="C192" s="50" t="s">
        <v>35</v>
      </c>
      <c r="D192" s="49" t="s">
        <v>123</v>
      </c>
      <c r="E192" s="49" t="s">
        <v>124</v>
      </c>
      <c r="F192" s="50">
        <v>2007</v>
      </c>
      <c r="G192" s="50">
        <v>60</v>
      </c>
      <c r="H192" s="89"/>
      <c r="I192" s="85"/>
      <c r="J192" s="32"/>
      <c r="K192" s="106"/>
      <c r="L192" s="36" t="str">
        <f t="shared" si="112"/>
        <v/>
      </c>
      <c r="M192" s="33"/>
      <c r="N192" s="36" t="str">
        <f t="shared" si="113"/>
        <v/>
      </c>
      <c r="O192" s="33"/>
      <c r="P192" s="36" t="str">
        <f t="shared" si="114"/>
        <v/>
      </c>
      <c r="Q192" s="33"/>
      <c r="R192" s="36" t="str">
        <f t="shared" si="115"/>
        <v/>
      </c>
      <c r="S192" s="33"/>
      <c r="T192" s="36" t="str">
        <f t="shared" si="116"/>
        <v/>
      </c>
      <c r="U192" s="33"/>
      <c r="V192" s="36" t="str">
        <f t="shared" si="117"/>
        <v/>
      </c>
      <c r="W192" s="33"/>
      <c r="X192" s="36" t="str">
        <f t="shared" si="121"/>
        <v/>
      </c>
      <c r="Y192" s="33"/>
      <c r="Z192" s="36" t="str">
        <f t="shared" si="122"/>
        <v/>
      </c>
      <c r="AA192" s="33"/>
      <c r="AB192" s="36" t="str">
        <f t="shared" si="118"/>
        <v/>
      </c>
      <c r="AC192" s="33"/>
      <c r="AD192" s="36" t="str">
        <f t="shared" si="119"/>
        <v/>
      </c>
      <c r="AE192" s="33"/>
      <c r="AF192" s="36" t="str">
        <f t="shared" si="120"/>
        <v/>
      </c>
      <c r="AG192" s="23" t="s">
        <v>394</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1"/>
      <c r="B193" s="24"/>
      <c r="C193" s="24" t="s">
        <v>85</v>
      </c>
      <c r="D193" s="23" t="s">
        <v>127</v>
      </c>
      <c r="E193" s="23" t="s">
        <v>128</v>
      </c>
      <c r="F193" s="24">
        <v>2000</v>
      </c>
      <c r="G193" s="24">
        <v>252</v>
      </c>
      <c r="H193" s="89">
        <v>30</v>
      </c>
      <c r="I193" s="85" t="s">
        <v>220</v>
      </c>
      <c r="J193" s="32" t="s">
        <v>169</v>
      </c>
      <c r="K193" s="106"/>
      <c r="L193" s="36" t="str">
        <f t="shared" si="112"/>
        <v/>
      </c>
      <c r="M193" s="33"/>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22"/>
        <v/>
      </c>
      <c r="AA193" s="33"/>
      <c r="AB193" s="36" t="str">
        <f t="shared" si="118"/>
        <v/>
      </c>
      <c r="AC193" s="33"/>
      <c r="AD193" s="36" t="str">
        <f t="shared" si="119"/>
        <v/>
      </c>
      <c r="AE193" s="33"/>
      <c r="AF193" s="36" t="str">
        <f t="shared" si="120"/>
        <v/>
      </c>
      <c r="AG193" s="23" t="s">
        <v>427</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2"/>
      <c r="C194" s="24" t="s">
        <v>85</v>
      </c>
      <c r="D194" s="23" t="s">
        <v>131</v>
      </c>
      <c r="E194" s="23" t="s">
        <v>132</v>
      </c>
      <c r="F194" s="24">
        <v>1998</v>
      </c>
      <c r="G194" s="24">
        <v>213</v>
      </c>
      <c r="H194" s="89">
        <v>6</v>
      </c>
      <c r="I194" s="85" t="s">
        <v>177</v>
      </c>
      <c r="J194" s="32"/>
      <c r="K194" s="106"/>
      <c r="L194" s="36" t="str">
        <f t="shared" si="112"/>
        <v/>
      </c>
      <c r="M194" s="33"/>
      <c r="N194" s="36" t="str">
        <f t="shared" si="113"/>
        <v/>
      </c>
      <c r="O194" s="33"/>
      <c r="P194" s="36" t="str">
        <f t="shared" si="114"/>
        <v/>
      </c>
      <c r="Q194" s="33"/>
      <c r="R194" s="36" t="str">
        <f t="shared" si="115"/>
        <v/>
      </c>
      <c r="S194" s="33"/>
      <c r="T194" s="36" t="str">
        <f t="shared" si="116"/>
        <v/>
      </c>
      <c r="U194" s="33"/>
      <c r="V194" s="36" t="str">
        <f t="shared" si="117"/>
        <v/>
      </c>
      <c r="W194" s="33"/>
      <c r="X194" s="36" t="str">
        <f t="shared" ref="X194:X198" si="123">IF((ISERROR((W194/$H194)*100)), "", IF(AND(NOT(ISERROR((W194/$H194)*100)),((W194/$H194)*100) &lt;&gt; 0), (W194/$H194)*100, ""))</f>
        <v/>
      </c>
      <c r="Y194" s="33"/>
      <c r="Z194" s="36" t="str">
        <f t="shared" ref="Z194:Z207" si="124">IF((ISERROR((Y194/$H194)*100)), "", IF(AND(NOT(ISERROR((Y194/$H194)*100)),((Y194/$H194)*100) &lt;&gt; 0), (Y194/$H194)*100, ""))</f>
        <v/>
      </c>
      <c r="AA194" s="33"/>
      <c r="AB194" s="36" t="str">
        <f t="shared" si="118"/>
        <v/>
      </c>
      <c r="AC194" s="33"/>
      <c r="AD194" s="36" t="str">
        <f t="shared" si="119"/>
        <v/>
      </c>
      <c r="AE194" s="33"/>
      <c r="AF194" s="36" t="str">
        <f t="shared" si="120"/>
        <v/>
      </c>
      <c r="AG194" s="23" t="s">
        <v>221</v>
      </c>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82"/>
      <c r="C195" s="24" t="s">
        <v>85</v>
      </c>
      <c r="D195" s="23" t="s">
        <v>133</v>
      </c>
      <c r="E195" s="23" t="s">
        <v>134</v>
      </c>
      <c r="F195" s="24">
        <v>2001</v>
      </c>
      <c r="G195" s="24">
        <v>192</v>
      </c>
      <c r="H195" s="89"/>
      <c r="I195" s="85" t="s">
        <v>177</v>
      </c>
      <c r="J195" s="32" t="s">
        <v>169</v>
      </c>
      <c r="K195" s="106"/>
      <c r="L195" s="36" t="str">
        <f t="shared" si="112"/>
        <v/>
      </c>
      <c r="M195" s="33">
        <v>2</v>
      </c>
      <c r="N195" s="36" t="str">
        <f t="shared" si="113"/>
        <v/>
      </c>
      <c r="O195" s="33"/>
      <c r="P195" s="36" t="str">
        <f t="shared" si="114"/>
        <v/>
      </c>
      <c r="Q195" s="33"/>
      <c r="R195" s="36" t="str">
        <f t="shared" si="115"/>
        <v/>
      </c>
      <c r="S195" s="33"/>
      <c r="T195" s="36" t="str">
        <f t="shared" si="116"/>
        <v/>
      </c>
      <c r="U195" s="33"/>
      <c r="V195" s="36" t="str">
        <f t="shared" si="117"/>
        <v/>
      </c>
      <c r="W195" s="33"/>
      <c r="X195" s="36" t="str">
        <f>IF((ISERROR((W195/$H195)*100)), "", IF(AND(NOT(ISERROR((W195/$H195)*100)),((W195/$H195)*100) &lt;&gt; 0), (W195/$H195)*100, ""))</f>
        <v/>
      </c>
      <c r="Y195" s="33"/>
      <c r="Z195" s="36" t="str">
        <f t="shared" si="124"/>
        <v/>
      </c>
      <c r="AA195" s="33"/>
      <c r="AB195" s="36" t="str">
        <f t="shared" si="118"/>
        <v/>
      </c>
      <c r="AC195" s="33"/>
      <c r="AD195" s="36" t="str">
        <f t="shared" si="119"/>
        <v/>
      </c>
      <c r="AE195" s="33"/>
      <c r="AF195" s="36" t="str">
        <f t="shared" si="120"/>
        <v/>
      </c>
      <c r="AG195" s="23" t="s">
        <v>395</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0"/>
      <c r="B196" s="83"/>
      <c r="C196" s="24" t="s">
        <v>85</v>
      </c>
      <c r="D196" s="23" t="s">
        <v>151</v>
      </c>
      <c r="E196" s="23" t="s">
        <v>150</v>
      </c>
      <c r="F196" s="24">
        <v>1999</v>
      </c>
      <c r="G196" s="24">
        <v>9</v>
      </c>
      <c r="H196" s="89">
        <v>30</v>
      </c>
      <c r="I196" s="85" t="s">
        <v>429</v>
      </c>
      <c r="J196" s="32" t="s">
        <v>222</v>
      </c>
      <c r="K196" s="106"/>
      <c r="L196" s="36"/>
      <c r="M196" s="33"/>
      <c r="N196" s="36"/>
      <c r="O196" s="33"/>
      <c r="P196" s="36"/>
      <c r="Q196" s="33"/>
      <c r="R196" s="36"/>
      <c r="S196" s="33"/>
      <c r="T196" s="36"/>
      <c r="U196" s="33"/>
      <c r="V196" s="36"/>
      <c r="W196" s="33"/>
      <c r="X196" s="36"/>
      <c r="Y196" s="33"/>
      <c r="Z196" s="36"/>
      <c r="AA196" s="33"/>
      <c r="AB196" s="36"/>
      <c r="AC196" s="33"/>
      <c r="AD196" s="36"/>
      <c r="AE196" s="33"/>
      <c r="AF196" s="36"/>
      <c r="AG196" s="23" t="s">
        <v>396</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1"/>
      <c r="B197" s="24"/>
      <c r="C197" s="24" t="s">
        <v>85</v>
      </c>
      <c r="D197" s="23" t="s">
        <v>135</v>
      </c>
      <c r="E197" s="23" t="s">
        <v>136</v>
      </c>
      <c r="F197" s="24">
        <v>2007</v>
      </c>
      <c r="G197" s="24">
        <v>240</v>
      </c>
      <c r="H197" s="89"/>
      <c r="I197" s="85" t="s">
        <v>223</v>
      </c>
      <c r="J197" s="32" t="s">
        <v>169</v>
      </c>
      <c r="K197" s="106"/>
      <c r="L197" s="36" t="str">
        <f t="shared" ref="L197:L207" si="125">IF((ISERROR((K197/$H197)*100)), "", IF(AND(NOT(ISERROR((K197/$H197)*100)),((K197/$H197)*100) &lt;&gt; 0), (K197/$H197)*100, ""))</f>
        <v/>
      </c>
      <c r="M197" s="33"/>
      <c r="N197" s="36" t="str">
        <f t="shared" ref="N197:N207" si="126">IF((ISERROR((M197/$H197)*100)), "", IF(AND(NOT(ISERROR((M197/$H197)*100)),((M197/$H197)*100) &lt;&gt; 0), (M197/$H197)*100, ""))</f>
        <v/>
      </c>
      <c r="O197" s="33"/>
      <c r="P197" s="36" t="str">
        <f t="shared" ref="P197:P207" si="127">IF((ISERROR((O197/$H197)*100)), "", IF(AND(NOT(ISERROR((O197/$H197)*100)),((O197/$H197)*100) &lt;&gt; 0), (O197/$H197)*100, ""))</f>
        <v/>
      </c>
      <c r="Q197" s="33"/>
      <c r="R197" s="36" t="str">
        <f t="shared" ref="R197:R207" si="128">IF((ISERROR((Q197/$H197)*100)), "", IF(AND(NOT(ISERROR((Q197/$H197)*100)),((Q197/$H197)*100) &lt;&gt; 0), (Q197/$H197)*100, ""))</f>
        <v/>
      </c>
      <c r="S197" s="33"/>
      <c r="T197" s="36" t="str">
        <f t="shared" ref="T197:T207" si="129">IF((ISERROR((S197/$H197)*100)), "", IF(AND(NOT(ISERROR((S197/$H197)*100)),((S197/$H197)*100) &lt;&gt; 0), (S197/$H197)*100, ""))</f>
        <v/>
      </c>
      <c r="U197" s="33"/>
      <c r="V197" s="36" t="str">
        <f t="shared" ref="V197:V207" si="130">IF((ISERROR((U197/$H197)*100)), "", IF(AND(NOT(ISERROR((U197/$H197)*100)),((U197/$H197)*100) &lt;&gt; 0), (U197/$H197)*100, ""))</f>
        <v/>
      </c>
      <c r="W197" s="33"/>
      <c r="X197" s="36" t="str">
        <f>IF((ISERROR((W197/$H197)*100)), "", IF(AND(NOT(ISERROR((W197/$H197)*100)),((W197/$H197)*100) &lt;&gt; 0), (W197/$H197)*100, ""))</f>
        <v/>
      </c>
      <c r="Y197" s="33"/>
      <c r="Z197" s="36" t="str">
        <f t="shared" si="124"/>
        <v/>
      </c>
      <c r="AA197" s="33"/>
      <c r="AB197" s="36" t="str">
        <f t="shared" si="118"/>
        <v/>
      </c>
      <c r="AC197" s="33"/>
      <c r="AD197" s="36" t="str">
        <f t="shared" si="119"/>
        <v/>
      </c>
      <c r="AE197" s="33"/>
      <c r="AF197" s="36" t="str">
        <f t="shared" si="120"/>
        <v/>
      </c>
      <c r="AG197" s="23" t="s">
        <v>224</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2"/>
      <c r="C198" s="24" t="s">
        <v>85</v>
      </c>
      <c r="D198" s="23" t="s">
        <v>137</v>
      </c>
      <c r="E198" s="23" t="s">
        <v>138</v>
      </c>
      <c r="F198" s="24">
        <v>2011</v>
      </c>
      <c r="G198" s="24">
        <v>42</v>
      </c>
      <c r="H198" s="89">
        <v>51</v>
      </c>
      <c r="I198" s="85" t="s">
        <v>225</v>
      </c>
      <c r="J198" s="32" t="s">
        <v>226</v>
      </c>
      <c r="K198" s="106"/>
      <c r="L198" s="36" t="str">
        <f t="shared" si="125"/>
        <v/>
      </c>
      <c r="M198" s="38">
        <v>21</v>
      </c>
      <c r="N198" s="39">
        <f t="shared" si="126"/>
        <v>41.17647058823529</v>
      </c>
      <c r="O198" s="33"/>
      <c r="P198" s="36" t="str">
        <f t="shared" si="127"/>
        <v/>
      </c>
      <c r="Q198" s="33"/>
      <c r="R198" s="36" t="str">
        <f t="shared" si="128"/>
        <v/>
      </c>
      <c r="S198" s="33"/>
      <c r="T198" s="36" t="str">
        <f t="shared" si="129"/>
        <v/>
      </c>
      <c r="U198" s="33"/>
      <c r="V198" s="36" t="str">
        <f t="shared" si="130"/>
        <v/>
      </c>
      <c r="W198" s="33"/>
      <c r="X198" s="36" t="str">
        <f t="shared" si="123"/>
        <v/>
      </c>
      <c r="Y198" s="38">
        <v>1</v>
      </c>
      <c r="Z198" s="39">
        <f t="shared" si="124"/>
        <v>1.9607843137254901</v>
      </c>
      <c r="AA198" s="33"/>
      <c r="AB198" s="36" t="str">
        <f t="shared" si="118"/>
        <v/>
      </c>
      <c r="AC198" s="33"/>
      <c r="AD198" s="36" t="str">
        <f t="shared" si="119"/>
        <v/>
      </c>
      <c r="AE198" s="33"/>
      <c r="AF198" s="36" t="str">
        <f t="shared" si="120"/>
        <v/>
      </c>
      <c r="AG198" s="23" t="s">
        <v>397</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2"/>
      <c r="C199" s="24" t="s">
        <v>85</v>
      </c>
      <c r="D199" s="23" t="s">
        <v>318</v>
      </c>
      <c r="E199" s="23" t="s">
        <v>319</v>
      </c>
      <c r="F199" s="24">
        <v>2010</v>
      </c>
      <c r="H199" s="89">
        <v>53</v>
      </c>
      <c r="I199" s="112" t="s">
        <v>374</v>
      </c>
      <c r="J199" s="32" t="s">
        <v>414</v>
      </c>
      <c r="K199" s="106"/>
      <c r="L199" s="36" t="str">
        <f t="shared" si="125"/>
        <v/>
      </c>
      <c r="M199" s="33">
        <v>2</v>
      </c>
      <c r="N199" s="36">
        <f t="shared" si="126"/>
        <v>3.7735849056603774</v>
      </c>
      <c r="O199" s="33"/>
      <c r="P199" s="36" t="str">
        <f t="shared" si="127"/>
        <v/>
      </c>
      <c r="Q199" s="33">
        <v>3</v>
      </c>
      <c r="R199" s="36">
        <f t="shared" si="128"/>
        <v>5.6603773584905666</v>
      </c>
      <c r="S199" s="33"/>
      <c r="T199" s="36" t="str">
        <f t="shared" si="129"/>
        <v/>
      </c>
      <c r="U199" s="33">
        <v>9</v>
      </c>
      <c r="V199" s="36">
        <f t="shared" si="130"/>
        <v>16.981132075471699</v>
      </c>
      <c r="W199" s="33"/>
      <c r="X199" s="36" t="str">
        <f>IF((ISERROR((W199/$H199)*100)), "", IF(AND(NOT(ISERROR((W199/$H199)*100)),((W199/$H199)*100) &lt;&gt; 0), (W199/$H199)*100, ""))</f>
        <v/>
      </c>
      <c r="Y199" s="33">
        <v>2</v>
      </c>
      <c r="Z199" s="36">
        <f t="shared" si="124"/>
        <v>3.7735849056603774</v>
      </c>
      <c r="AA199" s="33"/>
      <c r="AB199" s="36" t="str">
        <f t="shared" si="118"/>
        <v/>
      </c>
      <c r="AC199" s="33"/>
      <c r="AD199" s="36" t="str">
        <f t="shared" si="119"/>
        <v/>
      </c>
      <c r="AE199" s="33"/>
      <c r="AF199" s="36" t="str">
        <f t="shared" si="120"/>
        <v/>
      </c>
      <c r="AG199" s="23" t="s">
        <v>375</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2"/>
      <c r="C200" s="24" t="s">
        <v>85</v>
      </c>
      <c r="D200" s="23" t="s">
        <v>320</v>
      </c>
      <c r="E200" s="23" t="s">
        <v>321</v>
      </c>
      <c r="F200" s="24">
        <v>2014</v>
      </c>
      <c r="H200" s="89">
        <v>39</v>
      </c>
      <c r="I200" s="85" t="s">
        <v>213</v>
      </c>
      <c r="J200" s="32" t="s">
        <v>376</v>
      </c>
      <c r="K200" s="106"/>
      <c r="L200" s="36" t="str">
        <f t="shared" si="125"/>
        <v/>
      </c>
      <c r="M200" s="33"/>
      <c r="N200" s="36" t="str">
        <f t="shared" si="126"/>
        <v/>
      </c>
      <c r="O200" s="33"/>
      <c r="P200" s="36" t="str">
        <f t="shared" si="127"/>
        <v/>
      </c>
      <c r="Q200" s="33"/>
      <c r="R200" s="36" t="str">
        <f t="shared" si="128"/>
        <v/>
      </c>
      <c r="S200" s="33"/>
      <c r="T200" s="36" t="str">
        <f t="shared" si="129"/>
        <v/>
      </c>
      <c r="U200" s="33"/>
      <c r="V200" s="36" t="str">
        <f t="shared" si="130"/>
        <v/>
      </c>
      <c r="W200" s="33">
        <v>1</v>
      </c>
      <c r="X200" s="36">
        <f>IF((ISERROR((W200/$H200)*100)), "", IF(AND(NOT(ISERROR((W200/$H200)*100)),((W200/$H200)*100) &lt;&gt; 0), (W200/$H200)*100, ""))</f>
        <v>2.5641025641025639</v>
      </c>
      <c r="Y200" s="33"/>
      <c r="Z200" s="36" t="str">
        <f t="shared" si="124"/>
        <v/>
      </c>
      <c r="AA200" s="33"/>
      <c r="AB200" s="36" t="str">
        <f t="shared" si="118"/>
        <v/>
      </c>
      <c r="AC200" s="33"/>
      <c r="AD200" s="36" t="str">
        <f t="shared" si="119"/>
        <v/>
      </c>
      <c r="AE200" s="33"/>
      <c r="AF200" s="36" t="str">
        <f t="shared" si="120"/>
        <v/>
      </c>
      <c r="AG200" s="23" t="s">
        <v>415</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2"/>
      <c r="C201" s="24" t="s">
        <v>85</v>
      </c>
      <c r="D201" s="23" t="s">
        <v>322</v>
      </c>
      <c r="E201" s="23" t="s">
        <v>323</v>
      </c>
      <c r="F201" s="24">
        <v>2010</v>
      </c>
      <c r="H201" s="89">
        <v>789</v>
      </c>
      <c r="I201" s="85" t="s">
        <v>213</v>
      </c>
      <c r="J201" s="32" t="s">
        <v>378</v>
      </c>
      <c r="K201" s="106">
        <v>43</v>
      </c>
      <c r="L201" s="36">
        <f t="shared" si="125"/>
        <v>5.4499366286438535</v>
      </c>
      <c r="M201" s="33"/>
      <c r="N201" s="36" t="str">
        <f t="shared" si="126"/>
        <v/>
      </c>
      <c r="O201" s="33"/>
      <c r="P201" s="36" t="str">
        <f t="shared" si="127"/>
        <v/>
      </c>
      <c r="Q201" s="33"/>
      <c r="R201" s="36" t="str">
        <f t="shared" si="128"/>
        <v/>
      </c>
      <c r="S201" s="33"/>
      <c r="T201" s="36" t="str">
        <f t="shared" si="129"/>
        <v/>
      </c>
      <c r="U201" s="33"/>
      <c r="V201" s="36" t="str">
        <f t="shared" si="130"/>
        <v/>
      </c>
      <c r="W201" s="33"/>
      <c r="X201" s="36" t="str">
        <f>IF((ISERROR((W201/$H201)*100)), "", IF(AND(NOT(ISERROR((W201/$H201)*100)),((W201/$H201)*100) &lt;&gt; 0), (W201/$H201)*100, ""))</f>
        <v/>
      </c>
      <c r="Y201" s="33"/>
      <c r="Z201" s="36" t="str">
        <f t="shared" si="124"/>
        <v/>
      </c>
      <c r="AA201" s="33"/>
      <c r="AB201" s="36" t="str">
        <f t="shared" si="118"/>
        <v/>
      </c>
      <c r="AC201" s="33"/>
      <c r="AD201" s="36" t="str">
        <f t="shared" si="119"/>
        <v/>
      </c>
      <c r="AE201" s="33"/>
      <c r="AF201" s="36" t="str">
        <f t="shared" si="120"/>
        <v/>
      </c>
      <c r="AG201" s="23" t="s">
        <v>377</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0"/>
      <c r="B202" s="83"/>
      <c r="C202" s="80" t="s">
        <v>382</v>
      </c>
      <c r="D202" s="23" t="s">
        <v>324</v>
      </c>
      <c r="E202" s="23" t="s">
        <v>325</v>
      </c>
      <c r="F202" s="24">
        <v>2016</v>
      </c>
      <c r="H202" s="89">
        <v>16</v>
      </c>
      <c r="I202" s="85" t="s">
        <v>380</v>
      </c>
      <c r="J202" s="79" t="s">
        <v>381</v>
      </c>
      <c r="K202" s="106"/>
      <c r="L202" s="36" t="str">
        <f t="shared" si="125"/>
        <v/>
      </c>
      <c r="M202" s="33"/>
      <c r="N202" s="36" t="str">
        <f t="shared" si="126"/>
        <v/>
      </c>
      <c r="O202" s="33"/>
      <c r="P202" s="36" t="str">
        <f t="shared" si="127"/>
        <v/>
      </c>
      <c r="Q202" s="33"/>
      <c r="R202" s="36" t="str">
        <f t="shared" si="128"/>
        <v/>
      </c>
      <c r="S202" s="33"/>
      <c r="T202" s="36" t="str">
        <f t="shared" si="129"/>
        <v/>
      </c>
      <c r="U202" s="33"/>
      <c r="V202" s="36" t="str">
        <f t="shared" si="130"/>
        <v/>
      </c>
      <c r="W202" s="33"/>
      <c r="X202" s="36" t="str">
        <f t="shared" ref="X202:X204" si="131">IF((ISERROR((W202/$H202)*100)), "", IF(AND(NOT(ISERROR((W202/$H202)*100)),((W202/$H202)*100) &lt;&gt; 0), (W202/$H202)*100, ""))</f>
        <v/>
      </c>
      <c r="Y202" s="33"/>
      <c r="Z202" s="36" t="str">
        <f t="shared" si="124"/>
        <v/>
      </c>
      <c r="AA202" s="33"/>
      <c r="AB202" s="36" t="str">
        <f t="shared" si="118"/>
        <v/>
      </c>
      <c r="AC202" s="33"/>
      <c r="AD202" s="36" t="str">
        <f t="shared" si="119"/>
        <v/>
      </c>
      <c r="AE202" s="33"/>
      <c r="AF202" s="36" t="str">
        <f t="shared" si="120"/>
        <v/>
      </c>
      <c r="AG202" s="23" t="s">
        <v>383</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0"/>
      <c r="B203" s="82"/>
      <c r="C203" s="81" t="s">
        <v>384</v>
      </c>
      <c r="D203" s="49" t="s">
        <v>139</v>
      </c>
      <c r="E203" s="49" t="s">
        <v>140</v>
      </c>
      <c r="F203" s="50">
        <v>2005</v>
      </c>
      <c r="G203" s="50">
        <v>21</v>
      </c>
      <c r="H203" s="89"/>
      <c r="I203" s="85" t="s">
        <v>228</v>
      </c>
      <c r="J203" s="32"/>
      <c r="K203" s="106"/>
      <c r="L203" s="36" t="str">
        <f t="shared" si="125"/>
        <v/>
      </c>
      <c r="M203" s="33"/>
      <c r="N203" s="36" t="str">
        <f t="shared" si="126"/>
        <v/>
      </c>
      <c r="O203" s="33"/>
      <c r="P203" s="36" t="str">
        <f t="shared" si="127"/>
        <v/>
      </c>
      <c r="Q203" s="33"/>
      <c r="R203" s="36" t="str">
        <f t="shared" si="128"/>
        <v/>
      </c>
      <c r="S203" s="33"/>
      <c r="T203" s="36" t="str">
        <f t="shared" si="129"/>
        <v/>
      </c>
      <c r="U203" s="33"/>
      <c r="V203" s="36" t="str">
        <f t="shared" si="130"/>
        <v/>
      </c>
      <c r="W203" s="33"/>
      <c r="X203" s="36" t="str">
        <f t="shared" si="131"/>
        <v/>
      </c>
      <c r="Y203" s="33"/>
      <c r="Z203" s="36" t="str">
        <f t="shared" si="124"/>
        <v/>
      </c>
      <c r="AA203" s="33"/>
      <c r="AB203" s="36" t="str">
        <f t="shared" si="118"/>
        <v/>
      </c>
      <c r="AC203" s="38">
        <v>5</v>
      </c>
      <c r="AD203" s="39" t="str">
        <f t="shared" si="119"/>
        <v/>
      </c>
      <c r="AE203" s="33"/>
      <c r="AF203" s="36" t="str">
        <f t="shared" si="120"/>
        <v/>
      </c>
      <c r="AG203" s="23" t="s">
        <v>229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1"/>
      <c r="B204" s="24"/>
      <c r="C204" s="24" t="s">
        <v>35</v>
      </c>
      <c r="D204" s="23" t="s">
        <v>141</v>
      </c>
      <c r="E204" s="23" t="s">
        <v>142</v>
      </c>
      <c r="F204" s="24">
        <v>2015</v>
      </c>
      <c r="G204" s="24">
        <v>1</v>
      </c>
      <c r="H204" s="89">
        <v>119</v>
      </c>
      <c r="I204" s="85"/>
      <c r="J204" s="32"/>
      <c r="K204" s="106"/>
      <c r="L204" s="36" t="str">
        <f t="shared" si="125"/>
        <v/>
      </c>
      <c r="M204" s="33"/>
      <c r="N204" s="36" t="str">
        <f t="shared" si="126"/>
        <v/>
      </c>
      <c r="O204" s="33"/>
      <c r="P204" s="36" t="str">
        <f t="shared" si="127"/>
        <v/>
      </c>
      <c r="Q204" s="33"/>
      <c r="R204" s="36" t="str">
        <f t="shared" si="128"/>
        <v/>
      </c>
      <c r="S204" s="33"/>
      <c r="T204" s="36" t="str">
        <f t="shared" si="129"/>
        <v/>
      </c>
      <c r="U204" s="33"/>
      <c r="V204" s="36" t="str">
        <f t="shared" si="130"/>
        <v/>
      </c>
      <c r="W204" s="33"/>
      <c r="X204" s="36" t="str">
        <f t="shared" si="131"/>
        <v/>
      </c>
      <c r="Y204" s="33"/>
      <c r="Z204" s="36" t="str">
        <f t="shared" si="124"/>
        <v/>
      </c>
      <c r="AA204" s="33"/>
      <c r="AB204" s="36" t="str">
        <f t="shared" si="118"/>
        <v/>
      </c>
      <c r="AC204" s="33"/>
      <c r="AD204" s="36" t="str">
        <f t="shared" si="119"/>
        <v/>
      </c>
      <c r="AE204" s="33"/>
      <c r="AF204" s="36" t="str">
        <f t="shared" si="120"/>
        <v/>
      </c>
      <c r="AG204" s="23" t="s">
        <v>230</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x14ac:dyDescent="0.2">
      <c r="A205" s="61"/>
      <c r="B205" s="24"/>
      <c r="C205" s="24" t="s">
        <v>85</v>
      </c>
      <c r="D205" s="23" t="s">
        <v>143</v>
      </c>
      <c r="E205" s="23" t="s">
        <v>144</v>
      </c>
      <c r="F205" s="24">
        <v>2008</v>
      </c>
      <c r="G205" s="24">
        <v>156</v>
      </c>
      <c r="H205" s="89">
        <v>50</v>
      </c>
      <c r="I205" s="85" t="s">
        <v>177</v>
      </c>
      <c r="J205" s="32"/>
      <c r="K205" s="106"/>
      <c r="L205" s="36" t="str">
        <f t="shared" si="125"/>
        <v/>
      </c>
      <c r="M205" s="33"/>
      <c r="N205" s="36" t="str">
        <f t="shared" si="126"/>
        <v/>
      </c>
      <c r="O205" s="33"/>
      <c r="P205" s="36" t="str">
        <f t="shared" si="127"/>
        <v/>
      </c>
      <c r="Q205" s="33"/>
      <c r="R205" s="36" t="str">
        <f t="shared" si="128"/>
        <v/>
      </c>
      <c r="S205" s="33"/>
      <c r="T205" s="36" t="str">
        <f t="shared" si="129"/>
        <v/>
      </c>
      <c r="U205" s="33"/>
      <c r="V205" s="36" t="str">
        <f t="shared" si="130"/>
        <v/>
      </c>
      <c r="W205" s="33"/>
      <c r="X205" s="36" t="str">
        <f>IF((ISERROR((W205/$H205)*100)), "", IF(AND(NOT(ISERROR((W205/$H205)*100)),((W205/$H205)*100) &lt;&gt; 0), (W205/$H205)*100, ""))</f>
        <v/>
      </c>
      <c r="Y205" s="33"/>
      <c r="Z205" s="36" t="str">
        <f t="shared" si="124"/>
        <v/>
      </c>
      <c r="AA205" s="33"/>
      <c r="AB205" s="36" t="str">
        <f t="shared" si="118"/>
        <v/>
      </c>
      <c r="AC205" s="33"/>
      <c r="AD205" s="36" t="str">
        <f t="shared" si="119"/>
        <v/>
      </c>
      <c r="AE205" s="33"/>
      <c r="AF205" s="36" t="str">
        <f t="shared" si="120"/>
        <v/>
      </c>
      <c r="AG205" s="23" t="s">
        <v>231</v>
      </c>
      <c r="AH205" s="23"/>
      <c r="AI205" s="23"/>
      <c r="AJ205" s="23"/>
      <c r="AK205" s="23"/>
      <c r="AL205" s="23"/>
      <c r="AM205" s="23"/>
      <c r="AN205" s="23"/>
      <c r="AO205" s="23"/>
      <c r="AP205" s="23"/>
      <c r="AQ205" s="23"/>
      <c r="AR205" s="23"/>
      <c r="AS205" s="23"/>
      <c r="AT205" s="23"/>
      <c r="AU205" s="23"/>
      <c r="AV205" s="23"/>
      <c r="AW205" s="23"/>
      <c r="AX205" s="23"/>
      <c r="AY205" s="23"/>
      <c r="AZ205" s="23"/>
    </row>
    <row r="206" spans="1:52" ht="20" customHeight="1" x14ac:dyDescent="0.2">
      <c r="A206" s="60"/>
      <c r="B206" s="83"/>
      <c r="C206" s="24" t="s">
        <v>85</v>
      </c>
      <c r="D206" s="23" t="s">
        <v>326</v>
      </c>
      <c r="E206" s="23" t="s">
        <v>327</v>
      </c>
      <c r="F206" s="24">
        <v>2009</v>
      </c>
      <c r="H206" s="89">
        <v>12</v>
      </c>
      <c r="I206" s="85" t="s">
        <v>216</v>
      </c>
      <c r="J206" s="32" t="s">
        <v>194</v>
      </c>
      <c r="K206" s="108"/>
      <c r="L206" s="74" t="str">
        <f t="shared" si="125"/>
        <v/>
      </c>
      <c r="M206" s="73"/>
      <c r="N206" s="74" t="str">
        <f t="shared" si="126"/>
        <v/>
      </c>
      <c r="O206" s="73"/>
      <c r="P206" s="74" t="str">
        <f t="shared" si="127"/>
        <v/>
      </c>
      <c r="Q206" s="73"/>
      <c r="R206" s="74" t="str">
        <f t="shared" si="128"/>
        <v/>
      </c>
      <c r="S206" s="73"/>
      <c r="T206" s="74" t="str">
        <f t="shared" si="129"/>
        <v/>
      </c>
      <c r="U206" s="73"/>
      <c r="V206" s="74" t="str">
        <f t="shared" si="130"/>
        <v/>
      </c>
      <c r="W206" s="73"/>
      <c r="X206" s="74" t="str">
        <f>IF((ISERROR((W206/$H206)*100)), "", IF(AND(NOT(ISERROR((W206/$H206)*100)),((W206/$H206)*100) &lt;&gt; 0), (W206/$H206)*100, ""))</f>
        <v/>
      </c>
      <c r="Y206" s="73"/>
      <c r="Z206" s="74" t="str">
        <f t="shared" si="124"/>
        <v/>
      </c>
      <c r="AA206" s="73"/>
      <c r="AB206" s="74" t="str">
        <f t="shared" si="118"/>
        <v/>
      </c>
      <c r="AC206" s="73"/>
      <c r="AD206" s="74" t="str">
        <f t="shared" si="119"/>
        <v/>
      </c>
      <c r="AE206" s="73"/>
      <c r="AF206" s="74" t="str">
        <f t="shared" si="120"/>
        <v/>
      </c>
      <c r="AG206" s="23" t="s">
        <v>181</v>
      </c>
      <c r="AH206" s="23"/>
      <c r="AI206" s="23"/>
      <c r="AJ206" s="23"/>
      <c r="AK206" s="23"/>
      <c r="AL206" s="23"/>
      <c r="AM206" s="23"/>
      <c r="AN206" s="23"/>
      <c r="AO206" s="23"/>
      <c r="AP206" s="23"/>
      <c r="AQ206" s="23"/>
      <c r="AR206" s="23"/>
      <c r="AS206" s="23"/>
      <c r="AT206" s="23"/>
      <c r="AU206" s="23"/>
      <c r="AV206" s="23"/>
      <c r="AW206" s="23"/>
      <c r="AX206" s="23"/>
      <c r="AY206" s="23"/>
      <c r="AZ206" s="23"/>
    </row>
    <row r="207" spans="1:52" ht="20" customHeight="1" thickBot="1" x14ac:dyDescent="0.25">
      <c r="A207" s="61"/>
      <c r="B207" s="24"/>
      <c r="C207" s="24" t="s">
        <v>85</v>
      </c>
      <c r="D207" s="23" t="s">
        <v>147</v>
      </c>
      <c r="E207" s="23" t="s">
        <v>148</v>
      </c>
      <c r="F207" s="24">
        <v>2011</v>
      </c>
      <c r="G207" s="24">
        <v>112</v>
      </c>
      <c r="H207" s="90">
        <v>22</v>
      </c>
      <c r="I207" s="87" t="s">
        <v>220</v>
      </c>
      <c r="J207" s="114" t="s">
        <v>195</v>
      </c>
      <c r="K207" s="109"/>
      <c r="L207" s="37" t="str">
        <f t="shared" si="125"/>
        <v/>
      </c>
      <c r="M207" s="34"/>
      <c r="N207" s="37" t="str">
        <f t="shared" si="126"/>
        <v/>
      </c>
      <c r="O207" s="34"/>
      <c r="P207" s="37" t="str">
        <f t="shared" si="127"/>
        <v/>
      </c>
      <c r="Q207" s="34"/>
      <c r="R207" s="37" t="str">
        <f t="shared" si="128"/>
        <v/>
      </c>
      <c r="S207" s="34"/>
      <c r="T207" s="37" t="str">
        <f t="shared" si="129"/>
        <v/>
      </c>
      <c r="U207" s="34"/>
      <c r="V207" s="37" t="str">
        <f t="shared" si="130"/>
        <v/>
      </c>
      <c r="W207" s="34"/>
      <c r="X207" s="37" t="str">
        <f>IF((ISERROR((W207/$H207)*100)), "", IF(AND(NOT(ISERROR((W207/$H207)*100)),((W207/$H207)*100) &lt;&gt; 0), (W207/$H207)*100, ""))</f>
        <v/>
      </c>
      <c r="Y207" s="34"/>
      <c r="Z207" s="37" t="str">
        <f t="shared" si="124"/>
        <v/>
      </c>
      <c r="AA207" s="34"/>
      <c r="AB207" s="37" t="str">
        <f t="shared" si="118"/>
        <v/>
      </c>
      <c r="AC207" s="34"/>
      <c r="AD207" s="37" t="str">
        <f t="shared" si="119"/>
        <v/>
      </c>
      <c r="AE207" s="34"/>
      <c r="AF207" s="37" t="str">
        <f t="shared" si="120"/>
        <v/>
      </c>
      <c r="AG207" s="23" t="s">
        <v>233</v>
      </c>
      <c r="AH207" s="23"/>
      <c r="AI207" s="23"/>
      <c r="AJ207" s="23"/>
      <c r="AK207" s="23"/>
      <c r="AL207" s="23"/>
      <c r="AM207" s="23"/>
      <c r="AN207" s="23"/>
      <c r="AO207" s="23"/>
      <c r="AP207" s="23"/>
      <c r="AQ207" s="23"/>
      <c r="AR207" s="23"/>
      <c r="AS207" s="23"/>
      <c r="AT207" s="23"/>
      <c r="AU207" s="23"/>
      <c r="AV207" s="23"/>
      <c r="AW207" s="23"/>
      <c r="AX207" s="23"/>
      <c r="AY207" s="23"/>
      <c r="AZ207" s="23"/>
    </row>
    <row r="208" spans="1:52" x14ac:dyDescent="0.2">
      <c r="AG208" s="23"/>
      <c r="AH208" s="23"/>
      <c r="AI208" s="23"/>
      <c r="AJ208" s="23"/>
      <c r="AK208" s="23"/>
      <c r="AL208" s="23"/>
      <c r="AM208" s="23"/>
      <c r="AN208" s="23"/>
      <c r="AO208" s="23"/>
      <c r="AP208" s="23"/>
      <c r="AQ208" s="23"/>
      <c r="AR208" s="23"/>
      <c r="AS208" s="23"/>
      <c r="AT208" s="23"/>
      <c r="AU208" s="23"/>
      <c r="AV208" s="23"/>
      <c r="AW208" s="23"/>
      <c r="AX208" s="23"/>
      <c r="AY208" s="23"/>
      <c r="AZ208" s="23"/>
    </row>
    <row r="209" spans="1:52" ht="17" thickBot="1" x14ac:dyDescent="0.25">
      <c r="AG209" s="23"/>
      <c r="AH209" s="23"/>
      <c r="AI209" s="23"/>
      <c r="AJ209" s="23"/>
      <c r="AK209" s="23"/>
      <c r="AL209" s="23"/>
      <c r="AM209" s="23"/>
      <c r="AN209" s="23"/>
      <c r="AO209" s="23"/>
      <c r="AP209" s="23"/>
      <c r="AQ209" s="23"/>
      <c r="AR209" s="23"/>
      <c r="AS209" s="23"/>
      <c r="AT209" s="23"/>
      <c r="AU209" s="23"/>
      <c r="AV209" s="23"/>
      <c r="AW209" s="23"/>
      <c r="AX209" s="23"/>
      <c r="AY209" s="23"/>
      <c r="AZ209" s="23"/>
    </row>
    <row r="210" spans="1:52" x14ac:dyDescent="0.2">
      <c r="A210" s="22"/>
      <c r="B210" s="22"/>
      <c r="C210" s="41"/>
      <c r="D210" s="22"/>
      <c r="E210" s="22"/>
      <c r="G210" s="43" t="s">
        <v>246</v>
      </c>
      <c r="H210" s="44">
        <f>SUM(H123:H207)</f>
        <v>3216</v>
      </c>
      <c r="I210" s="45" t="s">
        <v>244</v>
      </c>
      <c r="J210" s="46" t="s">
        <v>243</v>
      </c>
      <c r="K210" s="51">
        <f>IF((SUM(K123:K207)&lt;&gt;0), SUMIF($H123:$H207, "&gt;0", K123:K207), "")</f>
        <v>90</v>
      </c>
      <c r="L210" s="52">
        <f>IF(ISERROR((K210/$H210)*100), "", IF(((K210/$H210)*100) &lt;&gt; 0, (K210/$H210)*100, ""))</f>
        <v>2.7985074626865671</v>
      </c>
      <c r="M210" s="51">
        <f>IF((SUM(M123:M207)&lt;&gt;0), SUMIF($H123:$H207, "&gt;0", M123:M207), "")</f>
        <v>55</v>
      </c>
      <c r="N210" s="52">
        <f>IF(ISERROR((M210/$H210)*100), "", IF(((M210/$H210)*100) &lt;&gt; 0, (M210/$H210)*100, ""))</f>
        <v>1.7101990049751241</v>
      </c>
      <c r="O210" s="51">
        <f>IF((SUM(O123:O207)&lt;&gt;0), SUMIF($H123:$H207, "&gt;0", O123:O207), "")</f>
        <v>2</v>
      </c>
      <c r="P210" s="52">
        <f>IF(ISERROR((O210/$H210)*100), "", IF(((O210/$H210)*100) &lt;&gt; 0, (O210/$H210)*100, ""))</f>
        <v>6.2189054726368161E-2</v>
      </c>
      <c r="Q210" s="51">
        <f>IF((SUM(Q123:Q207)&lt;&gt;0), SUMIF($H123:$H207, "&gt;0", Q123:Q207), "")</f>
        <v>4</v>
      </c>
      <c r="R210" s="52">
        <f>IF(ISERROR((Q210/$H210)*100), "", IF(((Q210/$H210)*100) &lt;&gt; 0, (Q210/$H210)*100, ""))</f>
        <v>0.12437810945273632</v>
      </c>
      <c r="S210" s="51">
        <f>IF((SUM(S123:S207)&lt;&gt;0), SUMIF($H123:$H207, "&gt;0", S123:S207), "")</f>
        <v>6</v>
      </c>
      <c r="T210" s="52">
        <f>IF(ISERROR((S210/$H210)*100), "", IF(((S210/$H210)*100) &lt;&gt; 0, (S210/$H210)*100, ""))</f>
        <v>0.18656716417910446</v>
      </c>
      <c r="U210" s="51">
        <f>IF((SUM(U123:U207)&lt;&gt;0), SUMIF($H123:$H207, "&gt;0", U123:U207), "")</f>
        <v>30</v>
      </c>
      <c r="V210" s="52">
        <f>IF(ISERROR((U210/$H210)*100), "", IF(((U210/$H210)*100) &lt;&gt; 0, (U210/$H210)*100, ""))</f>
        <v>0.93283582089552231</v>
      </c>
      <c r="W210" s="51">
        <f>IF((SUM(W123:W207)&lt;&gt;0), SUMIF($H123:$H207, "&gt;0", W123:W207), "")</f>
        <v>3</v>
      </c>
      <c r="X210" s="52">
        <f>IF(ISERROR((W210/$H210)*100), "", IF(((W210/$H210)*100) &lt;&gt; 0, (W210/$H210)*100, ""))</f>
        <v>9.3283582089552231E-2</v>
      </c>
      <c r="Y210" s="51">
        <f>IF((SUM(Y123:Y207)&lt;&gt;0), SUMIF($H123:$H207, "&gt;0", Y123:Y207), "")</f>
        <v>9</v>
      </c>
      <c r="Z210" s="52">
        <f>IF(ISERROR((Y210/$H210)*100), "", IF(((Y210/$H210)*100) &lt;&gt; 0, (Y210/$H210)*100, ""))</f>
        <v>0.27985074626865669</v>
      </c>
      <c r="AA210" s="51">
        <f>IF((SUM(AA123:AA207)&lt;&gt;0), SUMIF($H123:$H207, "&gt;0", AA123:AA207), "")</f>
        <v>1</v>
      </c>
      <c r="AB210" s="52">
        <f>IF(ISERROR((AA210/$H210)*100), "", IF(((AA210/$H210)*100) &lt;&gt; 0, (AA210/$H210)*100, ""))</f>
        <v>3.109452736318408E-2</v>
      </c>
      <c r="AC210" s="51">
        <f>IF((SUM(AC123:AC207)&lt;&gt;0), SUMIF($H123:$H207, "&gt;0", AC123:AC207), "")</f>
        <v>1</v>
      </c>
      <c r="AD210" s="52">
        <f>IF(ISERROR((AC210/$H210)*100), "", IF(((AC210/$H210)*100) &lt;&gt; 0, (AC210/$H210)*100, ""))</f>
        <v>3.109452736318408E-2</v>
      </c>
      <c r="AE210" s="51" t="str">
        <f>IF((SUM(AE123:AE207)&lt;&gt;0), SUMIF($H123:$H207, "&gt;0", AE123:AE207), "")</f>
        <v/>
      </c>
      <c r="AF210" s="52" t="str">
        <f>IF(ISERROR((AE210/$H210)*100), "", IF(((AE210/$H210)*100) &lt;&gt; 0, (AE210/$H210)*100, ""))</f>
        <v/>
      </c>
      <c r="AG210" s="22"/>
      <c r="AH210" s="23"/>
      <c r="AI210" s="23"/>
      <c r="AJ210" s="23"/>
      <c r="AK210" s="23"/>
      <c r="AL210" s="23"/>
      <c r="AM210" s="23"/>
      <c r="AN210" s="23"/>
      <c r="AO210" s="23"/>
      <c r="AP210" s="23"/>
      <c r="AQ210" s="23"/>
      <c r="AR210" s="23"/>
      <c r="AS210" s="23"/>
      <c r="AT210" s="23"/>
      <c r="AU210" s="23"/>
      <c r="AV210" s="23"/>
      <c r="AW210" s="23"/>
      <c r="AX210" s="23"/>
      <c r="AY210" s="23"/>
      <c r="AZ210" s="23"/>
    </row>
    <row r="211" spans="1:52" x14ac:dyDescent="0.2">
      <c r="A211" s="22"/>
      <c r="B211" s="22"/>
      <c r="C211" s="41"/>
      <c r="D211" s="22"/>
      <c r="E211" s="22"/>
      <c r="G211" s="43" t="s">
        <v>247</v>
      </c>
      <c r="H211" s="42" t="s">
        <v>245</v>
      </c>
      <c r="I211" s="47" t="s">
        <v>244</v>
      </c>
      <c r="J211" s="48" t="s">
        <v>243</v>
      </c>
      <c r="K211" s="53">
        <f>IF(SUMIF(K123:K207, "&gt; 0", $H123:$H207) &gt; 0, SUMIF(K123:K207, "&gt; 0", $H123:$H207), "")</f>
        <v>941</v>
      </c>
      <c r="L211" s="54">
        <f>(K210/K211)*100</f>
        <v>9.5642933049946866</v>
      </c>
      <c r="M211" s="53">
        <f>IF(SUMIF(M123:M207, "&gt; 0", $H123:$H207) &gt; 0, SUMIF(M123:M207, "&gt; 0", $H123:$H207), "")</f>
        <v>620</v>
      </c>
      <c r="N211" s="54">
        <f>(M210/M211)*100</f>
        <v>8.870967741935484</v>
      </c>
      <c r="O211" s="53">
        <f>IF(SUMIF(O123:O207, "&gt; 0", $H123:$H207) &gt; 0, SUMIF(O123:O207, "&gt; 0", $H123:$H207), "")</f>
        <v>27</v>
      </c>
      <c r="P211" s="54">
        <f>(O210/O211)*100</f>
        <v>7.4074074074074066</v>
      </c>
      <c r="Q211" s="53">
        <f>IF(SUMIF(Q123:Q207, "&gt; 0", $H123:$H207) &gt; 0, SUMIF(Q123:Q207, "&gt; 0", $H123:$H207), "")</f>
        <v>61</v>
      </c>
      <c r="R211" s="54">
        <f>(Q210/Q211)*100</f>
        <v>6.557377049180328</v>
      </c>
      <c r="S211" s="53">
        <f>IF(SUMIF(S123:S207, "&gt; 0", $H123:$H207) &gt; 0, SUMIF(S123:S207, "&gt; 0", $H123:$H207), "")</f>
        <v>97</v>
      </c>
      <c r="T211" s="54">
        <f>(S210/S211)*100</f>
        <v>6.1855670103092786</v>
      </c>
      <c r="U211" s="53">
        <f>IF(SUMIF(U123:U207, "&gt; 0", $H123:$H207) &gt; 0, SUMIF(U123:U207, "&gt; 0", $H123:$H207), "")</f>
        <v>531</v>
      </c>
      <c r="V211" s="54">
        <f>(U210/U211)*100</f>
        <v>5.6497175141242941</v>
      </c>
      <c r="W211" s="53">
        <f>IF(SUMIF(W123:W207, "&gt; 0", $H123:$H207) &gt; 0, SUMIF(W123:W207, "&gt; 0", $H123:$H207), "")</f>
        <v>61</v>
      </c>
      <c r="X211" s="54">
        <f>(W210/W211)*100</f>
        <v>4.918032786885246</v>
      </c>
      <c r="Y211" s="53">
        <f>IF(SUMIF(Y123:Y207, "&gt; 0", $H123:$H207) &gt; 0, SUMIF(Y123:Y207, "&gt; 0", $H123:$H207), "")</f>
        <v>213</v>
      </c>
      <c r="Z211" s="54">
        <f>(Y210/Y211)*100</f>
        <v>4.225352112676056</v>
      </c>
      <c r="AA211" s="53">
        <f>IF(SUMIF(AA123:AA207, "&gt; 0", $H123:$H207) &gt; 0, SUMIF(AA123:AA207, "&gt; 0", $H123:$H207), "")</f>
        <v>97</v>
      </c>
      <c r="AB211" s="54">
        <f>(AA210/AA211)*100</f>
        <v>1.0309278350515463</v>
      </c>
      <c r="AC211" s="53">
        <f>IF(SUMIF(AC123:AC207, "&gt; 0", $H123:$H207) &gt; 0, SUMIF(AC123:AC207, "&gt; 0", $H123:$H207), "")</f>
        <v>97</v>
      </c>
      <c r="AD211" s="54">
        <f>(AC210/AC211)*100</f>
        <v>1.0309278350515463</v>
      </c>
      <c r="AE211" s="53" t="str">
        <f>IF(SUMIF(AE123:AE207, "&gt; 0", $H123:$H207) &gt; 0, SUMIF(AE123:AE207, "&gt; 0", $H123:$H207), "")</f>
        <v/>
      </c>
      <c r="AF211" s="54"/>
      <c r="AG211" s="22"/>
      <c r="AH211" s="23"/>
      <c r="AI211" s="23"/>
      <c r="AJ211" s="23"/>
      <c r="AK211" s="23"/>
      <c r="AL211" s="23"/>
      <c r="AM211" s="23"/>
      <c r="AN211" s="23"/>
      <c r="AO211" s="23"/>
      <c r="AP211" s="23"/>
      <c r="AQ211" s="23"/>
      <c r="AR211" s="23"/>
      <c r="AS211" s="23"/>
      <c r="AT211" s="23"/>
      <c r="AU211" s="23"/>
      <c r="AV211" s="23"/>
      <c r="AW211" s="23"/>
      <c r="AX211" s="23"/>
      <c r="AY211" s="23"/>
      <c r="AZ211" s="23"/>
    </row>
    <row r="212" spans="1:52" ht="17" customHeight="1" thickBot="1" x14ac:dyDescent="0.25">
      <c r="H212" s="228" t="s">
        <v>244</v>
      </c>
      <c r="I212" s="231"/>
      <c r="J212" s="232"/>
      <c r="K212" s="207" t="s">
        <v>242</v>
      </c>
      <c r="L212" s="209" t="s">
        <v>243</v>
      </c>
      <c r="M212" s="211" t="s">
        <v>242</v>
      </c>
      <c r="N212" s="210" t="s">
        <v>243</v>
      </c>
      <c r="O212" s="207" t="s">
        <v>242</v>
      </c>
      <c r="P212" s="209" t="s">
        <v>243</v>
      </c>
      <c r="Q212" s="207" t="s">
        <v>242</v>
      </c>
      <c r="R212" s="209" t="s">
        <v>243</v>
      </c>
      <c r="S212" s="207" t="s">
        <v>242</v>
      </c>
      <c r="T212" s="209" t="s">
        <v>243</v>
      </c>
      <c r="U212" s="207" t="s">
        <v>242</v>
      </c>
      <c r="V212" s="209" t="s">
        <v>243</v>
      </c>
      <c r="W212" s="207" t="s">
        <v>242</v>
      </c>
      <c r="X212" s="209" t="s">
        <v>243</v>
      </c>
      <c r="Y212" s="207" t="s">
        <v>242</v>
      </c>
      <c r="Z212" s="209" t="s">
        <v>243</v>
      </c>
      <c r="AA212" s="207" t="s">
        <v>242</v>
      </c>
      <c r="AB212" s="209" t="s">
        <v>243</v>
      </c>
      <c r="AC212" s="207" t="s">
        <v>242</v>
      </c>
      <c r="AD212" s="209" t="s">
        <v>243</v>
      </c>
      <c r="AE212" s="207" t="s">
        <v>242</v>
      </c>
      <c r="AF212" s="209" t="s">
        <v>243</v>
      </c>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x14ac:dyDescent="0.2">
      <c r="E213" s="55" t="s">
        <v>249</v>
      </c>
      <c r="F213" s="58">
        <v>1</v>
      </c>
      <c r="H213" s="229"/>
      <c r="I213" s="233"/>
      <c r="J213" s="234"/>
      <c r="K213" s="207"/>
      <c r="L213" s="210"/>
      <c r="M213" s="207"/>
      <c r="N213" s="210"/>
      <c r="O213" s="207"/>
      <c r="P213" s="210"/>
      <c r="Q213" s="207"/>
      <c r="R213" s="210"/>
      <c r="S213" s="207"/>
      <c r="T213" s="210"/>
      <c r="U213" s="207"/>
      <c r="V213" s="210"/>
      <c r="W213" s="207"/>
      <c r="X213" s="210"/>
      <c r="Y213" s="207"/>
      <c r="Z213" s="210"/>
      <c r="AA213" s="207"/>
      <c r="AB213" s="210"/>
      <c r="AC213" s="207"/>
      <c r="AD213" s="210"/>
      <c r="AE213" s="207"/>
      <c r="AF213" s="210"/>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E214" s="56"/>
      <c r="F214" s="57"/>
      <c r="H214" s="229"/>
      <c r="I214" s="233"/>
      <c r="J214" s="234"/>
      <c r="K214" s="207"/>
      <c r="L214" s="210"/>
      <c r="M214" s="207"/>
      <c r="N214" s="210"/>
      <c r="O214" s="207"/>
      <c r="P214" s="210"/>
      <c r="Q214" s="207"/>
      <c r="R214" s="210"/>
      <c r="S214" s="207"/>
      <c r="T214" s="210"/>
      <c r="U214" s="207"/>
      <c r="V214" s="210"/>
      <c r="W214" s="207"/>
      <c r="X214" s="210"/>
      <c r="Y214" s="207"/>
      <c r="Z214" s="210"/>
      <c r="AA214" s="207"/>
      <c r="AB214" s="210"/>
      <c r="AC214" s="207"/>
      <c r="AD214" s="210"/>
      <c r="AE214" s="207"/>
      <c r="AF214" s="210"/>
      <c r="AG214" s="23"/>
      <c r="AH214" s="23"/>
      <c r="AI214" s="23"/>
      <c r="AJ214" s="23"/>
      <c r="AK214" s="23"/>
      <c r="AL214" s="23"/>
      <c r="AM214" s="23"/>
      <c r="AN214" s="23"/>
      <c r="AO214" s="23"/>
      <c r="AP214" s="23"/>
      <c r="AQ214" s="23"/>
      <c r="AR214" s="23"/>
      <c r="AS214" s="23"/>
      <c r="AT214" s="23"/>
      <c r="AU214" s="23"/>
      <c r="AV214" s="23"/>
      <c r="AW214" s="23"/>
      <c r="AX214" s="23"/>
      <c r="AY214" s="23"/>
      <c r="AZ214" s="23"/>
    </row>
    <row r="215" spans="1:52" x14ac:dyDescent="0.2">
      <c r="E215" s="242" t="s">
        <v>250</v>
      </c>
      <c r="F215" s="243"/>
      <c r="H215" s="229"/>
      <c r="I215" s="233"/>
      <c r="J215" s="234"/>
      <c r="K215" s="207"/>
      <c r="L215" s="210"/>
      <c r="M215" s="207"/>
      <c r="N215" s="210"/>
      <c r="O215" s="207"/>
      <c r="P215" s="210"/>
      <c r="Q215" s="207"/>
      <c r="R215" s="210"/>
      <c r="S215" s="207"/>
      <c r="T215" s="210"/>
      <c r="U215" s="207"/>
      <c r="V215" s="210"/>
      <c r="W215" s="207"/>
      <c r="X215" s="210"/>
      <c r="Y215" s="207"/>
      <c r="Z215" s="210"/>
      <c r="AA215" s="207"/>
      <c r="AB215" s="210"/>
      <c r="AC215" s="207"/>
      <c r="AD215" s="210"/>
      <c r="AE215" s="207"/>
      <c r="AF215" s="210"/>
      <c r="AG215" s="23"/>
      <c r="AH215" s="23"/>
      <c r="AI215" s="23"/>
      <c r="AJ215" s="23"/>
      <c r="AK215" s="23"/>
      <c r="AL215" s="23"/>
      <c r="AM215" s="23"/>
      <c r="AN215" s="23"/>
      <c r="AO215" s="23"/>
      <c r="AP215" s="23"/>
      <c r="AQ215" s="23"/>
      <c r="AR215" s="23"/>
      <c r="AS215" s="23"/>
      <c r="AT215" s="23"/>
      <c r="AU215" s="23"/>
      <c r="AV215" s="23"/>
      <c r="AW215" s="23"/>
      <c r="AX215" s="23"/>
      <c r="AY215" s="23"/>
      <c r="AZ215" s="23"/>
    </row>
    <row r="216" spans="1:52" x14ac:dyDescent="0.2">
      <c r="E216" s="242"/>
      <c r="F216" s="243"/>
      <c r="H216" s="229"/>
      <c r="I216" s="233"/>
      <c r="J216" s="234"/>
      <c r="K216" s="208"/>
      <c r="L216" s="210"/>
      <c r="M216" s="208"/>
      <c r="N216" s="210"/>
      <c r="O216" s="208"/>
      <c r="P216" s="210"/>
      <c r="Q216" s="208"/>
      <c r="R216" s="210"/>
      <c r="S216" s="208"/>
      <c r="T216" s="210"/>
      <c r="U216" s="208"/>
      <c r="V216" s="210"/>
      <c r="W216" s="208"/>
      <c r="X216" s="210"/>
      <c r="Y216" s="208"/>
      <c r="Z216" s="210"/>
      <c r="AA216" s="208"/>
      <c r="AB216" s="210"/>
      <c r="AC216" s="208"/>
      <c r="AD216" s="210"/>
      <c r="AE216" s="208"/>
      <c r="AF216" s="210"/>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ht="16" customHeight="1" x14ac:dyDescent="0.2">
      <c r="E217" s="242"/>
      <c r="F217" s="243"/>
      <c r="H217" s="229"/>
      <c r="I217" s="233"/>
      <c r="J217" s="234"/>
      <c r="K217" s="237" t="s">
        <v>379</v>
      </c>
      <c r="L217" s="238"/>
      <c r="M217" s="237" t="s">
        <v>157</v>
      </c>
      <c r="N217" s="238"/>
      <c r="O217" s="241" t="s">
        <v>238</v>
      </c>
      <c r="P217" s="238"/>
      <c r="Q217" s="237" t="s">
        <v>163</v>
      </c>
      <c r="R217" s="238"/>
      <c r="S217" s="237" t="s">
        <v>209</v>
      </c>
      <c r="T217" s="238"/>
      <c r="U217" s="237" t="s">
        <v>158</v>
      </c>
      <c r="V217" s="238"/>
      <c r="W217" s="241" t="s">
        <v>240</v>
      </c>
      <c r="X217" s="238"/>
      <c r="Y217" s="237" t="s">
        <v>159</v>
      </c>
      <c r="Z217" s="238"/>
      <c r="AA217" s="237" t="s">
        <v>208</v>
      </c>
      <c r="AB217" s="238"/>
      <c r="AC217" s="237" t="s">
        <v>207</v>
      </c>
      <c r="AD217" s="238"/>
      <c r="AE217" s="237" t="s">
        <v>204</v>
      </c>
      <c r="AF217" s="238"/>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x14ac:dyDescent="0.2">
      <c r="E218" s="242"/>
      <c r="F218" s="243"/>
      <c r="H218" s="229"/>
      <c r="I218" s="233"/>
      <c r="J218" s="234"/>
      <c r="K218" s="214"/>
      <c r="L218" s="215"/>
      <c r="M218" s="214"/>
      <c r="N218" s="215"/>
      <c r="O218" s="214"/>
      <c r="P218" s="215"/>
      <c r="Q218" s="214"/>
      <c r="R218" s="215"/>
      <c r="S218" s="214"/>
      <c r="T218" s="215"/>
      <c r="U218" s="214"/>
      <c r="V218" s="215"/>
      <c r="W218" s="214"/>
      <c r="X218" s="215"/>
      <c r="Y218" s="214"/>
      <c r="Z218" s="215"/>
      <c r="AA218" s="214"/>
      <c r="AB218" s="215"/>
      <c r="AC218" s="214"/>
      <c r="AD218" s="215"/>
      <c r="AE218" s="214"/>
      <c r="AF218" s="215"/>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ht="17" thickBot="1" x14ac:dyDescent="0.25">
      <c r="E219" s="242"/>
      <c r="F219" s="243"/>
      <c r="H219" s="229"/>
      <c r="I219" s="233"/>
      <c r="J219" s="234"/>
      <c r="K219" s="239"/>
      <c r="L219" s="240"/>
      <c r="M219" s="239"/>
      <c r="N219" s="240"/>
      <c r="O219" s="239"/>
      <c r="P219" s="240"/>
      <c r="Q219" s="239"/>
      <c r="R219" s="240"/>
      <c r="S219" s="239"/>
      <c r="T219" s="240"/>
      <c r="U219" s="239"/>
      <c r="V219" s="240"/>
      <c r="W219" s="239"/>
      <c r="X219" s="240"/>
      <c r="Y219" s="239"/>
      <c r="Z219" s="240"/>
      <c r="AA219" s="239"/>
      <c r="AB219" s="240"/>
      <c r="AC219" s="239"/>
      <c r="AD219" s="240"/>
      <c r="AE219" s="239"/>
      <c r="AF219" s="240"/>
      <c r="AG219" s="23"/>
      <c r="AH219" s="23"/>
      <c r="AI219" s="23"/>
      <c r="AJ219" s="23"/>
      <c r="AK219" s="23"/>
      <c r="AL219" s="23"/>
      <c r="AM219" s="23"/>
      <c r="AN219" s="23"/>
      <c r="AO219" s="23"/>
      <c r="AP219" s="23"/>
      <c r="AQ219" s="23"/>
      <c r="AR219" s="23"/>
      <c r="AS219" s="23"/>
      <c r="AT219" s="23"/>
      <c r="AU219" s="23"/>
      <c r="AV219" s="23"/>
      <c r="AW219" s="23"/>
      <c r="AX219" s="23"/>
      <c r="AY219" s="23"/>
      <c r="AZ219" s="23"/>
    </row>
    <row r="220" spans="1:52" ht="20" thickBot="1" x14ac:dyDescent="0.3">
      <c r="E220" s="244"/>
      <c r="F220" s="245"/>
      <c r="H220" s="230"/>
      <c r="I220" s="235"/>
      <c r="J220" s="236"/>
      <c r="K220" s="249" t="s">
        <v>401</v>
      </c>
      <c r="L220" s="250"/>
      <c r="M220" s="250"/>
      <c r="N220" s="250"/>
      <c r="O220" s="250"/>
      <c r="P220" s="250"/>
      <c r="Q220" s="250"/>
      <c r="R220" s="250"/>
      <c r="S220" s="250"/>
      <c r="T220" s="250"/>
      <c r="U220" s="250"/>
      <c r="V220" s="250"/>
      <c r="W220" s="250"/>
      <c r="X220" s="250"/>
      <c r="Y220" s="250"/>
      <c r="Z220" s="250"/>
      <c r="AA220" s="250"/>
      <c r="AB220" s="250"/>
      <c r="AC220" s="250"/>
      <c r="AD220" s="250"/>
      <c r="AE220" s="250"/>
      <c r="AF220" s="251"/>
      <c r="AG220" s="23"/>
      <c r="AH220" s="23"/>
      <c r="AI220" s="23"/>
      <c r="AJ220" s="23"/>
      <c r="AK220" s="23"/>
      <c r="AL220" s="23"/>
      <c r="AM220" s="23"/>
      <c r="AN220" s="23"/>
      <c r="AO220" s="23"/>
      <c r="AP220" s="23"/>
      <c r="AQ220" s="23"/>
      <c r="AR220" s="23"/>
      <c r="AS220" s="23"/>
      <c r="AT220" s="23"/>
      <c r="AU220" s="23"/>
      <c r="AV220" s="23"/>
      <c r="AW220" s="23"/>
      <c r="AX220" s="23"/>
      <c r="AY220" s="23"/>
      <c r="AZ220" s="23"/>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100:H108"/>
    <mergeCell ref="I100:J108"/>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100:O104"/>
    <mergeCell ref="P100:P104"/>
    <mergeCell ref="U118:U122"/>
    <mergeCell ref="V118:V122"/>
    <mergeCell ref="AE118:AE122"/>
    <mergeCell ref="AF118:AF122"/>
    <mergeCell ref="S100:S104"/>
    <mergeCell ref="T100:T104"/>
    <mergeCell ref="K100:K104"/>
    <mergeCell ref="L100:L104"/>
    <mergeCell ref="U100:U104"/>
    <mergeCell ref="V100:V104"/>
    <mergeCell ref="AA100:AA104"/>
    <mergeCell ref="AB100:AB104"/>
    <mergeCell ref="Q100:Q104"/>
    <mergeCell ref="R100:R104"/>
    <mergeCell ref="AA115:AB117"/>
    <mergeCell ref="Y100:Y104"/>
    <mergeCell ref="Z100:Z104"/>
    <mergeCell ref="W100:W104"/>
    <mergeCell ref="X100:X104"/>
    <mergeCell ref="D115:D116"/>
    <mergeCell ref="M115:N117"/>
    <mergeCell ref="S115:T117"/>
    <mergeCell ref="Y115:Z117"/>
    <mergeCell ref="U115:V117"/>
    <mergeCell ref="AE115:AF117"/>
    <mergeCell ref="U105:V107"/>
    <mergeCell ref="K108:AD108"/>
    <mergeCell ref="K2:AD2"/>
    <mergeCell ref="AA105:AB107"/>
    <mergeCell ref="Q105:R107"/>
    <mergeCell ref="M105:N107"/>
    <mergeCell ref="AC105:AD107"/>
    <mergeCell ref="W115:X117"/>
    <mergeCell ref="W105:X107"/>
    <mergeCell ref="O105:P107"/>
    <mergeCell ref="Y105:Z107"/>
    <mergeCell ref="E103:F108"/>
    <mergeCell ref="S105:T107"/>
    <mergeCell ref="K105:L107"/>
    <mergeCell ref="M100:M104"/>
    <mergeCell ref="N100:N104"/>
    <mergeCell ref="AC100:AC104"/>
    <mergeCell ref="AD100:AD104"/>
    <mergeCell ref="A119:A122"/>
    <mergeCell ref="B119:B122"/>
    <mergeCell ref="AD118:AD122"/>
    <mergeCell ref="Q118:Q122"/>
    <mergeCell ref="R118:R122"/>
    <mergeCell ref="O118:O122"/>
    <mergeCell ref="P118:P122"/>
    <mergeCell ref="AB118:AB122"/>
    <mergeCell ref="AC118:AC122"/>
    <mergeCell ref="W118:W122"/>
    <mergeCell ref="X118:X122"/>
    <mergeCell ref="AA118:AA122"/>
    <mergeCell ref="M118:M122"/>
    <mergeCell ref="N118:N122"/>
    <mergeCell ref="S118:S122"/>
    <mergeCell ref="T118:T122"/>
    <mergeCell ref="Y118:Y122"/>
    <mergeCell ref="Z118:Z122"/>
    <mergeCell ref="D117:D119"/>
    <mergeCell ref="G118:G122"/>
    <mergeCell ref="H118:H122"/>
    <mergeCell ref="I118:I122"/>
    <mergeCell ref="J118:J122"/>
    <mergeCell ref="AC115:AD117"/>
    <mergeCell ref="E215:F220"/>
    <mergeCell ref="M217:N219"/>
    <mergeCell ref="S217:T219"/>
    <mergeCell ref="Y217:Z219"/>
    <mergeCell ref="U217:V219"/>
    <mergeCell ref="AE217:AF219"/>
    <mergeCell ref="O212:O216"/>
    <mergeCell ref="P212:P216"/>
    <mergeCell ref="AC212:AC216"/>
    <mergeCell ref="AD212:AD216"/>
    <mergeCell ref="Q212:Q216"/>
    <mergeCell ref="R212:R216"/>
    <mergeCell ref="W212:W216"/>
    <mergeCell ref="X212:X216"/>
    <mergeCell ref="AA212:AA216"/>
    <mergeCell ref="AB212:AB216"/>
    <mergeCell ref="Y212:Y216"/>
    <mergeCell ref="Z212:Z216"/>
    <mergeCell ref="U212:U216"/>
    <mergeCell ref="V212:V216"/>
    <mergeCell ref="AE212:AE216"/>
    <mergeCell ref="AF212:AF216"/>
    <mergeCell ref="H212:H220"/>
    <mergeCell ref="I212:J220"/>
    <mergeCell ref="K220:AF220"/>
    <mergeCell ref="K114:AF114"/>
    <mergeCell ref="K217:L219"/>
    <mergeCell ref="Q217:R219"/>
    <mergeCell ref="O217:P219"/>
    <mergeCell ref="W217:X219"/>
    <mergeCell ref="AA217:AB219"/>
    <mergeCell ref="AC217:AD219"/>
    <mergeCell ref="K212:K216"/>
    <mergeCell ref="L212:L216"/>
    <mergeCell ref="M212:M216"/>
    <mergeCell ref="N212:N216"/>
    <mergeCell ref="S212:S216"/>
    <mergeCell ref="T212:T216"/>
    <mergeCell ref="K118:K122"/>
    <mergeCell ref="L118:L122"/>
    <mergeCell ref="K115:L117"/>
    <mergeCell ref="Q115:R117"/>
    <mergeCell ref="O115:P117"/>
  </mergeCells>
  <pageMargins left="0.7" right="0.7" top="0.75" bottom="0.75" header="0.3" footer="0.3"/>
  <ignoredErrors>
    <ignoredError sqref="I13:I95 I123:I207" numberStoredAsText="1"/>
    <ignoredError sqref="L98:AD99 L210:AF21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7"/>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46" t="s">
        <v>162</v>
      </c>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8"/>
    </row>
    <row r="3" spans="1:53" ht="16" customHeight="1" x14ac:dyDescent="0.2">
      <c r="D3" s="190" t="s">
        <v>234</v>
      </c>
      <c r="K3" s="218" t="s">
        <v>239</v>
      </c>
      <c r="L3" s="213"/>
      <c r="M3" s="212" t="s">
        <v>160</v>
      </c>
      <c r="N3" s="213"/>
      <c r="O3" s="218" t="s">
        <v>241</v>
      </c>
      <c r="P3" s="213"/>
      <c r="Q3" s="212" t="s">
        <v>173</v>
      </c>
      <c r="R3" s="213"/>
      <c r="S3" s="212" t="s">
        <v>164</v>
      </c>
      <c r="T3" s="213"/>
      <c r="U3" s="212" t="s">
        <v>174</v>
      </c>
      <c r="V3" s="213"/>
      <c r="W3" s="260" t="s">
        <v>210</v>
      </c>
      <c r="X3" s="213"/>
      <c r="Y3" s="212" t="s">
        <v>172</v>
      </c>
      <c r="Z3" s="213"/>
      <c r="AA3" s="212" t="s">
        <v>175</v>
      </c>
      <c r="AB3" s="213"/>
      <c r="AC3" s="212" t="s">
        <v>161</v>
      </c>
      <c r="AD3" s="213"/>
      <c r="AE3" s="218" t="s">
        <v>379</v>
      </c>
      <c r="AF3" s="252"/>
      <c r="AG3" s="212" t="s">
        <v>157</v>
      </c>
      <c r="AH3" s="213"/>
      <c r="AI3" s="218" t="s">
        <v>238</v>
      </c>
      <c r="AJ3" s="213"/>
      <c r="AK3" s="212" t="s">
        <v>163</v>
      </c>
      <c r="AL3" s="213"/>
      <c r="AM3" s="212" t="s">
        <v>209</v>
      </c>
      <c r="AN3" s="213"/>
      <c r="AO3" s="212" t="s">
        <v>158</v>
      </c>
      <c r="AP3" s="213"/>
      <c r="AQ3" s="218" t="s">
        <v>240</v>
      </c>
      <c r="AR3" s="213"/>
      <c r="AS3" s="212" t="s">
        <v>159</v>
      </c>
      <c r="AT3" s="213"/>
      <c r="AU3" s="212" t="s">
        <v>208</v>
      </c>
      <c r="AV3" s="213"/>
      <c r="AW3" s="212" t="s">
        <v>207</v>
      </c>
      <c r="AX3" s="213"/>
      <c r="AY3" s="212" t="s">
        <v>204</v>
      </c>
      <c r="AZ3" s="213"/>
    </row>
    <row r="4" spans="1:53" ht="20" customHeight="1" x14ac:dyDescent="0.2">
      <c r="B4" s="84"/>
      <c r="D4" s="191"/>
      <c r="K4" s="214"/>
      <c r="L4" s="215"/>
      <c r="M4" s="214"/>
      <c r="N4" s="215"/>
      <c r="O4" s="214"/>
      <c r="P4" s="215"/>
      <c r="Q4" s="214"/>
      <c r="R4" s="215"/>
      <c r="S4" s="214"/>
      <c r="T4" s="215"/>
      <c r="U4" s="214"/>
      <c r="V4" s="215"/>
      <c r="W4" s="258"/>
      <c r="X4" s="215"/>
      <c r="Y4" s="214"/>
      <c r="Z4" s="215"/>
      <c r="AA4" s="214"/>
      <c r="AB4" s="215"/>
      <c r="AC4" s="214"/>
      <c r="AD4" s="215"/>
      <c r="AE4" s="253"/>
      <c r="AF4" s="254"/>
      <c r="AG4" s="214"/>
      <c r="AH4" s="215"/>
      <c r="AI4" s="214"/>
      <c r="AJ4" s="215"/>
      <c r="AK4" s="214"/>
      <c r="AL4" s="215"/>
      <c r="AM4" s="214"/>
      <c r="AN4" s="215"/>
      <c r="AO4" s="214"/>
      <c r="AP4" s="215"/>
      <c r="AQ4" s="214"/>
      <c r="AR4" s="215"/>
      <c r="AS4" s="214"/>
      <c r="AT4" s="215"/>
      <c r="AU4" s="214"/>
      <c r="AV4" s="215"/>
      <c r="AW4" s="214"/>
      <c r="AX4" s="215"/>
      <c r="AY4" s="214"/>
      <c r="AZ4" s="215"/>
    </row>
    <row r="5" spans="1:53" ht="20" customHeight="1" thickBot="1" x14ac:dyDescent="0.25">
      <c r="A5" s="61"/>
      <c r="B5" s="83"/>
      <c r="D5" s="188" t="s">
        <v>248</v>
      </c>
      <c r="I5" s="24"/>
      <c r="J5" s="24"/>
      <c r="K5" s="216"/>
      <c r="L5" s="217"/>
      <c r="M5" s="216"/>
      <c r="N5" s="217"/>
      <c r="O5" s="216"/>
      <c r="P5" s="217"/>
      <c r="Q5" s="216"/>
      <c r="R5" s="217"/>
      <c r="S5" s="216"/>
      <c r="T5" s="217"/>
      <c r="U5" s="216"/>
      <c r="V5" s="217"/>
      <c r="W5" s="261"/>
      <c r="X5" s="217"/>
      <c r="Y5" s="216"/>
      <c r="Z5" s="217"/>
      <c r="AA5" s="216"/>
      <c r="AB5" s="217"/>
      <c r="AC5" s="216"/>
      <c r="AD5" s="217"/>
      <c r="AE5" s="255"/>
      <c r="AF5" s="256"/>
      <c r="AG5" s="216"/>
      <c r="AH5" s="217"/>
      <c r="AI5" s="216"/>
      <c r="AJ5" s="217"/>
      <c r="AK5" s="216"/>
      <c r="AL5" s="217"/>
      <c r="AM5" s="216"/>
      <c r="AN5" s="217"/>
      <c r="AO5" s="216"/>
      <c r="AP5" s="217"/>
      <c r="AQ5" s="216"/>
      <c r="AR5" s="217"/>
      <c r="AS5" s="216"/>
      <c r="AT5" s="217"/>
      <c r="AU5" s="216"/>
      <c r="AV5" s="217"/>
      <c r="AW5" s="216"/>
      <c r="AX5" s="217"/>
      <c r="AY5" s="216"/>
      <c r="AZ5" s="217"/>
    </row>
    <row r="6" spans="1:53" ht="20" customHeight="1" x14ac:dyDescent="0.2">
      <c r="A6" s="60"/>
      <c r="B6" s="82"/>
      <c r="D6" s="188"/>
      <c r="G6" s="184" t="s">
        <v>24</v>
      </c>
      <c r="H6" s="195" t="s">
        <v>330</v>
      </c>
      <c r="I6" s="198" t="s">
        <v>328</v>
      </c>
      <c r="J6" s="201" t="s">
        <v>329</v>
      </c>
      <c r="K6" s="219" t="s">
        <v>242</v>
      </c>
      <c r="L6" s="220" t="s">
        <v>243</v>
      </c>
      <c r="M6" s="192" t="s">
        <v>242</v>
      </c>
      <c r="N6" s="220" t="s">
        <v>243</v>
      </c>
      <c r="O6" s="192" t="s">
        <v>242</v>
      </c>
      <c r="P6" s="220" t="s">
        <v>243</v>
      </c>
      <c r="Q6" s="192" t="s">
        <v>242</v>
      </c>
      <c r="R6" s="220" t="s">
        <v>243</v>
      </c>
      <c r="S6" s="192" t="s">
        <v>242</v>
      </c>
      <c r="T6" s="220" t="s">
        <v>243</v>
      </c>
      <c r="U6" s="225" t="s">
        <v>242</v>
      </c>
      <c r="V6" s="220" t="s">
        <v>243</v>
      </c>
      <c r="W6" s="222" t="s">
        <v>242</v>
      </c>
      <c r="X6" s="220" t="s">
        <v>243</v>
      </c>
      <c r="Y6" s="192" t="s">
        <v>242</v>
      </c>
      <c r="Z6" s="220" t="s">
        <v>243</v>
      </c>
      <c r="AA6" s="192" t="s">
        <v>242</v>
      </c>
      <c r="AB6" s="220" t="s">
        <v>243</v>
      </c>
      <c r="AC6" s="204" t="s">
        <v>242</v>
      </c>
      <c r="AD6" s="220" t="s">
        <v>243</v>
      </c>
      <c r="AE6" s="222" t="s">
        <v>242</v>
      </c>
      <c r="AF6" s="220" t="s">
        <v>243</v>
      </c>
      <c r="AG6" s="204" t="s">
        <v>242</v>
      </c>
      <c r="AH6" s="262" t="s">
        <v>243</v>
      </c>
      <c r="AI6" s="219" t="s">
        <v>242</v>
      </c>
      <c r="AJ6" s="220" t="s">
        <v>243</v>
      </c>
      <c r="AK6" s="192" t="s">
        <v>242</v>
      </c>
      <c r="AL6" s="220" t="s">
        <v>243</v>
      </c>
      <c r="AM6" s="192" t="s">
        <v>242</v>
      </c>
      <c r="AN6" s="220" t="s">
        <v>243</v>
      </c>
      <c r="AO6" s="192" t="s">
        <v>242</v>
      </c>
      <c r="AP6" s="220" t="s">
        <v>243</v>
      </c>
      <c r="AQ6" s="219" t="s">
        <v>242</v>
      </c>
      <c r="AR6" s="220" t="s">
        <v>243</v>
      </c>
      <c r="AS6" s="192" t="s">
        <v>242</v>
      </c>
      <c r="AT6" s="220" t="s">
        <v>243</v>
      </c>
      <c r="AU6" s="192" t="s">
        <v>242</v>
      </c>
      <c r="AV6" s="220" t="s">
        <v>243</v>
      </c>
      <c r="AW6" s="192" t="s">
        <v>242</v>
      </c>
      <c r="AX6" s="220" t="s">
        <v>243</v>
      </c>
      <c r="AY6" s="192" t="s">
        <v>242</v>
      </c>
      <c r="AZ6" s="220" t="s">
        <v>243</v>
      </c>
    </row>
    <row r="7" spans="1:53" ht="20" customHeight="1" thickBot="1" x14ac:dyDescent="0.25">
      <c r="A7" s="184" t="s">
        <v>251</v>
      </c>
      <c r="B7" s="186" t="s">
        <v>334</v>
      </c>
      <c r="D7" s="189"/>
      <c r="G7" s="184"/>
      <c r="H7" s="196"/>
      <c r="I7" s="199"/>
      <c r="J7" s="202"/>
      <c r="K7" s="219"/>
      <c r="L7" s="220"/>
      <c r="M7" s="192"/>
      <c r="N7" s="220"/>
      <c r="O7" s="192"/>
      <c r="P7" s="220"/>
      <c r="Q7" s="192"/>
      <c r="R7" s="220"/>
      <c r="S7" s="192"/>
      <c r="T7" s="220"/>
      <c r="U7" s="226"/>
      <c r="V7" s="220"/>
      <c r="W7" s="222"/>
      <c r="X7" s="220"/>
      <c r="Y7" s="192"/>
      <c r="Z7" s="220"/>
      <c r="AA7" s="192"/>
      <c r="AB7" s="220"/>
      <c r="AC7" s="205"/>
      <c r="AD7" s="220"/>
      <c r="AE7" s="222"/>
      <c r="AF7" s="220"/>
      <c r="AG7" s="205"/>
      <c r="AH7" s="263"/>
      <c r="AI7" s="192"/>
      <c r="AJ7" s="220"/>
      <c r="AK7" s="192"/>
      <c r="AL7" s="220"/>
      <c r="AM7" s="192"/>
      <c r="AN7" s="220"/>
      <c r="AO7" s="192"/>
      <c r="AP7" s="220"/>
      <c r="AQ7" s="219"/>
      <c r="AR7" s="220"/>
      <c r="AS7" s="192"/>
      <c r="AT7" s="220"/>
      <c r="AU7" s="192"/>
      <c r="AV7" s="220"/>
      <c r="AW7" s="192"/>
      <c r="AX7" s="220"/>
      <c r="AY7" s="192"/>
      <c r="AZ7" s="220"/>
    </row>
    <row r="8" spans="1:53" ht="20" customHeight="1" x14ac:dyDescent="0.2">
      <c r="A8" s="184"/>
      <c r="B8" s="186"/>
      <c r="G8" s="184"/>
      <c r="H8" s="196"/>
      <c r="I8" s="199"/>
      <c r="J8" s="202"/>
      <c r="K8" s="219"/>
      <c r="L8" s="220"/>
      <c r="M8" s="192"/>
      <c r="N8" s="220"/>
      <c r="O8" s="192"/>
      <c r="P8" s="220"/>
      <c r="Q8" s="192"/>
      <c r="R8" s="220"/>
      <c r="S8" s="192"/>
      <c r="T8" s="220"/>
      <c r="U8" s="226"/>
      <c r="V8" s="220"/>
      <c r="W8" s="222"/>
      <c r="X8" s="220"/>
      <c r="Y8" s="192"/>
      <c r="Z8" s="220"/>
      <c r="AA8" s="192"/>
      <c r="AB8" s="220"/>
      <c r="AC8" s="205"/>
      <c r="AD8" s="220"/>
      <c r="AE8" s="222"/>
      <c r="AF8" s="220"/>
      <c r="AG8" s="205"/>
      <c r="AH8" s="263"/>
      <c r="AI8" s="192"/>
      <c r="AJ8" s="220"/>
      <c r="AK8" s="192"/>
      <c r="AL8" s="220"/>
      <c r="AM8" s="192"/>
      <c r="AN8" s="220"/>
      <c r="AO8" s="192"/>
      <c r="AP8" s="220"/>
      <c r="AQ8" s="219"/>
      <c r="AR8" s="220"/>
      <c r="AS8" s="192"/>
      <c r="AT8" s="220"/>
      <c r="AU8" s="192"/>
      <c r="AV8" s="220"/>
      <c r="AW8" s="192"/>
      <c r="AX8" s="220"/>
      <c r="AY8" s="192"/>
      <c r="AZ8" s="220"/>
    </row>
    <row r="9" spans="1:53" ht="20" customHeight="1" x14ac:dyDescent="0.2">
      <c r="A9" s="184"/>
      <c r="B9" s="186"/>
      <c r="G9" s="184"/>
      <c r="H9" s="196"/>
      <c r="I9" s="199"/>
      <c r="J9" s="202"/>
      <c r="K9" s="219"/>
      <c r="L9" s="220"/>
      <c r="M9" s="192"/>
      <c r="N9" s="220"/>
      <c r="O9" s="192"/>
      <c r="P9" s="220"/>
      <c r="Q9" s="192"/>
      <c r="R9" s="220"/>
      <c r="S9" s="192"/>
      <c r="T9" s="220"/>
      <c r="U9" s="226"/>
      <c r="V9" s="220"/>
      <c r="W9" s="222"/>
      <c r="X9" s="220"/>
      <c r="Y9" s="192"/>
      <c r="Z9" s="220"/>
      <c r="AA9" s="192"/>
      <c r="AB9" s="220"/>
      <c r="AC9" s="205"/>
      <c r="AD9" s="220"/>
      <c r="AE9" s="222"/>
      <c r="AF9" s="220"/>
      <c r="AG9" s="205"/>
      <c r="AH9" s="263"/>
      <c r="AI9" s="192"/>
      <c r="AJ9" s="220"/>
      <c r="AK9" s="192"/>
      <c r="AL9" s="220"/>
      <c r="AM9" s="192"/>
      <c r="AN9" s="220"/>
      <c r="AO9" s="192"/>
      <c r="AP9" s="220"/>
      <c r="AQ9" s="219"/>
      <c r="AR9" s="220"/>
      <c r="AS9" s="192"/>
      <c r="AT9" s="220"/>
      <c r="AU9" s="192"/>
      <c r="AV9" s="220"/>
      <c r="AW9" s="192"/>
      <c r="AX9" s="220"/>
      <c r="AY9" s="192"/>
      <c r="AZ9" s="220"/>
    </row>
    <row r="10" spans="1:53" s="22" customFormat="1" ht="20" customHeight="1" thickBot="1" x14ac:dyDescent="0.25">
      <c r="A10" s="185"/>
      <c r="B10" s="187"/>
      <c r="C10" s="21" t="s">
        <v>20</v>
      </c>
      <c r="D10" s="20" t="s">
        <v>21</v>
      </c>
      <c r="E10" s="20" t="s">
        <v>22</v>
      </c>
      <c r="F10" s="21" t="s">
        <v>23</v>
      </c>
      <c r="G10" s="194"/>
      <c r="H10" s="197"/>
      <c r="I10" s="200"/>
      <c r="J10" s="203"/>
      <c r="K10" s="224"/>
      <c r="L10" s="221"/>
      <c r="M10" s="193"/>
      <c r="N10" s="221"/>
      <c r="O10" s="193"/>
      <c r="P10" s="221"/>
      <c r="Q10" s="193"/>
      <c r="R10" s="221"/>
      <c r="S10" s="193"/>
      <c r="T10" s="221"/>
      <c r="U10" s="227"/>
      <c r="V10" s="221"/>
      <c r="W10" s="223"/>
      <c r="X10" s="221"/>
      <c r="Y10" s="193"/>
      <c r="Z10" s="221"/>
      <c r="AA10" s="193"/>
      <c r="AB10" s="221"/>
      <c r="AC10" s="206"/>
      <c r="AD10" s="221"/>
      <c r="AE10" s="223"/>
      <c r="AF10" s="221"/>
      <c r="AG10" s="206"/>
      <c r="AH10" s="264"/>
      <c r="AI10" s="193"/>
      <c r="AJ10" s="221"/>
      <c r="AK10" s="193"/>
      <c r="AL10" s="221"/>
      <c r="AM10" s="193"/>
      <c r="AN10" s="221"/>
      <c r="AO10" s="193"/>
      <c r="AP10" s="221"/>
      <c r="AQ10" s="224"/>
      <c r="AR10" s="221"/>
      <c r="AS10" s="193"/>
      <c r="AT10" s="221"/>
      <c r="AU10" s="193"/>
      <c r="AV10" s="221"/>
      <c r="AW10" s="193"/>
      <c r="AX10" s="221"/>
      <c r="AY10" s="193"/>
      <c r="AZ10" s="221"/>
      <c r="BA10" s="20" t="s">
        <v>25</v>
      </c>
    </row>
    <row r="11" spans="1:53" ht="20" customHeight="1" x14ac:dyDescent="0.2">
      <c r="A11" s="61"/>
      <c r="B11" s="82"/>
      <c r="C11" s="24" t="s">
        <v>85</v>
      </c>
      <c r="D11" s="23" t="s">
        <v>26</v>
      </c>
      <c r="E11" s="23" t="s">
        <v>27</v>
      </c>
      <c r="F11" s="24">
        <v>2008</v>
      </c>
      <c r="G11" s="24">
        <v>165</v>
      </c>
      <c r="H11" s="115">
        <v>107</v>
      </c>
      <c r="I11" s="110" t="s">
        <v>166</v>
      </c>
      <c r="J11" s="111"/>
      <c r="K11" s="65"/>
      <c r="L11" s="66" t="str">
        <f t="shared" ref="L11:L38" si="0">IF((ISERROR((K11/$H11)*100)), "", IF(AND(NOT(ISERROR((K11/$H11)*100)),((K11/$H11)*100) &lt;&gt; 0), (K11/$H11)*100, ""))</f>
        <v/>
      </c>
      <c r="M11" s="67"/>
      <c r="N11" s="68" t="str">
        <f t="shared" ref="N11:N38" si="1">IF((ISERROR((M11/$H11)*100)), "", IF(AND(NOT(ISERROR((M11/$H11)*100)),((M11/$H11)*100) &lt;&gt; 0), (M11/$H11)*100, ""))</f>
        <v/>
      </c>
      <c r="O11" s="67"/>
      <c r="P11" s="68" t="str">
        <f t="shared" ref="P11:P38" si="2">IF((ISERROR((O11/$H11)*100)), "", IF(AND(NOT(ISERROR((O11/$H11)*100)),((O11/$H11)*100) &lt;&gt; 0), (O11/$H11)*100, ""))</f>
        <v/>
      </c>
      <c r="Q11" s="67"/>
      <c r="R11" s="68" t="str">
        <f t="shared" ref="R11:R38" si="3">IF((ISERROR((Q11/$H11)*100)), "", IF(AND(NOT(ISERROR((Q11/$H11)*100)),((Q11/$H11)*100) &lt;&gt; 0), (Q11/$H11)*100, ""))</f>
        <v/>
      </c>
      <c r="S11" s="65"/>
      <c r="T11" s="66" t="str">
        <f t="shared" ref="T11:T38" si="4">IF((ISERROR((S11/$H11)*100)), "", IF(AND(NOT(ISERROR((S11/$H11)*100)),((S11/$H11)*100) &lt;&gt; 0), (S11/$H11)*100, ""))</f>
        <v/>
      </c>
      <c r="U11" s="65"/>
      <c r="V11" s="66" t="str">
        <f t="shared" ref="V11:V12" si="5">IF((ISERROR((U11/$H11)*100)), "", IF(AND(NOT(ISERROR((U11/$H11)*100)),((U11/$H11)*100) &lt;&gt; 0), (U11/$H11)*100, ""))</f>
        <v/>
      </c>
      <c r="W11" s="69"/>
      <c r="X11" s="36" t="str">
        <f t="shared" ref="X11:X38" si="6">IF((ISERROR((W11/$H11)*100)), "", IF(AND(NOT(ISERROR((W11/$H11)*100)),((W11/$H11)*100) &lt;&gt; 0), (W11/$H11)*100, ""))</f>
        <v/>
      </c>
      <c r="Y11" s="67"/>
      <c r="Z11" s="68" t="str">
        <f t="shared" ref="Z11:Z12" si="7">IF((ISERROR((Y11/$H11)*100)), "", IF(AND(NOT(ISERROR((Y11/$H11)*100)),((Y11/$H11)*100) &lt;&gt; 0), (Y11/$H11)*100, ""))</f>
        <v/>
      </c>
      <c r="AA11" s="67"/>
      <c r="AB11" s="68" t="str">
        <f t="shared" ref="AB11:AB12" si="8">IF((ISERROR((AA11/$H11)*100)), "", IF(AND(NOT(ISERROR((AA11/$H11)*100)),((AA11/$H11)*100) &lt;&gt; 0), (AA11/$H11)*100, ""))</f>
        <v/>
      </c>
      <c r="AC11" s="67"/>
      <c r="AD11" s="68" t="str">
        <f t="shared" ref="AD11:AD12" si="9">IF((ISERROR((AC11/$H11)*100)), "", IF(AND(NOT(ISERROR((AC11/$H11)*100)),((AC11/$H11)*100) &lt;&gt; 0), (AC11/$H11)*100, ""))</f>
        <v/>
      </c>
      <c r="AE11" s="69"/>
      <c r="AF11" s="36" t="str">
        <f t="shared" ref="AF11:AF38" si="10">IF((ISERROR((AE11/$H11)*100)), "", IF(AND(NOT(ISERROR((AE11/$H11)*100)),((AE11/$H11)*100) &lt;&gt; 0), (AE11/$H11)*100, ""))</f>
        <v/>
      </c>
      <c r="AG11" s="65"/>
      <c r="AH11" s="66" t="str">
        <f t="shared" ref="AH11:AH38" si="11">IF((ISERROR((AG11/$H11)*100)), "", IF(AND(NOT(ISERROR((AG11/$H11)*100)),((AG11/$H11)*100) &lt;&gt; 0), (AG11/$H11)*100, ""))</f>
        <v/>
      </c>
      <c r="AI11" s="67"/>
      <c r="AJ11" s="68" t="str">
        <f t="shared" ref="AJ11:AJ38" si="12">IF((ISERROR((AI11/$H11)*100)), "", IF(AND(NOT(ISERROR((AI11/$H11)*100)),((AI11/$H11)*100) &lt;&gt; 0), (AI11/$H11)*100, ""))</f>
        <v/>
      </c>
      <c r="AK11" s="67"/>
      <c r="AL11" s="68" t="str">
        <f t="shared" ref="AL11:AL38" si="13">IF((ISERROR((AK11/$H11)*100)), "", IF(AND(NOT(ISERROR((AK11/$H11)*100)),((AK11/$H11)*100) &lt;&gt; 0), (AK11/$H11)*100, ""))</f>
        <v/>
      </c>
      <c r="AM11" s="65"/>
      <c r="AN11" s="66" t="str">
        <f t="shared" ref="AN11:AN38" si="14">IF((ISERROR((AM11/$H11)*100)), "", IF(AND(NOT(ISERROR((AM11/$H11)*100)),((AM11/$H11)*100) &lt;&gt; 0), (AM11/$H11)*100, ""))</f>
        <v/>
      </c>
      <c r="AO11" s="67"/>
      <c r="AP11" s="68" t="str">
        <f t="shared" ref="AP11:AP38" si="15">IF((ISERROR((AO11/$H11)*100)), "", IF(AND(NOT(ISERROR((AO11/$H11)*100)),((AO11/$H11)*100) &lt;&gt; 0), (AO11/$H11)*100, ""))</f>
        <v/>
      </c>
      <c r="AQ11" s="67"/>
      <c r="AR11" s="68" t="str">
        <f t="shared" ref="AR11:AR12" si="16">IF((ISERROR((AQ11/$H11)*100)), "", IF(AND(NOT(ISERROR((AQ11/$H11)*100)),((AQ11/$H11)*100) &lt;&gt; 0), (AQ11/$H11)*100, ""))</f>
        <v/>
      </c>
      <c r="AS11" s="67"/>
      <c r="AT11" s="68" t="str">
        <f t="shared" ref="AT11:AT17" si="17">IF((ISERROR((AS11/$H11)*100)), "", IF(AND(NOT(ISERROR((AS11/$H11)*100)),((AS11/$H11)*100) &lt;&gt; 0), (AS11/$H11)*100, ""))</f>
        <v/>
      </c>
      <c r="AU11" s="67"/>
      <c r="AV11" s="68" t="str">
        <f t="shared" ref="AV11:AV38" si="18">IF((ISERROR((AU11/$H11)*100)), "", IF(AND(NOT(ISERROR((AU11/$H11)*100)),((AU11/$H11)*100) &lt;&gt; 0), (AU11/$H11)*100, ""))</f>
        <v/>
      </c>
      <c r="AW11" s="67"/>
      <c r="AX11" s="68" t="str">
        <f t="shared" ref="AX11:AX38" si="19">IF((ISERROR((AW11/$H11)*100)), "", IF(AND(NOT(ISERROR((AW11/$H11)*100)),((AW11/$H11)*100) &lt;&gt; 0), (AW11/$H11)*100, ""))</f>
        <v/>
      </c>
      <c r="AY11" s="67"/>
      <c r="AZ11" s="68" t="str">
        <f t="shared" ref="AZ11:AZ38" si="20">IF((ISERROR((AY11/$H11)*100)), "", IF(AND(NOT(ISERROR((AY11/$H11)*100)),((AY11/$H11)*100) &lt;&gt; 0), (AY11/$H11)*100, ""))</f>
        <v/>
      </c>
      <c r="BA11" s="23" t="s">
        <v>165</v>
      </c>
    </row>
    <row r="12" spans="1:53" ht="20" customHeight="1" x14ac:dyDescent="0.2">
      <c r="A12" s="61"/>
      <c r="B12" s="82"/>
      <c r="C12" s="24" t="s">
        <v>85</v>
      </c>
      <c r="D12" s="23" t="s">
        <v>33</v>
      </c>
      <c r="E12" s="23" t="s">
        <v>34</v>
      </c>
      <c r="F12" s="24">
        <v>2003</v>
      </c>
      <c r="G12" s="24">
        <v>291</v>
      </c>
      <c r="H12" s="89">
        <v>14</v>
      </c>
      <c r="I12" s="85" t="s">
        <v>167</v>
      </c>
      <c r="J12" s="86"/>
      <c r="K12" s="33"/>
      <c r="L12" s="36" t="str">
        <f t="shared" si="0"/>
        <v/>
      </c>
      <c r="M12" s="33"/>
      <c r="N12" s="36" t="str">
        <f t="shared" si="1"/>
        <v/>
      </c>
      <c r="O12" s="33"/>
      <c r="P12" s="36" t="str">
        <f t="shared" si="2"/>
        <v/>
      </c>
      <c r="Q12" s="33"/>
      <c r="R12" s="36" t="str">
        <f t="shared" si="3"/>
        <v/>
      </c>
      <c r="S12" s="33">
        <v>2</v>
      </c>
      <c r="T12" s="36">
        <f t="shared" si="4"/>
        <v>14.285714285714285</v>
      </c>
      <c r="U12" s="33"/>
      <c r="V12" s="36" t="str">
        <f t="shared" si="5"/>
        <v/>
      </c>
      <c r="W12" s="76"/>
      <c r="X12" s="36" t="str">
        <f t="shared" si="6"/>
        <v/>
      </c>
      <c r="Y12" s="33"/>
      <c r="Z12" s="36" t="str">
        <f t="shared" si="7"/>
        <v/>
      </c>
      <c r="AA12" s="33"/>
      <c r="AB12" s="36" t="str">
        <f t="shared" si="8"/>
        <v/>
      </c>
      <c r="AC12" s="33"/>
      <c r="AD12" s="36" t="str">
        <f t="shared" si="9"/>
        <v/>
      </c>
      <c r="AE12" s="76"/>
      <c r="AF12" s="36" t="str">
        <f t="shared" si="10"/>
        <v/>
      </c>
      <c r="AG12" s="33">
        <v>2</v>
      </c>
      <c r="AH12" s="36">
        <f t="shared" si="11"/>
        <v>14.285714285714285</v>
      </c>
      <c r="AI12" s="33"/>
      <c r="AJ12" s="36" t="str">
        <f t="shared" si="12"/>
        <v/>
      </c>
      <c r="AK12" s="33"/>
      <c r="AL12" s="36" t="str">
        <f t="shared" si="13"/>
        <v/>
      </c>
      <c r="AM12" s="33"/>
      <c r="AN12" s="36" t="str">
        <f t="shared" si="14"/>
        <v/>
      </c>
      <c r="AO12" s="33"/>
      <c r="AP12" s="36" t="str">
        <f t="shared" si="15"/>
        <v/>
      </c>
      <c r="AQ12" s="33">
        <v>1</v>
      </c>
      <c r="AR12" s="36">
        <f t="shared" si="16"/>
        <v>7.1428571428571423</v>
      </c>
      <c r="AS12" s="33"/>
      <c r="AT12" s="36" t="str">
        <f t="shared" si="17"/>
        <v/>
      </c>
      <c r="AU12" s="33"/>
      <c r="AV12" s="36" t="str">
        <f t="shared" si="18"/>
        <v/>
      </c>
      <c r="AW12" s="33"/>
      <c r="AX12" s="36" t="str">
        <f t="shared" si="19"/>
        <v/>
      </c>
      <c r="AY12" s="33"/>
      <c r="AZ12" s="36" t="str">
        <f t="shared" si="20"/>
        <v/>
      </c>
      <c r="BA12" s="23" t="s">
        <v>337</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33"/>
      <c r="P13" s="36" t="str">
        <f t="shared" si="2"/>
        <v/>
      </c>
      <c r="Q13" s="33"/>
      <c r="R13" s="36" t="str">
        <f t="shared" si="3"/>
        <v/>
      </c>
      <c r="S13" s="33"/>
      <c r="T13" s="36" t="str">
        <f t="shared" si="4"/>
        <v/>
      </c>
      <c r="U13" s="33"/>
      <c r="V13" s="36" t="str">
        <f>IF((ISERROR((U13/$H13)*100)), "", IF(AND(NOT(ISERROR((U13/$H13)*100)),((U13/$H13)*100) &lt;&gt; 0), (U13/$H13)*100, ""))</f>
        <v/>
      </c>
      <c r="W13" s="76"/>
      <c r="X13" s="36" t="str">
        <f t="shared" si="6"/>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76"/>
      <c r="AF13" s="36" t="str">
        <f t="shared" si="10"/>
        <v/>
      </c>
      <c r="AG13" s="33">
        <v>1</v>
      </c>
      <c r="AH13" s="36">
        <f t="shared" si="11"/>
        <v>7.6923076923076925</v>
      </c>
      <c r="AI13" s="33"/>
      <c r="AJ13" s="36" t="str">
        <f t="shared" si="12"/>
        <v/>
      </c>
      <c r="AK13" s="33"/>
      <c r="AL13" s="36" t="str">
        <f t="shared" si="13"/>
        <v/>
      </c>
      <c r="AM13" s="33"/>
      <c r="AN13" s="36" t="str">
        <f t="shared" si="14"/>
        <v/>
      </c>
      <c r="AO13" s="33"/>
      <c r="AP13" s="36" t="str">
        <f t="shared" si="15"/>
        <v/>
      </c>
      <c r="AQ13" s="33"/>
      <c r="AR13" s="36" t="str">
        <f>IF((ISERROR((AQ13/$H13)*100)), "", IF(AND(NOT(ISERROR((AQ13/$H13)*100)),((AQ13/$H13)*100) &lt;&gt; 0), (AQ13/$H13)*100, ""))</f>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6"/>
      <c r="X14" s="36" t="str">
        <f t="shared" si="6"/>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6"/>
      <c r="X15" s="36" t="str">
        <f t="shared" si="6"/>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76"/>
      <c r="AF15" s="36" t="str">
        <f t="shared" si="10"/>
        <v/>
      </c>
      <c r="AG15" s="33">
        <v>5</v>
      </c>
      <c r="AH15" s="36">
        <f t="shared" si="11"/>
        <v>41.666666666666671</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2</v>
      </c>
      <c r="L16" s="39">
        <f t="shared" si="0"/>
        <v>25</v>
      </c>
      <c r="M16" s="33"/>
      <c r="N16" s="36" t="str">
        <f t="shared" si="1"/>
        <v/>
      </c>
      <c r="O16" s="38">
        <v>5</v>
      </c>
      <c r="P16" s="39">
        <f t="shared" si="2"/>
        <v>62.5</v>
      </c>
      <c r="Q16" s="38">
        <v>2</v>
      </c>
      <c r="R16" s="39">
        <f t="shared" si="3"/>
        <v>25</v>
      </c>
      <c r="S16" s="38">
        <v>1</v>
      </c>
      <c r="T16" s="39">
        <f t="shared" si="4"/>
        <v>12.5</v>
      </c>
      <c r="U16" s="38">
        <v>1</v>
      </c>
      <c r="V16" s="39">
        <f>IF((ISERROR((U16/$H16)*100)), "", IF(AND(NOT(ISERROR((U16/$H16)*100)),((U16/$H16)*100) &lt;&gt; 0), (U16/$H16)*100, ""))</f>
        <v>12.5</v>
      </c>
      <c r="W16" s="76">
        <v>1</v>
      </c>
      <c r="X16" s="36">
        <f t="shared" si="6"/>
        <v>12.5</v>
      </c>
      <c r="Y16" s="38">
        <v>1</v>
      </c>
      <c r="Z16" s="39">
        <f>IF((ISERROR((Y16/$H16)*100)), "", IF(AND(NOT(ISERROR((Y16/$H16)*100)),((Y16/$H16)*100) &lt;&gt; 0), (Y16/$H16)*100, ""))</f>
        <v>12.5</v>
      </c>
      <c r="AA16" s="38">
        <v>1</v>
      </c>
      <c r="AB16" s="39">
        <f>IF((ISERROR((AA16/$H16)*100)), "", IF(AND(NOT(ISERROR((AA16/$H16)*100)),((AA16/$H16)*100) &lt;&gt; 0), (AA16/$H16)*100, ""))</f>
        <v>12.5</v>
      </c>
      <c r="AC16" s="33"/>
      <c r="AD16" s="36" t="str">
        <f>IF((ISERROR((AC16/$H16)*100)), "", IF(AND(NOT(ISERROR((AC16/$H16)*100)),((AC16/$H16)*100) &lt;&gt; 0), (AC16/$H16)*100, ""))</f>
        <v/>
      </c>
      <c r="AE16" s="76"/>
      <c r="AF16" s="36" t="str">
        <f t="shared" si="10"/>
        <v/>
      </c>
      <c r="AG16" s="33"/>
      <c r="AH16" s="36" t="str">
        <f t="shared" si="11"/>
        <v/>
      </c>
      <c r="AI16" s="33"/>
      <c r="AJ16" s="36" t="str">
        <f t="shared" si="12"/>
        <v/>
      </c>
      <c r="AK16" s="38">
        <v>1</v>
      </c>
      <c r="AL16" s="39">
        <f t="shared" si="13"/>
        <v>12.5</v>
      </c>
      <c r="AM16" s="33"/>
      <c r="AN16" s="36" t="str">
        <f t="shared" si="14"/>
        <v/>
      </c>
      <c r="AO16" s="33"/>
      <c r="AP16" s="36" t="str">
        <f t="shared" si="15"/>
        <v/>
      </c>
      <c r="AQ16" s="38">
        <v>1</v>
      </c>
      <c r="AR16" s="39">
        <f>IF((ISERROR((AQ16/$H16)*100)), "", IF(AND(NOT(ISERROR((AQ16/$H16)*100)),((AQ16/$H16)*100) &lt;&gt; 0), (AQ16/$H16)*100, ""))</f>
        <v>12.5</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2"/>
      <c r="C17" s="24" t="s">
        <v>85</v>
      </c>
      <c r="D17" s="23" t="s">
        <v>264</v>
      </c>
      <c r="E17" s="23" t="s">
        <v>265</v>
      </c>
      <c r="F17" s="24">
        <v>2013</v>
      </c>
      <c r="H17" s="89">
        <v>12</v>
      </c>
      <c r="I17" s="85" t="s">
        <v>216</v>
      </c>
      <c r="J17" s="86" t="s">
        <v>341</v>
      </c>
      <c r="K17" s="33"/>
      <c r="L17" s="36" t="str">
        <f t="shared" si="0"/>
        <v/>
      </c>
      <c r="M17" s="33"/>
      <c r="N17" s="36" t="str">
        <f t="shared" si="1"/>
        <v/>
      </c>
      <c r="O17" s="33"/>
      <c r="P17" s="36" t="str">
        <f t="shared" si="2"/>
        <v/>
      </c>
      <c r="Q17" s="33"/>
      <c r="R17" s="36" t="str">
        <f t="shared" si="3"/>
        <v/>
      </c>
      <c r="S17" s="38"/>
      <c r="T17" s="39" t="str">
        <f t="shared" si="4"/>
        <v/>
      </c>
      <c r="U17" s="33"/>
      <c r="V17" s="36" t="str">
        <f>IF((ISERROR((U17/$H17)*100)), "", IF(AND(NOT(ISERROR((U17/$H17)*100)),((U17/$H17)*100) &lt;&gt; 0), (U17/$H17)*100, ""))</f>
        <v/>
      </c>
      <c r="W17" s="40"/>
      <c r="X17" s="39" t="str">
        <f t="shared" si="6"/>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IF((ISERROR((AQ17/$H17)*100)), "", IF(AND(NOT(ISERROR((AQ17/$H17)*100)),((AQ17/$H17)*100) &lt;&gt; 0), (AQ17/$H17)*100, ""))</f>
        <v/>
      </c>
      <c r="AS17" s="33"/>
      <c r="AT17" s="36" t="str">
        <f t="shared" si="17"/>
        <v/>
      </c>
      <c r="AU17" s="33"/>
      <c r="AV17" s="36" t="str">
        <f t="shared" si="18"/>
        <v/>
      </c>
      <c r="AW17" s="33"/>
      <c r="AX17" s="36" t="str">
        <f t="shared" si="19"/>
        <v/>
      </c>
      <c r="AY17" s="33"/>
      <c r="AZ17" s="36" t="str">
        <f t="shared" si="20"/>
        <v/>
      </c>
      <c r="BA17" s="23" t="s">
        <v>405</v>
      </c>
    </row>
    <row r="18" spans="1:53" ht="20" customHeight="1" x14ac:dyDescent="0.2">
      <c r="A18" s="60"/>
      <c r="B18" s="82"/>
      <c r="C18" s="24" t="s">
        <v>85</v>
      </c>
      <c r="D18" s="23" t="s">
        <v>266</v>
      </c>
      <c r="E18" s="23" t="s">
        <v>267</v>
      </c>
      <c r="F18" s="24">
        <v>2000</v>
      </c>
      <c r="H18" s="89">
        <v>9</v>
      </c>
      <c r="I18" s="85" t="s">
        <v>220</v>
      </c>
      <c r="J18" s="86" t="s">
        <v>169</v>
      </c>
      <c r="K18" s="33"/>
      <c r="L18" s="36" t="str">
        <f t="shared" si="0"/>
        <v/>
      </c>
      <c r="M18" s="33"/>
      <c r="N18" s="36" t="str">
        <f t="shared" si="1"/>
        <v/>
      </c>
      <c r="O18" s="33">
        <v>1</v>
      </c>
      <c r="P18" s="36">
        <f t="shared" si="2"/>
        <v>11.111111111111111</v>
      </c>
      <c r="Q18" s="33"/>
      <c r="R18" s="36" t="str">
        <f t="shared" si="3"/>
        <v/>
      </c>
      <c r="S18" s="33">
        <v>1</v>
      </c>
      <c r="T18" s="36">
        <f t="shared" si="4"/>
        <v>11.111111111111111</v>
      </c>
      <c r="U18" s="33"/>
      <c r="V18" s="36" t="str">
        <f t="shared" ref="V18" si="21">IF((ISERROR((U18/$H18)*100)), "", IF(AND(NOT(ISERROR((U18/$H18)*100)),((U18/$H18)*100) &lt;&gt; 0), (U18/$H18)*100, ""))</f>
        <v/>
      </c>
      <c r="W18" s="76">
        <v>1</v>
      </c>
      <c r="X18" s="36">
        <f t="shared" si="6"/>
        <v>11.111111111111111</v>
      </c>
      <c r="Y18" s="33"/>
      <c r="Z18" s="36" t="str">
        <f t="shared" ref="Z18" si="22">IF((ISERROR((Y18/$H18)*100)), "", IF(AND(NOT(ISERROR((Y18/$H18)*100)),((Y18/$H18)*100) &lt;&gt; 0), (Y18/$H18)*100, ""))</f>
        <v/>
      </c>
      <c r="AA18" s="33"/>
      <c r="AB18" s="36" t="str">
        <f t="shared" ref="AB18" si="23">IF((ISERROR((AA18/$H18)*100)), "", IF(AND(NOT(ISERROR((AA18/$H18)*100)),((AA18/$H18)*100) &lt;&gt; 0), (AA18/$H18)*100, ""))</f>
        <v/>
      </c>
      <c r="AC18" s="33"/>
      <c r="AD18" s="36" t="str">
        <f t="shared" ref="AD18" si="24">IF((ISERROR((AC18/$H18)*100)), "", IF(AND(NOT(ISERROR((AC18/$H18)*100)),((AC18/$H18)*100) &lt;&gt; 0), (AC18/$H18)*100, ""))</f>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ref="AR18" si="25">IF((ISERROR((AQ18/$H18)*100)), "", IF(AND(NOT(ISERROR((AQ18/$H18)*100)),((AQ18/$H18)*100) &lt;&gt; 0), (AQ18/$H18)*100, ""))</f>
        <v/>
      </c>
      <c r="AS18" s="33"/>
      <c r="AT18" s="36" t="str">
        <f t="shared" ref="AT18:AT24" si="26">IF((ISERROR((AS18/$H18)*100)), "", IF(AND(NOT(ISERROR((AS18/$H18)*100)),((AS18/$H18)*100) &lt;&gt; 0), (AS18/$H18)*100, ""))</f>
        <v/>
      </c>
      <c r="AU18" s="33"/>
      <c r="AV18" s="36" t="str">
        <f t="shared" si="18"/>
        <v/>
      </c>
      <c r="AW18" s="33"/>
      <c r="AX18" s="36" t="str">
        <f t="shared" si="19"/>
        <v/>
      </c>
      <c r="AY18" s="33"/>
      <c r="AZ18" s="36" t="str">
        <f t="shared" si="20"/>
        <v/>
      </c>
      <c r="BA18" s="23" t="s">
        <v>342</v>
      </c>
    </row>
    <row r="19" spans="1:53" ht="20" customHeight="1" x14ac:dyDescent="0.2">
      <c r="A19" s="60"/>
      <c r="B19" s="82"/>
      <c r="C19" s="24" t="s">
        <v>85</v>
      </c>
      <c r="D19" s="23" t="s">
        <v>406</v>
      </c>
      <c r="E19" s="23" t="s">
        <v>407</v>
      </c>
      <c r="F19" s="24">
        <v>2013</v>
      </c>
      <c r="H19" s="89">
        <v>38</v>
      </c>
      <c r="I19" s="85" t="s">
        <v>408</v>
      </c>
      <c r="J19" s="86" t="s">
        <v>169</v>
      </c>
      <c r="K19" s="33"/>
      <c r="L19" s="36" t="str">
        <f t="shared" si="0"/>
        <v/>
      </c>
      <c r="M19" s="33"/>
      <c r="N19" s="36" t="str">
        <f t="shared" si="1"/>
        <v/>
      </c>
      <c r="O19" s="33"/>
      <c r="P19" s="36" t="str">
        <f t="shared" si="2"/>
        <v/>
      </c>
      <c r="Q19" s="33"/>
      <c r="R19" s="36" t="str">
        <f t="shared" si="3"/>
        <v/>
      </c>
      <c r="S19" s="33"/>
      <c r="T19" s="36" t="str">
        <f t="shared" si="4"/>
        <v/>
      </c>
      <c r="U19" s="33"/>
      <c r="V19" s="36" t="str">
        <f t="shared" ref="V19:V24" si="27">IF((ISERROR((U19/$H19)*100)), "", IF(AND(NOT(ISERROR((U19/$H19)*100)),((U19/$H19)*100) &lt;&gt; 0), (U19/$H19)*100, ""))</f>
        <v/>
      </c>
      <c r="W19" s="33"/>
      <c r="X19" s="36" t="str">
        <f t="shared" si="6"/>
        <v/>
      </c>
      <c r="Y19" s="33"/>
      <c r="Z19" s="36" t="str">
        <f t="shared" ref="Z19:Z24" si="28">IF((ISERROR((Y19/$H19)*100)), "", IF(AND(NOT(ISERROR((Y19/$H19)*100)),((Y19/$H19)*100) &lt;&gt; 0), (Y19/$H19)*100, ""))</f>
        <v/>
      </c>
      <c r="AA19" s="33"/>
      <c r="AB19" s="36" t="str">
        <f t="shared" ref="AB19:AB24" si="29">IF((ISERROR((AA19/$H19)*100)), "", IF(AND(NOT(ISERROR((AA19/$H19)*100)),((AA19/$H19)*100) &lt;&gt; 0), (AA19/$H19)*100, ""))</f>
        <v/>
      </c>
      <c r="AC19" s="33"/>
      <c r="AD19" s="36" t="str">
        <f t="shared" ref="AD19:AD24" si="30">IF((ISERROR((AC19/$H19)*100)), "", IF(AND(NOT(ISERROR((AC19/$H19)*100)),((AC19/$H19)*100) &lt;&gt; 0), (AC19/$H19)*100, ""))</f>
        <v/>
      </c>
      <c r="AE19" s="76">
        <v>37</v>
      </c>
      <c r="AF19" s="36">
        <f t="shared" si="10"/>
        <v>97.368421052631575</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AR24" si="31">IF((ISERROR((AQ19/$H19)*100)), "", IF(AND(NOT(ISERROR((AQ19/$H19)*100)),((AQ19/$H19)*100) &lt;&gt; 0), (AQ19/$H19)*100, ""))</f>
        <v/>
      </c>
      <c r="AS19" s="33"/>
      <c r="AT19" s="36" t="str">
        <f t="shared" si="26"/>
        <v/>
      </c>
      <c r="AU19" s="33"/>
      <c r="AV19" s="36" t="str">
        <f t="shared" si="18"/>
        <v/>
      </c>
      <c r="AW19" s="33"/>
      <c r="AX19" s="36" t="str">
        <f t="shared" si="19"/>
        <v/>
      </c>
      <c r="AY19" s="33"/>
      <c r="AZ19" s="36" t="str">
        <f t="shared" si="20"/>
        <v/>
      </c>
      <c r="BA19" s="23" t="s">
        <v>416</v>
      </c>
    </row>
    <row r="20" spans="1:53" ht="20" customHeight="1" x14ac:dyDescent="0.2">
      <c r="A20" s="60"/>
      <c r="B20" s="82"/>
      <c r="C20" s="24" t="s">
        <v>85</v>
      </c>
      <c r="D20" s="23" t="s">
        <v>270</v>
      </c>
      <c r="E20" s="23" t="s">
        <v>271</v>
      </c>
      <c r="F20" s="24">
        <v>1994</v>
      </c>
      <c r="H20" s="89">
        <v>20</v>
      </c>
      <c r="I20" s="85" t="s">
        <v>343</v>
      </c>
      <c r="J20" s="86"/>
      <c r="K20" s="33"/>
      <c r="L20" s="36" t="str">
        <f t="shared" si="0"/>
        <v/>
      </c>
      <c r="M20" s="33"/>
      <c r="N20" s="36" t="str">
        <f t="shared" si="1"/>
        <v/>
      </c>
      <c r="O20" s="33"/>
      <c r="P20" s="36" t="str">
        <f t="shared" si="2"/>
        <v/>
      </c>
      <c r="Q20" s="33"/>
      <c r="R20" s="36" t="str">
        <f t="shared" si="3"/>
        <v/>
      </c>
      <c r="S20" s="38"/>
      <c r="T20" s="39" t="str">
        <f t="shared" si="4"/>
        <v/>
      </c>
      <c r="U20" s="38"/>
      <c r="V20" s="39" t="str">
        <f t="shared" si="27"/>
        <v/>
      </c>
      <c r="W20" s="40"/>
      <c r="X20" s="39" t="str">
        <f t="shared" si="6"/>
        <v/>
      </c>
      <c r="Y20" s="33"/>
      <c r="Z20" s="36" t="str">
        <f t="shared" si="28"/>
        <v/>
      </c>
      <c r="AA20" s="33"/>
      <c r="AB20" s="36" t="str">
        <f t="shared" si="29"/>
        <v/>
      </c>
      <c r="AC20" s="33"/>
      <c r="AD20" s="36" t="str">
        <f t="shared" si="30"/>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31"/>
        <v/>
      </c>
      <c r="AS20" s="33"/>
      <c r="AT20" s="36" t="str">
        <f t="shared" si="26"/>
        <v/>
      </c>
      <c r="AU20" s="33"/>
      <c r="AV20" s="36" t="str">
        <f t="shared" si="18"/>
        <v/>
      </c>
      <c r="AW20" s="33"/>
      <c r="AX20" s="36" t="str">
        <f t="shared" si="19"/>
        <v/>
      </c>
      <c r="AY20" s="33"/>
      <c r="AZ20" s="36" t="str">
        <f t="shared" si="20"/>
        <v/>
      </c>
      <c r="BA20" s="23" t="s">
        <v>409</v>
      </c>
    </row>
    <row r="21" spans="1:53" ht="20" customHeight="1" x14ac:dyDescent="0.2">
      <c r="A21" s="60"/>
      <c r="B21" s="82"/>
      <c r="C21" s="24" t="s">
        <v>85</v>
      </c>
      <c r="D21" s="23" t="s">
        <v>54</v>
      </c>
      <c r="E21" s="23" t="s">
        <v>55</v>
      </c>
      <c r="F21" s="24">
        <v>1996</v>
      </c>
      <c r="G21" s="24">
        <v>82</v>
      </c>
      <c r="H21" s="89">
        <v>15</v>
      </c>
      <c r="I21" s="85" t="s">
        <v>177</v>
      </c>
      <c r="J21" s="86" t="s">
        <v>179</v>
      </c>
      <c r="K21" s="33">
        <v>1</v>
      </c>
      <c r="L21" s="36">
        <f t="shared" si="0"/>
        <v>6.666666666666667</v>
      </c>
      <c r="M21" s="33"/>
      <c r="N21" s="36" t="str">
        <f t="shared" si="1"/>
        <v/>
      </c>
      <c r="O21" s="33"/>
      <c r="P21" s="36" t="str">
        <f t="shared" si="2"/>
        <v/>
      </c>
      <c r="Q21" s="33"/>
      <c r="R21" s="36" t="str">
        <f t="shared" si="3"/>
        <v/>
      </c>
      <c r="S21" s="33"/>
      <c r="T21" s="36" t="str">
        <f t="shared" si="4"/>
        <v/>
      </c>
      <c r="U21" s="33"/>
      <c r="V21" s="36" t="str">
        <f t="shared" si="27"/>
        <v/>
      </c>
      <c r="W21" s="76">
        <v>1</v>
      </c>
      <c r="X21" s="36">
        <f t="shared" si="6"/>
        <v>6.666666666666667</v>
      </c>
      <c r="Y21" s="33"/>
      <c r="Z21" s="36" t="str">
        <f t="shared" si="28"/>
        <v/>
      </c>
      <c r="AA21" s="33"/>
      <c r="AB21" s="36" t="str">
        <f t="shared" si="29"/>
        <v/>
      </c>
      <c r="AC21" s="33"/>
      <c r="AD21" s="36" t="str">
        <f t="shared" si="30"/>
        <v/>
      </c>
      <c r="AE21" s="76"/>
      <c r="AF21" s="36" t="str">
        <f t="shared" si="10"/>
        <v/>
      </c>
      <c r="AG21" s="33">
        <v>3</v>
      </c>
      <c r="AH21" s="36">
        <f t="shared" si="11"/>
        <v>20</v>
      </c>
      <c r="AI21" s="33">
        <v>1</v>
      </c>
      <c r="AJ21" s="36">
        <f t="shared" si="12"/>
        <v>6.666666666666667</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347</v>
      </c>
    </row>
    <row r="22" spans="1:53" ht="20" customHeight="1" x14ac:dyDescent="0.2">
      <c r="A22" s="60"/>
      <c r="B22" s="82"/>
      <c r="C22" s="24" t="s">
        <v>85</v>
      </c>
      <c r="D22" s="23" t="s">
        <v>276</v>
      </c>
      <c r="E22" s="23" t="s">
        <v>277</v>
      </c>
      <c r="F22" s="24">
        <v>2014</v>
      </c>
      <c r="H22" s="89">
        <v>39</v>
      </c>
      <c r="I22" s="85" t="s">
        <v>411</v>
      </c>
      <c r="J22" s="86" t="s">
        <v>346</v>
      </c>
      <c r="K22" s="33">
        <v>22</v>
      </c>
      <c r="L22" s="36">
        <f t="shared" si="0"/>
        <v>56.410256410256409</v>
      </c>
      <c r="M22" s="33"/>
      <c r="N22" s="36" t="str">
        <f t="shared" si="1"/>
        <v/>
      </c>
      <c r="O22" s="33"/>
      <c r="P22" s="36" t="str">
        <f t="shared" si="2"/>
        <v/>
      </c>
      <c r="Q22" s="33"/>
      <c r="R22" s="36" t="str">
        <f t="shared" si="3"/>
        <v/>
      </c>
      <c r="S22" s="33">
        <v>22</v>
      </c>
      <c r="T22" s="36">
        <f t="shared" si="4"/>
        <v>56.410256410256409</v>
      </c>
      <c r="U22" s="33">
        <v>23</v>
      </c>
      <c r="V22" s="36">
        <f t="shared" si="27"/>
        <v>58.974358974358978</v>
      </c>
      <c r="W22" s="76"/>
      <c r="X22" s="36" t="str">
        <f t="shared" si="6"/>
        <v/>
      </c>
      <c r="Y22" s="33"/>
      <c r="Z22" s="36" t="str">
        <f t="shared" si="28"/>
        <v/>
      </c>
      <c r="AA22" s="33"/>
      <c r="AB22" s="36" t="str">
        <f t="shared" si="29"/>
        <v/>
      </c>
      <c r="AC22" s="33"/>
      <c r="AD22" s="36" t="str">
        <f t="shared" si="30"/>
        <v/>
      </c>
      <c r="AE22" s="76"/>
      <c r="AF22" s="36" t="str">
        <f t="shared" si="10"/>
        <v/>
      </c>
      <c r="AG22" s="33"/>
      <c r="AH22" s="36" t="str">
        <f t="shared" si="11"/>
        <v/>
      </c>
      <c r="AI22" s="33"/>
      <c r="AJ22" s="36" t="str">
        <f t="shared" si="12"/>
        <v/>
      </c>
      <c r="AK22" s="33"/>
      <c r="AL22" s="36" t="str">
        <f t="shared" si="13"/>
        <v/>
      </c>
      <c r="AM22" s="33"/>
      <c r="AN22" s="36" t="str">
        <f t="shared" si="14"/>
        <v/>
      </c>
      <c r="AO22" s="33">
        <v>8</v>
      </c>
      <c r="AP22" s="36">
        <f t="shared" si="15"/>
        <v>20.512820512820511</v>
      </c>
      <c r="AQ22" s="33"/>
      <c r="AR22" s="36" t="str">
        <f t="shared" si="31"/>
        <v/>
      </c>
      <c r="AS22" s="33">
        <v>3</v>
      </c>
      <c r="AT22" s="36">
        <f t="shared" si="26"/>
        <v>7.6923076923076925</v>
      </c>
      <c r="AU22" s="33"/>
      <c r="AV22" s="36" t="str">
        <f t="shared" si="18"/>
        <v/>
      </c>
      <c r="AW22" s="33"/>
      <c r="AX22" s="36" t="str">
        <f t="shared" si="19"/>
        <v/>
      </c>
      <c r="AY22" s="33"/>
      <c r="AZ22" s="36" t="str">
        <f t="shared" si="20"/>
        <v/>
      </c>
      <c r="BA22" s="23" t="s">
        <v>352</v>
      </c>
    </row>
    <row r="23" spans="1:53" ht="20" customHeight="1" x14ac:dyDescent="0.2">
      <c r="A23" s="61"/>
      <c r="B23" s="82"/>
      <c r="C23" s="24" t="s">
        <v>85</v>
      </c>
      <c r="D23" s="23" t="s">
        <v>280</v>
      </c>
      <c r="E23" s="23" t="s">
        <v>281</v>
      </c>
      <c r="F23" s="24">
        <v>2001</v>
      </c>
      <c r="H23" s="89">
        <v>9</v>
      </c>
      <c r="I23" s="85"/>
      <c r="J23" s="86" t="s">
        <v>354</v>
      </c>
      <c r="K23" s="33"/>
      <c r="L23" s="36" t="str">
        <f t="shared" si="0"/>
        <v/>
      </c>
      <c r="M23" s="33"/>
      <c r="N23" s="36" t="str">
        <f t="shared" si="1"/>
        <v/>
      </c>
      <c r="O23" s="33"/>
      <c r="P23" s="36" t="str">
        <f t="shared" si="2"/>
        <v/>
      </c>
      <c r="Q23" s="33"/>
      <c r="R23" s="36" t="str">
        <f t="shared" si="3"/>
        <v/>
      </c>
      <c r="S23" s="33"/>
      <c r="T23" s="36" t="str">
        <f t="shared" si="4"/>
        <v/>
      </c>
      <c r="U23" s="33"/>
      <c r="V23" s="36" t="str">
        <f t="shared" si="27"/>
        <v/>
      </c>
      <c r="W23" s="40"/>
      <c r="X23" s="39" t="str">
        <f t="shared" si="6"/>
        <v/>
      </c>
      <c r="Y23" s="33"/>
      <c r="Z23" s="36" t="str">
        <f t="shared" si="28"/>
        <v/>
      </c>
      <c r="AA23" s="33"/>
      <c r="AB23" s="36" t="str">
        <f t="shared" si="29"/>
        <v/>
      </c>
      <c r="AC23" s="33"/>
      <c r="AD23" s="36" t="str">
        <f t="shared" si="30"/>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31"/>
        <v/>
      </c>
      <c r="AS23" s="33"/>
      <c r="AT23" s="36" t="str">
        <f t="shared" si="26"/>
        <v/>
      </c>
      <c r="AU23" s="33"/>
      <c r="AV23" s="36" t="str">
        <f t="shared" si="18"/>
        <v/>
      </c>
      <c r="AW23" s="33"/>
      <c r="AX23" s="36" t="str">
        <f t="shared" si="19"/>
        <v/>
      </c>
      <c r="AY23" s="33"/>
      <c r="AZ23" s="36" t="str">
        <f t="shared" si="20"/>
        <v/>
      </c>
      <c r="BA23" s="23" t="s">
        <v>355</v>
      </c>
    </row>
    <row r="24" spans="1:53" ht="20" customHeight="1" x14ac:dyDescent="0.2">
      <c r="A24" s="60"/>
      <c r="B24" s="82"/>
      <c r="C24" s="24" t="s">
        <v>85</v>
      </c>
      <c r="D24" s="23" t="s">
        <v>63</v>
      </c>
      <c r="E24" s="23" t="s">
        <v>64</v>
      </c>
      <c r="F24" s="24">
        <v>2012</v>
      </c>
      <c r="G24" s="24">
        <v>83</v>
      </c>
      <c r="H24" s="89">
        <v>70</v>
      </c>
      <c r="I24" s="85" t="s">
        <v>183</v>
      </c>
      <c r="J24" s="86" t="s">
        <v>193</v>
      </c>
      <c r="K24" s="33"/>
      <c r="L24" s="36" t="str">
        <f t="shared" si="0"/>
        <v/>
      </c>
      <c r="M24" s="33"/>
      <c r="N24" s="36" t="str">
        <f t="shared" si="1"/>
        <v/>
      </c>
      <c r="O24" s="33"/>
      <c r="P24" s="36" t="str">
        <f t="shared" si="2"/>
        <v/>
      </c>
      <c r="Q24" s="33"/>
      <c r="R24" s="36" t="str">
        <f t="shared" si="3"/>
        <v/>
      </c>
      <c r="S24" s="33">
        <v>9</v>
      </c>
      <c r="T24" s="36">
        <f t="shared" si="4"/>
        <v>12.857142857142856</v>
      </c>
      <c r="U24" s="33">
        <v>8</v>
      </c>
      <c r="V24" s="36">
        <f t="shared" si="27"/>
        <v>11.428571428571429</v>
      </c>
      <c r="W24" s="76">
        <v>31</v>
      </c>
      <c r="X24" s="36">
        <f t="shared" si="6"/>
        <v>44.285714285714285</v>
      </c>
      <c r="Y24" s="33"/>
      <c r="Z24" s="36" t="str">
        <f t="shared" si="28"/>
        <v/>
      </c>
      <c r="AA24" s="33"/>
      <c r="AB24" s="36" t="str">
        <f t="shared" si="29"/>
        <v/>
      </c>
      <c r="AC24" s="33"/>
      <c r="AD24" s="36" t="str">
        <f t="shared" si="30"/>
        <v/>
      </c>
      <c r="AE24" s="76">
        <v>1</v>
      </c>
      <c r="AF24" s="36">
        <f t="shared" si="10"/>
        <v>1.4285714285714286</v>
      </c>
      <c r="AG24" s="33">
        <v>10</v>
      </c>
      <c r="AH24" s="36">
        <f t="shared" si="11"/>
        <v>14.285714285714285</v>
      </c>
      <c r="AI24" s="33"/>
      <c r="AJ24" s="36" t="str">
        <f t="shared" si="12"/>
        <v/>
      </c>
      <c r="AK24" s="33"/>
      <c r="AL24" s="36" t="str">
        <f t="shared" si="13"/>
        <v/>
      </c>
      <c r="AM24" s="33"/>
      <c r="AN24" s="36" t="str">
        <f t="shared" si="14"/>
        <v/>
      </c>
      <c r="AO24" s="33">
        <v>1</v>
      </c>
      <c r="AP24" s="36">
        <f t="shared" si="15"/>
        <v>1.4285714285714286</v>
      </c>
      <c r="AQ24" s="33"/>
      <c r="AR24" s="36" t="str">
        <f t="shared" si="31"/>
        <v/>
      </c>
      <c r="AS24" s="33">
        <v>3</v>
      </c>
      <c r="AT24" s="36">
        <f t="shared" si="26"/>
        <v>4.2857142857142856</v>
      </c>
      <c r="AU24" s="33"/>
      <c r="AV24" s="36" t="str">
        <f t="shared" si="18"/>
        <v/>
      </c>
      <c r="AW24" s="33"/>
      <c r="AX24" s="36" t="str">
        <f t="shared" si="19"/>
        <v/>
      </c>
      <c r="AY24" s="33"/>
      <c r="AZ24" s="36" t="str">
        <f t="shared" si="20"/>
        <v/>
      </c>
      <c r="BA24" s="23" t="s">
        <v>418</v>
      </c>
    </row>
    <row r="25" spans="1:53" ht="20" customHeight="1" x14ac:dyDescent="0.2">
      <c r="A25" s="60"/>
      <c r="B25" s="82"/>
      <c r="D25" s="23" t="s">
        <v>282</v>
      </c>
      <c r="E25" s="23" t="s">
        <v>285</v>
      </c>
      <c r="F25" s="24">
        <v>2008</v>
      </c>
      <c r="H25" s="89"/>
      <c r="I25" s="85"/>
      <c r="J25" s="86" t="s">
        <v>356</v>
      </c>
      <c r="K25" s="33"/>
      <c r="L25" s="36" t="str">
        <f t="shared" si="0"/>
        <v/>
      </c>
      <c r="M25" s="33"/>
      <c r="N25" s="36" t="str">
        <f t="shared" si="1"/>
        <v/>
      </c>
      <c r="O25" s="33"/>
      <c r="P25" s="36" t="str">
        <f t="shared" si="2"/>
        <v/>
      </c>
      <c r="Q25" s="33"/>
      <c r="R25" s="36" t="str">
        <f t="shared" si="3"/>
        <v/>
      </c>
      <c r="S25" s="33">
        <v>2</v>
      </c>
      <c r="T25" s="36" t="str">
        <f t="shared" si="4"/>
        <v/>
      </c>
      <c r="U25" s="33"/>
      <c r="V25" s="36" t="str">
        <f t="shared" ref="V25" si="32">IF((ISERROR((U25/$H25)*100)), "", IF(AND(NOT(ISERROR((U25/$H25)*100)),((U25/$H25)*100) &lt;&gt; 0), (U25/$H25)*100, ""))</f>
        <v/>
      </c>
      <c r="W25" s="76"/>
      <c r="X25" s="36" t="str">
        <f t="shared" si="6"/>
        <v/>
      </c>
      <c r="Y25" s="33"/>
      <c r="Z25" s="36" t="str">
        <f t="shared" ref="Z25" si="33">IF((ISERROR((Y25/$H25)*100)), "", IF(AND(NOT(ISERROR((Y25/$H25)*100)),((Y25/$H25)*100) &lt;&gt; 0), (Y25/$H25)*100, ""))</f>
        <v/>
      </c>
      <c r="AA25" s="33"/>
      <c r="AB25" s="36" t="str">
        <f t="shared" ref="AB25" si="34">IF((ISERROR((AA25/$H25)*100)), "", IF(AND(NOT(ISERROR((AA25/$H25)*100)),((AA25/$H25)*100) &lt;&gt; 0), (AA25/$H25)*100, ""))</f>
        <v/>
      </c>
      <c r="AC25" s="33"/>
      <c r="AD25" s="36" t="str">
        <f t="shared" ref="AD25" si="35">IF((ISERROR((AC25/$H25)*100)), "", IF(AND(NOT(ISERROR((AC25/$H25)*100)),((AC25/$H25)*100) &lt;&gt; 0), (AC25/$H25)*100, ""))</f>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ref="AR25" si="36">IF((ISERROR((AQ25/$H25)*100)), "", IF(AND(NOT(ISERROR((AQ25/$H25)*100)),((AQ25/$H25)*100) &lt;&gt; 0), (AQ25/$H25)*100, ""))</f>
        <v/>
      </c>
      <c r="AS25" s="33"/>
      <c r="AT25" s="36" t="str">
        <f t="shared" ref="AT25:AT27" si="37">IF((ISERROR((AS25/$H25)*100)), "", IF(AND(NOT(ISERROR((AS25/$H25)*100)),((AS25/$H25)*100) &lt;&gt; 0), (AS25/$H25)*100, ""))</f>
        <v/>
      </c>
      <c r="AU25" s="33"/>
      <c r="AV25" s="36" t="str">
        <f t="shared" si="18"/>
        <v/>
      </c>
      <c r="AW25" s="33"/>
      <c r="AX25" s="36" t="str">
        <f t="shared" si="19"/>
        <v/>
      </c>
      <c r="AY25" s="33"/>
      <c r="AZ25" s="36" t="str">
        <f t="shared" si="20"/>
        <v/>
      </c>
    </row>
    <row r="26" spans="1:53" ht="20" customHeight="1" x14ac:dyDescent="0.2">
      <c r="A26" s="60"/>
      <c r="B26" s="82"/>
      <c r="C26" s="24" t="s">
        <v>85</v>
      </c>
      <c r="D26" s="23" t="s">
        <v>286</v>
      </c>
      <c r="E26" s="23" t="s">
        <v>287</v>
      </c>
      <c r="F26" s="24">
        <v>2014</v>
      </c>
      <c r="H26" s="89">
        <v>28</v>
      </c>
      <c r="I26" s="85" t="s">
        <v>186</v>
      </c>
      <c r="J26" s="86" t="s">
        <v>195</v>
      </c>
      <c r="K26" s="33"/>
      <c r="L26" s="36" t="str">
        <f t="shared" si="0"/>
        <v/>
      </c>
      <c r="M26" s="33"/>
      <c r="N26" s="36" t="str">
        <f t="shared" si="1"/>
        <v/>
      </c>
      <c r="O26" s="33"/>
      <c r="P26" s="36" t="str">
        <f t="shared" si="2"/>
        <v/>
      </c>
      <c r="Q26" s="33"/>
      <c r="R26" s="36" t="str">
        <f t="shared" si="3"/>
        <v/>
      </c>
      <c r="S26" s="33"/>
      <c r="T26" s="36" t="str">
        <f t="shared" si="4"/>
        <v/>
      </c>
      <c r="U26" s="33"/>
      <c r="V26" s="36" t="str">
        <f>IF((ISERROR((U26/$H26)*100)), "", IF(AND(NOT(ISERROR((U26/$H26)*100)),((U26/$H26)*100) &lt;&gt; 0), (U26/$H26)*100, ""))</f>
        <v/>
      </c>
      <c r="W26" s="76">
        <v>3</v>
      </c>
      <c r="X26" s="36">
        <f t="shared" si="6"/>
        <v>10.714285714285714</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v>5</v>
      </c>
      <c r="AF26" s="36">
        <f t="shared" si="10"/>
        <v>17.857142857142858</v>
      </c>
      <c r="AG26" s="33">
        <v>3</v>
      </c>
      <c r="AH26" s="36">
        <f t="shared" si="11"/>
        <v>10.714285714285714</v>
      </c>
      <c r="AI26" s="33"/>
      <c r="AJ26" s="36" t="str">
        <f t="shared" si="12"/>
        <v/>
      </c>
      <c r="AK26" s="33"/>
      <c r="AL26" s="36" t="str">
        <f t="shared" si="13"/>
        <v/>
      </c>
      <c r="AM26" s="33"/>
      <c r="AN26" s="36" t="str">
        <f t="shared" si="14"/>
        <v/>
      </c>
      <c r="AO26" s="33">
        <v>4</v>
      </c>
      <c r="AP26" s="36">
        <f t="shared" si="15"/>
        <v>14.285714285714285</v>
      </c>
      <c r="AQ26" s="33"/>
      <c r="AR26" s="36" t="str">
        <f>IF((ISERROR((AQ26/$H26)*100)), "", IF(AND(NOT(ISERROR((AQ26/$H26)*100)),((AQ26/$H26)*100) &lt;&gt; 0), (AQ26/$H26)*100, ""))</f>
        <v/>
      </c>
      <c r="AS26" s="33"/>
      <c r="AT26" s="36" t="str">
        <f t="shared" si="37"/>
        <v/>
      </c>
      <c r="AU26" s="33"/>
      <c r="AV26" s="36" t="str">
        <f t="shared" si="18"/>
        <v/>
      </c>
      <c r="AW26" s="33"/>
      <c r="AX26" s="36" t="str">
        <f t="shared" si="19"/>
        <v/>
      </c>
      <c r="AY26" s="33"/>
      <c r="AZ26" s="36" t="str">
        <f t="shared" si="20"/>
        <v/>
      </c>
      <c r="BA26" s="23" t="s">
        <v>358</v>
      </c>
    </row>
    <row r="27" spans="1:53" ht="20" customHeight="1" x14ac:dyDescent="0.2">
      <c r="A27" s="60"/>
      <c r="B27" s="82"/>
      <c r="C27" s="24" t="s">
        <v>85</v>
      </c>
      <c r="D27" s="23" t="s">
        <v>79</v>
      </c>
      <c r="E27" s="23" t="s">
        <v>80</v>
      </c>
      <c r="F27" s="24">
        <v>2015</v>
      </c>
      <c r="G27" s="24">
        <v>10</v>
      </c>
      <c r="H27" s="89">
        <v>11</v>
      </c>
      <c r="I27" s="85" t="s">
        <v>197</v>
      </c>
      <c r="J27" s="86" t="s">
        <v>169</v>
      </c>
      <c r="K27" s="33"/>
      <c r="L27" s="36" t="str">
        <f t="shared" si="0"/>
        <v/>
      </c>
      <c r="M27" s="33"/>
      <c r="N27" s="36" t="str">
        <f t="shared" si="1"/>
        <v/>
      </c>
      <c r="O27" s="33"/>
      <c r="P27" s="36" t="str">
        <f t="shared" si="2"/>
        <v/>
      </c>
      <c r="Q27" s="33"/>
      <c r="R27" s="36" t="str">
        <f t="shared" si="3"/>
        <v/>
      </c>
      <c r="S27" s="33"/>
      <c r="T27" s="36" t="str">
        <f t="shared" si="4"/>
        <v/>
      </c>
      <c r="U27" s="33"/>
      <c r="V27" s="36" t="str">
        <f>IF((ISERROR((U27/$H27)*100)), "", IF(AND(NOT(ISERROR((U27/$H27)*100)),((U27/$H27)*100) &lt;&gt; 0), (U27/$H27)*100, ""))</f>
        <v/>
      </c>
      <c r="W27" s="76"/>
      <c r="X27" s="36" t="str">
        <f t="shared" si="6"/>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v>3</v>
      </c>
      <c r="AF27" s="36">
        <f t="shared" si="10"/>
        <v>27.27272727272727</v>
      </c>
      <c r="AG27" s="38">
        <v>1</v>
      </c>
      <c r="AH27" s="39">
        <f t="shared" si="11"/>
        <v>9.0909090909090917</v>
      </c>
      <c r="AI27" s="33"/>
      <c r="AJ27" s="36" t="str">
        <f t="shared" si="12"/>
        <v/>
      </c>
      <c r="AK27" s="33"/>
      <c r="AL27" s="36" t="str">
        <f t="shared" si="13"/>
        <v/>
      </c>
      <c r="AM27" s="33"/>
      <c r="AN27" s="36" t="str">
        <f t="shared" si="14"/>
        <v/>
      </c>
      <c r="AO27" s="33"/>
      <c r="AP27" s="36" t="str">
        <f t="shared" si="15"/>
        <v/>
      </c>
      <c r="AQ27" s="33"/>
      <c r="AR27" s="36" t="str">
        <f>IF((ISERROR((AQ27/$H27)*100)), "", IF(AND(NOT(ISERROR((AQ27/$H27)*100)),((AQ27/$H27)*100) &lt;&gt; 0), (AQ27/$H27)*100, ""))</f>
        <v/>
      </c>
      <c r="AS27" s="33"/>
      <c r="AT27" s="36" t="str">
        <f t="shared" si="37"/>
        <v/>
      </c>
      <c r="AU27" s="33"/>
      <c r="AV27" s="36" t="str">
        <f t="shared" si="18"/>
        <v/>
      </c>
      <c r="AW27" s="33"/>
      <c r="AX27" s="36" t="str">
        <f t="shared" si="19"/>
        <v/>
      </c>
      <c r="AY27" s="33"/>
      <c r="AZ27" s="36" t="str">
        <f t="shared" si="20"/>
        <v/>
      </c>
      <c r="BA27" s="23" t="s">
        <v>196</v>
      </c>
    </row>
    <row r="28" spans="1:53" ht="20" customHeight="1" x14ac:dyDescent="0.2">
      <c r="A28" s="60"/>
      <c r="B28" s="82"/>
      <c r="D28" s="23" t="s">
        <v>292</v>
      </c>
      <c r="E28" s="23" t="s">
        <v>293</v>
      </c>
      <c r="F28" s="24">
        <v>2005</v>
      </c>
      <c r="H28" s="89">
        <v>13</v>
      </c>
      <c r="I28" s="85" t="s">
        <v>361</v>
      </c>
      <c r="J28" s="86"/>
      <c r="K28" s="33"/>
      <c r="L28" s="36" t="str">
        <f t="shared" si="0"/>
        <v/>
      </c>
      <c r="M28" s="33">
        <v>3</v>
      </c>
      <c r="N28" s="36">
        <f t="shared" si="1"/>
        <v>23.076923076923077</v>
      </c>
      <c r="O28" s="33"/>
      <c r="P28" s="36" t="str">
        <f t="shared" si="2"/>
        <v/>
      </c>
      <c r="Q28" s="33"/>
      <c r="R28" s="36" t="str">
        <f t="shared" si="3"/>
        <v/>
      </c>
      <c r="S28" s="33"/>
      <c r="T28" s="36" t="str">
        <f t="shared" si="4"/>
        <v/>
      </c>
      <c r="U28" s="33"/>
      <c r="V28" s="36" t="str">
        <f t="shared" ref="V28:V29" si="38">IF((ISERROR((U28/$H28)*100)), "", IF(AND(NOT(ISERROR((U28/$H28)*100)),((U28/$H28)*100) &lt;&gt; 0), (U28/$H28)*100, ""))</f>
        <v/>
      </c>
      <c r="W28" s="76">
        <v>1</v>
      </c>
      <c r="X28" s="36">
        <f t="shared" si="6"/>
        <v>7.6923076923076925</v>
      </c>
      <c r="Y28" s="33"/>
      <c r="Z28" s="36" t="str">
        <f t="shared" ref="Z28:Z29" si="39">IF((ISERROR((Y28/$H28)*100)), "", IF(AND(NOT(ISERROR((Y28/$H28)*100)),((Y28/$H28)*100) &lt;&gt; 0), (Y28/$H28)*100, ""))</f>
        <v/>
      </c>
      <c r="AA28" s="33"/>
      <c r="AB28" s="36" t="str">
        <f t="shared" ref="AB28:AB29" si="40">IF((ISERROR((AA28/$H28)*100)), "", IF(AND(NOT(ISERROR((AA28/$H28)*100)),((AA28/$H28)*100) &lt;&gt; 0), (AA28/$H28)*100, ""))</f>
        <v/>
      </c>
      <c r="AC28" s="33"/>
      <c r="AD28" s="36" t="str">
        <f t="shared" ref="AD28:AD29" si="41">IF((ISERROR((AC28/$H28)*100)), "", IF(AND(NOT(ISERROR((AC28/$H28)*100)),((AC28/$H28)*100) &lt;&gt; 0), (AC28/$H28)*100, ""))</f>
        <v/>
      </c>
      <c r="AE28" s="76"/>
      <c r="AF28" s="36" t="str">
        <f t="shared" si="10"/>
        <v/>
      </c>
      <c r="AG28" s="33"/>
      <c r="AH28" s="36" t="str">
        <f t="shared" si="11"/>
        <v/>
      </c>
      <c r="AI28" s="33"/>
      <c r="AJ28" s="36" t="str">
        <f t="shared" si="12"/>
        <v/>
      </c>
      <c r="AK28" s="33"/>
      <c r="AL28" s="36" t="str">
        <f t="shared" si="13"/>
        <v/>
      </c>
      <c r="AM28" s="33"/>
      <c r="AN28" s="36" t="str">
        <f t="shared" si="14"/>
        <v/>
      </c>
      <c r="AO28" s="33"/>
      <c r="AP28" s="36" t="str">
        <f t="shared" si="15"/>
        <v/>
      </c>
      <c r="AQ28" s="33"/>
      <c r="AR28" s="36" t="str">
        <f t="shared" ref="AR28:AR29" si="42">IF((ISERROR((AQ28/$H28)*100)), "", IF(AND(NOT(ISERROR((AQ28/$H28)*100)),((AQ28/$H28)*100) &lt;&gt; 0), (AQ28/$H28)*100, ""))</f>
        <v/>
      </c>
      <c r="AS28" s="33"/>
      <c r="AT28" s="36" t="str">
        <f t="shared" ref="AT28:AT30" si="43">IF((ISERROR((AS28/$H28)*100)), "", IF(AND(NOT(ISERROR((AS28/$H28)*100)),((AS28/$H28)*100) &lt;&gt; 0), (AS28/$H28)*100, ""))</f>
        <v/>
      </c>
      <c r="AU28" s="33"/>
      <c r="AV28" s="36" t="str">
        <f t="shared" si="18"/>
        <v/>
      </c>
      <c r="AW28" s="33"/>
      <c r="AX28" s="36" t="str">
        <f t="shared" si="19"/>
        <v/>
      </c>
      <c r="AY28" s="33"/>
      <c r="AZ28" s="36" t="str">
        <f t="shared" si="20"/>
        <v/>
      </c>
      <c r="BA28" s="23" t="s">
        <v>362</v>
      </c>
    </row>
    <row r="29" spans="1:53" ht="20" customHeight="1" x14ac:dyDescent="0.2">
      <c r="A29" s="60"/>
      <c r="B29" s="82"/>
      <c r="C29" s="24" t="s">
        <v>85</v>
      </c>
      <c r="D29" s="23" t="s">
        <v>298</v>
      </c>
      <c r="E29" s="23" t="s">
        <v>299</v>
      </c>
      <c r="F29" s="24">
        <v>2011</v>
      </c>
      <c r="H29" s="89">
        <v>244</v>
      </c>
      <c r="I29" s="85" t="s">
        <v>213</v>
      </c>
      <c r="J29" s="86" t="s">
        <v>192</v>
      </c>
      <c r="K29" s="33"/>
      <c r="L29" s="36" t="str">
        <f t="shared" si="0"/>
        <v/>
      </c>
      <c r="M29" s="33"/>
      <c r="N29" s="36" t="str">
        <f t="shared" si="1"/>
        <v/>
      </c>
      <c r="O29" s="33"/>
      <c r="P29" s="36" t="str">
        <f t="shared" si="2"/>
        <v/>
      </c>
      <c r="Q29" s="33"/>
      <c r="R29" s="36" t="str">
        <f t="shared" si="3"/>
        <v/>
      </c>
      <c r="S29" s="33"/>
      <c r="T29" s="36" t="str">
        <f t="shared" si="4"/>
        <v/>
      </c>
      <c r="U29" s="33"/>
      <c r="V29" s="36" t="str">
        <f t="shared" si="38"/>
        <v/>
      </c>
      <c r="W29" s="76"/>
      <c r="X29" s="36" t="str">
        <f t="shared" si="6"/>
        <v/>
      </c>
      <c r="Y29" s="33"/>
      <c r="Z29" s="36" t="str">
        <f t="shared" si="39"/>
        <v/>
      </c>
      <c r="AA29" s="33"/>
      <c r="AB29" s="36" t="str">
        <f t="shared" si="40"/>
        <v/>
      </c>
      <c r="AC29" s="33"/>
      <c r="AD29" s="36" t="str">
        <f t="shared" si="41"/>
        <v/>
      </c>
      <c r="AE29" s="76"/>
      <c r="AF29" s="36" t="str">
        <f t="shared" si="10"/>
        <v/>
      </c>
      <c r="AG29" s="33">
        <v>3</v>
      </c>
      <c r="AH29" s="36">
        <f t="shared" si="11"/>
        <v>1.2295081967213115</v>
      </c>
      <c r="AI29" s="33"/>
      <c r="AJ29" s="36" t="str">
        <f t="shared" si="12"/>
        <v/>
      </c>
      <c r="AK29" s="33"/>
      <c r="AL29" s="36" t="str">
        <f t="shared" si="13"/>
        <v/>
      </c>
      <c r="AM29" s="33"/>
      <c r="AN29" s="36" t="str">
        <f t="shared" si="14"/>
        <v/>
      </c>
      <c r="AO29" s="33">
        <v>4</v>
      </c>
      <c r="AP29" s="36">
        <f t="shared" si="15"/>
        <v>1.639344262295082</v>
      </c>
      <c r="AQ29" s="33"/>
      <c r="AR29" s="36" t="str">
        <f t="shared" si="42"/>
        <v/>
      </c>
      <c r="AS29" s="33"/>
      <c r="AT29" s="36" t="str">
        <f t="shared" si="43"/>
        <v/>
      </c>
      <c r="AU29" s="33"/>
      <c r="AV29" s="36" t="str">
        <f t="shared" si="18"/>
        <v/>
      </c>
      <c r="AW29" s="33"/>
      <c r="AX29" s="36" t="str">
        <f t="shared" si="19"/>
        <v/>
      </c>
      <c r="AY29" s="33"/>
      <c r="AZ29" s="36" t="str">
        <f t="shared" si="20"/>
        <v/>
      </c>
    </row>
    <row r="30" spans="1:53" ht="20" customHeight="1" x14ac:dyDescent="0.2">
      <c r="A30" s="60"/>
      <c r="B30" s="82"/>
      <c r="C30" s="24" t="s">
        <v>85</v>
      </c>
      <c r="D30" s="23" t="s">
        <v>99</v>
      </c>
      <c r="E30" s="23" t="s">
        <v>100</v>
      </c>
      <c r="F30" s="24">
        <v>2002</v>
      </c>
      <c r="G30" s="24">
        <v>103</v>
      </c>
      <c r="H30" s="89">
        <v>8</v>
      </c>
      <c r="I30" s="85"/>
      <c r="J30" s="86"/>
      <c r="K30" s="33"/>
      <c r="L30" s="36" t="str">
        <f t="shared" si="0"/>
        <v/>
      </c>
      <c r="M30" s="33"/>
      <c r="N30" s="36" t="str">
        <f t="shared" si="1"/>
        <v/>
      </c>
      <c r="O30" s="33"/>
      <c r="P30" s="36" t="str">
        <f t="shared" si="2"/>
        <v/>
      </c>
      <c r="Q30" s="33"/>
      <c r="R30" s="36" t="str">
        <f t="shared" si="3"/>
        <v/>
      </c>
      <c r="S30" s="33"/>
      <c r="T30" s="36" t="str">
        <f t="shared" si="4"/>
        <v/>
      </c>
      <c r="U30" s="33"/>
      <c r="V30" s="36" t="str">
        <f>IF((ISERROR((U30/$H30)*100)), "", IF(AND(NOT(ISERROR((U30/$H30)*100)),((U30/$H30)*100) &lt;&gt; 0), (U30/$H30)*100, ""))</f>
        <v/>
      </c>
      <c r="W30" s="76">
        <v>2</v>
      </c>
      <c r="X30" s="36">
        <f t="shared" si="6"/>
        <v>25</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IF((ISERROR((AQ30/$H30)*100)), "", IF(AND(NOT(ISERROR((AQ30/$H30)*100)),((AQ30/$H30)*100) &lt;&gt; 0), (AQ30/$H30)*100, ""))</f>
        <v/>
      </c>
      <c r="AS30" s="33"/>
      <c r="AT30" s="36" t="str">
        <f t="shared" si="43"/>
        <v/>
      </c>
      <c r="AU30" s="33"/>
      <c r="AV30" s="36" t="str">
        <f t="shared" si="18"/>
        <v/>
      </c>
      <c r="AW30" s="33"/>
      <c r="AX30" s="36" t="str">
        <f t="shared" si="19"/>
        <v/>
      </c>
      <c r="AY30" s="33"/>
      <c r="AZ30" s="36" t="str">
        <f t="shared" si="20"/>
        <v/>
      </c>
      <c r="BA30" s="23" t="s">
        <v>203</v>
      </c>
    </row>
    <row r="31" spans="1:53" ht="20" customHeight="1" x14ac:dyDescent="0.2">
      <c r="A31" s="60"/>
      <c r="B31" s="82"/>
      <c r="C31" s="24" t="s">
        <v>85</v>
      </c>
      <c r="D31" s="23" t="s">
        <v>103</v>
      </c>
      <c r="E31" s="23" t="s">
        <v>104</v>
      </c>
      <c r="F31" s="24">
        <v>1996</v>
      </c>
      <c r="G31" s="24">
        <v>12</v>
      </c>
      <c r="H31" s="89">
        <v>97</v>
      </c>
      <c r="I31" s="85" t="s">
        <v>205</v>
      </c>
      <c r="J31" s="86" t="s">
        <v>206</v>
      </c>
      <c r="K31" s="33"/>
      <c r="L31" s="36" t="str">
        <f t="shared" si="0"/>
        <v/>
      </c>
      <c r="M31" s="33"/>
      <c r="N31" s="36" t="str">
        <f t="shared" si="1"/>
        <v/>
      </c>
      <c r="O31" s="33"/>
      <c r="P31" s="36" t="str">
        <f t="shared" si="2"/>
        <v/>
      </c>
      <c r="Q31" s="33"/>
      <c r="R31" s="36" t="str">
        <f t="shared" si="3"/>
        <v/>
      </c>
      <c r="S31" s="33"/>
      <c r="T31" s="36" t="str">
        <f t="shared" si="4"/>
        <v/>
      </c>
      <c r="U31" s="33"/>
      <c r="V31" s="36" t="str">
        <f t="shared" ref="V31:V32" si="44">IF((ISERROR((U31/$H31)*100)), "", IF(AND(NOT(ISERROR((U31/$H31)*100)),((U31/$H31)*100) &lt;&gt; 0), (U31/$H31)*100, ""))</f>
        <v/>
      </c>
      <c r="W31" s="76">
        <v>16</v>
      </c>
      <c r="X31" s="36">
        <f t="shared" si="6"/>
        <v>16.494845360824741</v>
      </c>
      <c r="Y31" s="33"/>
      <c r="Z31" s="36" t="str">
        <f t="shared" ref="Z31:Z32" si="45">IF((ISERROR((Y31/$H31)*100)), "", IF(AND(NOT(ISERROR((Y31/$H31)*100)),((Y31/$H31)*100) &lt;&gt; 0), (Y31/$H31)*100, ""))</f>
        <v/>
      </c>
      <c r="AA31" s="33"/>
      <c r="AB31" s="36" t="str">
        <f t="shared" ref="AB31:AB32" si="46">IF((ISERROR((AA31/$H31)*100)), "", IF(AND(NOT(ISERROR((AA31/$H31)*100)),((AA31/$H31)*100) &lt;&gt; 0), (AA31/$H31)*100, ""))</f>
        <v/>
      </c>
      <c r="AC31" s="33"/>
      <c r="AD31" s="36" t="str">
        <f t="shared" ref="AD31:AD32" si="47">IF((ISERROR((AC31/$H31)*100)), "", IF(AND(NOT(ISERROR((AC31/$H31)*100)),((AC31/$H31)*100) &lt;&gt; 0), (AC31/$H31)*100, ""))</f>
        <v/>
      </c>
      <c r="AE31" s="76"/>
      <c r="AF31" s="36" t="str">
        <f t="shared" si="10"/>
        <v/>
      </c>
      <c r="AG31" s="33">
        <v>3</v>
      </c>
      <c r="AH31" s="36">
        <f t="shared" si="11"/>
        <v>3.0927835051546393</v>
      </c>
      <c r="AI31" s="33"/>
      <c r="AJ31" s="36" t="str">
        <f t="shared" si="12"/>
        <v/>
      </c>
      <c r="AK31" s="33"/>
      <c r="AL31" s="36" t="str">
        <f t="shared" si="13"/>
        <v/>
      </c>
      <c r="AM31" s="33">
        <v>6</v>
      </c>
      <c r="AN31" s="36">
        <f t="shared" si="14"/>
        <v>6.1855670103092786</v>
      </c>
      <c r="AO31" s="33">
        <v>4</v>
      </c>
      <c r="AP31" s="36">
        <f t="shared" si="15"/>
        <v>4.1237113402061851</v>
      </c>
      <c r="AQ31" s="33"/>
      <c r="AR31" s="36" t="str">
        <f t="shared" ref="AR31:AR32" si="48">IF((ISERROR((AQ31/$H31)*100)), "", IF(AND(NOT(ISERROR((AQ31/$H31)*100)),((AQ31/$H31)*100) &lt;&gt; 0), (AQ31/$H31)*100, ""))</f>
        <v/>
      </c>
      <c r="AS31" s="33"/>
      <c r="AT31" s="36" t="str">
        <f t="shared" ref="AT31:AT33" si="49">IF((ISERROR((AS31/$H31)*100)), "", IF(AND(NOT(ISERROR((AS31/$H31)*100)),((AS31/$H31)*100) &lt;&gt; 0), (AS31/$H31)*100, ""))</f>
        <v/>
      </c>
      <c r="AU31" s="33">
        <v>1</v>
      </c>
      <c r="AV31" s="36">
        <f t="shared" si="18"/>
        <v>1.0309278350515463</v>
      </c>
      <c r="AW31" s="33">
        <v>1</v>
      </c>
      <c r="AX31" s="36">
        <f t="shared" si="19"/>
        <v>1.0309278350515463</v>
      </c>
      <c r="AY31" s="33"/>
      <c r="AZ31" s="36" t="str">
        <f t="shared" si="20"/>
        <v/>
      </c>
      <c r="BA31" s="23" t="s">
        <v>390</v>
      </c>
    </row>
    <row r="32" spans="1:53" ht="20" customHeight="1" x14ac:dyDescent="0.2">
      <c r="A32" s="61"/>
      <c r="B32" s="82"/>
      <c r="C32" s="24" t="s">
        <v>85</v>
      </c>
      <c r="D32" s="23" t="s">
        <v>310</v>
      </c>
      <c r="E32" s="23" t="s">
        <v>311</v>
      </c>
      <c r="F32" s="24">
        <v>1977</v>
      </c>
      <c r="H32" s="89">
        <v>5</v>
      </c>
      <c r="I32" s="85" t="s">
        <v>370</v>
      </c>
      <c r="J32" s="86"/>
      <c r="K32" s="33"/>
      <c r="L32" s="36" t="str">
        <f t="shared" si="0"/>
        <v/>
      </c>
      <c r="M32" s="33"/>
      <c r="N32" s="36" t="str">
        <f t="shared" si="1"/>
        <v/>
      </c>
      <c r="O32" s="33"/>
      <c r="P32" s="36" t="str">
        <f t="shared" si="2"/>
        <v/>
      </c>
      <c r="Q32" s="33"/>
      <c r="R32" s="36" t="str">
        <f t="shared" si="3"/>
        <v/>
      </c>
      <c r="S32" s="33">
        <v>5</v>
      </c>
      <c r="T32" s="36">
        <f t="shared" si="4"/>
        <v>100</v>
      </c>
      <c r="U32" s="33"/>
      <c r="V32" s="36" t="str">
        <f t="shared" si="44"/>
        <v/>
      </c>
      <c r="W32" s="76"/>
      <c r="X32" s="36" t="str">
        <f t="shared" si="6"/>
        <v/>
      </c>
      <c r="Y32" s="33"/>
      <c r="Z32" s="36" t="str">
        <f t="shared" si="45"/>
        <v/>
      </c>
      <c r="AA32" s="33"/>
      <c r="AB32" s="36" t="str">
        <f t="shared" si="46"/>
        <v/>
      </c>
      <c r="AC32" s="33"/>
      <c r="AD32" s="36" t="str">
        <f t="shared" si="47"/>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48"/>
        <v/>
      </c>
      <c r="AS32" s="33"/>
      <c r="AT32" s="36" t="str">
        <f t="shared" si="49"/>
        <v/>
      </c>
      <c r="AU32" s="33"/>
      <c r="AV32" s="36" t="str">
        <f t="shared" si="18"/>
        <v/>
      </c>
      <c r="AW32" s="33"/>
      <c r="AX32" s="36" t="str">
        <f t="shared" si="19"/>
        <v/>
      </c>
      <c r="AY32" s="33"/>
      <c r="AZ32" s="36" t="str">
        <f t="shared" si="20"/>
        <v/>
      </c>
      <c r="BA32" s="23" t="s">
        <v>371</v>
      </c>
    </row>
    <row r="33" spans="1:53" ht="20" customHeight="1" x14ac:dyDescent="0.2">
      <c r="A33" s="60"/>
      <c r="B33" s="82"/>
      <c r="C33" s="24" t="s">
        <v>85</v>
      </c>
      <c r="D33" s="23" t="s">
        <v>107</v>
      </c>
      <c r="E33" s="23" t="s">
        <v>108</v>
      </c>
      <c r="F33" s="24">
        <v>2008</v>
      </c>
      <c r="G33" s="24">
        <v>54</v>
      </c>
      <c r="H33" s="89">
        <v>12</v>
      </c>
      <c r="I33" s="85" t="s">
        <v>168</v>
      </c>
      <c r="J33" s="86" t="s">
        <v>212</v>
      </c>
      <c r="K33" s="33"/>
      <c r="L33" s="36" t="str">
        <f t="shared" si="0"/>
        <v/>
      </c>
      <c r="M33" s="33"/>
      <c r="N33" s="36" t="str">
        <f t="shared" si="1"/>
        <v/>
      </c>
      <c r="O33" s="33"/>
      <c r="P33" s="36" t="str">
        <f t="shared" si="2"/>
        <v/>
      </c>
      <c r="Q33" s="33"/>
      <c r="R33" s="36" t="str">
        <f t="shared" si="3"/>
        <v/>
      </c>
      <c r="S33" s="33"/>
      <c r="T33" s="36" t="str">
        <f t="shared" si="4"/>
        <v/>
      </c>
      <c r="U33" s="33"/>
      <c r="V33" s="36" t="str">
        <f>IF((ISERROR((U33/$H33)*100)), "", IF(AND(NOT(ISERROR((U33/$H33)*100)),((U33/$H33)*100) &lt;&gt; 0), (U33/$H33)*100, ""))</f>
        <v/>
      </c>
      <c r="W33" s="76"/>
      <c r="X33" s="36" t="str">
        <f t="shared" si="6"/>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6"/>
      <c r="AF33" s="36" t="str">
        <f t="shared" si="10"/>
        <v/>
      </c>
      <c r="AG33" s="33">
        <v>1</v>
      </c>
      <c r="AH33" s="36">
        <f t="shared" si="11"/>
        <v>8.3333333333333321</v>
      </c>
      <c r="AI33" s="33">
        <v>1</v>
      </c>
      <c r="AJ33" s="36">
        <f t="shared" si="12"/>
        <v>8.3333333333333321</v>
      </c>
      <c r="AK33" s="33"/>
      <c r="AL33" s="36" t="str">
        <f t="shared" si="13"/>
        <v/>
      </c>
      <c r="AM33" s="33"/>
      <c r="AN33" s="36" t="str">
        <f t="shared" si="14"/>
        <v/>
      </c>
      <c r="AO33" s="33"/>
      <c r="AP33" s="36" t="str">
        <f t="shared" si="15"/>
        <v/>
      </c>
      <c r="AQ33" s="33"/>
      <c r="AR33" s="36" t="str">
        <f>IF((ISERROR((AQ33/$H33)*100)), "", IF(AND(NOT(ISERROR((AQ33/$H33)*100)),((AQ33/$H33)*100) &lt;&gt; 0), (AQ33/$H33)*100, ""))</f>
        <v/>
      </c>
      <c r="AS33" s="33"/>
      <c r="AT33" s="36" t="str">
        <f t="shared" si="49"/>
        <v/>
      </c>
      <c r="AU33" s="33"/>
      <c r="AV33" s="36" t="str">
        <f t="shared" si="18"/>
        <v/>
      </c>
      <c r="AW33" s="33"/>
      <c r="AX33" s="36" t="str">
        <f t="shared" si="19"/>
        <v/>
      </c>
      <c r="AY33" s="33"/>
      <c r="AZ33" s="36" t="str">
        <f t="shared" si="20"/>
        <v/>
      </c>
      <c r="BA33" s="23" t="s">
        <v>424</v>
      </c>
    </row>
    <row r="34" spans="1:53" ht="20" customHeight="1" x14ac:dyDescent="0.2">
      <c r="A34" s="60"/>
      <c r="B34" s="82"/>
      <c r="C34" s="24" t="s">
        <v>85</v>
      </c>
      <c r="D34" s="23" t="s">
        <v>113</v>
      </c>
      <c r="E34" s="23" t="s">
        <v>114</v>
      </c>
      <c r="F34" s="24">
        <v>1997</v>
      </c>
      <c r="G34" s="24">
        <v>127</v>
      </c>
      <c r="H34" s="89">
        <v>8</v>
      </c>
      <c r="I34" s="85" t="s">
        <v>214</v>
      </c>
      <c r="J34" s="86" t="s">
        <v>215</v>
      </c>
      <c r="K34" s="33"/>
      <c r="L34" s="36" t="str">
        <f t="shared" si="0"/>
        <v/>
      </c>
      <c r="M34" s="33"/>
      <c r="N34" s="36" t="str">
        <f t="shared" si="1"/>
        <v/>
      </c>
      <c r="O34" s="33"/>
      <c r="P34" s="36" t="str">
        <f t="shared" si="2"/>
        <v/>
      </c>
      <c r="Q34" s="33"/>
      <c r="R34" s="36" t="str">
        <f t="shared" si="3"/>
        <v/>
      </c>
      <c r="S34" s="33"/>
      <c r="T34" s="36" t="str">
        <f t="shared" si="4"/>
        <v/>
      </c>
      <c r="U34" s="33"/>
      <c r="V34" s="36" t="str">
        <f t="shared" ref="V34" si="50">IF((ISERROR((U34/$H34)*100)), "", IF(AND(NOT(ISERROR((U34/$H34)*100)),((U34/$H34)*100) &lt;&gt; 0), (U34/$H34)*100, ""))</f>
        <v/>
      </c>
      <c r="W34" s="76">
        <v>1</v>
      </c>
      <c r="X34" s="36">
        <f t="shared" si="6"/>
        <v>12.5</v>
      </c>
      <c r="Y34" s="33"/>
      <c r="Z34" s="36" t="str">
        <f t="shared" ref="Z34" si="51">IF((ISERROR((Y34/$H34)*100)), "", IF(AND(NOT(ISERROR((Y34/$H34)*100)),((Y34/$H34)*100) &lt;&gt; 0), (Y34/$H34)*100, ""))</f>
        <v/>
      </c>
      <c r="AA34" s="33"/>
      <c r="AB34" s="36" t="str">
        <f t="shared" ref="AB34" si="52">IF((ISERROR((AA34/$H34)*100)), "", IF(AND(NOT(ISERROR((AA34/$H34)*100)),((AA34/$H34)*100) &lt;&gt; 0), (AA34/$H34)*100, ""))</f>
        <v/>
      </c>
      <c r="AC34" s="33">
        <v>1</v>
      </c>
      <c r="AD34" s="36">
        <f t="shared" ref="AD34" si="53">IF((ISERROR((AC34/$H34)*100)), "", IF(AND(NOT(ISERROR((AC34/$H34)*100)),((AC34/$H34)*100) &lt;&gt; 0), (AC34/$H34)*100, ""))</f>
        <v>12.5</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ref="AR34" si="54">IF((ISERROR((AQ34/$H34)*100)), "", IF(AND(NOT(ISERROR((AQ34/$H34)*100)),((AQ34/$H34)*100) &lt;&gt; 0), (AQ34/$H34)*100, ""))</f>
        <v/>
      </c>
      <c r="AS34" s="33"/>
      <c r="AT34" s="36" t="str">
        <f t="shared" ref="AT34:AT36" si="55">IF((ISERROR((AS34/$H34)*100)), "", IF(AND(NOT(ISERROR((AS34/$H34)*100)),((AS34/$H34)*100) &lt;&gt; 0), (AS34/$H34)*100, ""))</f>
        <v/>
      </c>
      <c r="AU34" s="33"/>
      <c r="AV34" s="36" t="str">
        <f t="shared" si="18"/>
        <v/>
      </c>
      <c r="AW34" s="33"/>
      <c r="AX34" s="36" t="str">
        <f t="shared" si="19"/>
        <v/>
      </c>
      <c r="AY34" s="33"/>
      <c r="AZ34" s="36" t="str">
        <f t="shared" si="20"/>
        <v/>
      </c>
      <c r="BA34" s="23" t="s">
        <v>392</v>
      </c>
    </row>
    <row r="35" spans="1:53" ht="20" customHeight="1" x14ac:dyDescent="0.2">
      <c r="A35" s="60"/>
      <c r="B35" s="82"/>
      <c r="C35" s="24" t="s">
        <v>85</v>
      </c>
      <c r="D35" s="23" t="s">
        <v>119</v>
      </c>
      <c r="E35" s="23" t="s">
        <v>120</v>
      </c>
      <c r="F35" s="24">
        <v>2003</v>
      </c>
      <c r="G35" s="24">
        <v>45</v>
      </c>
      <c r="H35" s="89">
        <v>16</v>
      </c>
      <c r="I35" s="85" t="s">
        <v>177</v>
      </c>
      <c r="J35" s="86" t="s">
        <v>425</v>
      </c>
      <c r="K35" s="33"/>
      <c r="L35" s="36" t="str">
        <f t="shared" si="0"/>
        <v/>
      </c>
      <c r="M35" s="33"/>
      <c r="N35" s="36" t="str">
        <f t="shared" si="1"/>
        <v/>
      </c>
      <c r="O35" s="33"/>
      <c r="P35" s="36" t="str">
        <f t="shared" si="2"/>
        <v/>
      </c>
      <c r="Q35" s="33"/>
      <c r="R35" s="36" t="str">
        <f t="shared" si="3"/>
        <v/>
      </c>
      <c r="S35" s="38"/>
      <c r="T35" s="39" t="str">
        <f t="shared" si="4"/>
        <v/>
      </c>
      <c r="U35" s="33"/>
      <c r="V35" s="36" t="str">
        <f>IF((ISERROR((U35/$H35)*100)), "", IF(AND(NOT(ISERROR((U35/$H35)*100)),((U35/$H35)*100) &lt;&gt; 0), (U35/$H35)*100, ""))</f>
        <v/>
      </c>
      <c r="W35" s="38"/>
      <c r="X35" s="39" t="str">
        <f t="shared" si="6"/>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IF((ISERROR((AQ35/$H35)*100)), "", IF(AND(NOT(ISERROR((AQ35/$H35)*100)),((AQ35/$H35)*100) &lt;&gt; 0), (AQ35/$H35)*100, ""))</f>
        <v/>
      </c>
      <c r="AS35" s="33"/>
      <c r="AT35" s="36" t="str">
        <f t="shared" si="55"/>
        <v/>
      </c>
      <c r="AU35" s="33"/>
      <c r="AV35" s="36" t="str">
        <f t="shared" si="18"/>
        <v/>
      </c>
      <c r="AW35" s="33"/>
      <c r="AX35" s="36" t="str">
        <f t="shared" si="19"/>
        <v/>
      </c>
      <c r="AY35" s="33"/>
      <c r="AZ35" s="36" t="str">
        <f t="shared" si="20"/>
        <v/>
      </c>
      <c r="BA35" s="23" t="s">
        <v>413</v>
      </c>
    </row>
    <row r="36" spans="1:53" ht="20" customHeight="1" x14ac:dyDescent="0.2">
      <c r="A36" s="60"/>
      <c r="B36" s="82"/>
      <c r="C36" s="24" t="s">
        <v>85</v>
      </c>
      <c r="D36" s="23" t="s">
        <v>312</v>
      </c>
      <c r="E36" s="23" t="s">
        <v>313</v>
      </c>
      <c r="F36" s="24">
        <v>2015</v>
      </c>
      <c r="H36" s="89">
        <v>5</v>
      </c>
      <c r="I36" s="85" t="s">
        <v>213</v>
      </c>
      <c r="J36" s="86" t="s">
        <v>190</v>
      </c>
      <c r="K36" s="33"/>
      <c r="L36" s="36" t="str">
        <f t="shared" si="0"/>
        <v/>
      </c>
      <c r="M36" s="33"/>
      <c r="N36" s="36" t="str">
        <f t="shared" si="1"/>
        <v/>
      </c>
      <c r="O36" s="33"/>
      <c r="P36" s="36" t="str">
        <f t="shared" si="2"/>
        <v/>
      </c>
      <c r="Q36" s="33"/>
      <c r="R36" s="36" t="str">
        <f t="shared" si="3"/>
        <v/>
      </c>
      <c r="S36" s="33"/>
      <c r="T36" s="36" t="str">
        <f t="shared" si="4"/>
        <v/>
      </c>
      <c r="U36" s="33"/>
      <c r="V36" s="36" t="str">
        <f>IF((ISERROR((U36/$H36)*100)), "", IF(AND(NOT(ISERROR((U36/$H36)*100)),((U36/$H36)*100) &lt;&gt; 0), (U36/$H36)*100, ""))</f>
        <v/>
      </c>
      <c r="W36" s="76"/>
      <c r="X36" s="36"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v>1</v>
      </c>
      <c r="AF36" s="36">
        <f t="shared" si="10"/>
        <v>20</v>
      </c>
      <c r="AG36" s="33"/>
      <c r="AH36" s="36" t="str">
        <f t="shared" si="11"/>
        <v/>
      </c>
      <c r="AI36" s="33"/>
      <c r="AJ36" s="36" t="str">
        <f t="shared" si="12"/>
        <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55"/>
        <v/>
      </c>
      <c r="AU36" s="33"/>
      <c r="AV36" s="36" t="str">
        <f t="shared" si="18"/>
        <v/>
      </c>
      <c r="AW36" s="33"/>
      <c r="AX36" s="36" t="str">
        <f t="shared" si="19"/>
        <v/>
      </c>
      <c r="AY36" s="33"/>
      <c r="AZ36" s="36" t="str">
        <f t="shared" si="20"/>
        <v/>
      </c>
      <c r="BA36" s="23" t="s">
        <v>426</v>
      </c>
    </row>
    <row r="37" spans="1:53" ht="20" customHeight="1" x14ac:dyDescent="0.2">
      <c r="A37" s="60"/>
      <c r="B37" s="82"/>
      <c r="C37" s="24" t="s">
        <v>85</v>
      </c>
      <c r="D37" s="23" t="s">
        <v>131</v>
      </c>
      <c r="E37" s="23" t="s">
        <v>132</v>
      </c>
      <c r="F37" s="24">
        <v>1998</v>
      </c>
      <c r="G37" s="24">
        <v>213</v>
      </c>
      <c r="H37" s="89">
        <v>6</v>
      </c>
      <c r="I37" s="85" t="s">
        <v>177</v>
      </c>
      <c r="J37" s="86"/>
      <c r="K37" s="33"/>
      <c r="L37" s="36" t="str">
        <f t="shared" si="0"/>
        <v/>
      </c>
      <c r="M37" s="38">
        <v>4</v>
      </c>
      <c r="N37" s="39">
        <f t="shared" si="1"/>
        <v>66.666666666666657</v>
      </c>
      <c r="O37" s="33"/>
      <c r="P37" s="36" t="str">
        <f t="shared" si="2"/>
        <v/>
      </c>
      <c r="Q37" s="33"/>
      <c r="R37" s="36" t="str">
        <f t="shared" si="3"/>
        <v/>
      </c>
      <c r="S37" s="33"/>
      <c r="T37" s="36" t="str">
        <f t="shared" si="4"/>
        <v/>
      </c>
      <c r="U37" s="33"/>
      <c r="V37" s="36" t="str">
        <f t="shared" ref="V37" si="56">IF((ISERROR((U37/$H37)*100)), "", IF(AND(NOT(ISERROR((U37/$H37)*100)),((U37/$H37)*100) &lt;&gt; 0), (U37/$H37)*100, ""))</f>
        <v/>
      </c>
      <c r="W37" s="76"/>
      <c r="X37" s="36" t="str">
        <f t="shared" si="6"/>
        <v/>
      </c>
      <c r="Y37" s="33"/>
      <c r="Z37" s="36" t="str">
        <f t="shared" ref="Z37" si="57">IF((ISERROR((Y37/$H37)*100)), "", IF(AND(NOT(ISERROR((Y37/$H37)*100)),((Y37/$H37)*100) &lt;&gt; 0), (Y37/$H37)*100, ""))</f>
        <v/>
      </c>
      <c r="AA37" s="33"/>
      <c r="AB37" s="36" t="str">
        <f t="shared" ref="AB37" si="58">IF((ISERROR((AA37/$H37)*100)), "", IF(AND(NOT(ISERROR((AA37/$H37)*100)),((AA37/$H37)*100) &lt;&gt; 0), (AA37/$H37)*100, ""))</f>
        <v/>
      </c>
      <c r="AC37" s="33"/>
      <c r="AD37" s="36" t="str">
        <f t="shared" ref="AD37" si="59">IF((ISERROR((AC37/$H37)*100)), "", IF(AND(NOT(ISERROR((AC37/$H37)*100)),((AC37/$H37)*100) &lt;&gt; 0), (AC37/$H37)*100, ""))</f>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ref="AR37" si="60">IF((ISERROR((AQ37/$H37)*100)), "", IF(AND(NOT(ISERROR((AQ37/$H37)*100)),((AQ37/$H37)*100) &lt;&gt; 0), (AQ37/$H37)*100, ""))</f>
        <v/>
      </c>
      <c r="AS37" s="33"/>
      <c r="AT37" s="36" t="str">
        <f t="shared" ref="AT37:AT38" si="61">IF((ISERROR((AS37/$H37)*100)), "", IF(AND(NOT(ISERROR((AS37/$H37)*100)),((AS37/$H37)*100) &lt;&gt; 0), (AS37/$H37)*100, ""))</f>
        <v/>
      </c>
      <c r="AU37" s="33"/>
      <c r="AV37" s="36" t="str">
        <f t="shared" si="18"/>
        <v/>
      </c>
      <c r="AW37" s="33"/>
      <c r="AX37" s="36" t="str">
        <f t="shared" si="19"/>
        <v/>
      </c>
      <c r="AY37" s="33"/>
      <c r="AZ37" s="36" t="str">
        <f t="shared" si="20"/>
        <v/>
      </c>
      <c r="BA37" s="23" t="s">
        <v>221</v>
      </c>
    </row>
    <row r="38" spans="1:53" ht="20" customHeight="1" x14ac:dyDescent="0.2">
      <c r="A38" s="61"/>
      <c r="B38" s="82"/>
      <c r="C38" s="24" t="s">
        <v>85</v>
      </c>
      <c r="D38" s="23" t="s">
        <v>133</v>
      </c>
      <c r="E38" s="23" t="s">
        <v>134</v>
      </c>
      <c r="F38" s="24">
        <v>2001</v>
      </c>
      <c r="G38" s="24">
        <v>192</v>
      </c>
      <c r="H38" s="89"/>
      <c r="I38" s="85" t="s">
        <v>177</v>
      </c>
      <c r="J38" s="86" t="s">
        <v>169</v>
      </c>
      <c r="K38" s="33"/>
      <c r="L38" s="36" t="str">
        <f t="shared" si="0"/>
        <v/>
      </c>
      <c r="M38" s="38">
        <v>1</v>
      </c>
      <c r="N38" s="39" t="str">
        <f t="shared" si="1"/>
        <v/>
      </c>
      <c r="O38" s="33"/>
      <c r="P38" s="36" t="str">
        <f t="shared" si="2"/>
        <v/>
      </c>
      <c r="Q38" s="33"/>
      <c r="R38" s="36" t="str">
        <f t="shared" si="3"/>
        <v/>
      </c>
      <c r="S38" s="33"/>
      <c r="T38" s="36" t="str">
        <f t="shared" si="4"/>
        <v/>
      </c>
      <c r="U38" s="33"/>
      <c r="V38" s="36" t="str">
        <f>IF((ISERROR((U38/$H38)*100)), "", IF(AND(NOT(ISERROR((U38/$H38)*100)),((U38/$H38)*100) &lt;&gt; 0), (U38/$H38)*100, ""))</f>
        <v/>
      </c>
      <c r="W38" s="76"/>
      <c r="X38" s="36" t="str">
        <f t="shared" si="6"/>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10"/>
        <v/>
      </c>
      <c r="AG38" s="33">
        <v>2</v>
      </c>
      <c r="AH38" s="36" t="str">
        <f t="shared" si="11"/>
        <v/>
      </c>
      <c r="AI38" s="33"/>
      <c r="AJ38" s="36" t="str">
        <f t="shared" si="12"/>
        <v/>
      </c>
      <c r="AK38" s="33"/>
      <c r="AL38" s="36" t="str">
        <f t="shared" si="13"/>
        <v/>
      </c>
      <c r="AM38" s="33"/>
      <c r="AN38" s="36" t="str">
        <f t="shared" si="14"/>
        <v/>
      </c>
      <c r="AO38" s="33"/>
      <c r="AP38" s="36" t="str">
        <f t="shared" si="15"/>
        <v/>
      </c>
      <c r="AQ38" s="33"/>
      <c r="AR38" s="36" t="str">
        <f>IF((ISERROR((AQ38/$H38)*100)), "", IF(AND(NOT(ISERROR((AQ38/$H38)*100)),((AQ38/$H38)*100) &lt;&gt; 0), (AQ38/$H38)*100, ""))</f>
        <v/>
      </c>
      <c r="AS38" s="33"/>
      <c r="AT38" s="36" t="str">
        <f t="shared" si="61"/>
        <v/>
      </c>
      <c r="AU38" s="33"/>
      <c r="AV38" s="36" t="str">
        <f t="shared" si="18"/>
        <v/>
      </c>
      <c r="AW38" s="33"/>
      <c r="AX38" s="36" t="str">
        <f t="shared" si="19"/>
        <v/>
      </c>
      <c r="AY38" s="33"/>
      <c r="AZ38" s="36" t="str">
        <f t="shared" si="20"/>
        <v/>
      </c>
      <c r="BA38" s="23" t="s">
        <v>395</v>
      </c>
    </row>
    <row r="39" spans="1:53" ht="20" customHeight="1" x14ac:dyDescent="0.2">
      <c r="A39" s="61"/>
      <c r="B39" s="82"/>
      <c r="D39" s="23" t="s">
        <v>151</v>
      </c>
      <c r="E39" s="23" t="s">
        <v>428</v>
      </c>
      <c r="F39" s="24">
        <v>1999</v>
      </c>
      <c r="H39" s="89">
        <v>30</v>
      </c>
      <c r="I39" s="85" t="s">
        <v>429</v>
      </c>
      <c r="J39" s="86" t="s">
        <v>222</v>
      </c>
      <c r="K39" s="33"/>
      <c r="L39" s="36"/>
      <c r="M39" s="33"/>
      <c r="N39" s="36"/>
      <c r="O39" s="33"/>
      <c r="P39" s="36"/>
      <c r="Q39" s="33"/>
      <c r="R39" s="36"/>
      <c r="S39" s="33"/>
      <c r="T39" s="36"/>
      <c r="U39" s="33"/>
      <c r="V39" s="36"/>
      <c r="W39" s="76"/>
      <c r="X39" s="36"/>
      <c r="Y39" s="33"/>
      <c r="Z39" s="36"/>
      <c r="AA39" s="33"/>
      <c r="AB39" s="36"/>
      <c r="AC39" s="33"/>
      <c r="AD39" s="36"/>
      <c r="AE39" s="76"/>
      <c r="AF39" s="36"/>
      <c r="AG39" s="33"/>
      <c r="AH39" s="36"/>
      <c r="AI39" s="33"/>
      <c r="AJ39" s="36"/>
      <c r="AK39" s="33"/>
      <c r="AL39" s="36"/>
      <c r="AM39" s="33"/>
      <c r="AN39" s="36"/>
      <c r="AO39" s="33"/>
      <c r="AP39" s="36"/>
      <c r="AQ39" s="33"/>
      <c r="AR39" s="36"/>
      <c r="AS39" s="33"/>
      <c r="AT39" s="36"/>
      <c r="AU39" s="33"/>
      <c r="AV39" s="36"/>
      <c r="AW39" s="33"/>
      <c r="AX39" s="36"/>
      <c r="AY39" s="33"/>
      <c r="AZ39" s="36"/>
      <c r="BA39" s="23" t="s">
        <v>396</v>
      </c>
    </row>
    <row r="40" spans="1:53" ht="20" customHeight="1" x14ac:dyDescent="0.2">
      <c r="A40" s="60"/>
      <c r="B40" s="82"/>
      <c r="C40" s="24" t="s">
        <v>85</v>
      </c>
      <c r="D40" s="23" t="s">
        <v>137</v>
      </c>
      <c r="E40" s="23" t="s">
        <v>138</v>
      </c>
      <c r="F40" s="24">
        <v>2011</v>
      </c>
      <c r="G40" s="24">
        <v>42</v>
      </c>
      <c r="H40" s="89">
        <v>51</v>
      </c>
      <c r="I40" s="85" t="s">
        <v>225</v>
      </c>
      <c r="J40" s="86" t="s">
        <v>226</v>
      </c>
      <c r="K40" s="33"/>
      <c r="L40" s="36" t="str">
        <f>IF((ISERROR((K40/$H40)*100)), "", IF(AND(NOT(ISERROR((K40/$H40)*100)),((K40/$H40)*100) &lt;&gt; 0), (K40/$H40)*100, ""))</f>
        <v/>
      </c>
      <c r="M40" s="33"/>
      <c r="N40" s="36" t="str">
        <f>IF((ISERROR((M40/$H40)*100)), "", IF(AND(NOT(ISERROR((M40/$H40)*100)),((M40/$H40)*100) &lt;&gt; 0), (M40/$H40)*100, ""))</f>
        <v/>
      </c>
      <c r="O40" s="33"/>
      <c r="P40" s="36" t="str">
        <f>IF((ISERROR((O40/$H40)*100)), "", IF(AND(NOT(ISERROR((O40/$H40)*100)),((O40/$H40)*100) &lt;&gt; 0), (O40/$H40)*100, ""))</f>
        <v/>
      </c>
      <c r="Q40" s="33"/>
      <c r="R40" s="36" t="str">
        <f>IF((ISERROR((Q40/$H40)*100)), "", IF(AND(NOT(ISERROR((Q40/$H40)*100)),((Q40/$H40)*100) &lt;&gt; 0), (Q40/$H40)*100, ""))</f>
        <v/>
      </c>
      <c r="S40" s="33"/>
      <c r="T40" s="36" t="str">
        <f>IF((ISERROR((S40/$H40)*100)), "", IF(AND(NOT(ISERROR((S40/$H40)*100)),((S40/$H40)*100) &lt;&gt; 0), (S40/$H40)*100, ""))</f>
        <v/>
      </c>
      <c r="U40" s="33"/>
      <c r="V40" s="36" t="str">
        <f t="shared" ref="V40" si="62">IF((ISERROR((U40/$H40)*100)), "", IF(AND(NOT(ISERROR((U40/$H40)*100)),((U40/$H40)*100) &lt;&gt; 0), (U40/$H40)*100, ""))</f>
        <v/>
      </c>
      <c r="W40" s="40">
        <v>4</v>
      </c>
      <c r="X40" s="39">
        <f t="shared" ref="X40:X43" si="63">IF((ISERROR((W40/$H40)*100)), "", IF(AND(NOT(ISERROR((W40/$H40)*100)),((W40/$H40)*100) &lt;&gt; 0), (W40/$H40)*100, ""))</f>
        <v>7.8431372549019605</v>
      </c>
      <c r="Y40" s="33"/>
      <c r="Z40" s="36" t="str">
        <f t="shared" ref="Z40" si="64">IF((ISERROR((Y40/$H40)*100)), "", IF(AND(NOT(ISERROR((Y40/$H40)*100)),((Y40/$H40)*100) &lt;&gt; 0), (Y40/$H40)*100, ""))</f>
        <v/>
      </c>
      <c r="AA40" s="33"/>
      <c r="AB40" s="36" t="str">
        <f t="shared" ref="AB40" si="65">IF((ISERROR((AA40/$H40)*100)), "", IF(AND(NOT(ISERROR((AA40/$H40)*100)),((AA40/$H40)*100) &lt;&gt; 0), (AA40/$H40)*100, ""))</f>
        <v/>
      </c>
      <c r="AC40" s="38" t="s">
        <v>227</v>
      </c>
      <c r="AD40" s="39" t="str">
        <f t="shared" ref="AD40" si="66">IF((ISERROR((AC40/$H40)*100)), "", IF(AND(NOT(ISERROR((AC40/$H40)*100)),((AC40/$H40)*100) &lt;&gt; 0), (AC40/$H40)*100, ""))</f>
        <v/>
      </c>
      <c r="AE40" s="76"/>
      <c r="AF40" s="36" t="str">
        <f>IF((ISERROR((AE40/$H40)*100)), "", IF(AND(NOT(ISERROR((AE40/$H40)*100)),((AE40/$H40)*100) &lt;&gt; 0), (AE40/$H40)*100, ""))</f>
        <v/>
      </c>
      <c r="AG40" s="38">
        <v>21</v>
      </c>
      <c r="AH40" s="39">
        <f>IF((ISERROR((AG40/$H40)*100)), "", IF(AND(NOT(ISERROR((AG40/$H40)*100)),((AG40/$H40)*100) &lt;&gt; 0), (AG40/$H40)*100, ""))</f>
        <v>41.17647058823529</v>
      </c>
      <c r="AI40" s="33"/>
      <c r="AJ40" s="36" t="str">
        <f>IF((ISERROR((AI40/$H40)*100)), "", IF(AND(NOT(ISERROR((AI40/$H40)*100)),((AI40/$H40)*100) &lt;&gt; 0), (AI40/$H40)*100, ""))</f>
        <v/>
      </c>
      <c r="AK40" s="33"/>
      <c r="AL40" s="36" t="str">
        <f>IF((ISERROR((AK40/$H40)*100)), "", IF(AND(NOT(ISERROR((AK40/$H40)*100)),((AK40/$H40)*100) &lt;&gt; 0), (AK40/$H40)*100, ""))</f>
        <v/>
      </c>
      <c r="AM40" s="33"/>
      <c r="AN40" s="36" t="str">
        <f>IF((ISERROR((AM40/$H40)*100)), "", IF(AND(NOT(ISERROR((AM40/$H40)*100)),((AM40/$H40)*100) &lt;&gt; 0), (AM40/$H40)*100, ""))</f>
        <v/>
      </c>
      <c r="AO40" s="33"/>
      <c r="AP40" s="36" t="str">
        <f>IF((ISERROR((AO40/$H40)*100)), "", IF(AND(NOT(ISERROR((AO40/$H40)*100)),((AO40/$H40)*100) &lt;&gt; 0), (AO40/$H40)*100, ""))</f>
        <v/>
      </c>
      <c r="AQ40" s="33"/>
      <c r="AR40" s="36" t="str">
        <f t="shared" ref="AR40" si="67">IF((ISERROR((AQ40/$H40)*100)), "", IF(AND(NOT(ISERROR((AQ40/$H40)*100)),((AQ40/$H40)*100) &lt;&gt; 0), (AQ40/$H40)*100, ""))</f>
        <v/>
      </c>
      <c r="AS40" s="38">
        <v>1</v>
      </c>
      <c r="AT40" s="39">
        <f t="shared" ref="AT40:AT43" si="68">IF((ISERROR((AS40/$H40)*100)), "", IF(AND(NOT(ISERROR((AS40/$H40)*100)),((AS40/$H40)*100) &lt;&gt; 0), (AS40/$H40)*100, ""))</f>
        <v>1.9607843137254901</v>
      </c>
      <c r="AU40" s="33"/>
      <c r="AV40" s="36" t="str">
        <f t="shared" ref="AV40:AV43" si="69">IF((ISERROR((AU40/$H40)*100)), "", IF(AND(NOT(ISERROR((AU40/$H40)*100)),((AU40/$H40)*100) &lt;&gt; 0), (AU40/$H40)*100, ""))</f>
        <v/>
      </c>
      <c r="AW40" s="33"/>
      <c r="AX40" s="36" t="str">
        <f t="shared" ref="AX40:AX43" si="70">IF((ISERROR((AW40/$H40)*100)), "", IF(AND(NOT(ISERROR((AW40/$H40)*100)),((AW40/$H40)*100) &lt;&gt; 0), (AW40/$H40)*100, ""))</f>
        <v/>
      </c>
      <c r="AY40" s="33"/>
      <c r="AZ40" s="36" t="str">
        <f t="shared" ref="AZ40:AZ43" si="71">IF((ISERROR((AY40/$H40)*100)), "", IF(AND(NOT(ISERROR((AY40/$H40)*100)),((AY40/$H40)*100) &lt;&gt; 0), (AY40/$H40)*100, ""))</f>
        <v/>
      </c>
      <c r="BA40" s="23" t="s">
        <v>397</v>
      </c>
    </row>
    <row r="41" spans="1:53" ht="20" customHeight="1" x14ac:dyDescent="0.2">
      <c r="A41" s="60"/>
      <c r="B41" s="82"/>
      <c r="C41" s="24" t="s">
        <v>85</v>
      </c>
      <c r="D41" s="23" t="s">
        <v>318</v>
      </c>
      <c r="E41" s="23" t="s">
        <v>319</v>
      </c>
      <c r="F41" s="24">
        <v>2010</v>
      </c>
      <c r="H41" s="89">
        <v>53</v>
      </c>
      <c r="I41" s="112" t="s">
        <v>374</v>
      </c>
      <c r="J41" s="86" t="s">
        <v>414</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v>15</v>
      </c>
      <c r="T41" s="36">
        <f>IF((ISERROR((S41/$H41)*100)), "", IF(AND(NOT(ISERROR((S41/$H41)*100)),((S41/$H41)*100) &lt;&gt; 0), (S41/$H41)*100, ""))</f>
        <v>28.30188679245283</v>
      </c>
      <c r="U41" s="33"/>
      <c r="V41" s="36" t="str">
        <f>IF((ISERROR((U41/$H41)*100)), "", IF(AND(NOT(ISERROR((U41/$H41)*100)),((U41/$H41)*100) &lt;&gt; 0), (U41/$H41)*100, ""))</f>
        <v/>
      </c>
      <c r="W41" s="76">
        <v>15</v>
      </c>
      <c r="X41" s="36">
        <f t="shared" si="63"/>
        <v>28.30188679245283</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IF((ISERROR((AE41/$H41)*100)), "", IF(AND(NOT(ISERROR((AE41/$H41)*100)),((AE41/$H41)*100) &lt;&gt; 0), (AE41/$H41)*100, ""))</f>
        <v/>
      </c>
      <c r="AG41" s="33">
        <v>2</v>
      </c>
      <c r="AH41" s="36">
        <f>IF((ISERROR((AG41/$H41)*100)), "", IF(AND(NOT(ISERROR((AG41/$H41)*100)),((AG41/$H41)*100) &lt;&gt; 0), (AG41/$H41)*100, ""))</f>
        <v>3.7735849056603774</v>
      </c>
      <c r="AI41" s="33"/>
      <c r="AJ41" s="36" t="str">
        <f>IF((ISERROR((AI41/$H41)*100)), "", IF(AND(NOT(ISERROR((AI41/$H41)*100)),((AI41/$H41)*100) &lt;&gt; 0), (AI41/$H41)*100, ""))</f>
        <v/>
      </c>
      <c r="AK41" s="33">
        <v>3</v>
      </c>
      <c r="AL41" s="36">
        <f>IF((ISERROR((AK41/$H41)*100)), "", IF(AND(NOT(ISERROR((AK41/$H41)*100)),((AK41/$H41)*100) &lt;&gt; 0), (AK41/$H41)*100, ""))</f>
        <v>5.6603773584905666</v>
      </c>
      <c r="AM41" s="33"/>
      <c r="AN41" s="36" t="str">
        <f>IF((ISERROR((AM41/$H41)*100)), "", IF(AND(NOT(ISERROR((AM41/$H41)*100)),((AM41/$H41)*100) &lt;&gt; 0), (AM41/$H41)*100, ""))</f>
        <v/>
      </c>
      <c r="AO41" s="33">
        <v>9</v>
      </c>
      <c r="AP41" s="36">
        <f>IF((ISERROR((AO41/$H41)*100)), "", IF(AND(NOT(ISERROR((AO41/$H41)*100)),((AO41/$H41)*100) &lt;&gt; 0), (AO41/$H41)*100, ""))</f>
        <v>16.981132075471699</v>
      </c>
      <c r="AQ41" s="33"/>
      <c r="AR41" s="36" t="str">
        <f>IF((ISERROR((AQ41/$H41)*100)), "", IF(AND(NOT(ISERROR((AQ41/$H41)*100)),((AQ41/$H41)*100) &lt;&gt; 0), (AQ41/$H41)*100, ""))</f>
        <v/>
      </c>
      <c r="AS41" s="33">
        <v>2</v>
      </c>
      <c r="AT41" s="36">
        <f t="shared" si="68"/>
        <v>3.7735849056603774</v>
      </c>
      <c r="AU41" s="33"/>
      <c r="AV41" s="36" t="str">
        <f t="shared" si="69"/>
        <v/>
      </c>
      <c r="AW41" s="33"/>
      <c r="AX41" s="36" t="str">
        <f t="shared" si="70"/>
        <v/>
      </c>
      <c r="AY41" s="33"/>
      <c r="AZ41" s="36" t="str">
        <f t="shared" si="71"/>
        <v/>
      </c>
      <c r="BA41" s="23" t="s">
        <v>375</v>
      </c>
    </row>
    <row r="42" spans="1:53" ht="20" customHeight="1" x14ac:dyDescent="0.2">
      <c r="A42" s="60"/>
      <c r="B42" s="82"/>
      <c r="C42" s="24" t="s">
        <v>85</v>
      </c>
      <c r="D42" s="23" t="s">
        <v>320</v>
      </c>
      <c r="E42" s="23" t="s">
        <v>321</v>
      </c>
      <c r="F42" s="24">
        <v>2014</v>
      </c>
      <c r="H42" s="89">
        <v>39</v>
      </c>
      <c r="I42" s="85" t="s">
        <v>213</v>
      </c>
      <c r="J42" s="86" t="s">
        <v>376</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v>1</v>
      </c>
      <c r="T42" s="36">
        <f>IF((ISERROR((S42/$H42)*100)), "", IF(AND(NOT(ISERROR((S42/$H42)*100)),((S42/$H42)*100) &lt;&gt; 0), (S42/$H42)*100, ""))</f>
        <v>2.5641025641025639</v>
      </c>
      <c r="U42" s="33">
        <v>2</v>
      </c>
      <c r="V42" s="36">
        <f>IF((ISERROR((U42/$H42)*100)), "", IF(AND(NOT(ISERROR((U42/$H42)*100)),((U42/$H42)*100) &lt;&gt; 0), (U42/$H42)*100, ""))</f>
        <v>5.1282051282051277</v>
      </c>
      <c r="W42" s="76">
        <v>6</v>
      </c>
      <c r="X42" s="36">
        <f t="shared" si="63"/>
        <v>15.384615384615385</v>
      </c>
      <c r="Y42" s="33"/>
      <c r="Z42" s="36" t="str">
        <f>IF((ISERROR((Y42/$H42)*100)), "", IF(AND(NOT(ISERROR((Y42/$H42)*100)),((Y42/$H42)*100) &lt;&gt; 0), (Y42/$H42)*100, ""))</f>
        <v/>
      </c>
      <c r="AA42" s="33"/>
      <c r="AB42" s="36"/>
      <c r="AC42" s="33"/>
      <c r="AD42" s="36" t="str">
        <f>IF((ISERROR((AC42/$H42)*100)), "", IF(AND(NOT(ISERROR((AC42/$H42)*100)),((AC42/$H42)*100) &lt;&gt; 0), (AC42/$H42)*100, ""))</f>
        <v/>
      </c>
      <c r="AE42" s="76"/>
      <c r="AF42" s="36" t="str">
        <f>IF((ISERROR((AE42/$H42)*100)), "", IF(AND(NOT(ISERROR((AE42/$H42)*100)),((AE42/$H42)*100) &lt;&gt; 0), (AE42/$H42)*100, ""))</f>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v>1</v>
      </c>
      <c r="AR42" s="36">
        <f>IF((ISERROR((AQ42/$H42)*100)), "", IF(AND(NOT(ISERROR((AQ42/$H42)*100)),((AQ42/$H42)*100) &lt;&gt; 0), (AQ42/$H42)*100, ""))</f>
        <v>2.5641025641025639</v>
      </c>
      <c r="AS42" s="33"/>
      <c r="AT42" s="36" t="str">
        <f t="shared" si="68"/>
        <v/>
      </c>
      <c r="AU42" s="33"/>
      <c r="AV42" s="36" t="str">
        <f t="shared" si="69"/>
        <v/>
      </c>
      <c r="AW42" s="33"/>
      <c r="AX42" s="36" t="str">
        <f t="shared" si="70"/>
        <v/>
      </c>
      <c r="AY42" s="33"/>
      <c r="AZ42" s="36" t="str">
        <f t="shared" si="71"/>
        <v/>
      </c>
      <c r="BA42" s="23" t="s">
        <v>415</v>
      </c>
    </row>
    <row r="43" spans="1:53" ht="20" customHeight="1" x14ac:dyDescent="0.2">
      <c r="A43" s="60"/>
      <c r="B43" s="82"/>
      <c r="C43" s="24" t="s">
        <v>85</v>
      </c>
      <c r="D43" s="23" t="s">
        <v>322</v>
      </c>
      <c r="E43" s="23" t="s">
        <v>323</v>
      </c>
      <c r="F43" s="24">
        <v>2010</v>
      </c>
      <c r="H43" s="89">
        <v>789</v>
      </c>
      <c r="I43" s="85" t="s">
        <v>213</v>
      </c>
      <c r="J43" s="86" t="s">
        <v>378</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c r="T43" s="36" t="str">
        <f>IF((ISERROR((S43/$H43)*100)), "", IF(AND(NOT(ISERROR((S43/$H43)*100)),((S43/$H43)*100) &lt;&gt; 0), (S43/$H43)*100, ""))</f>
        <v/>
      </c>
      <c r="U43" s="33"/>
      <c r="V43" s="36" t="str">
        <f>IF((ISERROR((U43/$H43)*100)), "", IF(AND(NOT(ISERROR((U43/$H43)*100)),((U43/$H43)*100) &lt;&gt; 0), (U43/$H43)*100, ""))</f>
        <v/>
      </c>
      <c r="W43" s="76"/>
      <c r="X43" s="36" t="str">
        <f t="shared" si="63"/>
        <v/>
      </c>
      <c r="Y43" s="33"/>
      <c r="Z43" s="36" t="str">
        <f>IF((ISERROR((Y43/$H43)*100)), "", IF(AND(NOT(ISERROR((Y43/$H43)*100)),((Y43/$H43)*100) &lt;&gt; 0), (Y43/$H43)*100, ""))</f>
        <v/>
      </c>
      <c r="AA43" s="33"/>
      <c r="AB43" s="36" t="str">
        <f>IF((ISERROR((AA43/$H43)*100)), "", IF(AND(NOT(ISERROR((AA43/$H43)*100)),((AA43/$H43)*100) &lt;&gt; 0), (AA43/$H43)*100, ""))</f>
        <v/>
      </c>
      <c r="AC43" s="33"/>
      <c r="AD43" s="36" t="str">
        <f>IF((ISERROR((AC43/$H43)*100)), "", IF(AND(NOT(ISERROR((AC43/$H43)*100)),((AC43/$H43)*100) &lt;&gt; 0), (AC43/$H43)*100, ""))</f>
        <v/>
      </c>
      <c r="AE43" s="76">
        <v>43</v>
      </c>
      <c r="AF43" s="36">
        <f>IF((ISERROR((AE43/$H43)*100)), "", IF(AND(NOT(ISERROR((AE43/$H43)*100)),((AE43/$H43)*100) &lt;&gt; 0), (AE43/$H43)*100, ""))</f>
        <v>5.4499366286438535</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c r="AR43" s="36" t="str">
        <f>IF((ISERROR((AQ43/$H43)*100)), "", IF(AND(NOT(ISERROR((AQ43/$H43)*100)),((AQ43/$H43)*100) &lt;&gt; 0), (AQ43/$H43)*100, ""))</f>
        <v/>
      </c>
      <c r="AS43" s="33"/>
      <c r="AT43" s="36" t="str">
        <f t="shared" si="68"/>
        <v/>
      </c>
      <c r="AU43" s="33"/>
      <c r="AV43" s="36" t="str">
        <f t="shared" si="69"/>
        <v/>
      </c>
      <c r="AW43" s="33"/>
      <c r="AX43" s="36" t="str">
        <f t="shared" si="70"/>
        <v/>
      </c>
      <c r="AY43" s="33"/>
      <c r="AZ43" s="36" t="str">
        <f t="shared" si="71"/>
        <v/>
      </c>
      <c r="BA43" s="23" t="s">
        <v>377</v>
      </c>
    </row>
    <row r="44" spans="1:53" ht="20" customHeight="1" thickBot="1" x14ac:dyDescent="0.25">
      <c r="A44" s="60"/>
      <c r="B44" s="82"/>
      <c r="C44" s="81" t="s">
        <v>384</v>
      </c>
      <c r="D44" s="49" t="s">
        <v>139</v>
      </c>
      <c r="E44" s="49" t="s">
        <v>140</v>
      </c>
      <c r="F44" s="50">
        <v>2005</v>
      </c>
      <c r="G44" s="50">
        <v>21</v>
      </c>
      <c r="H44" s="90"/>
      <c r="I44" s="87" t="s">
        <v>228</v>
      </c>
      <c r="J44" s="88"/>
      <c r="K44" s="33"/>
      <c r="L44" s="36" t="str">
        <f>IF((ISERROR((K44/$H44)*100)), "", IF(AND(NOT(ISERROR((K44/$H44)*100)),((K44/$H44)*100) &lt;&gt; 0), (K44/$H44)*100, ""))</f>
        <v/>
      </c>
      <c r="M44" s="38">
        <v>5</v>
      </c>
      <c r="N44" s="39"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40">
        <v>16</v>
      </c>
      <c r="X44" s="39" t="str">
        <f t="shared" ref="X44" si="72">IF((ISERROR((W44/$H44)*100)), "", IF(AND(NOT(ISERROR((W44/$H44)*100)),((W44/$H44)*100) &lt;&gt; 0), (W44/$H44)*100, ""))</f>
        <v/>
      </c>
      <c r="Y44" s="33"/>
      <c r="Z44" s="36" t="str">
        <f t="shared" ref="Z44" si="73">IF((ISERROR((Y44/$H44)*100)), "", IF(AND(NOT(ISERROR((Y44/$H44)*100)),((Y44/$H44)*100) &lt;&gt; 0), (Y44/$H44)*100, ""))</f>
        <v/>
      </c>
      <c r="AA44" s="33"/>
      <c r="AB44" s="36" t="str">
        <f>IF((ISERROR((AA44/$H44)*100)), "", IF(AND(NOT(ISERROR((AA44/$H44)*100)),((AA44/$H44)*100) &lt;&gt; 0), (AA44/$H44)*100, ""))</f>
        <v/>
      </c>
      <c r="AC44" s="33"/>
      <c r="AD44" s="36" t="str">
        <f t="shared" ref="AD44" si="74">IF((ISERROR((AC44/$H44)*100)), "", IF(AND(NOT(ISERROR((AC44/$H44)*100)),((AC44/$H44)*100) &lt;&gt; 0), (AC44/$H44)*100, ""))</f>
        <v/>
      </c>
      <c r="AE44" s="76"/>
      <c r="AF44" s="36" t="str">
        <f>IF((ISERROR((AE44/$H44)*100)), "", IF(AND(NOT(ISERROR((AE44/$H44)*100)),((AE44/$H44)*100) &lt;&gt; 0), (AE44/$H44)*100, ""))</f>
        <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 t="shared" ref="AR44" si="75">IF((ISERROR((AQ44/$H44)*100)), "", IF(AND(NOT(ISERROR((AQ44/$H44)*100)),((AQ44/$H44)*100) &lt;&gt; 0), (AQ44/$H44)*100, ""))</f>
        <v/>
      </c>
      <c r="AS44" s="33"/>
      <c r="AT44" s="36" t="str">
        <f t="shared" ref="AT44" si="76">IF((ISERROR((AS44/$H44)*100)), "", IF(AND(NOT(ISERROR((AS44/$H44)*100)),((AS44/$H44)*100) &lt;&gt; 0), (AS44/$H44)*100, ""))</f>
        <v/>
      </c>
      <c r="AU44" s="33"/>
      <c r="AV44" s="36" t="str">
        <f t="shared" ref="AV44" si="77">IF((ISERROR((AU44/$H44)*100)), "", IF(AND(NOT(ISERROR((AU44/$H44)*100)),((AU44/$H44)*100) &lt;&gt; 0), (AU44/$H44)*100, ""))</f>
        <v/>
      </c>
      <c r="AW44" s="38">
        <v>5</v>
      </c>
      <c r="AX44" s="39" t="str">
        <f t="shared" ref="AX44" si="78">IF((ISERROR((AW44/$H44)*100)), "", IF(AND(NOT(ISERROR((AW44/$H44)*100)),((AW44/$H44)*100) &lt;&gt; 0), (AW44/$H44)*100, ""))</f>
        <v/>
      </c>
      <c r="AY44" s="33"/>
      <c r="AZ44" s="36" t="str">
        <f t="shared" ref="AZ44" si="79">IF((ISERROR((AY44/$H44)*100)), "", IF(AND(NOT(ISERROR((AY44/$H44)*100)),((AY44/$H44)*100) &lt;&gt; 0), (AY44/$H44)*100, ""))</f>
        <v/>
      </c>
      <c r="BA44" s="23" t="s">
        <v>229</v>
      </c>
    </row>
    <row r="46" spans="1:53" ht="17" thickBot="1" x14ac:dyDescent="0.25"/>
    <row r="47" spans="1:53" s="22" customFormat="1" x14ac:dyDescent="0.2">
      <c r="C47" s="41"/>
      <c r="F47" s="24"/>
      <c r="G47" s="43" t="s">
        <v>246</v>
      </c>
      <c r="H47" s="44">
        <f>SUM(H11:H44)</f>
        <v>1781</v>
      </c>
      <c r="I47" s="45" t="s">
        <v>244</v>
      </c>
      <c r="J47" s="46" t="s">
        <v>243</v>
      </c>
      <c r="K47" s="51">
        <f>IF((SUM(K11:K44)&lt;&gt;0), SUMIF($H11:$H44, "&gt;0", K11:K44), "")</f>
        <v>25</v>
      </c>
      <c r="L47" s="52">
        <f>IF(ISERROR((K47/$H47)*100), "", IF(((K47/$H47)*100) &lt;&gt; 0, (K47/$H47)*100, ""))</f>
        <v>1.403705783267827</v>
      </c>
      <c r="M47" s="51">
        <f>IF((SUM(M11:M44)&lt;&gt;0), SUMIF($H11:$H44, "&gt;0", M11:M44), "")</f>
        <v>7</v>
      </c>
      <c r="N47" s="52">
        <f>IF(ISERROR((M47/$H47)*100), "", IF(((M47/$H47)*100) &lt;&gt; 0, (M47/$H47)*100, ""))</f>
        <v>0.39303761931499154</v>
      </c>
      <c r="O47" s="51">
        <f>IF((SUM(O11:O44)&lt;&gt;0), SUMIF($H11:$H44, "&gt;0", O11:O44), "")</f>
        <v>6</v>
      </c>
      <c r="P47" s="52">
        <f>IF(ISERROR((O47/$H47)*100), "", IF(((O47/$H47)*100) &lt;&gt; 0, (O47/$H47)*100, ""))</f>
        <v>0.33688938798427848</v>
      </c>
      <c r="Q47" s="51">
        <f>IF((SUM(Q11:Q44)&lt;&gt;0), SUMIF($H11:$H44, "&gt;0", Q11:Q44), "")</f>
        <v>2</v>
      </c>
      <c r="R47" s="52">
        <f>IF(ISERROR((Q47/$H47)*100), "", IF(((Q47/$H47)*100) &lt;&gt; 0, (Q47/$H47)*100, ""))</f>
        <v>0.11229646266142618</v>
      </c>
      <c r="S47" s="51">
        <f>IF((SUM(S11:S44)&lt;&gt;0), SUMIF($H11:$H44, "&gt;0", S11:S44), "")</f>
        <v>56</v>
      </c>
      <c r="T47" s="52">
        <f>IF(ISERROR((S47/$H47)*100), "", IF(((S47/$H47)*100) &lt;&gt; 0, (S47/$H47)*100, ""))</f>
        <v>3.1443009545199323</v>
      </c>
      <c r="U47" s="51">
        <f>IF((SUM(U11:U44)&lt;&gt;0), SUMIF($H11:$H44, "&gt;0", U11:U44), "")</f>
        <v>34</v>
      </c>
      <c r="V47" s="52">
        <f>IF(ISERROR((U47/$H47)*100), "", IF(((U47/$H47)*100) &lt;&gt; 0, (U47/$H47)*100, ""))</f>
        <v>1.9090398652442448</v>
      </c>
      <c r="W47" s="51">
        <f>IF((SUM(W11:W44)&lt;&gt;0), SUMIF($H11:$H44, "&gt;0", W11:W44), "")</f>
        <v>82</v>
      </c>
      <c r="X47" s="52">
        <f>IF(ISERROR((W47/$H47)*100), "", IF(((W47/$H47)*100) &lt;&gt; 0, (W47/$H47)*100, ""))</f>
        <v>4.6041549691184729</v>
      </c>
      <c r="Y47" s="51">
        <f>IF((SUM(Y11:Y44)&lt;&gt;0), SUMIF($H11:$H44, "&gt;0", Y11:Y44), "")</f>
        <v>1</v>
      </c>
      <c r="Z47" s="52">
        <f>IF(ISERROR((Y47/$H47)*100), "", IF(((Y47/$H47)*100) &lt;&gt; 0, (Y47/$H47)*100, ""))</f>
        <v>5.6148231330713089E-2</v>
      </c>
      <c r="AA47" s="51">
        <f>IF((SUM(AA11:AA44)&lt;&gt;0), SUMIF($H11:$H44, "&gt;0", AA11:AA44), "")</f>
        <v>1</v>
      </c>
      <c r="AB47" s="52">
        <f>IF(ISERROR((AA47/$H47)*100), "", IF(((AA47/$H47)*100) &lt;&gt; 0, (AA47/$H47)*100, ""))</f>
        <v>5.6148231330713089E-2</v>
      </c>
      <c r="AC47" s="51">
        <f>IF((SUM(AC11:AC44)&lt;&gt;0), SUMIF($H11:$H44, "&gt;0", AC11:AC44), "")</f>
        <v>1</v>
      </c>
      <c r="AD47" s="52">
        <f>IF(ISERROR((AC47/$H47)*100), "", IF(((AC47/$H47)*100) &lt;&gt; 0, (AC47/$H47)*100, ""))</f>
        <v>5.6148231330713089E-2</v>
      </c>
      <c r="AE47" s="51">
        <f>IF((SUM(AE11:AE44)&lt;&gt;0), SUMIF($H11:$H44, "&gt;0", AE11:AE44), "")</f>
        <v>90</v>
      </c>
      <c r="AF47" s="52">
        <f>IF(ISERROR((AE47/$H47)*100), "", IF(((AE47/$H47)*100) &lt;&gt; 0, (AE47/$H47)*100, ""))</f>
        <v>5.0533408197641769</v>
      </c>
      <c r="AG47" s="51">
        <f>IF((SUM(AG11:AG44)&lt;&gt;0), SUMIF($H11:$H44, "&gt;0", AG11:AG44), "")</f>
        <v>55</v>
      </c>
      <c r="AH47" s="52">
        <f>IF(ISERROR((AG47/$H47)*100), "", IF(((AG47/$H47)*100) &lt;&gt; 0, (AG47/$H47)*100, ""))</f>
        <v>3.0881527231892196</v>
      </c>
      <c r="AI47" s="51">
        <f>IF((SUM(AI11:AI44)&lt;&gt;0), SUMIF($H11:$H44, "&gt;0", AI11:AI44), "")</f>
        <v>2</v>
      </c>
      <c r="AJ47" s="52">
        <f>IF(ISERROR((AI47/$H47)*100), "", IF(((AI47/$H47)*100) &lt;&gt; 0, (AI47/$H47)*100, ""))</f>
        <v>0.11229646266142618</v>
      </c>
      <c r="AK47" s="51">
        <f>IF((SUM(AK11:AK44)&lt;&gt;0), SUMIF($H11:$H44, "&gt;0", AK11:AK44), "")</f>
        <v>4</v>
      </c>
      <c r="AL47" s="52">
        <f>IF(ISERROR((AK47/$H47)*100), "", IF(((AK47/$H47)*100) &lt;&gt; 0, (AK47/$H47)*100, ""))</f>
        <v>0.22459292532285235</v>
      </c>
      <c r="AM47" s="51">
        <f>IF((SUM(AM11:AM44)&lt;&gt;0), SUMIF($H11:$H44, "&gt;0", AM11:AM44), "")</f>
        <v>6</v>
      </c>
      <c r="AN47" s="52">
        <f>IF(ISERROR((AM47/$H47)*100), "", IF(((AM47/$H47)*100) &lt;&gt; 0, (AM47/$H47)*100, ""))</f>
        <v>0.33688938798427848</v>
      </c>
      <c r="AO47" s="51">
        <f>IF((SUM(AO11:AO44)&lt;&gt;0), SUMIF($H11:$H44, "&gt;0", AO11:AO44), "")</f>
        <v>30</v>
      </c>
      <c r="AP47" s="52">
        <f>IF(ISERROR((AO47/$H47)*100), "", IF(((AO47/$H47)*100) &lt;&gt; 0, (AO47/$H47)*100, ""))</f>
        <v>1.6844469399213924</v>
      </c>
      <c r="AQ47" s="51">
        <f>IF((SUM(AQ11:AQ44)&lt;&gt;0), SUMIF($H11:$H44, "&gt;0", AQ11:AQ44), "")</f>
        <v>3</v>
      </c>
      <c r="AR47" s="52">
        <f>IF(ISERROR((AQ47/$H47)*100), "", IF(((AQ47/$H47)*100) &lt;&gt; 0, (AQ47/$H47)*100, ""))</f>
        <v>0.16844469399213924</v>
      </c>
      <c r="AS47" s="51">
        <f>IF((SUM(AS11:AS44)&lt;&gt;0), SUMIF($H11:$H44, "&gt;0", AS11:AS44), "")</f>
        <v>9</v>
      </c>
      <c r="AT47" s="52">
        <f>IF(ISERROR((AS47/$H47)*100), "", IF(((AS47/$H47)*100) &lt;&gt; 0, (AS47/$H47)*100, ""))</f>
        <v>0.50533408197641771</v>
      </c>
      <c r="AU47" s="51">
        <f>IF((SUM(AU11:AU44)&lt;&gt;0), SUMIF($H11:$H44, "&gt;0", AU11:AU44), "")</f>
        <v>1</v>
      </c>
      <c r="AV47" s="52">
        <f>IF(ISERROR((AU47/$H47)*100), "", IF(((AU47/$H47)*100) &lt;&gt; 0, (AU47/$H47)*100, ""))</f>
        <v>5.6148231330713089E-2</v>
      </c>
      <c r="AW47" s="51">
        <f>IF((SUM(AW11:AW44)&lt;&gt;0), SUMIF($H11:$H44, "&gt;0", AW11:AW44), "")</f>
        <v>1</v>
      </c>
      <c r="AX47" s="52">
        <f>IF(ISERROR((AW47/$H47)*100), "", IF(((AW47/$H47)*100) &lt;&gt; 0, (AW47/$H47)*100, ""))</f>
        <v>5.6148231330713089E-2</v>
      </c>
      <c r="AY47" s="51" t="str">
        <f>IF((SUM(AY11:AY44)&lt;&gt;0), SUMIF($H11:$H44, "&gt;0", AY11:AY44), "")</f>
        <v/>
      </c>
      <c r="AZ47" s="52" t="str">
        <f>IF(ISERROR((AY47/$H47)*100), "", IF(((AY47/$H47)*100) &lt;&gt; 0, (AY47/$H47)*100, ""))</f>
        <v/>
      </c>
    </row>
    <row r="48" spans="1:53" s="22" customFormat="1" ht="18" customHeight="1" x14ac:dyDescent="0.2">
      <c r="C48" s="41"/>
      <c r="F48" s="24"/>
      <c r="G48" s="43" t="s">
        <v>247</v>
      </c>
      <c r="H48" s="42" t="s">
        <v>245</v>
      </c>
      <c r="I48" s="47" t="s">
        <v>244</v>
      </c>
      <c r="J48" s="48" t="s">
        <v>243</v>
      </c>
      <c r="K48" s="53">
        <f>IF(SUMIF(K11:K44, "&gt; 0", $H11:$H44) &gt; 0, SUMIF(K11:K44, "&gt; 0", $H11:$H44), "")</f>
        <v>62</v>
      </c>
      <c r="L48" s="54">
        <f>(K47/K48)*100</f>
        <v>40.322580645161288</v>
      </c>
      <c r="M48" s="53">
        <f>IF(SUMIF(M11:M44, "&gt; 0", $H11:$H44) &gt; 0, SUMIF(M11:M44, "&gt; 0", $H11:$H44), "")</f>
        <v>19</v>
      </c>
      <c r="N48" s="54">
        <f>(M47/M48)*100</f>
        <v>36.84210526315789</v>
      </c>
      <c r="O48" s="53">
        <f>IF(SUMIF(O11:O44, "&gt; 0", $H11:$H44) &gt; 0, SUMIF(O11:O44, "&gt; 0", $H11:$H44), "")</f>
        <v>17</v>
      </c>
      <c r="P48" s="54">
        <f>(O47/O48)*100</f>
        <v>35.294117647058826</v>
      </c>
      <c r="Q48" s="53">
        <f>IF(SUMIF(Q11:Q44, "&gt; 0", $H11:$H44) &gt; 0, SUMIF(Q11:Q44, "&gt; 0", $H11:$H44), "")</f>
        <v>8</v>
      </c>
      <c r="R48" s="54">
        <f>(Q47/Q48)*100</f>
        <v>25</v>
      </c>
      <c r="S48" s="53">
        <f>IF(SUMIF(S11:S44, "&gt; 0", $H11:$H44) &gt; 0, SUMIF(S11:S44, "&gt; 0", $H11:$H44), "")</f>
        <v>237</v>
      </c>
      <c r="T48" s="54">
        <f>(S47/S48)*100</f>
        <v>23.628691983122362</v>
      </c>
      <c r="U48" s="53">
        <f>IF(SUMIF(U11:U44, "&gt; 0", $H11:$H44) &gt; 0, SUMIF(U11:U44, "&gt; 0", $H11:$H44), "")</f>
        <v>156</v>
      </c>
      <c r="V48" s="54">
        <f>(U47/U48)*100</f>
        <v>21.794871794871796</v>
      </c>
      <c r="W48" s="53">
        <f>IF(SUMIF(W11:W44, "&gt; 0", $H11:$H44) &gt; 0, SUMIF(W11:W44, "&gt; 0", $H11:$H44), "")</f>
        <v>399</v>
      </c>
      <c r="X48" s="54">
        <f>(W47/W48)*100</f>
        <v>20.551378446115287</v>
      </c>
      <c r="Y48" s="53">
        <f>IF(SUMIF(Y11:Y44, "&gt; 0", $H11:$H44) &gt; 0, SUMIF(Y11:Y44, "&gt; 0", $H11:$H44), "")</f>
        <v>8</v>
      </c>
      <c r="Z48" s="54">
        <f>(Y47/Y48)*100</f>
        <v>12.5</v>
      </c>
      <c r="AA48" s="53">
        <f>IF(SUMIF(AA11:AA44, "&gt; 0", $H11:$H44) &gt; 0, SUMIF(AA11:AA44, "&gt; 0", $H11:$H44), "")</f>
        <v>8</v>
      </c>
      <c r="AB48" s="54">
        <f>(AA47/AA48)*100</f>
        <v>12.5</v>
      </c>
      <c r="AC48" s="53">
        <f>IF(SUMIF(AC11:AC44, "&gt; 0", $H11:$H44) &gt; 0, SUMIF(AC11:AC44, "&gt; 0", $H11:$H44), "")</f>
        <v>8</v>
      </c>
      <c r="AD48" s="54">
        <f>(AC47/AC48)*100</f>
        <v>12.5</v>
      </c>
      <c r="AE48" s="53">
        <f>IF(SUMIF(AE11:AE44, "&gt; 0", $H11:$H44) &gt; 0, SUMIF(AE11:AE44, "&gt; 0", $H11:$H44), "")</f>
        <v>941</v>
      </c>
      <c r="AF48" s="54">
        <f>IF(ISERROR((AE47/AE48)*100),"",IF((AE47/AE48)*100&lt;&gt;0,(AE47/AE48)*100,""))</f>
        <v>9.5642933049946866</v>
      </c>
      <c r="AG48" s="53">
        <f>IF(SUMIF(AG11:AG44, "&gt; 0", $H11:$H44) &gt; 0, SUMIF(AG11:AG44, "&gt; 0", $H11:$H44), "")</f>
        <v>620</v>
      </c>
      <c r="AH48" s="54">
        <f>(AG47/AG48)*100</f>
        <v>8.870967741935484</v>
      </c>
      <c r="AI48" s="53">
        <f>IF(SUMIF(AI11:AI44, "&gt; 0", $H11:$H44) &gt; 0, SUMIF(AI11:AI44, "&gt; 0", $H11:$H44), "")</f>
        <v>27</v>
      </c>
      <c r="AJ48" s="54">
        <f>(AI47/AI48)*100</f>
        <v>7.4074074074074066</v>
      </c>
      <c r="AK48" s="53">
        <f>IF(SUMIF(AK11:AK44, "&gt; 0", $H11:$H44) &gt; 0, SUMIF(AK11:AK44, "&gt; 0", $H11:$H44), "")</f>
        <v>61</v>
      </c>
      <c r="AL48" s="54">
        <f>(AK47/AK48)*100</f>
        <v>6.557377049180328</v>
      </c>
      <c r="AM48" s="53">
        <f>IF(SUMIF(AM11:AM44, "&gt; 0", $H11:$H44) &gt; 0, SUMIF(AM11:AM44, "&gt; 0", $H11:$H44), "")</f>
        <v>97</v>
      </c>
      <c r="AN48" s="54">
        <f>(AM47/AM48)*100</f>
        <v>6.1855670103092786</v>
      </c>
      <c r="AO48" s="53">
        <f>IF(SUMIF(AO11:AO44, "&gt; 0", $H11:$H44) &gt; 0, SUMIF(AO11:AO44, "&gt; 0", $H11:$H44), "")</f>
        <v>531</v>
      </c>
      <c r="AP48" s="54">
        <f>(AO47/AO48)*100</f>
        <v>5.6497175141242941</v>
      </c>
      <c r="AQ48" s="53">
        <f>IF(SUMIF(AQ11:AQ44, "&gt; 0", $H11:$H44) &gt; 0, SUMIF(AQ11:AQ44, "&gt; 0", $H11:$H44), "")</f>
        <v>61</v>
      </c>
      <c r="AR48" s="54">
        <f>(AQ47/AQ48)*100</f>
        <v>4.918032786885246</v>
      </c>
      <c r="AS48" s="53">
        <f>IF(SUMIF(AS11:AS44, "&gt; 0", $H11:$H44) &gt; 0, SUMIF(AS11:AS44, "&gt; 0", $H11:$H44), "")</f>
        <v>213</v>
      </c>
      <c r="AT48" s="54">
        <f>(AS47/AS48)*100</f>
        <v>4.225352112676056</v>
      </c>
      <c r="AU48" s="53">
        <f>IF(SUMIF(AU11:AU44, "&gt; 0", $H11:$H44) &gt; 0, SUMIF(AU11:AU44, "&gt; 0", $H11:$H44), "")</f>
        <v>97</v>
      </c>
      <c r="AV48" s="54">
        <f>(AU47/AU48)*100</f>
        <v>1.0309278350515463</v>
      </c>
      <c r="AW48" s="53">
        <f>IF(SUMIF(AW11:AW44, "&gt; 0", $H11:$H44) &gt; 0, SUMIF(AW11:AW44, "&gt; 0", $H11:$H44), "")</f>
        <v>97</v>
      </c>
      <c r="AX48" s="54">
        <f>(AW47/AW48)*100</f>
        <v>1.0309278350515463</v>
      </c>
      <c r="AY48" s="53" t="str">
        <f>IF(SUMIF(AY11:AY44, "&gt; 0", $H11:$H44) &gt; 0, SUMIF(AY11:AY44, "&gt; 0", $H11:$H44), "")</f>
        <v/>
      </c>
      <c r="AZ48" s="54"/>
    </row>
    <row r="49" spans="5:52" ht="18" customHeight="1" thickBot="1" x14ac:dyDescent="0.25">
      <c r="H49" s="228" t="s">
        <v>244</v>
      </c>
      <c r="I49" s="231"/>
      <c r="J49" s="232"/>
      <c r="K49" s="207" t="s">
        <v>242</v>
      </c>
      <c r="L49" s="209" t="s">
        <v>243</v>
      </c>
      <c r="M49" s="207" t="s">
        <v>242</v>
      </c>
      <c r="N49" s="209" t="s">
        <v>243</v>
      </c>
      <c r="O49" s="207" t="s">
        <v>242</v>
      </c>
      <c r="P49" s="209" t="s">
        <v>243</v>
      </c>
      <c r="Q49" s="207" t="s">
        <v>242</v>
      </c>
      <c r="R49" s="209" t="s">
        <v>243</v>
      </c>
      <c r="S49" s="207" t="s">
        <v>242</v>
      </c>
      <c r="T49" s="209" t="s">
        <v>243</v>
      </c>
      <c r="U49" s="207" t="s">
        <v>242</v>
      </c>
      <c r="V49" s="209" t="s">
        <v>243</v>
      </c>
      <c r="W49" s="207" t="s">
        <v>242</v>
      </c>
      <c r="X49" s="209" t="s">
        <v>243</v>
      </c>
      <c r="Y49" s="207" t="s">
        <v>242</v>
      </c>
      <c r="Z49" s="209" t="s">
        <v>243</v>
      </c>
      <c r="AA49" s="207" t="s">
        <v>242</v>
      </c>
      <c r="AB49" s="209" t="s">
        <v>243</v>
      </c>
      <c r="AC49" s="207" t="s">
        <v>242</v>
      </c>
      <c r="AD49" s="209" t="s">
        <v>243</v>
      </c>
      <c r="AE49" s="207" t="s">
        <v>242</v>
      </c>
      <c r="AF49" s="209" t="s">
        <v>243</v>
      </c>
      <c r="AG49" s="211" t="s">
        <v>242</v>
      </c>
      <c r="AH49" s="210" t="s">
        <v>243</v>
      </c>
      <c r="AI49" s="207" t="s">
        <v>242</v>
      </c>
      <c r="AJ49" s="209" t="s">
        <v>243</v>
      </c>
      <c r="AK49" s="207" t="s">
        <v>242</v>
      </c>
      <c r="AL49" s="209" t="s">
        <v>243</v>
      </c>
      <c r="AM49" s="207" t="s">
        <v>242</v>
      </c>
      <c r="AN49" s="209" t="s">
        <v>243</v>
      </c>
      <c r="AO49" s="207" t="s">
        <v>242</v>
      </c>
      <c r="AP49" s="209" t="s">
        <v>243</v>
      </c>
      <c r="AQ49" s="207" t="s">
        <v>242</v>
      </c>
      <c r="AR49" s="209" t="s">
        <v>243</v>
      </c>
      <c r="AS49" s="207" t="s">
        <v>242</v>
      </c>
      <c r="AT49" s="209" t="s">
        <v>243</v>
      </c>
      <c r="AU49" s="207" t="s">
        <v>242</v>
      </c>
      <c r="AV49" s="209" t="s">
        <v>243</v>
      </c>
      <c r="AW49" s="207" t="s">
        <v>242</v>
      </c>
      <c r="AX49" s="209" t="s">
        <v>243</v>
      </c>
      <c r="AY49" s="207" t="s">
        <v>242</v>
      </c>
      <c r="AZ49" s="209" t="s">
        <v>243</v>
      </c>
    </row>
    <row r="50" spans="5:52" ht="18" customHeight="1" x14ac:dyDescent="0.2">
      <c r="E50" s="55" t="s">
        <v>249</v>
      </c>
      <c r="F50" s="58">
        <v>1</v>
      </c>
      <c r="H50" s="229"/>
      <c r="I50" s="233"/>
      <c r="J50" s="234"/>
      <c r="K50" s="207"/>
      <c r="L50" s="210"/>
      <c r="M50" s="207"/>
      <c r="N50" s="210"/>
      <c r="O50" s="207"/>
      <c r="P50" s="210"/>
      <c r="Q50" s="207"/>
      <c r="R50" s="210"/>
      <c r="S50" s="207"/>
      <c r="T50" s="210"/>
      <c r="U50" s="207"/>
      <c r="V50" s="210"/>
      <c r="W50" s="207"/>
      <c r="X50" s="210"/>
      <c r="Y50" s="207"/>
      <c r="Z50" s="210"/>
      <c r="AA50" s="207"/>
      <c r="AB50" s="210"/>
      <c r="AC50" s="207"/>
      <c r="AD50" s="210"/>
      <c r="AE50" s="207"/>
      <c r="AF50" s="210"/>
      <c r="AG50" s="207"/>
      <c r="AH50" s="210"/>
      <c r="AI50" s="207"/>
      <c r="AJ50" s="210"/>
      <c r="AK50" s="207"/>
      <c r="AL50" s="210"/>
      <c r="AM50" s="207"/>
      <c r="AN50" s="210"/>
      <c r="AO50" s="207"/>
      <c r="AP50" s="210"/>
      <c r="AQ50" s="207"/>
      <c r="AR50" s="210"/>
      <c r="AS50" s="207"/>
      <c r="AT50" s="210"/>
      <c r="AU50" s="207"/>
      <c r="AV50" s="210"/>
      <c r="AW50" s="207"/>
      <c r="AX50" s="210"/>
      <c r="AY50" s="207"/>
      <c r="AZ50" s="210"/>
    </row>
    <row r="51" spans="5:52" ht="18" customHeight="1" x14ac:dyDescent="0.2">
      <c r="E51" s="56"/>
      <c r="F51" s="57"/>
      <c r="H51" s="229"/>
      <c r="I51" s="233"/>
      <c r="J51" s="234"/>
      <c r="K51" s="207"/>
      <c r="L51" s="210"/>
      <c r="M51" s="207"/>
      <c r="N51" s="210"/>
      <c r="O51" s="207"/>
      <c r="P51" s="210"/>
      <c r="Q51" s="207"/>
      <c r="R51" s="210"/>
      <c r="S51" s="207"/>
      <c r="T51" s="210"/>
      <c r="U51" s="207"/>
      <c r="V51" s="210"/>
      <c r="W51" s="207"/>
      <c r="X51" s="210"/>
      <c r="Y51" s="207"/>
      <c r="Z51" s="210"/>
      <c r="AA51" s="207"/>
      <c r="AB51" s="210"/>
      <c r="AC51" s="207"/>
      <c r="AD51" s="210"/>
      <c r="AE51" s="207"/>
      <c r="AF51" s="210"/>
      <c r="AG51" s="207"/>
      <c r="AH51" s="210"/>
      <c r="AI51" s="207"/>
      <c r="AJ51" s="210"/>
      <c r="AK51" s="207"/>
      <c r="AL51" s="210"/>
      <c r="AM51" s="207"/>
      <c r="AN51" s="210"/>
      <c r="AO51" s="207"/>
      <c r="AP51" s="210"/>
      <c r="AQ51" s="207"/>
      <c r="AR51" s="210"/>
      <c r="AS51" s="207"/>
      <c r="AT51" s="210"/>
      <c r="AU51" s="207"/>
      <c r="AV51" s="210"/>
      <c r="AW51" s="207"/>
      <c r="AX51" s="210"/>
      <c r="AY51" s="207"/>
      <c r="AZ51" s="210"/>
    </row>
    <row r="52" spans="5:52" ht="18" customHeight="1" x14ac:dyDescent="0.2">
      <c r="E52" s="242" t="s">
        <v>250</v>
      </c>
      <c r="F52" s="243"/>
      <c r="H52" s="229"/>
      <c r="I52" s="233"/>
      <c r="J52" s="234"/>
      <c r="K52" s="207"/>
      <c r="L52" s="210"/>
      <c r="M52" s="207"/>
      <c r="N52" s="210"/>
      <c r="O52" s="207"/>
      <c r="P52" s="210"/>
      <c r="Q52" s="207"/>
      <c r="R52" s="210"/>
      <c r="S52" s="207"/>
      <c r="T52" s="210"/>
      <c r="U52" s="207"/>
      <c r="V52" s="210"/>
      <c r="W52" s="207"/>
      <c r="X52" s="210"/>
      <c r="Y52" s="207"/>
      <c r="Z52" s="210"/>
      <c r="AA52" s="207"/>
      <c r="AB52" s="210"/>
      <c r="AC52" s="207"/>
      <c r="AD52" s="210"/>
      <c r="AE52" s="207"/>
      <c r="AF52" s="210"/>
      <c r="AG52" s="207"/>
      <c r="AH52" s="210"/>
      <c r="AI52" s="207"/>
      <c r="AJ52" s="210"/>
      <c r="AK52" s="207"/>
      <c r="AL52" s="210"/>
      <c r="AM52" s="207"/>
      <c r="AN52" s="210"/>
      <c r="AO52" s="207"/>
      <c r="AP52" s="210"/>
      <c r="AQ52" s="207"/>
      <c r="AR52" s="210"/>
      <c r="AS52" s="207"/>
      <c r="AT52" s="210"/>
      <c r="AU52" s="207"/>
      <c r="AV52" s="210"/>
      <c r="AW52" s="207"/>
      <c r="AX52" s="210"/>
      <c r="AY52" s="207"/>
      <c r="AZ52" s="210"/>
    </row>
    <row r="53" spans="5:52" ht="18" customHeight="1" x14ac:dyDescent="0.2">
      <c r="E53" s="242"/>
      <c r="F53" s="243"/>
      <c r="H53" s="229"/>
      <c r="I53" s="233"/>
      <c r="J53" s="234"/>
      <c r="K53" s="208"/>
      <c r="L53" s="210"/>
      <c r="M53" s="208"/>
      <c r="N53" s="210"/>
      <c r="O53" s="208"/>
      <c r="P53" s="210"/>
      <c r="Q53" s="208"/>
      <c r="R53" s="210"/>
      <c r="S53" s="208"/>
      <c r="T53" s="210"/>
      <c r="U53" s="208"/>
      <c r="V53" s="210"/>
      <c r="W53" s="208"/>
      <c r="X53" s="210"/>
      <c r="Y53" s="208"/>
      <c r="Z53" s="210"/>
      <c r="AA53" s="208"/>
      <c r="AB53" s="210"/>
      <c r="AC53" s="208"/>
      <c r="AD53" s="210"/>
      <c r="AE53" s="208"/>
      <c r="AF53" s="210"/>
      <c r="AG53" s="208"/>
      <c r="AH53" s="210"/>
      <c r="AI53" s="208"/>
      <c r="AJ53" s="210"/>
      <c r="AK53" s="208"/>
      <c r="AL53" s="210"/>
      <c r="AM53" s="208"/>
      <c r="AN53" s="210"/>
      <c r="AO53" s="208"/>
      <c r="AP53" s="210"/>
      <c r="AQ53" s="208"/>
      <c r="AR53" s="210"/>
      <c r="AS53" s="208"/>
      <c r="AT53" s="210"/>
      <c r="AU53" s="208"/>
      <c r="AV53" s="210"/>
      <c r="AW53" s="208"/>
      <c r="AX53" s="210"/>
      <c r="AY53" s="208"/>
      <c r="AZ53" s="210"/>
    </row>
    <row r="54" spans="5:52" ht="18" customHeight="1" x14ac:dyDescent="0.2">
      <c r="E54" s="242"/>
      <c r="F54" s="243"/>
      <c r="H54" s="229"/>
      <c r="I54" s="233"/>
      <c r="J54" s="234"/>
      <c r="K54" s="241" t="s">
        <v>239</v>
      </c>
      <c r="L54" s="238"/>
      <c r="M54" s="237" t="s">
        <v>160</v>
      </c>
      <c r="N54" s="238"/>
      <c r="O54" s="241" t="s">
        <v>241</v>
      </c>
      <c r="P54" s="238"/>
      <c r="Q54" s="237" t="s">
        <v>173</v>
      </c>
      <c r="R54" s="238"/>
      <c r="S54" s="237" t="s">
        <v>164</v>
      </c>
      <c r="T54" s="238"/>
      <c r="U54" s="237" t="s">
        <v>174</v>
      </c>
      <c r="V54" s="238"/>
      <c r="W54" s="257" t="s">
        <v>210</v>
      </c>
      <c r="X54" s="238"/>
      <c r="Y54" s="237" t="s">
        <v>172</v>
      </c>
      <c r="Z54" s="238"/>
      <c r="AA54" s="237" t="s">
        <v>175</v>
      </c>
      <c r="AB54" s="238"/>
      <c r="AC54" s="237" t="s">
        <v>161</v>
      </c>
      <c r="AD54" s="238"/>
      <c r="AE54" s="257" t="s">
        <v>379</v>
      </c>
      <c r="AF54" s="238"/>
      <c r="AG54" s="237" t="s">
        <v>157</v>
      </c>
      <c r="AH54" s="238"/>
      <c r="AI54" s="241" t="s">
        <v>238</v>
      </c>
      <c r="AJ54" s="238"/>
      <c r="AK54" s="237" t="s">
        <v>163</v>
      </c>
      <c r="AL54" s="238"/>
      <c r="AM54" s="237" t="s">
        <v>209</v>
      </c>
      <c r="AN54" s="238"/>
      <c r="AO54" s="237" t="s">
        <v>158</v>
      </c>
      <c r="AP54" s="238"/>
      <c r="AQ54" s="241" t="s">
        <v>240</v>
      </c>
      <c r="AR54" s="238"/>
      <c r="AS54" s="237" t="s">
        <v>159</v>
      </c>
      <c r="AT54" s="238"/>
      <c r="AU54" s="237" t="s">
        <v>208</v>
      </c>
      <c r="AV54" s="238"/>
      <c r="AW54" s="237" t="s">
        <v>207</v>
      </c>
      <c r="AX54" s="238"/>
      <c r="AY54" s="237" t="s">
        <v>204</v>
      </c>
      <c r="AZ54" s="238"/>
    </row>
    <row r="55" spans="5:52" ht="18" customHeight="1" x14ac:dyDescent="0.2">
      <c r="E55" s="242"/>
      <c r="F55" s="243"/>
      <c r="H55" s="229"/>
      <c r="I55" s="233"/>
      <c r="J55" s="234"/>
      <c r="K55" s="214"/>
      <c r="L55" s="215"/>
      <c r="M55" s="214"/>
      <c r="N55" s="215"/>
      <c r="O55" s="214"/>
      <c r="P55" s="215"/>
      <c r="Q55" s="214"/>
      <c r="R55" s="215"/>
      <c r="S55" s="214"/>
      <c r="T55" s="215"/>
      <c r="U55" s="214"/>
      <c r="V55" s="215"/>
      <c r="W55" s="258"/>
      <c r="X55" s="215"/>
      <c r="Y55" s="214"/>
      <c r="Z55" s="215"/>
      <c r="AA55" s="214"/>
      <c r="AB55" s="215"/>
      <c r="AC55" s="214"/>
      <c r="AD55" s="215"/>
      <c r="AE55" s="258"/>
      <c r="AF55" s="215"/>
      <c r="AG55" s="214"/>
      <c r="AH55" s="215"/>
      <c r="AI55" s="214"/>
      <c r="AJ55" s="215"/>
      <c r="AK55" s="214"/>
      <c r="AL55" s="215"/>
      <c r="AM55" s="214"/>
      <c r="AN55" s="215"/>
      <c r="AO55" s="214"/>
      <c r="AP55" s="215"/>
      <c r="AQ55" s="214"/>
      <c r="AR55" s="215"/>
      <c r="AS55" s="214"/>
      <c r="AT55" s="215"/>
      <c r="AU55" s="214"/>
      <c r="AV55" s="215"/>
      <c r="AW55" s="214"/>
      <c r="AX55" s="215"/>
      <c r="AY55" s="214"/>
      <c r="AZ55" s="215"/>
    </row>
    <row r="56" spans="5:52" ht="18" customHeight="1" thickBot="1" x14ac:dyDescent="0.25">
      <c r="E56" s="242"/>
      <c r="F56" s="243"/>
      <c r="H56" s="229"/>
      <c r="I56" s="233"/>
      <c r="J56" s="234"/>
      <c r="K56" s="239"/>
      <c r="L56" s="240"/>
      <c r="M56" s="239"/>
      <c r="N56" s="240"/>
      <c r="O56" s="239"/>
      <c r="P56" s="240"/>
      <c r="Q56" s="239"/>
      <c r="R56" s="240"/>
      <c r="S56" s="239"/>
      <c r="T56" s="240"/>
      <c r="U56" s="239"/>
      <c r="V56" s="240"/>
      <c r="W56" s="259"/>
      <c r="X56" s="240"/>
      <c r="Y56" s="239"/>
      <c r="Z56" s="240"/>
      <c r="AA56" s="239"/>
      <c r="AB56" s="240"/>
      <c r="AC56" s="239"/>
      <c r="AD56" s="240"/>
      <c r="AE56" s="259"/>
      <c r="AF56" s="240"/>
      <c r="AG56" s="239"/>
      <c r="AH56" s="240"/>
      <c r="AI56" s="239"/>
      <c r="AJ56" s="240"/>
      <c r="AK56" s="239"/>
      <c r="AL56" s="240"/>
      <c r="AM56" s="239"/>
      <c r="AN56" s="240"/>
      <c r="AO56" s="239"/>
      <c r="AP56" s="240"/>
      <c r="AQ56" s="239"/>
      <c r="AR56" s="240"/>
      <c r="AS56" s="239"/>
      <c r="AT56" s="240"/>
      <c r="AU56" s="239"/>
      <c r="AV56" s="240"/>
      <c r="AW56" s="239"/>
      <c r="AX56" s="240"/>
      <c r="AY56" s="239"/>
      <c r="AZ56" s="240"/>
    </row>
    <row r="57" spans="5:52" ht="20" customHeight="1" thickBot="1" x14ac:dyDescent="0.3">
      <c r="E57" s="244"/>
      <c r="F57" s="245"/>
      <c r="H57" s="230"/>
      <c r="I57" s="235"/>
      <c r="J57" s="236"/>
      <c r="K57" s="249" t="s">
        <v>162</v>
      </c>
      <c r="L57" s="250"/>
      <c r="M57" s="250"/>
      <c r="N57" s="250"/>
      <c r="O57" s="250"/>
      <c r="P57" s="250"/>
      <c r="Q57" s="250"/>
      <c r="R57" s="250"/>
      <c r="S57" s="250"/>
      <c r="T57" s="250"/>
      <c r="U57" s="250"/>
      <c r="V57" s="250"/>
      <c r="W57" s="250"/>
      <c r="X57" s="250"/>
      <c r="Y57" s="250"/>
      <c r="Z57" s="250"/>
      <c r="AA57" s="250"/>
      <c r="AB57" s="250"/>
      <c r="AC57" s="250"/>
      <c r="AD57" s="250"/>
      <c r="AE57" s="250"/>
      <c r="AF57" s="250"/>
      <c r="AG57" s="250"/>
      <c r="AH57" s="250"/>
      <c r="AI57" s="250"/>
      <c r="AJ57" s="250"/>
      <c r="AK57" s="250"/>
      <c r="AL57" s="250"/>
      <c r="AM57" s="250"/>
      <c r="AN57" s="250"/>
      <c r="AO57" s="250"/>
      <c r="AP57" s="250"/>
      <c r="AQ57" s="250"/>
      <c r="AR57" s="250"/>
      <c r="AS57" s="250"/>
      <c r="AT57" s="250"/>
      <c r="AU57" s="250"/>
      <c r="AV57" s="250"/>
      <c r="AW57" s="250"/>
      <c r="AX57" s="250"/>
      <c r="AY57" s="250"/>
      <c r="AZ57" s="251"/>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49:AZ53"/>
    <mergeCell ref="AE6:AE10"/>
    <mergeCell ref="AF6:AF10"/>
    <mergeCell ref="A7:A10"/>
    <mergeCell ref="B7:B10"/>
    <mergeCell ref="H49:H57"/>
    <mergeCell ref="I49:J57"/>
    <mergeCell ref="AG49:AG53"/>
    <mergeCell ref="AH49:AH53"/>
    <mergeCell ref="AM49:AM53"/>
    <mergeCell ref="AN49:AN53"/>
    <mergeCell ref="M6:M10"/>
    <mergeCell ref="N6:N10"/>
    <mergeCell ref="AC6:AC10"/>
    <mergeCell ref="AD6:AD10"/>
    <mergeCell ref="W6:W10"/>
    <mergeCell ref="X6:X10"/>
    <mergeCell ref="AI6:AI10"/>
    <mergeCell ref="AJ6:AJ10"/>
    <mergeCell ref="AA6:AA10"/>
    <mergeCell ref="AB6:AB10"/>
    <mergeCell ref="Q6:Q10"/>
    <mergeCell ref="R6:R10"/>
    <mergeCell ref="AW6:AW10"/>
    <mergeCell ref="K49:K53"/>
    <mergeCell ref="L49:L53"/>
    <mergeCell ref="U49:U53"/>
    <mergeCell ref="V49:V53"/>
    <mergeCell ref="AS49:AS53"/>
    <mergeCell ref="AT49:AT53"/>
    <mergeCell ref="AO49:AO53"/>
    <mergeCell ref="AP49:AP53"/>
    <mergeCell ref="AY49:AY53"/>
    <mergeCell ref="AW49:AW53"/>
    <mergeCell ref="AX49:AX53"/>
    <mergeCell ref="AK49:AK53"/>
    <mergeCell ref="AL49:AL53"/>
    <mergeCell ref="AQ49:AQ53"/>
    <mergeCell ref="AR49:AR53"/>
    <mergeCell ref="AU49:AU53"/>
    <mergeCell ref="AV49:AV53"/>
    <mergeCell ref="O49:O53"/>
    <mergeCell ref="P49:P53"/>
    <mergeCell ref="AE49:AE53"/>
    <mergeCell ref="AF49:AF53"/>
    <mergeCell ref="S49:S53"/>
    <mergeCell ref="T49:T53"/>
    <mergeCell ref="E52:F57"/>
    <mergeCell ref="AG54:AH56"/>
    <mergeCell ref="AM54:AN56"/>
    <mergeCell ref="AS54:AT56"/>
    <mergeCell ref="AO54:AP56"/>
    <mergeCell ref="AY54:AZ56"/>
    <mergeCell ref="S54:T56"/>
    <mergeCell ref="K54:L56"/>
    <mergeCell ref="M49:M53"/>
    <mergeCell ref="N49:N53"/>
    <mergeCell ref="AC49:AC53"/>
    <mergeCell ref="AD49:AD53"/>
    <mergeCell ref="W49:W53"/>
    <mergeCell ref="X49:X53"/>
    <mergeCell ref="AI49:AI53"/>
    <mergeCell ref="AJ49:AJ53"/>
    <mergeCell ref="AA49:AA53"/>
    <mergeCell ref="AB49:AB53"/>
    <mergeCell ref="Q49:Q53"/>
    <mergeCell ref="R49:R53"/>
    <mergeCell ref="Y49:Y53"/>
    <mergeCell ref="Z49:Z53"/>
    <mergeCell ref="W54:X56"/>
    <mergeCell ref="AE54:AF56"/>
    <mergeCell ref="K57:AZ57"/>
    <mergeCell ref="AK54:AL56"/>
    <mergeCell ref="AI54:AJ56"/>
    <mergeCell ref="AA54:AB56"/>
    <mergeCell ref="Q54:R56"/>
    <mergeCell ref="M54:N56"/>
    <mergeCell ref="AC54:AD56"/>
    <mergeCell ref="U54:V56"/>
    <mergeCell ref="AQ54:AR56"/>
    <mergeCell ref="AU54:AV56"/>
    <mergeCell ref="O54:P56"/>
    <mergeCell ref="Y54:Z56"/>
    <mergeCell ref="AW54:AX56"/>
  </mergeCells>
  <pageMargins left="0.7" right="0.7" top="0.75" bottom="0.75" header="0.3" footer="0.3"/>
  <ignoredErrors>
    <ignoredError sqref="L47:L48 N47:N48 P47:P48 R47:R48 T47:T48 V47:V48 X47:X48 Z47:Z48 AB47:AB48 AD47:AD48 AF47:AF48 AH47:AH48 AJ47:AJ48 AL47:AL48 AN47:AN48 AP47:AP48 AR47:AR48 AT47:AT48" formula="1"/>
    <ignoredError sqref="I13 I15 I17:I19 I21:I22 I26:I27 I29:I44"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H12" sqref="H1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393" t="s">
        <v>0</v>
      </c>
      <c r="J2" s="393"/>
      <c r="K2" s="393" t="s">
        <v>1</v>
      </c>
      <c r="L2" s="393"/>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430</v>
      </c>
      <c r="E8" s="6"/>
      <c r="F8" s="6"/>
      <c r="G8" s="5" t="s">
        <v>16</v>
      </c>
      <c r="H8" s="7">
        <v>34300</v>
      </c>
      <c r="I8" s="6">
        <v>1</v>
      </c>
      <c r="J8" s="19">
        <v>100</v>
      </c>
      <c r="K8" s="7"/>
      <c r="L8" s="7"/>
      <c r="M8" s="18"/>
    </row>
    <row r="9" spans="1:13" ht="20" customHeight="1" x14ac:dyDescent="0.2">
      <c r="A9" s="13">
        <v>42901</v>
      </c>
      <c r="B9" s="5"/>
      <c r="C9" s="5"/>
      <c r="D9" s="5" t="s">
        <v>431</v>
      </c>
      <c r="E9" s="6"/>
      <c r="F9" s="6"/>
      <c r="G9" s="5" t="s">
        <v>16</v>
      </c>
      <c r="H9" s="7">
        <v>1700</v>
      </c>
      <c r="I9" s="6">
        <v>1</v>
      </c>
      <c r="J9" s="19">
        <v>500</v>
      </c>
      <c r="K9" s="7"/>
      <c r="L9" s="7"/>
      <c r="M9" s="18"/>
    </row>
    <row r="10" spans="1:13" ht="20" customHeight="1" x14ac:dyDescent="0.2">
      <c r="A10" s="13">
        <v>42887</v>
      </c>
      <c r="B10" s="5" t="s">
        <v>235</v>
      </c>
      <c r="C10" s="5" t="s">
        <v>236</v>
      </c>
      <c r="D10" s="5" t="s">
        <v>430</v>
      </c>
      <c r="E10" s="6"/>
      <c r="F10" s="6"/>
      <c r="G10" s="5" t="s">
        <v>237</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Adverse effects (%)</vt:lpstr>
      <vt:lpstr>Random-Controlled</vt:lpstr>
      <vt:lpstr>RC Efficacy</vt:lpstr>
      <vt:lpstr>Random-Controlled (MLT - PLB)</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2017-06-18T13:40:43Z</dcterms:modified>
</cp:coreProperties>
</file>