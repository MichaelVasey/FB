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codeName="{00000000-0000-0000-0000-000000000000}"/>
  <workbookPr codeName="ThisWorkbook"/>
  <mc:AlternateContent xmlns:mc="http://schemas.openxmlformats.org/markup-compatibility/2006">
    <mc:Choice Requires="x15">
      <x15ac:absPath xmlns:x15ac="http://schemas.microsoft.com/office/spreadsheetml/2010/11/ac" url="/Users/michaelvasey/Desktop/Besag/FB/Melatonin/"/>
    </mc:Choice>
  </mc:AlternateContent>
  <bookViews>
    <workbookView minimized="1" xWindow="-40" yWindow="500" windowWidth="25600" windowHeight="15420" tabRatio="500"/>
  </bookViews>
  <sheets>
    <sheet name="Adverse effects (%)" sheetId="5" r:id="rId1"/>
    <sheet name="Random-Controlled" sheetId="12" r:id="rId2"/>
    <sheet name="RC Efficacy (Sleep studies)" sheetId="13" r:id="rId3"/>
    <sheet name="Random-Controlled (MLT - PLB)" sheetId="11" r:id="rId4"/>
    <sheet name="RC (MLT - PLB) Summary" sheetId="14" r:id="rId5"/>
    <sheet name="Adverse effects (%) High - Low" sheetId="10" r:id="rId6"/>
    <sheet name="AE (%) Split (10%)" sheetId="9" r:id="rId7"/>
    <sheet name="AE+ Only" sheetId="7" r:id="rId8"/>
    <sheet name="Search" sheetId="1" r:id="rId9"/>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U138" i="13" l="1"/>
  <c r="AU137" i="13"/>
  <c r="AU136" i="13"/>
  <c r="AU135" i="13"/>
  <c r="AU134" i="13"/>
  <c r="AU133" i="13"/>
  <c r="AU132" i="13"/>
  <c r="AU131" i="13"/>
  <c r="AU130" i="13"/>
  <c r="AU129" i="13"/>
  <c r="AU128" i="13"/>
  <c r="AU127" i="13"/>
  <c r="AU126" i="13"/>
  <c r="AU125" i="13"/>
  <c r="AU124" i="13"/>
  <c r="AU123" i="13"/>
  <c r="AU122" i="13"/>
  <c r="AU121" i="13"/>
  <c r="AU120" i="13"/>
  <c r="AU119" i="13"/>
  <c r="AU118" i="13"/>
  <c r="AU117" i="13"/>
  <c r="AU116" i="13"/>
  <c r="AU115" i="13"/>
  <c r="AU114" i="13"/>
  <c r="AQ138" i="13"/>
  <c r="AQ137" i="13"/>
  <c r="AQ136" i="13"/>
  <c r="AQ135" i="13"/>
  <c r="AQ134" i="13"/>
  <c r="AQ133" i="13"/>
  <c r="AQ132" i="13"/>
  <c r="AQ131" i="13"/>
  <c r="AQ130" i="13"/>
  <c r="AQ129" i="13"/>
  <c r="AQ128" i="13"/>
  <c r="AQ127" i="13"/>
  <c r="AQ126" i="13"/>
  <c r="AQ125" i="13"/>
  <c r="AQ124" i="13"/>
  <c r="AQ123" i="13"/>
  <c r="AQ122" i="13"/>
  <c r="AQ121" i="13"/>
  <c r="AQ120" i="13"/>
  <c r="AQ119" i="13"/>
  <c r="AQ118" i="13"/>
  <c r="AQ117" i="13"/>
  <c r="AQ116" i="13"/>
  <c r="AQ115" i="13"/>
  <c r="AQ114" i="13"/>
  <c r="AK138" i="13"/>
  <c r="AK137" i="13"/>
  <c r="AK136" i="13"/>
  <c r="AK135" i="13"/>
  <c r="AK134" i="13"/>
  <c r="AK133" i="13"/>
  <c r="AK132" i="13"/>
  <c r="AK131" i="13"/>
  <c r="AK130" i="13"/>
  <c r="AK129" i="13"/>
  <c r="AK128" i="13"/>
  <c r="AK127" i="13"/>
  <c r="AK126" i="13"/>
  <c r="AK125" i="13"/>
  <c r="AK124" i="13"/>
  <c r="AK123" i="13"/>
  <c r="AK122" i="13"/>
  <c r="AK121" i="13"/>
  <c r="AK120" i="13"/>
  <c r="AK119" i="13"/>
  <c r="AK118" i="13"/>
  <c r="AK117" i="13"/>
  <c r="AK116" i="13"/>
  <c r="AK115" i="13"/>
  <c r="AK114" i="13"/>
  <c r="AG138" i="13"/>
  <c r="AG137" i="13"/>
  <c r="AG136" i="13"/>
  <c r="AG135" i="13"/>
  <c r="AG134" i="13"/>
  <c r="AG133" i="13"/>
  <c r="AG132" i="13"/>
  <c r="AG131" i="13"/>
  <c r="AG130" i="13"/>
  <c r="AG129" i="13"/>
  <c r="AG128" i="13"/>
  <c r="AG127" i="13"/>
  <c r="AG126" i="13"/>
  <c r="AG125" i="13"/>
  <c r="AG124" i="13"/>
  <c r="AG123" i="13"/>
  <c r="AG122" i="13"/>
  <c r="AG121" i="13"/>
  <c r="AG120" i="13"/>
  <c r="AG119" i="13"/>
  <c r="AG118" i="13"/>
  <c r="AG117" i="13"/>
  <c r="AG115" i="13"/>
  <c r="AG114" i="13"/>
  <c r="AG116" i="13"/>
  <c r="AC138" i="13"/>
  <c r="AC137" i="13"/>
  <c r="AC136" i="13"/>
  <c r="AC135" i="13"/>
  <c r="AC134" i="13"/>
  <c r="AC133" i="13"/>
  <c r="AC132" i="13"/>
  <c r="AC131" i="13"/>
  <c r="AC130" i="13"/>
  <c r="AC129" i="13"/>
  <c r="AC128" i="13"/>
  <c r="AC127" i="13"/>
  <c r="AC126" i="13"/>
  <c r="AC125" i="13"/>
  <c r="AC124" i="13"/>
  <c r="AC123" i="13"/>
  <c r="AC122" i="13"/>
  <c r="AC121" i="13"/>
  <c r="AC120" i="13"/>
  <c r="AC119" i="13"/>
  <c r="AC118" i="13"/>
  <c r="AC117" i="13"/>
  <c r="AC116" i="13"/>
  <c r="AC115" i="13"/>
  <c r="AC114" i="13"/>
  <c r="AB138" i="13"/>
  <c r="AA138" i="13"/>
  <c r="AB137" i="13"/>
  <c r="AA137" i="13"/>
  <c r="AB136" i="13"/>
  <c r="AA136" i="13"/>
  <c r="AB135" i="13"/>
  <c r="AA135" i="13"/>
  <c r="AB134" i="13"/>
  <c r="AA134" i="13"/>
  <c r="AB133" i="13"/>
  <c r="AA133" i="13"/>
  <c r="AB132" i="13"/>
  <c r="AA132" i="13"/>
  <c r="AB131" i="13"/>
  <c r="AA131" i="13"/>
  <c r="AB130" i="13"/>
  <c r="AA130" i="13"/>
  <c r="AB127" i="13"/>
  <c r="AA127" i="13"/>
  <c r="AB126" i="13"/>
  <c r="AA126" i="13"/>
  <c r="AB125" i="13"/>
  <c r="AA125" i="13"/>
  <c r="AB124" i="13"/>
  <c r="AA124" i="13"/>
  <c r="AB123" i="13"/>
  <c r="AA123" i="13"/>
  <c r="AB122" i="13"/>
  <c r="AA122" i="13"/>
  <c r="AB121" i="13"/>
  <c r="AA121" i="13"/>
  <c r="AB120" i="13"/>
  <c r="AA120" i="13"/>
  <c r="AB119" i="13"/>
  <c r="AA119" i="13"/>
  <c r="AB118" i="13"/>
  <c r="AA118" i="13"/>
  <c r="AB117" i="13"/>
  <c r="AA117" i="13"/>
  <c r="AB116" i="13"/>
  <c r="AA116" i="13"/>
  <c r="AB115" i="13"/>
  <c r="AA115" i="13"/>
  <c r="AB114" i="13"/>
  <c r="AA114" i="13"/>
  <c r="X138" i="13"/>
  <c r="W138" i="13"/>
  <c r="X137" i="13"/>
  <c r="W137" i="13"/>
  <c r="X136" i="13"/>
  <c r="W136" i="13"/>
  <c r="X135" i="13"/>
  <c r="W135" i="13"/>
  <c r="X134" i="13"/>
  <c r="W134" i="13"/>
  <c r="X133" i="13"/>
  <c r="W133" i="13"/>
  <c r="X132" i="13"/>
  <c r="W132" i="13"/>
  <c r="X131" i="13"/>
  <c r="W131" i="13"/>
  <c r="X130" i="13"/>
  <c r="W130" i="13"/>
  <c r="X129" i="13"/>
  <c r="W129" i="13"/>
  <c r="X126" i="13"/>
  <c r="W126" i="13"/>
  <c r="X125" i="13"/>
  <c r="W125" i="13"/>
  <c r="X124" i="13"/>
  <c r="W124" i="13"/>
  <c r="X123" i="13"/>
  <c r="W123" i="13"/>
  <c r="X122" i="13"/>
  <c r="W122" i="13"/>
  <c r="X121" i="13"/>
  <c r="W121" i="13"/>
  <c r="X120" i="13"/>
  <c r="W120" i="13"/>
  <c r="X119" i="13"/>
  <c r="W119" i="13"/>
  <c r="X118" i="13"/>
  <c r="W118" i="13"/>
  <c r="X117" i="13"/>
  <c r="W117" i="13"/>
  <c r="X116" i="13"/>
  <c r="W116" i="13"/>
  <c r="X115" i="13"/>
  <c r="W115" i="13"/>
  <c r="X114" i="13"/>
  <c r="W114" i="13"/>
  <c r="S138" i="13"/>
  <c r="S137" i="13"/>
  <c r="S136" i="13"/>
  <c r="S135" i="13"/>
  <c r="S134" i="13"/>
  <c r="S133" i="13"/>
  <c r="S132" i="13"/>
  <c r="S131" i="13"/>
  <c r="S130" i="13"/>
  <c r="S129" i="13"/>
  <c r="S128" i="13"/>
  <c r="S127" i="13"/>
  <c r="S126" i="13"/>
  <c r="S125" i="13"/>
  <c r="S124" i="13"/>
  <c r="S123" i="13"/>
  <c r="S122" i="13"/>
  <c r="S120" i="13"/>
  <c r="S119" i="13"/>
  <c r="S118" i="13"/>
  <c r="S117" i="13"/>
  <c r="S116" i="13"/>
  <c r="S115" i="13"/>
  <c r="R138" i="13"/>
  <c r="Q138" i="13"/>
  <c r="R137" i="13"/>
  <c r="Q137" i="13"/>
  <c r="R136" i="13"/>
  <c r="Q136" i="13"/>
  <c r="R135" i="13"/>
  <c r="Q135" i="13"/>
  <c r="R134" i="13"/>
  <c r="Q134" i="13"/>
  <c r="R133" i="13"/>
  <c r="Q133" i="13"/>
  <c r="R132" i="13"/>
  <c r="Q132" i="13"/>
  <c r="R131" i="13"/>
  <c r="Q131" i="13"/>
  <c r="R130" i="13"/>
  <c r="Q130" i="13"/>
  <c r="R129" i="13"/>
  <c r="Q129" i="13"/>
  <c r="R128" i="13"/>
  <c r="Q128" i="13"/>
  <c r="R127" i="13"/>
  <c r="Q127" i="13"/>
  <c r="R126" i="13"/>
  <c r="Q126" i="13"/>
  <c r="R125" i="13"/>
  <c r="Q125" i="13"/>
  <c r="R124" i="13"/>
  <c r="Q124" i="13"/>
  <c r="R123" i="13"/>
  <c r="Q123" i="13"/>
  <c r="R122" i="13"/>
  <c r="Q122" i="13"/>
  <c r="R121" i="13"/>
  <c r="Q121" i="13"/>
  <c r="R120" i="13"/>
  <c r="Q120" i="13"/>
  <c r="R119" i="13"/>
  <c r="Q119" i="13"/>
  <c r="R118" i="13"/>
  <c r="Q118" i="13"/>
  <c r="R117" i="13"/>
  <c r="Q117" i="13"/>
  <c r="R116" i="13"/>
  <c r="Q116" i="13"/>
  <c r="R115" i="13"/>
  <c r="Q115" i="13"/>
  <c r="R114" i="13"/>
  <c r="Q114" i="13"/>
  <c r="N138" i="13"/>
  <c r="M138" i="13"/>
  <c r="N137" i="13"/>
  <c r="M137" i="13"/>
  <c r="N136" i="13"/>
  <c r="M136" i="13"/>
  <c r="N135" i="13"/>
  <c r="M135" i="13"/>
  <c r="N134" i="13"/>
  <c r="M134" i="13"/>
  <c r="N133" i="13"/>
  <c r="M133" i="13"/>
  <c r="N132" i="13"/>
  <c r="M132" i="13"/>
  <c r="N131" i="13"/>
  <c r="M131" i="13"/>
  <c r="N130" i="13"/>
  <c r="M130" i="13"/>
  <c r="N129" i="13"/>
  <c r="M129" i="13"/>
  <c r="N128" i="13"/>
  <c r="M128" i="13"/>
  <c r="N127" i="13"/>
  <c r="M127" i="13"/>
  <c r="N126" i="13"/>
  <c r="M126" i="13"/>
  <c r="N125" i="13"/>
  <c r="M125" i="13"/>
  <c r="N124" i="13"/>
  <c r="M124" i="13"/>
  <c r="N123" i="13"/>
  <c r="M123" i="13"/>
  <c r="N122" i="13"/>
  <c r="M122" i="13"/>
  <c r="N121" i="13"/>
  <c r="M121" i="13"/>
  <c r="N120" i="13"/>
  <c r="M120" i="13"/>
  <c r="N119" i="13"/>
  <c r="M119" i="13"/>
  <c r="N118" i="13"/>
  <c r="M118" i="13"/>
  <c r="N117" i="13"/>
  <c r="M117" i="13"/>
  <c r="N116" i="13"/>
  <c r="M116" i="13"/>
  <c r="N115" i="13"/>
  <c r="M115" i="13"/>
  <c r="N114" i="13"/>
  <c r="M114" i="13"/>
  <c r="BP79" i="13"/>
  <c r="BO79" i="13"/>
  <c r="BL79" i="13"/>
  <c r="BK79" i="13"/>
  <c r="BF75" i="13"/>
  <c r="BE75" i="13"/>
  <c r="BB75" i="13"/>
  <c r="BA75" i="13"/>
  <c r="AV80" i="13"/>
  <c r="AU80" i="13"/>
  <c r="AR80" i="13"/>
  <c r="AQ80" i="13"/>
  <c r="AB92" i="13"/>
  <c r="AB91" i="13"/>
  <c r="AB90" i="13"/>
  <c r="AB89" i="13"/>
  <c r="AB88" i="13"/>
  <c r="AB87" i="13"/>
  <c r="AB86" i="13"/>
  <c r="AB85" i="13"/>
  <c r="AB84" i="13"/>
  <c r="AB83" i="13"/>
  <c r="AB82" i="13"/>
  <c r="AB81" i="13"/>
  <c r="AB80" i="13"/>
  <c r="AB79" i="13"/>
  <c r="AB77" i="13"/>
  <c r="AB76" i="13"/>
  <c r="AB75" i="13"/>
  <c r="AB74" i="13"/>
  <c r="AB73" i="13"/>
  <c r="AB72" i="13"/>
  <c r="AB71" i="13"/>
  <c r="AB70" i="13"/>
  <c r="AB69" i="13"/>
  <c r="AB68" i="13"/>
  <c r="AB67" i="13"/>
  <c r="X92" i="13"/>
  <c r="X91" i="13"/>
  <c r="X90" i="13"/>
  <c r="X89" i="13"/>
  <c r="X88" i="13"/>
  <c r="X87" i="13"/>
  <c r="X86" i="13"/>
  <c r="X85" i="13"/>
  <c r="X84" i="13"/>
  <c r="X83" i="13"/>
  <c r="X82" i="13"/>
  <c r="X81" i="13"/>
  <c r="X80" i="13"/>
  <c r="X79" i="13"/>
  <c r="X77" i="13"/>
  <c r="X76" i="13"/>
  <c r="X75" i="13"/>
  <c r="X74" i="13"/>
  <c r="X73" i="13"/>
  <c r="X72" i="13"/>
  <c r="X71" i="13"/>
  <c r="X70" i="13"/>
  <c r="X69" i="13"/>
  <c r="X68" i="13"/>
  <c r="X67" i="13"/>
  <c r="R92" i="13"/>
  <c r="R91" i="13"/>
  <c r="R90" i="13"/>
  <c r="R88" i="13"/>
  <c r="R87" i="13"/>
  <c r="R86" i="13"/>
  <c r="R85" i="13"/>
  <c r="R84" i="13"/>
  <c r="R83" i="13"/>
  <c r="R82" i="13"/>
  <c r="R81" i="13"/>
  <c r="R80" i="13"/>
  <c r="R79" i="13"/>
  <c r="R78" i="13"/>
  <c r="R77" i="13"/>
  <c r="R76" i="13"/>
  <c r="R75" i="13"/>
  <c r="R74" i="13"/>
  <c r="R73" i="13"/>
  <c r="R72" i="13"/>
  <c r="R71" i="13"/>
  <c r="R70" i="13"/>
  <c r="R69" i="13"/>
  <c r="R68" i="13"/>
  <c r="N92" i="13"/>
  <c r="N91" i="13"/>
  <c r="N90" i="13"/>
  <c r="N88" i="13"/>
  <c r="N87" i="13"/>
  <c r="N86" i="13"/>
  <c r="N85" i="13"/>
  <c r="N84" i="13"/>
  <c r="N83" i="13"/>
  <c r="N82" i="13"/>
  <c r="N81" i="13"/>
  <c r="N80" i="13"/>
  <c r="N79" i="13"/>
  <c r="N78" i="13"/>
  <c r="N77" i="13"/>
  <c r="N76" i="13"/>
  <c r="N75" i="13"/>
  <c r="N74" i="13"/>
  <c r="N73" i="13"/>
  <c r="N72" i="13"/>
  <c r="N71" i="13"/>
  <c r="N70" i="13"/>
  <c r="N69" i="13"/>
  <c r="N68" i="13"/>
  <c r="AL71" i="13"/>
  <c r="AH71" i="13"/>
  <c r="AK92" i="13"/>
  <c r="AK91" i="13"/>
  <c r="AK90" i="13"/>
  <c r="AK89" i="13"/>
  <c r="AK88" i="13"/>
  <c r="AK87" i="13"/>
  <c r="AK86" i="13"/>
  <c r="AK85" i="13"/>
  <c r="AK84" i="13"/>
  <c r="AK83" i="13"/>
  <c r="AK82" i="13"/>
  <c r="AK81" i="13"/>
  <c r="AK80" i="13"/>
  <c r="AK79" i="13"/>
  <c r="AK78" i="13"/>
  <c r="AK77" i="13"/>
  <c r="AK76" i="13"/>
  <c r="AK75" i="13"/>
  <c r="AK74" i="13"/>
  <c r="AK73" i="13"/>
  <c r="AK72" i="13"/>
  <c r="AK71" i="13"/>
  <c r="AK70" i="13"/>
  <c r="AK69" i="13"/>
  <c r="AK68" i="13"/>
  <c r="AK67" i="13"/>
  <c r="AG92" i="13"/>
  <c r="AG91" i="13"/>
  <c r="AG90" i="13"/>
  <c r="AG89" i="13"/>
  <c r="AG88" i="13"/>
  <c r="AG87" i="13"/>
  <c r="AG86" i="13"/>
  <c r="AG85" i="13"/>
  <c r="AG84" i="13"/>
  <c r="AG83" i="13"/>
  <c r="AG82" i="13"/>
  <c r="AG81" i="13"/>
  <c r="AG80" i="13"/>
  <c r="AG79" i="13"/>
  <c r="AG78" i="13"/>
  <c r="AG77" i="13"/>
  <c r="AG76" i="13"/>
  <c r="AG75" i="13"/>
  <c r="AG74" i="13"/>
  <c r="AG73" i="13"/>
  <c r="AG72" i="13"/>
  <c r="AG71" i="13"/>
  <c r="AG70" i="13"/>
  <c r="AG69" i="13"/>
  <c r="AG68" i="13"/>
  <c r="AG67" i="13"/>
  <c r="AA92" i="13"/>
  <c r="AA91" i="13"/>
  <c r="AA90" i="13"/>
  <c r="AA89" i="13"/>
  <c r="AA88" i="13"/>
  <c r="AA87" i="13"/>
  <c r="AA86" i="13"/>
  <c r="AA85" i="13"/>
  <c r="AA84" i="13"/>
  <c r="AA83" i="13"/>
  <c r="AA82" i="13"/>
  <c r="AA81" i="13"/>
  <c r="AA80" i="13"/>
  <c r="AA79" i="13"/>
  <c r="AA78" i="13"/>
  <c r="AA77" i="13"/>
  <c r="AA76" i="13"/>
  <c r="AA75" i="13"/>
  <c r="AA74" i="13"/>
  <c r="AA73" i="13"/>
  <c r="AA72" i="13"/>
  <c r="AA71" i="13"/>
  <c r="AA70" i="13"/>
  <c r="AA69" i="13"/>
  <c r="AA68" i="13"/>
  <c r="AA67" i="13"/>
  <c r="W92" i="13"/>
  <c r="W91" i="13"/>
  <c r="W90" i="13"/>
  <c r="W89" i="13"/>
  <c r="W88" i="13"/>
  <c r="W87" i="13"/>
  <c r="W86" i="13"/>
  <c r="W85" i="13"/>
  <c r="W84" i="13"/>
  <c r="W83" i="13"/>
  <c r="W82" i="13"/>
  <c r="W81" i="13"/>
  <c r="W80" i="13"/>
  <c r="W79" i="13"/>
  <c r="W78" i="13"/>
  <c r="W77" i="13"/>
  <c r="W76" i="13"/>
  <c r="W75" i="13"/>
  <c r="W74" i="13"/>
  <c r="W73" i="13"/>
  <c r="W72" i="13"/>
  <c r="W71" i="13"/>
  <c r="W70" i="13"/>
  <c r="W69" i="13"/>
  <c r="W68" i="13"/>
  <c r="W67" i="13"/>
  <c r="Q92" i="13"/>
  <c r="Q91" i="13"/>
  <c r="Q90" i="13"/>
  <c r="Q89" i="13"/>
  <c r="Q88" i="13"/>
  <c r="Q87" i="13"/>
  <c r="Q86" i="13"/>
  <c r="Q85" i="13"/>
  <c r="Q84" i="13"/>
  <c r="Q83" i="13"/>
  <c r="Q82" i="13"/>
  <c r="Q81" i="13"/>
  <c r="Q80" i="13"/>
  <c r="Q79" i="13"/>
  <c r="Q78" i="13"/>
  <c r="Q77" i="13"/>
  <c r="Q76" i="13"/>
  <c r="Q75" i="13"/>
  <c r="Q74" i="13"/>
  <c r="Q67" i="13"/>
  <c r="Q73" i="13"/>
  <c r="Q72" i="13"/>
  <c r="Q71" i="13"/>
  <c r="Q70" i="13"/>
  <c r="Q69" i="13"/>
  <c r="Q68" i="13"/>
  <c r="M92" i="13"/>
  <c r="M91" i="13"/>
  <c r="M90" i="13"/>
  <c r="M89" i="13"/>
  <c r="M88" i="13"/>
  <c r="M87" i="13"/>
  <c r="M86" i="13"/>
  <c r="M85" i="13"/>
  <c r="M84" i="13"/>
  <c r="M83" i="13"/>
  <c r="M82" i="13"/>
  <c r="M81" i="13"/>
  <c r="M80" i="13"/>
  <c r="M79" i="13"/>
  <c r="M78" i="13"/>
  <c r="M77" i="13"/>
  <c r="M76" i="13"/>
  <c r="M75" i="13"/>
  <c r="M74" i="13"/>
  <c r="M73" i="13"/>
  <c r="M72" i="13"/>
  <c r="M71" i="13"/>
  <c r="M70" i="13"/>
  <c r="M68" i="13"/>
  <c r="M67" i="13"/>
  <c r="M69" i="13"/>
  <c r="CB45" i="13"/>
  <c r="CB44" i="13"/>
  <c r="CB43" i="13"/>
  <c r="CB42" i="13"/>
  <c r="CB41" i="13"/>
  <c r="CB40" i="13"/>
  <c r="CB39" i="13"/>
  <c r="CB38" i="13"/>
  <c r="CB37" i="13"/>
  <c r="CB36" i="13"/>
  <c r="CB35" i="13"/>
  <c r="CB34" i="13"/>
  <c r="CB33" i="13"/>
  <c r="CB32" i="13"/>
  <c r="CB31" i="13"/>
  <c r="CB30" i="13"/>
  <c r="CB29" i="13"/>
  <c r="CB28" i="13"/>
  <c r="CB27" i="13"/>
  <c r="CB26" i="13"/>
  <c r="CB25" i="13"/>
  <c r="CB24" i="13"/>
  <c r="CB23" i="13"/>
  <c r="CB22" i="13"/>
  <c r="CB21" i="13"/>
  <c r="CB20" i="13"/>
  <c r="CB19" i="13"/>
  <c r="CB18" i="13"/>
  <c r="CB17" i="13"/>
  <c r="CB16" i="13"/>
  <c r="CB15" i="13"/>
  <c r="CB14" i="13"/>
  <c r="CB13" i="13"/>
  <c r="CB12" i="13"/>
  <c r="BX45" i="13"/>
  <c r="BX44" i="13"/>
  <c r="BX43" i="13"/>
  <c r="BX42" i="13"/>
  <c r="BX41" i="13"/>
  <c r="BX40" i="13"/>
  <c r="BX39" i="13"/>
  <c r="BX38" i="13"/>
  <c r="BX37" i="13"/>
  <c r="BX36" i="13"/>
  <c r="BX35" i="13"/>
  <c r="BX34" i="13"/>
  <c r="BX33" i="13"/>
  <c r="BX32" i="13"/>
  <c r="BX31" i="13"/>
  <c r="BX30" i="13"/>
  <c r="BX29" i="13"/>
  <c r="BX28" i="13"/>
  <c r="BX27" i="13"/>
  <c r="BX26" i="13"/>
  <c r="BX25" i="13"/>
  <c r="BX24" i="13"/>
  <c r="BX23" i="13"/>
  <c r="BX22" i="13"/>
  <c r="BX20" i="13"/>
  <c r="BX19" i="13"/>
  <c r="BX18" i="13"/>
  <c r="BX17" i="13"/>
  <c r="BX16" i="13"/>
  <c r="BX15" i="13"/>
  <c r="BX14" i="13"/>
  <c r="BX13" i="13"/>
  <c r="BX12" i="13"/>
  <c r="BX21" i="13"/>
  <c r="AK45" i="13"/>
  <c r="AK44" i="13"/>
  <c r="AK43" i="13"/>
  <c r="AK42" i="13"/>
  <c r="AK41" i="13"/>
  <c r="AK40" i="13"/>
  <c r="AK39" i="13"/>
  <c r="AK38" i="13"/>
  <c r="AK37" i="13"/>
  <c r="AK36" i="13"/>
  <c r="AK35" i="13"/>
  <c r="AK34" i="13"/>
  <c r="AK33" i="13"/>
  <c r="AK32" i="13"/>
  <c r="AK31" i="13"/>
  <c r="AK30" i="13"/>
  <c r="AK29" i="13"/>
  <c r="AK28" i="13"/>
  <c r="AK27" i="13"/>
  <c r="AK26" i="13"/>
  <c r="AK25" i="13"/>
  <c r="AK24" i="13"/>
  <c r="AK23" i="13"/>
  <c r="AK22" i="13"/>
  <c r="AK21" i="13"/>
  <c r="AK20" i="13"/>
  <c r="AK19" i="13"/>
  <c r="AK18" i="13"/>
  <c r="AK17" i="13"/>
  <c r="AK16" i="13"/>
  <c r="AK15" i="13"/>
  <c r="AK14" i="13"/>
  <c r="AK13" i="13"/>
  <c r="AK12" i="13"/>
  <c r="AG45" i="13"/>
  <c r="AG44" i="13"/>
  <c r="AG43" i="13"/>
  <c r="AG42" i="13"/>
  <c r="AG41" i="13"/>
  <c r="AG40" i="13"/>
  <c r="AG39" i="13"/>
  <c r="AG38" i="13"/>
  <c r="AG37" i="13"/>
  <c r="AG36" i="13"/>
  <c r="AG35" i="13"/>
  <c r="AG34" i="13"/>
  <c r="AG33" i="13"/>
  <c r="AG32" i="13"/>
  <c r="AG31" i="13"/>
  <c r="AG30" i="13"/>
  <c r="AG29" i="13"/>
  <c r="AG28" i="13"/>
  <c r="AG27" i="13"/>
  <c r="AG26" i="13"/>
  <c r="AG25" i="13"/>
  <c r="AG24" i="13"/>
  <c r="AG23" i="13"/>
  <c r="AG22" i="13"/>
  <c r="AG21" i="13"/>
  <c r="AG19" i="13"/>
  <c r="AG18" i="13"/>
  <c r="AG17" i="13"/>
  <c r="AG16" i="13"/>
  <c r="AG15" i="13"/>
  <c r="AG14" i="13"/>
  <c r="AG13" i="13"/>
  <c r="AG12" i="13"/>
  <c r="AG20" i="13"/>
  <c r="W45" i="13"/>
  <c r="AA45" i="13"/>
  <c r="AC45" i="13"/>
  <c r="W44" i="13"/>
  <c r="AA44" i="13"/>
  <c r="AC44" i="13"/>
  <c r="W43" i="13"/>
  <c r="AA43" i="13"/>
  <c r="AC43" i="13"/>
  <c r="W42" i="13"/>
  <c r="AA42" i="13"/>
  <c r="AC42" i="13"/>
  <c r="W41" i="13"/>
  <c r="AA41" i="13"/>
  <c r="AC41" i="13"/>
  <c r="W40" i="13"/>
  <c r="AA40" i="13"/>
  <c r="AC40" i="13"/>
  <c r="W39" i="13"/>
  <c r="AA39" i="13"/>
  <c r="AC39" i="13"/>
  <c r="W38" i="13"/>
  <c r="AA38" i="13"/>
  <c r="AC38" i="13"/>
  <c r="W37" i="13"/>
  <c r="AA37" i="13"/>
  <c r="AC37" i="13"/>
  <c r="W36" i="13"/>
  <c r="AA36" i="13"/>
  <c r="AC36" i="13"/>
  <c r="W35" i="13"/>
  <c r="AA35" i="13"/>
  <c r="AC35" i="13"/>
  <c r="W34" i="13"/>
  <c r="AA34" i="13"/>
  <c r="AC34" i="13"/>
  <c r="W33" i="13"/>
  <c r="AA33" i="13"/>
  <c r="AC33" i="13"/>
  <c r="W32" i="13"/>
  <c r="AA32" i="13"/>
  <c r="AC32" i="13"/>
  <c r="W31" i="13"/>
  <c r="AA31" i="13"/>
  <c r="AC31" i="13"/>
  <c r="W30" i="13"/>
  <c r="AA30" i="13"/>
  <c r="AC30" i="13"/>
  <c r="W29" i="13"/>
  <c r="AA29" i="13"/>
  <c r="AC29" i="13"/>
  <c r="W28" i="13"/>
  <c r="AA28" i="13"/>
  <c r="AC28" i="13"/>
  <c r="W27" i="13"/>
  <c r="AA27" i="13"/>
  <c r="AC27" i="13"/>
  <c r="W26" i="13"/>
  <c r="AA26" i="13"/>
  <c r="AC26" i="13"/>
  <c r="W25" i="13"/>
  <c r="AA25" i="13"/>
  <c r="AC25" i="13"/>
  <c r="W24" i="13"/>
  <c r="AA24" i="13"/>
  <c r="AC24" i="13"/>
  <c r="W23" i="13"/>
  <c r="AA23" i="13"/>
  <c r="AC23" i="13"/>
  <c r="W22" i="13"/>
  <c r="AA22" i="13"/>
  <c r="AC22" i="13"/>
  <c r="W21" i="13"/>
  <c r="AA21" i="13"/>
  <c r="AC21" i="13"/>
  <c r="W20" i="13"/>
  <c r="AA20" i="13"/>
  <c r="AC20" i="13"/>
  <c r="W19" i="13"/>
  <c r="AA19" i="13"/>
  <c r="AC19" i="13"/>
  <c r="W18" i="13"/>
  <c r="AA18" i="13"/>
  <c r="AC18" i="13"/>
  <c r="W17" i="13"/>
  <c r="AA17" i="13"/>
  <c r="AC17" i="13"/>
  <c r="W16" i="13"/>
  <c r="AA16" i="13"/>
  <c r="AC16" i="13"/>
  <c r="W15" i="13"/>
  <c r="AA15" i="13"/>
  <c r="AC15" i="13"/>
  <c r="W14" i="13"/>
  <c r="AA14" i="13"/>
  <c r="AC14" i="13"/>
  <c r="W13" i="13"/>
  <c r="AA13" i="13"/>
  <c r="AC13" i="13"/>
  <c r="W12" i="13"/>
  <c r="AA12" i="13"/>
  <c r="AC12"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X45" i="13"/>
  <c r="X44" i="13"/>
  <c r="X43" i="13"/>
  <c r="X42" i="13"/>
  <c r="X41" i="13"/>
  <c r="X40" i="13"/>
  <c r="X39" i="13"/>
  <c r="X38" i="13"/>
  <c r="X37" i="13"/>
  <c r="X36" i="13"/>
  <c r="X35" i="13"/>
  <c r="X34" i="13"/>
  <c r="X33" i="13"/>
  <c r="X32" i="13"/>
  <c r="X31" i="13"/>
  <c r="X30" i="13"/>
  <c r="X29" i="13"/>
  <c r="X28" i="13"/>
  <c r="X27" i="13"/>
  <c r="X26" i="13"/>
  <c r="X25" i="13"/>
  <c r="X24" i="13"/>
  <c r="X23" i="13"/>
  <c r="X22" i="13"/>
  <c r="X21" i="13"/>
  <c r="X20" i="13"/>
  <c r="X19" i="13"/>
  <c r="X18" i="13"/>
  <c r="X17" i="13"/>
  <c r="X16" i="13"/>
  <c r="X14" i="13"/>
  <c r="X13" i="13"/>
  <c r="X12" i="13"/>
  <c r="X15" i="13"/>
  <c r="M45" i="13"/>
  <c r="Q45" i="13"/>
  <c r="S45" i="13"/>
  <c r="M44" i="13"/>
  <c r="Q44" i="13"/>
  <c r="S44" i="13"/>
  <c r="M43" i="13"/>
  <c r="Q43" i="13"/>
  <c r="S43" i="13"/>
  <c r="M42" i="13"/>
  <c r="Q42" i="13"/>
  <c r="S42" i="13"/>
  <c r="M41" i="13"/>
  <c r="Q41" i="13"/>
  <c r="S41" i="13"/>
  <c r="M40" i="13"/>
  <c r="Q40" i="13"/>
  <c r="S40" i="13"/>
  <c r="M39" i="13"/>
  <c r="Q39" i="13"/>
  <c r="S39" i="13"/>
  <c r="M38" i="13"/>
  <c r="Q38" i="13"/>
  <c r="S38" i="13"/>
  <c r="M37" i="13"/>
  <c r="Q37" i="13"/>
  <c r="S37" i="13"/>
  <c r="M36" i="13"/>
  <c r="Q36" i="13"/>
  <c r="S36" i="13"/>
  <c r="M35" i="13"/>
  <c r="Q35" i="13"/>
  <c r="S35" i="13"/>
  <c r="M34" i="13"/>
  <c r="Q34" i="13"/>
  <c r="S34" i="13"/>
  <c r="M33" i="13"/>
  <c r="Q33" i="13"/>
  <c r="S33" i="13"/>
  <c r="M32" i="13"/>
  <c r="Q32" i="13"/>
  <c r="S32" i="13"/>
  <c r="M31" i="13"/>
  <c r="Q31" i="13"/>
  <c r="S31" i="13"/>
  <c r="M30" i="13"/>
  <c r="Q30" i="13"/>
  <c r="S30" i="13"/>
  <c r="M29" i="13"/>
  <c r="Q29" i="13"/>
  <c r="S29" i="13"/>
  <c r="M28" i="13"/>
  <c r="Q28" i="13"/>
  <c r="S28" i="13"/>
  <c r="M27" i="13"/>
  <c r="Q27" i="13"/>
  <c r="S27" i="13"/>
  <c r="M26" i="13"/>
  <c r="Q26" i="13"/>
  <c r="S26" i="13"/>
  <c r="M25" i="13"/>
  <c r="Q25" i="13"/>
  <c r="S25" i="13"/>
  <c r="M24" i="13"/>
  <c r="Q24" i="13"/>
  <c r="S24" i="13"/>
  <c r="M23" i="13"/>
  <c r="Q23" i="13"/>
  <c r="S23" i="13"/>
  <c r="M22" i="13"/>
  <c r="Q22" i="13"/>
  <c r="S22" i="13"/>
  <c r="M21" i="13"/>
  <c r="Q21" i="13"/>
  <c r="S21" i="13"/>
  <c r="M20" i="13"/>
  <c r="Q20" i="13"/>
  <c r="S20" i="13"/>
  <c r="M19" i="13"/>
  <c r="Q19" i="13"/>
  <c r="S19" i="13"/>
  <c r="M18" i="13"/>
  <c r="Q18" i="13"/>
  <c r="S18" i="13"/>
  <c r="M17" i="13"/>
  <c r="Q17" i="13"/>
  <c r="S17" i="13"/>
  <c r="M15" i="13"/>
  <c r="Q15" i="13"/>
  <c r="S15" i="13"/>
  <c r="M14" i="13"/>
  <c r="Q14" i="13"/>
  <c r="S14" i="13"/>
  <c r="M13" i="13"/>
  <c r="Q13" i="13"/>
  <c r="S13" i="13"/>
  <c r="M12" i="13"/>
  <c r="Q12" i="13"/>
  <c r="S12" i="13"/>
  <c r="M16" i="13"/>
  <c r="Q16" i="13"/>
  <c r="S16" i="13"/>
  <c r="R45" i="13"/>
  <c r="R44" i="13"/>
  <c r="R43" i="13"/>
  <c r="R42" i="13"/>
  <c r="R41" i="13"/>
  <c r="R40" i="13"/>
  <c r="R39" i="13"/>
  <c r="R38" i="13"/>
  <c r="R37" i="13"/>
  <c r="R36" i="13"/>
  <c r="R35" i="13"/>
  <c r="R34" i="13"/>
  <c r="R33" i="13"/>
  <c r="R32" i="13"/>
  <c r="R31" i="13"/>
  <c r="R30" i="13"/>
  <c r="R29" i="13"/>
  <c r="R28" i="13"/>
  <c r="R27" i="13"/>
  <c r="R26" i="13"/>
  <c r="R25" i="13"/>
  <c r="R24" i="13"/>
  <c r="R23" i="13"/>
  <c r="R22" i="13"/>
  <c r="R21" i="13"/>
  <c r="R20" i="13"/>
  <c r="R19" i="13"/>
  <c r="R18" i="13"/>
  <c r="R17" i="13"/>
  <c r="R16" i="13"/>
  <c r="R15" i="13"/>
  <c r="R14" i="13"/>
  <c r="R13" i="13"/>
  <c r="R12" i="13"/>
  <c r="N45" i="13"/>
  <c r="N44" i="13"/>
  <c r="N43" i="13"/>
  <c r="N42" i="13"/>
  <c r="N41" i="13"/>
  <c r="N40" i="13"/>
  <c r="N39" i="13"/>
  <c r="N38" i="13"/>
  <c r="N37" i="13"/>
  <c r="N36" i="13"/>
  <c r="N35" i="13"/>
  <c r="N34" i="13"/>
  <c r="N33" i="13"/>
  <c r="N32" i="13"/>
  <c r="N31" i="13"/>
  <c r="N30" i="13"/>
  <c r="N29" i="13"/>
  <c r="N28" i="13"/>
  <c r="N27" i="13"/>
  <c r="N26" i="13"/>
  <c r="N25" i="13"/>
  <c r="N24" i="13"/>
  <c r="N23" i="13"/>
  <c r="N22" i="13"/>
  <c r="N21" i="13"/>
  <c r="N20" i="13"/>
  <c r="N19" i="13"/>
  <c r="N18" i="13"/>
  <c r="N17" i="13"/>
  <c r="N16" i="13"/>
  <c r="N15" i="13"/>
  <c r="N14" i="13"/>
  <c r="N13" i="13"/>
  <c r="N12" i="13"/>
  <c r="AA129" i="13"/>
  <c r="AU33" i="13"/>
  <c r="AQ33" i="13"/>
  <c r="AU28" i="13"/>
  <c r="AQ28" i="13"/>
  <c r="AP27" i="7"/>
  <c r="AY66" i="11"/>
  <c r="H66" i="11"/>
  <c r="F87" i="14"/>
  <c r="AZ66" i="11"/>
  <c r="E87" i="14"/>
  <c r="AY67" i="11"/>
  <c r="D87" i="14"/>
  <c r="AZ67" i="11"/>
  <c r="C87" i="14"/>
  <c r="S66" i="11"/>
  <c r="F86" i="14"/>
  <c r="T66" i="11"/>
  <c r="E86" i="14"/>
  <c r="S67" i="11"/>
  <c r="D86" i="14"/>
  <c r="T67" i="11"/>
  <c r="C86" i="14"/>
  <c r="CM66" i="11"/>
  <c r="F85" i="14"/>
  <c r="CN66" i="11"/>
  <c r="E85" i="14"/>
  <c r="CM67" i="11"/>
  <c r="D85" i="14"/>
  <c r="CN67" i="11"/>
  <c r="C85" i="14"/>
  <c r="CI66" i="11"/>
  <c r="F84" i="14"/>
  <c r="CJ66" i="11"/>
  <c r="E84" i="14"/>
  <c r="CI67" i="11"/>
  <c r="D84" i="14"/>
  <c r="CJ67" i="11"/>
  <c r="C84" i="14"/>
  <c r="CE66" i="11"/>
  <c r="F83" i="14"/>
  <c r="CF66" i="11"/>
  <c r="E83" i="14"/>
  <c r="CE67" i="11"/>
  <c r="D83" i="14"/>
  <c r="CF67" i="11"/>
  <c r="C83" i="14"/>
  <c r="CA66" i="11"/>
  <c r="F82" i="14"/>
  <c r="CB66" i="11"/>
  <c r="E82" i="14"/>
  <c r="CA67" i="11"/>
  <c r="D82" i="14"/>
  <c r="CB67" i="11"/>
  <c r="C82" i="14"/>
  <c r="BW66" i="11"/>
  <c r="F81" i="14"/>
  <c r="BX66" i="11"/>
  <c r="E81" i="14"/>
  <c r="BW67" i="11"/>
  <c r="D81" i="14"/>
  <c r="BX67" i="11"/>
  <c r="C81" i="14"/>
  <c r="BS66" i="11"/>
  <c r="F80" i="14"/>
  <c r="BT66" i="11"/>
  <c r="E80" i="14"/>
  <c r="BS67" i="11"/>
  <c r="D80" i="14"/>
  <c r="BT67" i="11"/>
  <c r="C80" i="14"/>
  <c r="BO66" i="11"/>
  <c r="F79" i="14"/>
  <c r="BP66" i="11"/>
  <c r="E79" i="14"/>
  <c r="BO67" i="11"/>
  <c r="D79" i="14"/>
  <c r="BP67" i="11"/>
  <c r="C79" i="14"/>
  <c r="BK66" i="11"/>
  <c r="F78" i="14"/>
  <c r="BL66" i="11"/>
  <c r="E78" i="14"/>
  <c r="BK67" i="11"/>
  <c r="D78" i="14"/>
  <c r="BL67" i="11"/>
  <c r="C78" i="14"/>
  <c r="BG66" i="11"/>
  <c r="F77" i="14"/>
  <c r="BH66" i="11"/>
  <c r="E77" i="14"/>
  <c r="BG67" i="11"/>
  <c r="D77" i="14"/>
  <c r="BH67" i="11"/>
  <c r="C77" i="14"/>
  <c r="BC66" i="11"/>
  <c r="F76" i="14"/>
  <c r="BD66" i="11"/>
  <c r="E76" i="14"/>
  <c r="BC67" i="11"/>
  <c r="D76" i="14"/>
  <c r="BD67" i="11"/>
  <c r="C76" i="14"/>
  <c r="AU66" i="11"/>
  <c r="F75" i="14"/>
  <c r="AV66" i="11"/>
  <c r="E75" i="14"/>
  <c r="AU67" i="11"/>
  <c r="D75" i="14"/>
  <c r="AV67" i="11"/>
  <c r="C75" i="14"/>
  <c r="AQ66" i="11"/>
  <c r="F74" i="14"/>
  <c r="AR66" i="11"/>
  <c r="E74" i="14"/>
  <c r="AQ67" i="11"/>
  <c r="D74" i="14"/>
  <c r="AR67" i="11"/>
  <c r="C74" i="14"/>
  <c r="AM66" i="11"/>
  <c r="F73" i="14"/>
  <c r="AN66" i="11"/>
  <c r="E73" i="14"/>
  <c r="AM67" i="11"/>
  <c r="D73" i="14"/>
  <c r="AN67" i="11"/>
  <c r="C73" i="14"/>
  <c r="AI66" i="11"/>
  <c r="F72" i="14"/>
  <c r="AJ66" i="11"/>
  <c r="E72" i="14"/>
  <c r="AI67" i="11"/>
  <c r="D72" i="14"/>
  <c r="AJ67" i="11"/>
  <c r="C72" i="14"/>
  <c r="AE66" i="11"/>
  <c r="F71" i="14"/>
  <c r="AF66" i="11"/>
  <c r="E71" i="14"/>
  <c r="AE67" i="11"/>
  <c r="D71" i="14"/>
  <c r="AF67" i="11"/>
  <c r="C71" i="14"/>
  <c r="AA66" i="11"/>
  <c r="F70" i="14"/>
  <c r="AB66" i="11"/>
  <c r="E70" i="14"/>
  <c r="AA67" i="11"/>
  <c r="D70" i="14"/>
  <c r="C70" i="14"/>
  <c r="W66" i="11"/>
  <c r="F69" i="14"/>
  <c r="X66" i="11"/>
  <c r="E69" i="14"/>
  <c r="W67" i="11"/>
  <c r="D69" i="14"/>
  <c r="C69" i="14"/>
  <c r="O66" i="11"/>
  <c r="F68" i="14"/>
  <c r="P66" i="11"/>
  <c r="E68" i="14"/>
  <c r="O67" i="11"/>
  <c r="D68" i="14"/>
  <c r="C68" i="14"/>
  <c r="K66" i="11"/>
  <c r="F67" i="14"/>
  <c r="L66" i="11"/>
  <c r="E67" i="14"/>
  <c r="K67" i="11"/>
  <c r="D67" i="14"/>
  <c r="C67" i="14"/>
  <c r="F57" i="14"/>
  <c r="F56" i="14"/>
  <c r="F55" i="14"/>
  <c r="F54" i="14"/>
  <c r="F53" i="14"/>
  <c r="F52" i="14"/>
  <c r="F51" i="14"/>
  <c r="F50" i="14"/>
  <c r="F49" i="14"/>
  <c r="F48" i="14"/>
  <c r="F47" i="14"/>
  <c r="F46" i="14"/>
  <c r="F45" i="14"/>
  <c r="F44" i="14"/>
  <c r="F43" i="14"/>
  <c r="F42" i="14"/>
  <c r="F41" i="14"/>
  <c r="F40" i="14"/>
  <c r="F39" i="14"/>
  <c r="F38" i="14"/>
  <c r="F37" i="14"/>
  <c r="F19" i="14"/>
  <c r="F18" i="14"/>
  <c r="F17" i="14"/>
  <c r="F16" i="14"/>
  <c r="F15" i="14"/>
  <c r="F14" i="14"/>
  <c r="F13" i="14"/>
  <c r="F12" i="14"/>
  <c r="F11" i="14"/>
  <c r="F10" i="14"/>
  <c r="F9" i="14"/>
  <c r="F8" i="14"/>
  <c r="F7" i="14"/>
  <c r="E57" i="14"/>
  <c r="E56" i="14"/>
  <c r="E55" i="14"/>
  <c r="E54" i="14"/>
  <c r="E53" i="14"/>
  <c r="E52" i="14"/>
  <c r="E51" i="14"/>
  <c r="E50" i="14"/>
  <c r="E49" i="14"/>
  <c r="E48" i="14"/>
  <c r="E47" i="14"/>
  <c r="E46" i="14"/>
  <c r="E45" i="14"/>
  <c r="E44" i="14"/>
  <c r="E43" i="14"/>
  <c r="E42" i="14"/>
  <c r="E41" i="14"/>
  <c r="E40" i="14"/>
  <c r="E39" i="14"/>
  <c r="E38" i="14"/>
  <c r="E37" i="14"/>
  <c r="E27" i="14"/>
  <c r="E26" i="14"/>
  <c r="E25" i="14"/>
  <c r="E24" i="14"/>
  <c r="E23" i="14"/>
  <c r="E22" i="14"/>
  <c r="E21" i="14"/>
  <c r="E20" i="14"/>
  <c r="E19" i="14"/>
  <c r="E18" i="14"/>
  <c r="E17" i="14"/>
  <c r="E16" i="14"/>
  <c r="E15" i="14"/>
  <c r="E14" i="14"/>
  <c r="E13" i="14"/>
  <c r="E12" i="14"/>
  <c r="E11" i="14"/>
  <c r="E10" i="14"/>
  <c r="E9" i="14"/>
  <c r="E8" i="14"/>
  <c r="E7" i="14"/>
  <c r="F27" i="14"/>
  <c r="F26" i="14"/>
  <c r="F25" i="14"/>
  <c r="F24" i="14"/>
  <c r="F23" i="14"/>
  <c r="F22" i="14"/>
  <c r="F21" i="14"/>
  <c r="F20" i="14"/>
  <c r="D41" i="14"/>
  <c r="D40" i="14"/>
  <c r="D39" i="14"/>
  <c r="D38" i="14"/>
  <c r="D37" i="14"/>
  <c r="D11" i="14"/>
  <c r="D10" i="14"/>
  <c r="D9" i="14"/>
  <c r="D8" i="14"/>
  <c r="D7" i="14"/>
  <c r="L67" i="11"/>
  <c r="C7" i="14"/>
  <c r="P67" i="11"/>
  <c r="C8" i="14"/>
  <c r="X67" i="11"/>
  <c r="C9" i="14"/>
  <c r="AB67" i="11"/>
  <c r="C10" i="14"/>
  <c r="D57" i="14"/>
  <c r="C57" i="14"/>
  <c r="D56" i="14"/>
  <c r="C56" i="14"/>
  <c r="D55" i="14"/>
  <c r="C55" i="14"/>
  <c r="D54" i="14"/>
  <c r="C54" i="14"/>
  <c r="D53" i="14"/>
  <c r="C53" i="14"/>
  <c r="D52" i="14"/>
  <c r="C52" i="14"/>
  <c r="D51" i="14"/>
  <c r="C51" i="14"/>
  <c r="D50" i="14"/>
  <c r="C50" i="14"/>
  <c r="D49" i="14"/>
  <c r="C49" i="14"/>
  <c r="D48" i="14"/>
  <c r="C48" i="14"/>
  <c r="D47" i="14"/>
  <c r="C47" i="14"/>
  <c r="D46" i="14"/>
  <c r="C46" i="14"/>
  <c r="D45" i="14"/>
  <c r="C45" i="14"/>
  <c r="D44" i="14"/>
  <c r="C44" i="14"/>
  <c r="D43" i="14"/>
  <c r="C43" i="14"/>
  <c r="D42" i="14"/>
  <c r="C42" i="14"/>
  <c r="C41" i="14"/>
  <c r="C40" i="14"/>
  <c r="C39" i="14"/>
  <c r="C38" i="14"/>
  <c r="C37" i="14"/>
  <c r="D27" i="14"/>
  <c r="D26" i="14"/>
  <c r="D25" i="14"/>
  <c r="D24" i="14"/>
  <c r="D23" i="14"/>
  <c r="D22" i="14"/>
  <c r="D21" i="14"/>
  <c r="D20" i="14"/>
  <c r="D19" i="14"/>
  <c r="D18" i="14"/>
  <c r="D17" i="14"/>
  <c r="D16" i="14"/>
  <c r="D15" i="14"/>
  <c r="D14" i="14"/>
  <c r="D13" i="14"/>
  <c r="D12" i="14"/>
  <c r="C27" i="14"/>
  <c r="C26" i="14"/>
  <c r="C25" i="14"/>
  <c r="C24" i="14"/>
  <c r="C23" i="14"/>
  <c r="C22" i="14"/>
  <c r="C21" i="14"/>
  <c r="C20" i="14"/>
  <c r="C19" i="14"/>
  <c r="C18" i="14"/>
  <c r="C17" i="14"/>
  <c r="C16" i="14"/>
  <c r="C15" i="14"/>
  <c r="C14" i="14"/>
  <c r="C13" i="14"/>
  <c r="C12" i="14"/>
  <c r="C11" i="14"/>
  <c r="CP11" i="11"/>
  <c r="CP12" i="11"/>
  <c r="CP13" i="11"/>
  <c r="CP14" i="11"/>
  <c r="CP15" i="11"/>
  <c r="CP16" i="11"/>
  <c r="CP17" i="11"/>
  <c r="CP18" i="11"/>
  <c r="CP19" i="11"/>
  <c r="CP21" i="11"/>
  <c r="CP22" i="11"/>
  <c r="CP23" i="11"/>
  <c r="CP24" i="11"/>
  <c r="CP25" i="11"/>
  <c r="CP26" i="11"/>
  <c r="CP27" i="11"/>
  <c r="CP28" i="11"/>
  <c r="CP29" i="11"/>
  <c r="CP30" i="11"/>
  <c r="CP31" i="11"/>
  <c r="CP32" i="11"/>
  <c r="CP33" i="11"/>
  <c r="CP34" i="11"/>
  <c r="CP35" i="11"/>
  <c r="CP36" i="11"/>
  <c r="CP37" i="11"/>
  <c r="CP38" i="11"/>
  <c r="CP39" i="11"/>
  <c r="CP40" i="11"/>
  <c r="CP41" i="11"/>
  <c r="CP42" i="11"/>
  <c r="CP43" i="11"/>
  <c r="CP44" i="11"/>
  <c r="CP45" i="11"/>
  <c r="CP46" i="11"/>
  <c r="CP47" i="11"/>
  <c r="CP48" i="11"/>
  <c r="CP49" i="11"/>
  <c r="CP50" i="11"/>
  <c r="CP51" i="11"/>
  <c r="CP52" i="11"/>
  <c r="CP53" i="11"/>
  <c r="CP54" i="11"/>
  <c r="CP55" i="11"/>
  <c r="CP57" i="11"/>
  <c r="CP58" i="11"/>
  <c r="CP59" i="11"/>
  <c r="CP60" i="11"/>
  <c r="CP61" i="11"/>
  <c r="CP62" i="11"/>
  <c r="CP63" i="11"/>
  <c r="CO66" i="11"/>
  <c r="CP67" i="11"/>
  <c r="CO67" i="11"/>
  <c r="CL11" i="11"/>
  <c r="CL12" i="11"/>
  <c r="CL13" i="11"/>
  <c r="CL14" i="11"/>
  <c r="CL15" i="11"/>
  <c r="CL16" i="11"/>
  <c r="CL17" i="11"/>
  <c r="CL18" i="11"/>
  <c r="CL19" i="11"/>
  <c r="CL21" i="11"/>
  <c r="CL22" i="11"/>
  <c r="CL23" i="11"/>
  <c r="CL24" i="11"/>
  <c r="CL25" i="11"/>
  <c r="CL26" i="11"/>
  <c r="CL27" i="11"/>
  <c r="CL28" i="11"/>
  <c r="CL29" i="11"/>
  <c r="CL30" i="11"/>
  <c r="CL31" i="11"/>
  <c r="CL32" i="11"/>
  <c r="CL33" i="11"/>
  <c r="CL34" i="11"/>
  <c r="CL35" i="11"/>
  <c r="CL36" i="11"/>
  <c r="CL37" i="11"/>
  <c r="CL38" i="11"/>
  <c r="CL39" i="11"/>
  <c r="CL40" i="11"/>
  <c r="CL41" i="11"/>
  <c r="CL42" i="11"/>
  <c r="CL43" i="11"/>
  <c r="CL44" i="11"/>
  <c r="CL45" i="11"/>
  <c r="CL46" i="11"/>
  <c r="CL47" i="11"/>
  <c r="CL48" i="11"/>
  <c r="CL49" i="11"/>
  <c r="CL50" i="11"/>
  <c r="CL51" i="11"/>
  <c r="CL52" i="11"/>
  <c r="CL53" i="11"/>
  <c r="CL54" i="11"/>
  <c r="CL55" i="11"/>
  <c r="CL57" i="11"/>
  <c r="CL58" i="11"/>
  <c r="CL59" i="11"/>
  <c r="CL60" i="11"/>
  <c r="CL61" i="11"/>
  <c r="CL62" i="11"/>
  <c r="CL63" i="11"/>
  <c r="CK66" i="11"/>
  <c r="CL67" i="11"/>
  <c r="CK67" i="11"/>
  <c r="CH11" i="11"/>
  <c r="CH12" i="11"/>
  <c r="CH13" i="11"/>
  <c r="CH14" i="11"/>
  <c r="CH15" i="11"/>
  <c r="CH16" i="11"/>
  <c r="CH17" i="11"/>
  <c r="CH18" i="11"/>
  <c r="CH19" i="11"/>
  <c r="CH21" i="11"/>
  <c r="CH22" i="11"/>
  <c r="CH23" i="11"/>
  <c r="CH24" i="11"/>
  <c r="CH25" i="11"/>
  <c r="CH26" i="11"/>
  <c r="CH27" i="11"/>
  <c r="CH28" i="11"/>
  <c r="CH29" i="11"/>
  <c r="CH30" i="11"/>
  <c r="CH31" i="11"/>
  <c r="CH32" i="11"/>
  <c r="CH33" i="11"/>
  <c r="CH34" i="11"/>
  <c r="CH35" i="11"/>
  <c r="CH36" i="11"/>
  <c r="CH37" i="11"/>
  <c r="CH38" i="11"/>
  <c r="CH39" i="11"/>
  <c r="CH40" i="11"/>
  <c r="CH41" i="11"/>
  <c r="CH42" i="11"/>
  <c r="CH43" i="11"/>
  <c r="CH44" i="11"/>
  <c r="CH45" i="11"/>
  <c r="CH46" i="11"/>
  <c r="CH47" i="11"/>
  <c r="CH48" i="11"/>
  <c r="CH49" i="11"/>
  <c r="CH50" i="11"/>
  <c r="CH51" i="11"/>
  <c r="CH52" i="11"/>
  <c r="CH53" i="11"/>
  <c r="CH54" i="11"/>
  <c r="CH55" i="11"/>
  <c r="CH57" i="11"/>
  <c r="CH58" i="11"/>
  <c r="CH59" i="11"/>
  <c r="CH60" i="11"/>
  <c r="CH61" i="11"/>
  <c r="CH62" i="11"/>
  <c r="CH63" i="11"/>
  <c r="CG66" i="11"/>
  <c r="CH67" i="11"/>
  <c r="CG67" i="11"/>
  <c r="CD11" i="11"/>
  <c r="CD12" i="11"/>
  <c r="CD13" i="11"/>
  <c r="CD14" i="11"/>
  <c r="CD15" i="11"/>
  <c r="CD16" i="11"/>
  <c r="CD17" i="11"/>
  <c r="CD18" i="11"/>
  <c r="CD19" i="11"/>
  <c r="CD21" i="11"/>
  <c r="CD22" i="11"/>
  <c r="CD23" i="11"/>
  <c r="CD24" i="11"/>
  <c r="CD25" i="11"/>
  <c r="CD26" i="11"/>
  <c r="CD27" i="11"/>
  <c r="CD28" i="11"/>
  <c r="CD29" i="11"/>
  <c r="CD30" i="11"/>
  <c r="CD31" i="11"/>
  <c r="CD32" i="11"/>
  <c r="CD33" i="11"/>
  <c r="CD34" i="11"/>
  <c r="CD35" i="11"/>
  <c r="CD36" i="11"/>
  <c r="CD37" i="11"/>
  <c r="CD38" i="11"/>
  <c r="CD39" i="11"/>
  <c r="CD40" i="11"/>
  <c r="CD41" i="11"/>
  <c r="CD42" i="11"/>
  <c r="CD43" i="11"/>
  <c r="CD44" i="11"/>
  <c r="CD45" i="11"/>
  <c r="CD46" i="11"/>
  <c r="CD47" i="11"/>
  <c r="CD48" i="11"/>
  <c r="CD49" i="11"/>
  <c r="CD50" i="11"/>
  <c r="CD51" i="11"/>
  <c r="CD52" i="11"/>
  <c r="CD53" i="11"/>
  <c r="CD54" i="11"/>
  <c r="CD55" i="11"/>
  <c r="CD57" i="11"/>
  <c r="CD58" i="11"/>
  <c r="CD59" i="11"/>
  <c r="CD60" i="11"/>
  <c r="CD61" i="11"/>
  <c r="CD62" i="11"/>
  <c r="CD63" i="11"/>
  <c r="CC66" i="11"/>
  <c r="CD67" i="11"/>
  <c r="CC67" i="11"/>
  <c r="BZ11" i="11"/>
  <c r="BZ12" i="11"/>
  <c r="BZ13" i="11"/>
  <c r="BZ14" i="11"/>
  <c r="BZ15" i="11"/>
  <c r="BZ16" i="11"/>
  <c r="BZ17" i="11"/>
  <c r="BZ18" i="11"/>
  <c r="BZ19" i="11"/>
  <c r="BZ21" i="11"/>
  <c r="BZ22" i="11"/>
  <c r="BZ23" i="11"/>
  <c r="BZ24" i="11"/>
  <c r="BZ25" i="11"/>
  <c r="BZ26" i="11"/>
  <c r="BZ27" i="11"/>
  <c r="BZ28" i="11"/>
  <c r="BZ29" i="11"/>
  <c r="BZ30" i="11"/>
  <c r="BZ31" i="11"/>
  <c r="BZ32" i="11"/>
  <c r="BZ33" i="11"/>
  <c r="BZ34" i="11"/>
  <c r="BZ35" i="11"/>
  <c r="BZ36" i="11"/>
  <c r="BZ37" i="11"/>
  <c r="BZ38" i="11"/>
  <c r="BZ39" i="11"/>
  <c r="BZ40" i="11"/>
  <c r="BZ41" i="11"/>
  <c r="BZ42" i="11"/>
  <c r="BZ43" i="11"/>
  <c r="BZ44" i="11"/>
  <c r="BZ45" i="11"/>
  <c r="BZ46" i="11"/>
  <c r="BZ47" i="11"/>
  <c r="BZ48" i="11"/>
  <c r="BZ49" i="11"/>
  <c r="BZ50" i="11"/>
  <c r="BZ51" i="11"/>
  <c r="BZ52" i="11"/>
  <c r="BZ53" i="11"/>
  <c r="BZ54" i="11"/>
  <c r="BZ55" i="11"/>
  <c r="BZ57" i="11"/>
  <c r="BZ58" i="11"/>
  <c r="BZ59" i="11"/>
  <c r="BZ60" i="11"/>
  <c r="BZ61" i="11"/>
  <c r="BZ62" i="11"/>
  <c r="BZ63" i="11"/>
  <c r="BY66" i="11"/>
  <c r="BZ67" i="11"/>
  <c r="BY67" i="11"/>
  <c r="BV11" i="11"/>
  <c r="BV12" i="11"/>
  <c r="BV13" i="11"/>
  <c r="BV14" i="11"/>
  <c r="BV15" i="11"/>
  <c r="BV16" i="11"/>
  <c r="BV17" i="11"/>
  <c r="BV18" i="11"/>
  <c r="BV19"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7" i="11"/>
  <c r="BV58" i="11"/>
  <c r="BV59" i="11"/>
  <c r="BV60" i="11"/>
  <c r="BV61" i="11"/>
  <c r="BV62" i="11"/>
  <c r="BV63" i="11"/>
  <c r="BU66" i="11"/>
  <c r="BV67" i="11"/>
  <c r="BU67" i="11"/>
  <c r="BR11" i="11"/>
  <c r="BR12" i="11"/>
  <c r="BR13" i="11"/>
  <c r="BR14" i="11"/>
  <c r="BR15" i="11"/>
  <c r="BR16" i="11"/>
  <c r="BR17" i="11"/>
  <c r="BR18" i="11"/>
  <c r="BR19"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7" i="11"/>
  <c r="BR58" i="11"/>
  <c r="BR59" i="11"/>
  <c r="BR60" i="11"/>
  <c r="BR61" i="11"/>
  <c r="BR62" i="11"/>
  <c r="BR63" i="11"/>
  <c r="BQ66" i="11"/>
  <c r="BR67" i="11"/>
  <c r="BQ67" i="11"/>
  <c r="BN11" i="11"/>
  <c r="BN12" i="11"/>
  <c r="BN13" i="11"/>
  <c r="BN14" i="11"/>
  <c r="BN15" i="11"/>
  <c r="BN16" i="11"/>
  <c r="BN17" i="11"/>
  <c r="BN18" i="11"/>
  <c r="BN19"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7" i="11"/>
  <c r="BN58" i="11"/>
  <c r="BN59" i="11"/>
  <c r="BN60" i="11"/>
  <c r="BN61" i="11"/>
  <c r="BN62" i="11"/>
  <c r="BN63" i="11"/>
  <c r="BM66" i="11"/>
  <c r="BN67" i="11"/>
  <c r="BM67" i="11"/>
  <c r="BJ11" i="11"/>
  <c r="BJ12" i="11"/>
  <c r="BJ13" i="11"/>
  <c r="BJ14" i="11"/>
  <c r="BJ15" i="11"/>
  <c r="BJ16" i="11"/>
  <c r="BJ17" i="11"/>
  <c r="BJ18" i="11"/>
  <c r="BJ19"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7" i="11"/>
  <c r="BJ58" i="11"/>
  <c r="BJ59" i="11"/>
  <c r="BJ60" i="11"/>
  <c r="BJ61" i="11"/>
  <c r="BJ62" i="11"/>
  <c r="BJ63" i="11"/>
  <c r="BI66" i="11"/>
  <c r="BJ67" i="11"/>
  <c r="BI67" i="11"/>
  <c r="BF11" i="11"/>
  <c r="BF12" i="11"/>
  <c r="BF13" i="11"/>
  <c r="BF14" i="11"/>
  <c r="BF15" i="11"/>
  <c r="BF16" i="11"/>
  <c r="BF17" i="11"/>
  <c r="BF18" i="11"/>
  <c r="BF19" i="11"/>
  <c r="BF21" i="11"/>
  <c r="BF22" i="11"/>
  <c r="BF23" i="11"/>
  <c r="BF24" i="11"/>
  <c r="BF25" i="11"/>
  <c r="BF26" i="11"/>
  <c r="BF27" i="11"/>
  <c r="BF28" i="11"/>
  <c r="BF29" i="11"/>
  <c r="BF30" i="11"/>
  <c r="BF31" i="11"/>
  <c r="BF32" i="11"/>
  <c r="BF33" i="11"/>
  <c r="BF34" i="11"/>
  <c r="BF35" i="11"/>
  <c r="BF36" i="11"/>
  <c r="BF37" i="11"/>
  <c r="BF38" i="11"/>
  <c r="BF39" i="11"/>
  <c r="BF40" i="11"/>
  <c r="BF41" i="11"/>
  <c r="BF42" i="11"/>
  <c r="BF43" i="11"/>
  <c r="BF44" i="11"/>
  <c r="BF45" i="11"/>
  <c r="BF46" i="11"/>
  <c r="BF47" i="11"/>
  <c r="BF48" i="11"/>
  <c r="BF49" i="11"/>
  <c r="BF50" i="11"/>
  <c r="BF51" i="11"/>
  <c r="BF52" i="11"/>
  <c r="BF53" i="11"/>
  <c r="BF54" i="11"/>
  <c r="BF55" i="11"/>
  <c r="BF57" i="11"/>
  <c r="BF58" i="11"/>
  <c r="BF59" i="11"/>
  <c r="BF60" i="11"/>
  <c r="BF61" i="11"/>
  <c r="BF62" i="11"/>
  <c r="BF63" i="11"/>
  <c r="BE66" i="11"/>
  <c r="BF67" i="11"/>
  <c r="BE67" i="11"/>
  <c r="BB14" i="11"/>
  <c r="BB11" i="11"/>
  <c r="BB12" i="11"/>
  <c r="BB13"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7" i="11"/>
  <c r="BB58" i="11"/>
  <c r="BB59" i="11"/>
  <c r="BB60" i="11"/>
  <c r="BB61" i="11"/>
  <c r="BB62" i="11"/>
  <c r="BB63" i="11"/>
  <c r="BA66" i="11"/>
  <c r="BB67" i="11"/>
  <c r="BA67" i="11"/>
  <c r="AX11" i="11"/>
  <c r="AX12" i="11"/>
  <c r="AX13" i="11"/>
  <c r="AX14" i="11"/>
  <c r="AX15" i="11"/>
  <c r="AX16" i="11"/>
  <c r="AX17" i="11"/>
  <c r="AX18" i="11"/>
  <c r="AX19"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7" i="11"/>
  <c r="AX58" i="11"/>
  <c r="AX59" i="11"/>
  <c r="AX60" i="11"/>
  <c r="AX61" i="11"/>
  <c r="AX62" i="11"/>
  <c r="AX63" i="11"/>
  <c r="AW66" i="11"/>
  <c r="AX67" i="11"/>
  <c r="AW67" i="11"/>
  <c r="AT11" i="11"/>
  <c r="AT12" i="11"/>
  <c r="AT13" i="11"/>
  <c r="AT14" i="11"/>
  <c r="AT15" i="11"/>
  <c r="AT16" i="11"/>
  <c r="AT17" i="11"/>
  <c r="AT18" i="11"/>
  <c r="AT19"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7" i="11"/>
  <c r="AT58" i="11"/>
  <c r="AT59" i="11"/>
  <c r="AT60" i="11"/>
  <c r="AT61" i="11"/>
  <c r="AT62" i="11"/>
  <c r="AT63" i="11"/>
  <c r="AS66" i="11"/>
  <c r="AT67" i="11"/>
  <c r="AS67" i="11"/>
  <c r="AP14" i="11"/>
  <c r="AP11" i="11"/>
  <c r="AP12" i="11"/>
  <c r="AP13" i="11"/>
  <c r="AP15" i="11"/>
  <c r="AP16" i="11"/>
  <c r="AP17" i="11"/>
  <c r="AP18" i="11"/>
  <c r="AP19"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7" i="11"/>
  <c r="AP58" i="11"/>
  <c r="AP59" i="11"/>
  <c r="AP60" i="11"/>
  <c r="AP61" i="11"/>
  <c r="AP62" i="11"/>
  <c r="AP63" i="11"/>
  <c r="AO66" i="11"/>
  <c r="AP67" i="11"/>
  <c r="AO67" i="11"/>
  <c r="AL11" i="11"/>
  <c r="AL12" i="11"/>
  <c r="AL13" i="11"/>
  <c r="AL14" i="11"/>
  <c r="AL15" i="11"/>
  <c r="AL16" i="11"/>
  <c r="AL17" i="11"/>
  <c r="AL18" i="11"/>
  <c r="AL19" i="11"/>
  <c r="AL21" i="11"/>
  <c r="AL22" i="11"/>
  <c r="AL23" i="11"/>
  <c r="AL24" i="11"/>
  <c r="AL25" i="11"/>
  <c r="AL26" i="11"/>
  <c r="AL27" i="11"/>
  <c r="AL28" i="11"/>
  <c r="AL29" i="11"/>
  <c r="AL30" i="11"/>
  <c r="AL31" i="11"/>
  <c r="AL32" i="11"/>
  <c r="AL33" i="11"/>
  <c r="AL34" i="11"/>
  <c r="AL35" i="11"/>
  <c r="AL36" i="11"/>
  <c r="AL37" i="11"/>
  <c r="AL38" i="11"/>
  <c r="AL39" i="11"/>
  <c r="AL40" i="11"/>
  <c r="AL41" i="11"/>
  <c r="AL42" i="11"/>
  <c r="AL43" i="11"/>
  <c r="AL44" i="11"/>
  <c r="AL45" i="11"/>
  <c r="AL46" i="11"/>
  <c r="AL47" i="11"/>
  <c r="AL48" i="11"/>
  <c r="AL49" i="11"/>
  <c r="AL50" i="11"/>
  <c r="AL51" i="11"/>
  <c r="AL52" i="11"/>
  <c r="AL53" i="11"/>
  <c r="AL54" i="11"/>
  <c r="AL55" i="11"/>
  <c r="AL57" i="11"/>
  <c r="AL58" i="11"/>
  <c r="AL59" i="11"/>
  <c r="AL60" i="11"/>
  <c r="AL61" i="11"/>
  <c r="AL62" i="11"/>
  <c r="AL63" i="11"/>
  <c r="AK66" i="11"/>
  <c r="AL67" i="11"/>
  <c r="AK67" i="11"/>
  <c r="AH11" i="11"/>
  <c r="AH12" i="11"/>
  <c r="AH13" i="11"/>
  <c r="AH14" i="11"/>
  <c r="AH15" i="11"/>
  <c r="AH16" i="11"/>
  <c r="AH17" i="11"/>
  <c r="AH18" i="11"/>
  <c r="AH19" i="11"/>
  <c r="AH21" i="11"/>
  <c r="AH22" i="11"/>
  <c r="AH23" i="11"/>
  <c r="AH24" i="11"/>
  <c r="AH25" i="11"/>
  <c r="AH26" i="11"/>
  <c r="AH27" i="11"/>
  <c r="AH28" i="11"/>
  <c r="AH29" i="11"/>
  <c r="AH30" i="11"/>
  <c r="AH31" i="11"/>
  <c r="AH32" i="11"/>
  <c r="AH33" i="11"/>
  <c r="AH34" i="11"/>
  <c r="AH35" i="11"/>
  <c r="AH36" i="11"/>
  <c r="AH37" i="11"/>
  <c r="AH38" i="11"/>
  <c r="AH39" i="11"/>
  <c r="AH40" i="11"/>
  <c r="AH41" i="11"/>
  <c r="AH42" i="11"/>
  <c r="AH43" i="11"/>
  <c r="AH44" i="11"/>
  <c r="AH45" i="11"/>
  <c r="AH46" i="11"/>
  <c r="AH47" i="11"/>
  <c r="AH48" i="11"/>
  <c r="AH49" i="11"/>
  <c r="AH50" i="11"/>
  <c r="AH51" i="11"/>
  <c r="AH52" i="11"/>
  <c r="AH53" i="11"/>
  <c r="AH54" i="11"/>
  <c r="AH55" i="11"/>
  <c r="AH57" i="11"/>
  <c r="AH58" i="11"/>
  <c r="AH59" i="11"/>
  <c r="AH60" i="11"/>
  <c r="AH61" i="11"/>
  <c r="AH62" i="11"/>
  <c r="AH63" i="11"/>
  <c r="AG66" i="11"/>
  <c r="AH67" i="11"/>
  <c r="AG67" i="11"/>
  <c r="AD11" i="11"/>
  <c r="AD12" i="11"/>
  <c r="AD13" i="11"/>
  <c r="AD14" i="11"/>
  <c r="AD15" i="11"/>
  <c r="AD16" i="11"/>
  <c r="AD17" i="11"/>
  <c r="AD18" i="11"/>
  <c r="AD19" i="11"/>
  <c r="AD21" i="11"/>
  <c r="AD22" i="11"/>
  <c r="AD23" i="11"/>
  <c r="AD24" i="11"/>
  <c r="AD25" i="11"/>
  <c r="AD26" i="11"/>
  <c r="AD27" i="11"/>
  <c r="AD28" i="11"/>
  <c r="AD29" i="11"/>
  <c r="AD30" i="11"/>
  <c r="AD31" i="11"/>
  <c r="AD32" i="11"/>
  <c r="AD33" i="11"/>
  <c r="AD34" i="11"/>
  <c r="AD35" i="11"/>
  <c r="AD36" i="11"/>
  <c r="AD37" i="11"/>
  <c r="AD38" i="11"/>
  <c r="AD39" i="11"/>
  <c r="AD40" i="11"/>
  <c r="AD41" i="11"/>
  <c r="AD42" i="11"/>
  <c r="AD43" i="11"/>
  <c r="AD44" i="11"/>
  <c r="AD45" i="11"/>
  <c r="AD46" i="11"/>
  <c r="AD47" i="11"/>
  <c r="AD48" i="11"/>
  <c r="AD49" i="11"/>
  <c r="AD50" i="11"/>
  <c r="AD51" i="11"/>
  <c r="AD52" i="11"/>
  <c r="AD53" i="11"/>
  <c r="AD54" i="11"/>
  <c r="AD55" i="11"/>
  <c r="AD57" i="11"/>
  <c r="AD58" i="11"/>
  <c r="AD59" i="11"/>
  <c r="AD60" i="11"/>
  <c r="AD61" i="11"/>
  <c r="AD62" i="11"/>
  <c r="AD63" i="11"/>
  <c r="AC66" i="11"/>
  <c r="AD67" i="11"/>
  <c r="AC67" i="11"/>
  <c r="Z11" i="11"/>
  <c r="Z12" i="11"/>
  <c r="Z13" i="11"/>
  <c r="Z14" i="11"/>
  <c r="Z15" i="11"/>
  <c r="Z16" i="11"/>
  <c r="Z17" i="11"/>
  <c r="Z18" i="11"/>
  <c r="Z19" i="11"/>
  <c r="Z21" i="11"/>
  <c r="Z22" i="11"/>
  <c r="Z23" i="11"/>
  <c r="Z24" i="11"/>
  <c r="Z25" i="11"/>
  <c r="Z26" i="11"/>
  <c r="Z27" i="11"/>
  <c r="Z28" i="11"/>
  <c r="Z29" i="11"/>
  <c r="Z30" i="11"/>
  <c r="Z31" i="11"/>
  <c r="Z32" i="11"/>
  <c r="Z33" i="11"/>
  <c r="Z34" i="11"/>
  <c r="Z35" i="11"/>
  <c r="Z36" i="11"/>
  <c r="Z37" i="11"/>
  <c r="Z38" i="11"/>
  <c r="Z39" i="11"/>
  <c r="Z40" i="11"/>
  <c r="Z41" i="11"/>
  <c r="Z42" i="11"/>
  <c r="Z43" i="11"/>
  <c r="Z44" i="11"/>
  <c r="Z45" i="11"/>
  <c r="Z46" i="11"/>
  <c r="Z47" i="11"/>
  <c r="Z48" i="11"/>
  <c r="Z49" i="11"/>
  <c r="Z50" i="11"/>
  <c r="Z51" i="11"/>
  <c r="Z52" i="11"/>
  <c r="Z53" i="11"/>
  <c r="Z54" i="11"/>
  <c r="Z55" i="11"/>
  <c r="Z57" i="11"/>
  <c r="Z58" i="11"/>
  <c r="Z59" i="11"/>
  <c r="Z60" i="11"/>
  <c r="Z61" i="11"/>
  <c r="Z62" i="11"/>
  <c r="Z63" i="11"/>
  <c r="Y66" i="11"/>
  <c r="Z67" i="11"/>
  <c r="Y67" i="11"/>
  <c r="V14" i="11"/>
  <c r="V11" i="11"/>
  <c r="V12" i="11"/>
  <c r="V13" i="11"/>
  <c r="V15" i="11"/>
  <c r="V16" i="11"/>
  <c r="V17" i="11"/>
  <c r="V18" i="11"/>
  <c r="V19" i="11"/>
  <c r="V21" i="11"/>
  <c r="V22" i="11"/>
  <c r="V23" i="11"/>
  <c r="V24" i="11"/>
  <c r="V25" i="11"/>
  <c r="V26" i="11"/>
  <c r="V27" i="11"/>
  <c r="V28" i="11"/>
  <c r="V29" i="11"/>
  <c r="V30" i="11"/>
  <c r="V31" i="11"/>
  <c r="V32" i="11"/>
  <c r="V33" i="11"/>
  <c r="V34" i="11"/>
  <c r="V35" i="11"/>
  <c r="V36" i="11"/>
  <c r="V37" i="11"/>
  <c r="V38" i="11"/>
  <c r="V39" i="11"/>
  <c r="V40" i="11"/>
  <c r="V41" i="11"/>
  <c r="V42" i="11"/>
  <c r="V43" i="11"/>
  <c r="V45" i="11"/>
  <c r="V46" i="11"/>
  <c r="V47" i="11"/>
  <c r="V48" i="11"/>
  <c r="V49" i="11"/>
  <c r="V50" i="11"/>
  <c r="V51" i="11"/>
  <c r="V52" i="11"/>
  <c r="V53" i="11"/>
  <c r="V54" i="11"/>
  <c r="V55" i="11"/>
  <c r="V57" i="11"/>
  <c r="V58" i="11"/>
  <c r="V59" i="11"/>
  <c r="V60" i="11"/>
  <c r="V61" i="11"/>
  <c r="V62" i="11"/>
  <c r="V63" i="11"/>
  <c r="U66" i="11"/>
  <c r="V67" i="11"/>
  <c r="U67" i="11"/>
  <c r="R11" i="11"/>
  <c r="R12" i="11"/>
  <c r="R13" i="11"/>
  <c r="R14" i="11"/>
  <c r="R15" i="11"/>
  <c r="R16" i="11"/>
  <c r="R17" i="11"/>
  <c r="R18" i="11"/>
  <c r="R19" i="11"/>
  <c r="R21" i="11"/>
  <c r="R22" i="11"/>
  <c r="R23" i="11"/>
  <c r="R24" i="11"/>
  <c r="R25" i="11"/>
  <c r="R26" i="11"/>
  <c r="R27" i="11"/>
  <c r="R28" i="11"/>
  <c r="R29" i="11"/>
  <c r="R30" i="11"/>
  <c r="R31" i="11"/>
  <c r="R32" i="11"/>
  <c r="R33" i="11"/>
  <c r="R34" i="11"/>
  <c r="R35" i="11"/>
  <c r="R36" i="11"/>
  <c r="R37" i="11"/>
  <c r="R38" i="11"/>
  <c r="R39" i="11"/>
  <c r="R40" i="11"/>
  <c r="R41" i="11"/>
  <c r="R42" i="11"/>
  <c r="R43" i="11"/>
  <c r="R44" i="11"/>
  <c r="R45" i="11"/>
  <c r="R46" i="11"/>
  <c r="R47" i="11"/>
  <c r="R48" i="11"/>
  <c r="R49" i="11"/>
  <c r="R50" i="11"/>
  <c r="R51" i="11"/>
  <c r="R52" i="11"/>
  <c r="R53" i="11"/>
  <c r="R54" i="11"/>
  <c r="R55" i="11"/>
  <c r="R57" i="11"/>
  <c r="R58" i="11"/>
  <c r="R59" i="11"/>
  <c r="R60" i="11"/>
  <c r="R61" i="11"/>
  <c r="R62" i="11"/>
  <c r="R63" i="11"/>
  <c r="Q66" i="11"/>
  <c r="R67" i="11"/>
  <c r="Q67" i="11"/>
  <c r="N11" i="11"/>
  <c r="N12" i="11"/>
  <c r="N13" i="11"/>
  <c r="N14" i="11"/>
  <c r="N15" i="11"/>
  <c r="N16" i="11"/>
  <c r="N17" i="11"/>
  <c r="N18" i="11"/>
  <c r="N19" i="11"/>
  <c r="N21" i="11"/>
  <c r="N22" i="11"/>
  <c r="N23" i="11"/>
  <c r="N24" i="11"/>
  <c r="N25" i="11"/>
  <c r="N26" i="11"/>
  <c r="N27" i="11"/>
  <c r="N28" i="11"/>
  <c r="N29"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7" i="11"/>
  <c r="N58" i="11"/>
  <c r="N59" i="11"/>
  <c r="N60" i="11"/>
  <c r="N61" i="11"/>
  <c r="N62" i="11"/>
  <c r="N63" i="11"/>
  <c r="M66" i="11"/>
  <c r="N67" i="11"/>
  <c r="M67" i="11"/>
  <c r="CP66" i="11"/>
  <c r="CL66" i="11"/>
  <c r="CH66" i="11"/>
  <c r="CD66" i="11"/>
  <c r="BZ66" i="11"/>
  <c r="BV66" i="11"/>
  <c r="BR66" i="11"/>
  <c r="BN66" i="11"/>
  <c r="BJ66" i="11"/>
  <c r="BF66" i="11"/>
  <c r="BB66" i="11"/>
  <c r="AX66" i="11"/>
  <c r="AT66" i="11"/>
  <c r="AP66" i="11"/>
  <c r="AL66" i="11"/>
  <c r="AH66" i="11"/>
  <c r="AD66" i="11"/>
  <c r="Z66" i="11"/>
  <c r="V66" i="11"/>
  <c r="R66" i="11"/>
  <c r="N66" i="11"/>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4" i="9"/>
  <c r="X85" i="9"/>
  <c r="X86" i="9"/>
  <c r="X87" i="9"/>
  <c r="X88" i="9"/>
  <c r="X89" i="9"/>
  <c r="X90" i="9"/>
  <c r="X91" i="9"/>
  <c r="X92" i="9"/>
  <c r="X93" i="9"/>
  <c r="X94" i="9"/>
  <c r="W97" i="9"/>
  <c r="H97" i="9"/>
  <c r="X97" i="9"/>
  <c r="W98" i="9"/>
  <c r="X98" i="9"/>
  <c r="AZ52" i="5"/>
  <c r="AX52" i="5"/>
  <c r="AV52" i="5"/>
  <c r="AT52" i="5"/>
  <c r="AR52" i="5"/>
  <c r="AP52" i="5"/>
  <c r="AN52" i="5"/>
  <c r="AL52" i="5"/>
  <c r="AJ52" i="5"/>
  <c r="AH52" i="5"/>
  <c r="AF52" i="5"/>
  <c r="AD52" i="5"/>
  <c r="AB52" i="5"/>
  <c r="Z52" i="5"/>
  <c r="X52" i="5"/>
  <c r="V52" i="5"/>
  <c r="T52" i="5"/>
  <c r="R52" i="5"/>
  <c r="P52" i="5"/>
  <c r="N52" i="5"/>
  <c r="L52" i="5"/>
  <c r="AZ33" i="5"/>
  <c r="AX33" i="5"/>
  <c r="AV33" i="5"/>
  <c r="AT33" i="5"/>
  <c r="AR33" i="5"/>
  <c r="AP33" i="5"/>
  <c r="AN33" i="5"/>
  <c r="AL33" i="5"/>
  <c r="AJ33" i="5"/>
  <c r="AH33" i="5"/>
  <c r="AF33" i="5"/>
  <c r="AD33" i="5"/>
  <c r="AB33" i="5"/>
  <c r="Z33" i="5"/>
  <c r="X33" i="5"/>
  <c r="V33" i="5"/>
  <c r="T33" i="5"/>
  <c r="R33" i="5"/>
  <c r="P33" i="5"/>
  <c r="N33" i="5"/>
  <c r="L33" i="5"/>
  <c r="AZ71" i="5"/>
  <c r="AX71" i="5"/>
  <c r="AV71" i="5"/>
  <c r="AT71" i="5"/>
  <c r="AR71" i="5"/>
  <c r="AP71" i="5"/>
  <c r="AN71" i="5"/>
  <c r="AL71" i="5"/>
  <c r="AJ71" i="5"/>
  <c r="AH71" i="5"/>
  <c r="AF71" i="5"/>
  <c r="AD71" i="5"/>
  <c r="AB71" i="5"/>
  <c r="Z71" i="5"/>
  <c r="X71" i="5"/>
  <c r="V71" i="5"/>
  <c r="T71" i="5"/>
  <c r="R71" i="5"/>
  <c r="P71" i="5"/>
  <c r="N71" i="5"/>
  <c r="L71" i="5"/>
  <c r="AZ86" i="5"/>
  <c r="AX86" i="5"/>
  <c r="AV86" i="5"/>
  <c r="AT86" i="5"/>
  <c r="AR86" i="5"/>
  <c r="AP86" i="5"/>
  <c r="AN86" i="5"/>
  <c r="AL86" i="5"/>
  <c r="AJ86" i="5"/>
  <c r="AH86" i="5"/>
  <c r="AF86" i="5"/>
  <c r="AD86" i="5"/>
  <c r="AB86" i="5"/>
  <c r="Z86" i="5"/>
  <c r="X86" i="5"/>
  <c r="V86" i="5"/>
  <c r="T86" i="5"/>
  <c r="R86" i="5"/>
  <c r="P86" i="5"/>
  <c r="N86" i="5"/>
  <c r="L86" i="5"/>
  <c r="AZ63" i="5"/>
  <c r="AX63" i="5"/>
  <c r="AV63" i="5"/>
  <c r="AT63" i="5"/>
  <c r="AR63" i="5"/>
  <c r="AN63" i="5"/>
  <c r="AL63" i="5"/>
  <c r="AJ63" i="5"/>
  <c r="AH63" i="5"/>
  <c r="AF63" i="5"/>
  <c r="AD63" i="5"/>
  <c r="AB63" i="5"/>
  <c r="Z63" i="5"/>
  <c r="X63" i="5"/>
  <c r="V63" i="5"/>
  <c r="T63" i="5"/>
  <c r="R63" i="5"/>
  <c r="P63" i="5"/>
  <c r="N63" i="5"/>
  <c r="L63" i="5"/>
  <c r="AZ73" i="5"/>
  <c r="AX73" i="5"/>
  <c r="AV73" i="5"/>
  <c r="AT73" i="5"/>
  <c r="AR73" i="5"/>
  <c r="AP73" i="5"/>
  <c r="AN73" i="5"/>
  <c r="AL73" i="5"/>
  <c r="AJ73" i="5"/>
  <c r="AH73" i="5"/>
  <c r="AF73" i="5"/>
  <c r="AD73" i="5"/>
  <c r="AB73" i="5"/>
  <c r="Z73" i="5"/>
  <c r="X73" i="5"/>
  <c r="V73" i="5"/>
  <c r="T73" i="5"/>
  <c r="R73" i="5"/>
  <c r="P73" i="5"/>
  <c r="N73" i="5"/>
  <c r="L73" i="5"/>
  <c r="AZ113" i="5"/>
  <c r="AX113" i="5"/>
  <c r="AV113" i="5"/>
  <c r="AT113" i="5"/>
  <c r="AR113" i="5"/>
  <c r="AP113" i="5"/>
  <c r="AN113" i="5"/>
  <c r="AL113" i="5"/>
  <c r="AJ113" i="5"/>
  <c r="AH113" i="5"/>
  <c r="AF113" i="5"/>
  <c r="AD113" i="5"/>
  <c r="AB113" i="5"/>
  <c r="Z113" i="5"/>
  <c r="X113" i="5"/>
  <c r="V113" i="5"/>
  <c r="T113" i="5"/>
  <c r="R113" i="5"/>
  <c r="P113" i="5"/>
  <c r="N113" i="5"/>
  <c r="L113" i="5"/>
  <c r="AZ112" i="5"/>
  <c r="AX112" i="5"/>
  <c r="AV112" i="5"/>
  <c r="AT112" i="5"/>
  <c r="AR112" i="5"/>
  <c r="AP112" i="5"/>
  <c r="AN112" i="5"/>
  <c r="AL112" i="5"/>
  <c r="AJ112" i="5"/>
  <c r="AH112" i="5"/>
  <c r="AF112" i="5"/>
  <c r="AD112" i="5"/>
  <c r="AB112" i="5"/>
  <c r="Z112" i="5"/>
  <c r="X112" i="5"/>
  <c r="V112" i="5"/>
  <c r="T112" i="5"/>
  <c r="R112" i="5"/>
  <c r="P112" i="5"/>
  <c r="N112" i="5"/>
  <c r="L112" i="5"/>
  <c r="AZ59" i="5"/>
  <c r="AX59" i="5"/>
  <c r="AV59" i="5"/>
  <c r="AT59" i="5"/>
  <c r="AR59" i="5"/>
  <c r="AP59" i="5"/>
  <c r="AN59" i="5"/>
  <c r="AL59" i="5"/>
  <c r="AJ59" i="5"/>
  <c r="AH59" i="5"/>
  <c r="AF59" i="5"/>
  <c r="AD59" i="5"/>
  <c r="AB59" i="5"/>
  <c r="Z59" i="5"/>
  <c r="X59" i="5"/>
  <c r="V59" i="5"/>
  <c r="T59" i="5"/>
  <c r="R59" i="5"/>
  <c r="P59" i="5"/>
  <c r="N59" i="5"/>
  <c r="L59" i="5"/>
  <c r="AZ108" i="5"/>
  <c r="AX108" i="5"/>
  <c r="AV108" i="5"/>
  <c r="AT108" i="5"/>
  <c r="AR108" i="5"/>
  <c r="AP108" i="5"/>
  <c r="AN108" i="5"/>
  <c r="AL108" i="5"/>
  <c r="AJ108" i="5"/>
  <c r="AH108" i="5"/>
  <c r="AF108" i="5"/>
  <c r="AD108" i="5"/>
  <c r="AB108" i="5"/>
  <c r="Z108" i="5"/>
  <c r="X108" i="5"/>
  <c r="V108" i="5"/>
  <c r="T108" i="5"/>
  <c r="R108" i="5"/>
  <c r="P108" i="5"/>
  <c r="N108" i="5"/>
  <c r="L108" i="5"/>
  <c r="AZ78" i="5"/>
  <c r="AX78" i="5"/>
  <c r="AV78" i="5"/>
  <c r="AT78" i="5"/>
  <c r="AR78" i="5"/>
  <c r="AP78" i="5"/>
  <c r="AN78" i="5"/>
  <c r="AL78" i="5"/>
  <c r="AJ78" i="5"/>
  <c r="AH78" i="5"/>
  <c r="AF78" i="5"/>
  <c r="AD78" i="5"/>
  <c r="AB78" i="5"/>
  <c r="Z78" i="5"/>
  <c r="X78" i="5"/>
  <c r="V78" i="5"/>
  <c r="T78" i="5"/>
  <c r="R78" i="5"/>
  <c r="P78" i="5"/>
  <c r="N78" i="5"/>
  <c r="L78" i="5"/>
  <c r="AZ13" i="5"/>
  <c r="AX13" i="5"/>
  <c r="AV13" i="5"/>
  <c r="AT13" i="5"/>
  <c r="AR13" i="5"/>
  <c r="AP13" i="5"/>
  <c r="AN13" i="5"/>
  <c r="AL13" i="5"/>
  <c r="AJ13" i="5"/>
  <c r="AH13" i="5"/>
  <c r="AF13" i="5"/>
  <c r="AD13" i="5"/>
  <c r="AB13" i="5"/>
  <c r="Z13" i="5"/>
  <c r="X13" i="5"/>
  <c r="V13" i="5"/>
  <c r="T13" i="5"/>
  <c r="R13" i="5"/>
  <c r="P13" i="5"/>
  <c r="N13" i="5"/>
  <c r="L13" i="5"/>
  <c r="AZ43" i="5"/>
  <c r="AX43" i="5"/>
  <c r="AV43" i="5"/>
  <c r="AT43" i="5"/>
  <c r="AR43" i="5"/>
  <c r="AP43" i="5"/>
  <c r="AN43" i="5"/>
  <c r="AL43" i="5"/>
  <c r="AJ43" i="5"/>
  <c r="AH43" i="5"/>
  <c r="AF43" i="5"/>
  <c r="AD43" i="5"/>
  <c r="AB43" i="5"/>
  <c r="Z43" i="5"/>
  <c r="X43" i="5"/>
  <c r="V43" i="5"/>
  <c r="T43" i="5"/>
  <c r="R43" i="5"/>
  <c r="P43" i="5"/>
  <c r="N43" i="5"/>
  <c r="L43" i="5"/>
  <c r="AZ42" i="5"/>
  <c r="AX42" i="5"/>
  <c r="AV42" i="5"/>
  <c r="AT42" i="5"/>
  <c r="AR42" i="5"/>
  <c r="AP42" i="5"/>
  <c r="AN42" i="5"/>
  <c r="AL42" i="5"/>
  <c r="AJ42" i="5"/>
  <c r="AH42" i="5"/>
  <c r="AF42" i="5"/>
  <c r="AD42" i="5"/>
  <c r="AB42" i="5"/>
  <c r="Z42" i="5"/>
  <c r="X42" i="5"/>
  <c r="V42" i="5"/>
  <c r="T42" i="5"/>
  <c r="R42" i="5"/>
  <c r="P42" i="5"/>
  <c r="N42" i="5"/>
  <c r="L42" i="5"/>
  <c r="AZ17" i="5"/>
  <c r="AX17" i="5"/>
  <c r="AV17" i="5"/>
  <c r="AT17" i="5"/>
  <c r="AR17" i="5"/>
  <c r="AP17" i="5"/>
  <c r="AN17" i="5"/>
  <c r="AL17" i="5"/>
  <c r="AJ17" i="5"/>
  <c r="AH17" i="5"/>
  <c r="AF17" i="5"/>
  <c r="AD17" i="5"/>
  <c r="AB17" i="5"/>
  <c r="Z17" i="5"/>
  <c r="X17" i="5"/>
  <c r="V17" i="5"/>
  <c r="T17" i="5"/>
  <c r="R17" i="5"/>
  <c r="P17" i="5"/>
  <c r="N17" i="5"/>
  <c r="L17" i="5"/>
  <c r="AZ32" i="5"/>
  <c r="AX32" i="5"/>
  <c r="AV32" i="5"/>
  <c r="AT32" i="5"/>
  <c r="AR32" i="5"/>
  <c r="AP32" i="5"/>
  <c r="AN32" i="5"/>
  <c r="AL32" i="5"/>
  <c r="AJ32" i="5"/>
  <c r="AH32" i="5"/>
  <c r="AF32" i="5"/>
  <c r="AD32" i="5"/>
  <c r="AB32" i="5"/>
  <c r="Z32" i="5"/>
  <c r="X32" i="5"/>
  <c r="V32" i="5"/>
  <c r="T32" i="5"/>
  <c r="R32" i="5"/>
  <c r="P32" i="5"/>
  <c r="N32" i="5"/>
  <c r="L32" i="5"/>
  <c r="AZ107" i="5"/>
  <c r="AX107" i="5"/>
  <c r="AV107" i="5"/>
  <c r="AT107" i="5"/>
  <c r="AR107" i="5"/>
  <c r="AP107" i="5"/>
  <c r="AN107" i="5"/>
  <c r="AL107" i="5"/>
  <c r="AJ107" i="5"/>
  <c r="AH107" i="5"/>
  <c r="AF107" i="5"/>
  <c r="AD107" i="5"/>
  <c r="AB107" i="5"/>
  <c r="Z107" i="5"/>
  <c r="X107" i="5"/>
  <c r="V107" i="5"/>
  <c r="T107" i="5"/>
  <c r="R107" i="5"/>
  <c r="P107" i="5"/>
  <c r="N107" i="5"/>
  <c r="L107" i="5"/>
  <c r="AZ106" i="5"/>
  <c r="AX106" i="5"/>
  <c r="AV106" i="5"/>
  <c r="AT106" i="5"/>
  <c r="AR106" i="5"/>
  <c r="AP106" i="5"/>
  <c r="AN106" i="5"/>
  <c r="AL106" i="5"/>
  <c r="AJ106" i="5"/>
  <c r="AH106" i="5"/>
  <c r="AF106" i="5"/>
  <c r="AD106" i="5"/>
  <c r="AB106" i="5"/>
  <c r="Z106" i="5"/>
  <c r="X106" i="5"/>
  <c r="V106" i="5"/>
  <c r="T106" i="5"/>
  <c r="R106" i="5"/>
  <c r="P106" i="5"/>
  <c r="N106" i="5"/>
  <c r="L106" i="5"/>
  <c r="AZ75" i="5"/>
  <c r="AV75" i="5"/>
  <c r="AT75" i="5"/>
  <c r="AR75" i="5"/>
  <c r="AP75" i="5"/>
  <c r="AN75" i="5"/>
  <c r="AL75" i="5"/>
  <c r="AJ75" i="5"/>
  <c r="AH75" i="5"/>
  <c r="AF75" i="5"/>
  <c r="AD75" i="5"/>
  <c r="AB75" i="5"/>
  <c r="Z75" i="5"/>
  <c r="X75" i="5"/>
  <c r="V75" i="5"/>
  <c r="T75" i="5"/>
  <c r="R75" i="5"/>
  <c r="P75" i="5"/>
  <c r="N75" i="5"/>
  <c r="L75" i="5"/>
  <c r="AZ65" i="5"/>
  <c r="AX65" i="5"/>
  <c r="AV65" i="5"/>
  <c r="AT65" i="5"/>
  <c r="AR65" i="5"/>
  <c r="AP65" i="5"/>
  <c r="AN65" i="5"/>
  <c r="AL65" i="5"/>
  <c r="AJ65" i="5"/>
  <c r="AH65" i="5"/>
  <c r="AF65" i="5"/>
  <c r="AD65" i="5"/>
  <c r="AB65" i="5"/>
  <c r="Z65" i="5"/>
  <c r="X65" i="5"/>
  <c r="V65" i="5"/>
  <c r="T65" i="5"/>
  <c r="R65" i="5"/>
  <c r="P65" i="5"/>
  <c r="N65" i="5"/>
  <c r="L65" i="5"/>
  <c r="AZ20" i="5"/>
  <c r="AX20" i="5"/>
  <c r="AV20" i="5"/>
  <c r="AT20" i="5"/>
  <c r="AR20" i="5"/>
  <c r="AP20" i="5"/>
  <c r="AN20" i="5"/>
  <c r="AL20" i="5"/>
  <c r="AJ20" i="5"/>
  <c r="AH20" i="5"/>
  <c r="AF20" i="5"/>
  <c r="AD20" i="5"/>
  <c r="AB20" i="5"/>
  <c r="Z20" i="5"/>
  <c r="X20" i="5"/>
  <c r="V20" i="5"/>
  <c r="T20" i="5"/>
  <c r="R20" i="5"/>
  <c r="P20" i="5"/>
  <c r="N20" i="5"/>
  <c r="L20" i="5"/>
  <c r="AZ55" i="5"/>
  <c r="AX55" i="5"/>
  <c r="AV55" i="5"/>
  <c r="AT55" i="5"/>
  <c r="AR55" i="5"/>
  <c r="AP55" i="5"/>
  <c r="AN55" i="5"/>
  <c r="AL55" i="5"/>
  <c r="AJ55" i="5"/>
  <c r="AH55" i="5"/>
  <c r="AF55" i="5"/>
  <c r="AD55" i="5"/>
  <c r="AB55" i="5"/>
  <c r="Z55" i="5"/>
  <c r="X55" i="5"/>
  <c r="V55" i="5"/>
  <c r="T55" i="5"/>
  <c r="R55" i="5"/>
  <c r="P55" i="5"/>
  <c r="N55" i="5"/>
  <c r="L55" i="5"/>
  <c r="AZ27" i="5"/>
  <c r="AX27" i="5"/>
  <c r="AV27" i="5"/>
  <c r="AT27" i="5"/>
  <c r="AR27" i="5"/>
  <c r="AP27" i="5"/>
  <c r="AN27" i="5"/>
  <c r="AL27" i="5"/>
  <c r="AJ27" i="5"/>
  <c r="AH27" i="5"/>
  <c r="AF27" i="5"/>
  <c r="AD27" i="5"/>
  <c r="AB27" i="5"/>
  <c r="Z27" i="5"/>
  <c r="X27" i="5"/>
  <c r="V27" i="5"/>
  <c r="T27" i="5"/>
  <c r="R27" i="5"/>
  <c r="P27" i="5"/>
  <c r="N27" i="5"/>
  <c r="L27" i="5"/>
  <c r="AZ49" i="5"/>
  <c r="AX49" i="5"/>
  <c r="AV49" i="5"/>
  <c r="AT49" i="5"/>
  <c r="AR49" i="5"/>
  <c r="AP49" i="5"/>
  <c r="AN49" i="5"/>
  <c r="AL49" i="5"/>
  <c r="AJ49" i="5"/>
  <c r="AH49" i="5"/>
  <c r="AF49" i="5"/>
  <c r="AD49" i="5"/>
  <c r="AB49" i="5"/>
  <c r="Z49" i="5"/>
  <c r="X49" i="5"/>
  <c r="V49" i="5"/>
  <c r="T49" i="5"/>
  <c r="R49" i="5"/>
  <c r="P49" i="5"/>
  <c r="N49" i="5"/>
  <c r="L49" i="5"/>
  <c r="AZ51" i="5"/>
  <c r="AX51" i="5"/>
  <c r="AV51" i="5"/>
  <c r="AT51" i="5"/>
  <c r="AR51" i="5"/>
  <c r="AP51" i="5"/>
  <c r="AN51" i="5"/>
  <c r="AL51" i="5"/>
  <c r="AJ51" i="5"/>
  <c r="AH51" i="5"/>
  <c r="AF51" i="5"/>
  <c r="AD51" i="5"/>
  <c r="AB51" i="5"/>
  <c r="Z51" i="5"/>
  <c r="X51" i="5"/>
  <c r="V51" i="5"/>
  <c r="T51" i="5"/>
  <c r="R51" i="5"/>
  <c r="P51" i="5"/>
  <c r="N51" i="5"/>
  <c r="L51" i="5"/>
  <c r="AZ28" i="5"/>
  <c r="AX28" i="5"/>
  <c r="AV28" i="5"/>
  <c r="AT28" i="5"/>
  <c r="AR28" i="5"/>
  <c r="AP28" i="5"/>
  <c r="AN28" i="5"/>
  <c r="AL28" i="5"/>
  <c r="AJ28" i="5"/>
  <c r="AH28" i="5"/>
  <c r="AF28" i="5"/>
  <c r="AD28" i="5"/>
  <c r="AB28" i="5"/>
  <c r="Z28" i="5"/>
  <c r="X28" i="5"/>
  <c r="V28" i="5"/>
  <c r="T28" i="5"/>
  <c r="R28" i="5"/>
  <c r="P28" i="5"/>
  <c r="N28" i="5"/>
  <c r="L28" i="5"/>
  <c r="AZ25" i="5"/>
  <c r="AX25" i="5"/>
  <c r="AV25" i="5"/>
  <c r="AT25" i="5"/>
  <c r="AR25" i="5"/>
  <c r="AP25" i="5"/>
  <c r="AN25" i="5"/>
  <c r="AL25" i="5"/>
  <c r="AJ25" i="5"/>
  <c r="AH25" i="5"/>
  <c r="AF25" i="5"/>
  <c r="AD25" i="5"/>
  <c r="AB25" i="5"/>
  <c r="Z25" i="5"/>
  <c r="X25" i="5"/>
  <c r="V25" i="5"/>
  <c r="T25" i="5"/>
  <c r="R25" i="5"/>
  <c r="P25" i="5"/>
  <c r="N25" i="5"/>
  <c r="L25" i="5"/>
  <c r="AZ57" i="5"/>
  <c r="AX57" i="5"/>
  <c r="AV57" i="5"/>
  <c r="AT57" i="5"/>
  <c r="AR57" i="5"/>
  <c r="AP57" i="5"/>
  <c r="AN57" i="5"/>
  <c r="AL57" i="5"/>
  <c r="AJ57" i="5"/>
  <c r="AH57" i="5"/>
  <c r="AF57" i="5"/>
  <c r="AD57" i="5"/>
  <c r="AB57" i="5"/>
  <c r="Z57" i="5"/>
  <c r="X57" i="5"/>
  <c r="V57" i="5"/>
  <c r="T57" i="5"/>
  <c r="R57" i="5"/>
  <c r="P57" i="5"/>
  <c r="N57" i="5"/>
  <c r="L57" i="5"/>
  <c r="AZ56" i="5"/>
  <c r="AX56" i="5"/>
  <c r="AV56" i="5"/>
  <c r="AT56" i="5"/>
  <c r="AR56" i="5"/>
  <c r="AP56" i="5"/>
  <c r="AN56" i="5"/>
  <c r="AL56" i="5"/>
  <c r="AJ56" i="5"/>
  <c r="AH56" i="5"/>
  <c r="AF56" i="5"/>
  <c r="AD56" i="5"/>
  <c r="AB56" i="5"/>
  <c r="Z56" i="5"/>
  <c r="X56" i="5"/>
  <c r="V56" i="5"/>
  <c r="T56" i="5"/>
  <c r="R56" i="5"/>
  <c r="P56" i="5"/>
  <c r="N56" i="5"/>
  <c r="L56" i="5"/>
  <c r="AZ53" i="5"/>
  <c r="AX53" i="5"/>
  <c r="AV53" i="5"/>
  <c r="AT53" i="5"/>
  <c r="AR53" i="5"/>
  <c r="AP53" i="5"/>
  <c r="AN53" i="5"/>
  <c r="AL53" i="5"/>
  <c r="AJ53" i="5"/>
  <c r="AH53" i="5"/>
  <c r="AF53" i="5"/>
  <c r="AD53" i="5"/>
  <c r="AB53" i="5"/>
  <c r="Z53" i="5"/>
  <c r="X53" i="5"/>
  <c r="V53" i="5"/>
  <c r="T53" i="5"/>
  <c r="R53" i="5"/>
  <c r="P53" i="5"/>
  <c r="N53" i="5"/>
  <c r="L53" i="5"/>
  <c r="AZ39" i="5"/>
  <c r="AX39" i="5"/>
  <c r="AV39" i="5"/>
  <c r="AT39" i="5"/>
  <c r="AR39" i="5"/>
  <c r="AP39" i="5"/>
  <c r="AN39" i="5"/>
  <c r="AL39" i="5"/>
  <c r="AJ39" i="5"/>
  <c r="AH39" i="5"/>
  <c r="AF39" i="5"/>
  <c r="AD39" i="5"/>
  <c r="AB39" i="5"/>
  <c r="Z39" i="5"/>
  <c r="X39" i="5"/>
  <c r="V39" i="5"/>
  <c r="T39" i="5"/>
  <c r="R39" i="5"/>
  <c r="P39" i="5"/>
  <c r="N39" i="5"/>
  <c r="L39" i="5"/>
  <c r="AZ38" i="5"/>
  <c r="AX38" i="5"/>
  <c r="AV38" i="5"/>
  <c r="AT38" i="5"/>
  <c r="AR38" i="5"/>
  <c r="AP38" i="5"/>
  <c r="AN38" i="5"/>
  <c r="AL38" i="5"/>
  <c r="AJ38" i="5"/>
  <c r="AH38" i="5"/>
  <c r="AF38" i="5"/>
  <c r="AD38" i="5"/>
  <c r="AB38" i="5"/>
  <c r="Z38" i="5"/>
  <c r="X38" i="5"/>
  <c r="V38" i="5"/>
  <c r="T38" i="5"/>
  <c r="R38" i="5"/>
  <c r="P38" i="5"/>
  <c r="N38" i="5"/>
  <c r="L38" i="5"/>
  <c r="AZ76" i="5"/>
  <c r="AX76" i="5"/>
  <c r="AV76" i="5"/>
  <c r="AT76" i="5"/>
  <c r="AR76" i="5"/>
  <c r="AP76" i="5"/>
  <c r="AN76" i="5"/>
  <c r="AL76" i="5"/>
  <c r="AJ76" i="5"/>
  <c r="AH76" i="5"/>
  <c r="AF76" i="5"/>
  <c r="AD76" i="5"/>
  <c r="AB76" i="5"/>
  <c r="Z76" i="5"/>
  <c r="X76" i="5"/>
  <c r="V76" i="5"/>
  <c r="T76" i="5"/>
  <c r="R76" i="5"/>
  <c r="P76" i="5"/>
  <c r="N76" i="5"/>
  <c r="L76" i="5"/>
  <c r="AZ23" i="5"/>
  <c r="AX23" i="5"/>
  <c r="AV23" i="5"/>
  <c r="AT23" i="5"/>
  <c r="AR23" i="5"/>
  <c r="AP23" i="5"/>
  <c r="AN23" i="5"/>
  <c r="AL23" i="5"/>
  <c r="AJ23" i="5"/>
  <c r="AH23" i="5"/>
  <c r="AF23" i="5"/>
  <c r="AD23" i="5"/>
  <c r="AB23" i="5"/>
  <c r="Z23" i="5"/>
  <c r="X23" i="5"/>
  <c r="V23" i="5"/>
  <c r="T23" i="5"/>
  <c r="R23" i="5"/>
  <c r="P23" i="5"/>
  <c r="N23" i="5"/>
  <c r="L23" i="5"/>
  <c r="AZ19" i="5"/>
  <c r="AX19" i="5"/>
  <c r="AV19" i="5"/>
  <c r="AT19" i="5"/>
  <c r="AR19" i="5"/>
  <c r="AP19" i="5"/>
  <c r="AN19" i="5"/>
  <c r="AL19" i="5"/>
  <c r="AJ19" i="5"/>
  <c r="AH19" i="5"/>
  <c r="AF19" i="5"/>
  <c r="AD19" i="5"/>
  <c r="AB19" i="5"/>
  <c r="Z19" i="5"/>
  <c r="X19" i="5"/>
  <c r="V19" i="5"/>
  <c r="T19" i="5"/>
  <c r="R19" i="5"/>
  <c r="P19" i="5"/>
  <c r="N19" i="5"/>
  <c r="L19" i="5"/>
  <c r="AZ62" i="5"/>
  <c r="AX62" i="5"/>
  <c r="AV62" i="5"/>
  <c r="AT62" i="5"/>
  <c r="AR62" i="5"/>
  <c r="AP62" i="5"/>
  <c r="AN62" i="5"/>
  <c r="AL62" i="5"/>
  <c r="AJ62" i="5"/>
  <c r="AH62" i="5"/>
  <c r="AF62" i="5"/>
  <c r="AD62" i="5"/>
  <c r="AB62" i="5"/>
  <c r="Z62" i="5"/>
  <c r="X62" i="5"/>
  <c r="V62" i="5"/>
  <c r="T62" i="5"/>
  <c r="R62" i="5"/>
  <c r="P62" i="5"/>
  <c r="N62" i="5"/>
  <c r="L62" i="5"/>
  <c r="AZ50" i="5"/>
  <c r="AX50" i="5"/>
  <c r="AV50" i="5"/>
  <c r="AT50" i="5"/>
  <c r="AR50" i="5"/>
  <c r="AP50" i="5"/>
  <c r="AN50" i="5"/>
  <c r="AL50" i="5"/>
  <c r="AJ50" i="5"/>
  <c r="AH50" i="5"/>
  <c r="AF50" i="5"/>
  <c r="AD50" i="5"/>
  <c r="AB50" i="5"/>
  <c r="Z50" i="5"/>
  <c r="X50" i="5"/>
  <c r="V50" i="5"/>
  <c r="T50" i="5"/>
  <c r="R50" i="5"/>
  <c r="P50" i="5"/>
  <c r="N50" i="5"/>
  <c r="L50" i="5"/>
  <c r="AZ16" i="5"/>
  <c r="AX16" i="5"/>
  <c r="AV16" i="5"/>
  <c r="AT16" i="5"/>
  <c r="AR16" i="5"/>
  <c r="AP16" i="5"/>
  <c r="AN16" i="5"/>
  <c r="AL16" i="5"/>
  <c r="AJ16" i="5"/>
  <c r="AH16" i="5"/>
  <c r="AF16" i="5"/>
  <c r="AD16" i="5"/>
  <c r="AB16" i="5"/>
  <c r="Z16" i="5"/>
  <c r="X16" i="5"/>
  <c r="V16" i="5"/>
  <c r="T16" i="5"/>
  <c r="R16" i="5"/>
  <c r="P16" i="5"/>
  <c r="N16" i="5"/>
  <c r="L16" i="5"/>
  <c r="AZ37" i="5"/>
  <c r="AX37" i="5"/>
  <c r="AV37" i="5"/>
  <c r="AT37" i="5"/>
  <c r="AR37" i="5"/>
  <c r="AP37" i="5"/>
  <c r="AN37" i="5"/>
  <c r="AL37" i="5"/>
  <c r="AJ37" i="5"/>
  <c r="AH37" i="5"/>
  <c r="AF37" i="5"/>
  <c r="AD37" i="5"/>
  <c r="AB37" i="5"/>
  <c r="Z37" i="5"/>
  <c r="X37" i="5"/>
  <c r="V37" i="5"/>
  <c r="T37" i="5"/>
  <c r="R37" i="5"/>
  <c r="P37" i="5"/>
  <c r="N37" i="5"/>
  <c r="L37" i="5"/>
  <c r="AZ41" i="5"/>
  <c r="AX41" i="5"/>
  <c r="AV41" i="5"/>
  <c r="AT41" i="5"/>
  <c r="AR41" i="5"/>
  <c r="AP41" i="5"/>
  <c r="AN41" i="5"/>
  <c r="AL41" i="5"/>
  <c r="AJ41" i="5"/>
  <c r="AH41" i="5"/>
  <c r="AF41" i="5"/>
  <c r="AD41" i="5"/>
  <c r="AB41" i="5"/>
  <c r="Z41" i="5"/>
  <c r="X41" i="5"/>
  <c r="V41" i="5"/>
  <c r="T41" i="5"/>
  <c r="R41" i="5"/>
  <c r="P41" i="5"/>
  <c r="N41" i="5"/>
  <c r="L41" i="5"/>
  <c r="AZ47" i="5"/>
  <c r="AX47" i="5"/>
  <c r="AV47" i="5"/>
  <c r="AT47" i="5"/>
  <c r="AR47" i="5"/>
  <c r="AP47" i="5"/>
  <c r="AN47" i="5"/>
  <c r="AL47" i="5"/>
  <c r="AJ47" i="5"/>
  <c r="AH47" i="5"/>
  <c r="AF47" i="5"/>
  <c r="AD47" i="5"/>
  <c r="AB47" i="5"/>
  <c r="Z47" i="5"/>
  <c r="X47" i="5"/>
  <c r="V47" i="5"/>
  <c r="T47" i="5"/>
  <c r="R47" i="5"/>
  <c r="P47" i="5"/>
  <c r="N47" i="5"/>
  <c r="L47" i="5"/>
  <c r="AZ46" i="5"/>
  <c r="AX46" i="5"/>
  <c r="AV46" i="5"/>
  <c r="AT46" i="5"/>
  <c r="AR46" i="5"/>
  <c r="AP46" i="5"/>
  <c r="AN46" i="5"/>
  <c r="AL46" i="5"/>
  <c r="AJ46" i="5"/>
  <c r="AH46" i="5"/>
  <c r="AF46" i="5"/>
  <c r="AD46" i="5"/>
  <c r="AB46" i="5"/>
  <c r="Z46" i="5"/>
  <c r="X46" i="5"/>
  <c r="V46" i="5"/>
  <c r="T46" i="5"/>
  <c r="R46" i="5"/>
  <c r="P46" i="5"/>
  <c r="N46" i="5"/>
  <c r="L46" i="5"/>
  <c r="AZ61" i="5"/>
  <c r="AX61" i="5"/>
  <c r="AV61" i="5"/>
  <c r="AT61" i="5"/>
  <c r="AR61" i="5"/>
  <c r="AP61" i="5"/>
  <c r="AN61" i="5"/>
  <c r="AL61" i="5"/>
  <c r="AJ61" i="5"/>
  <c r="AH61" i="5"/>
  <c r="AF61" i="5"/>
  <c r="AD61" i="5"/>
  <c r="AB61" i="5"/>
  <c r="Z61" i="5"/>
  <c r="X61" i="5"/>
  <c r="V61" i="5"/>
  <c r="T61" i="5"/>
  <c r="R61" i="5"/>
  <c r="P61" i="5"/>
  <c r="N61" i="5"/>
  <c r="L61" i="5"/>
  <c r="AZ31" i="5"/>
  <c r="AX31" i="5"/>
  <c r="AV31" i="5"/>
  <c r="AT31" i="5"/>
  <c r="AR31" i="5"/>
  <c r="AP31" i="5"/>
  <c r="AN31" i="5"/>
  <c r="AL31" i="5"/>
  <c r="AJ31" i="5"/>
  <c r="AH31" i="5"/>
  <c r="AF31" i="5"/>
  <c r="AD31" i="5"/>
  <c r="AB31" i="5"/>
  <c r="Z31" i="5"/>
  <c r="X31" i="5"/>
  <c r="V31" i="5"/>
  <c r="T31" i="5"/>
  <c r="R31" i="5"/>
  <c r="P31" i="5"/>
  <c r="N31" i="5"/>
  <c r="L31" i="5"/>
  <c r="AZ77" i="5"/>
  <c r="AX77" i="5"/>
  <c r="AV77" i="5"/>
  <c r="AT77" i="5"/>
  <c r="AR77" i="5"/>
  <c r="AP77" i="5"/>
  <c r="AN77" i="5"/>
  <c r="AL77" i="5"/>
  <c r="AJ77" i="5"/>
  <c r="AH77" i="5"/>
  <c r="AF77" i="5"/>
  <c r="AD77" i="5"/>
  <c r="AB77" i="5"/>
  <c r="Z77" i="5"/>
  <c r="X77" i="5"/>
  <c r="V77" i="5"/>
  <c r="T77" i="5"/>
  <c r="R77" i="5"/>
  <c r="P77" i="5"/>
  <c r="N77" i="5"/>
  <c r="L77" i="5"/>
  <c r="AZ94" i="5"/>
  <c r="AX94" i="5"/>
  <c r="AV94" i="5"/>
  <c r="AT94" i="5"/>
  <c r="AR94" i="5"/>
  <c r="AP94" i="5"/>
  <c r="AN94" i="5"/>
  <c r="AL94" i="5"/>
  <c r="AJ94" i="5"/>
  <c r="AH94" i="5"/>
  <c r="AF94" i="5"/>
  <c r="AD94" i="5"/>
  <c r="AB94" i="5"/>
  <c r="Z94" i="5"/>
  <c r="X94" i="5"/>
  <c r="V94" i="5"/>
  <c r="T94" i="5"/>
  <c r="R94" i="5"/>
  <c r="P94" i="5"/>
  <c r="N94" i="5"/>
  <c r="L94" i="5"/>
  <c r="AZ68" i="5"/>
  <c r="AX68" i="5"/>
  <c r="AV68" i="5"/>
  <c r="AT68" i="5"/>
  <c r="AR68" i="5"/>
  <c r="AP68" i="5"/>
  <c r="AN68" i="5"/>
  <c r="AL68" i="5"/>
  <c r="AJ68" i="5"/>
  <c r="AH68" i="5"/>
  <c r="AF68" i="5"/>
  <c r="AD68" i="5"/>
  <c r="AB68" i="5"/>
  <c r="Z68" i="5"/>
  <c r="X68" i="5"/>
  <c r="V68" i="5"/>
  <c r="T68" i="5"/>
  <c r="R68" i="5"/>
  <c r="P68" i="5"/>
  <c r="N68" i="5"/>
  <c r="L68" i="5"/>
  <c r="AZ18" i="5"/>
  <c r="AX18" i="5"/>
  <c r="AV18" i="5"/>
  <c r="AT18" i="5"/>
  <c r="AR18" i="5"/>
  <c r="AP18" i="5"/>
  <c r="AN18" i="5"/>
  <c r="AL18" i="5"/>
  <c r="AJ18" i="5"/>
  <c r="AH18" i="5"/>
  <c r="AF18" i="5"/>
  <c r="AD18" i="5"/>
  <c r="AB18" i="5"/>
  <c r="Z18" i="5"/>
  <c r="X18" i="5"/>
  <c r="V18" i="5"/>
  <c r="T18" i="5"/>
  <c r="R18" i="5"/>
  <c r="P18" i="5"/>
  <c r="N18" i="5"/>
  <c r="L18" i="5"/>
  <c r="AZ30" i="5"/>
  <c r="AX30" i="5"/>
  <c r="AV30" i="5"/>
  <c r="AT30" i="5"/>
  <c r="AR30" i="5"/>
  <c r="AP30" i="5"/>
  <c r="AN30" i="5"/>
  <c r="AL30" i="5"/>
  <c r="AJ30" i="5"/>
  <c r="AH30" i="5"/>
  <c r="AF30" i="5"/>
  <c r="AD30" i="5"/>
  <c r="AB30" i="5"/>
  <c r="Z30" i="5"/>
  <c r="X30" i="5"/>
  <c r="V30" i="5"/>
  <c r="T30" i="5"/>
  <c r="R30" i="5"/>
  <c r="P30" i="5"/>
  <c r="N30" i="5"/>
  <c r="L30" i="5"/>
  <c r="AZ58" i="5"/>
  <c r="AX58" i="5"/>
  <c r="AV58" i="5"/>
  <c r="AT58" i="5"/>
  <c r="AR58" i="5"/>
  <c r="AP58" i="5"/>
  <c r="AN58" i="5"/>
  <c r="AL58" i="5"/>
  <c r="AJ58" i="5"/>
  <c r="AH58" i="5"/>
  <c r="AF58" i="5"/>
  <c r="AD58" i="5"/>
  <c r="AB58" i="5"/>
  <c r="Z58" i="5"/>
  <c r="X58" i="5"/>
  <c r="V58" i="5"/>
  <c r="T58" i="5"/>
  <c r="R58" i="5"/>
  <c r="P58" i="5"/>
  <c r="N58" i="5"/>
  <c r="L58" i="5"/>
  <c r="AZ34" i="5"/>
  <c r="AX34" i="5"/>
  <c r="AV34" i="5"/>
  <c r="AT34" i="5"/>
  <c r="AR34" i="5"/>
  <c r="AP34" i="5"/>
  <c r="AN34" i="5"/>
  <c r="AL34" i="5"/>
  <c r="AJ34" i="5"/>
  <c r="AH34" i="5"/>
  <c r="AF34" i="5"/>
  <c r="AD34" i="5"/>
  <c r="AB34" i="5"/>
  <c r="Z34" i="5"/>
  <c r="X34" i="5"/>
  <c r="V34" i="5"/>
  <c r="T34" i="5"/>
  <c r="R34" i="5"/>
  <c r="P34" i="5"/>
  <c r="N34" i="5"/>
  <c r="L34" i="5"/>
  <c r="AZ29" i="5"/>
  <c r="AX29" i="5"/>
  <c r="AV29" i="5"/>
  <c r="AT29" i="5"/>
  <c r="AR29" i="5"/>
  <c r="AP29" i="5"/>
  <c r="AN29" i="5"/>
  <c r="AL29" i="5"/>
  <c r="AJ29" i="5"/>
  <c r="AH29" i="5"/>
  <c r="AF29" i="5"/>
  <c r="AD29" i="5"/>
  <c r="AB29" i="5"/>
  <c r="Z29" i="5"/>
  <c r="X29" i="5"/>
  <c r="V29" i="5"/>
  <c r="T29" i="5"/>
  <c r="R29" i="5"/>
  <c r="P29" i="5"/>
  <c r="N29" i="5"/>
  <c r="L29" i="5"/>
  <c r="AZ64" i="5"/>
  <c r="AX64" i="5"/>
  <c r="AV64" i="5"/>
  <c r="AT64" i="5"/>
  <c r="AR64" i="5"/>
  <c r="AP64" i="5"/>
  <c r="AN64" i="5"/>
  <c r="AL64" i="5"/>
  <c r="AJ64" i="5"/>
  <c r="AH64" i="5"/>
  <c r="AF64" i="5"/>
  <c r="AD64" i="5"/>
  <c r="AB64" i="5"/>
  <c r="Z64" i="5"/>
  <c r="X64" i="5"/>
  <c r="V64" i="5"/>
  <c r="T64" i="5"/>
  <c r="R64" i="5"/>
  <c r="P64" i="5"/>
  <c r="N64" i="5"/>
  <c r="L64" i="5"/>
  <c r="AZ44" i="7"/>
  <c r="AX44" i="7"/>
  <c r="AV44" i="7"/>
  <c r="AT44" i="7"/>
  <c r="AJ44" i="7"/>
  <c r="AF44" i="7"/>
  <c r="AN44" i="7"/>
  <c r="AP44" i="7"/>
  <c r="AL44" i="7"/>
  <c r="AH44" i="7"/>
  <c r="AR44" i="7"/>
  <c r="AD44" i="7"/>
  <c r="AB44" i="7"/>
  <c r="Z44" i="7"/>
  <c r="N44" i="7"/>
  <c r="X44" i="7"/>
  <c r="R44" i="7"/>
  <c r="P44" i="7"/>
  <c r="T44" i="7"/>
  <c r="L44" i="7"/>
  <c r="V44" i="7"/>
  <c r="AZ43" i="7"/>
  <c r="AX43" i="7"/>
  <c r="AV43" i="7"/>
  <c r="AT43" i="7"/>
  <c r="AJ43" i="7"/>
  <c r="AF43" i="7"/>
  <c r="AN43" i="7"/>
  <c r="AP43" i="7"/>
  <c r="AL43" i="7"/>
  <c r="AH43" i="7"/>
  <c r="AR43" i="7"/>
  <c r="AD43" i="7"/>
  <c r="Z43" i="7"/>
  <c r="N43" i="7"/>
  <c r="X43" i="7"/>
  <c r="R43" i="7"/>
  <c r="P43" i="7"/>
  <c r="T43" i="7"/>
  <c r="L43" i="7"/>
  <c r="V43" i="7"/>
  <c r="AZ42" i="7"/>
  <c r="AX42" i="7"/>
  <c r="AV42" i="7"/>
  <c r="AT42" i="7"/>
  <c r="AJ42" i="7"/>
  <c r="AF42" i="7"/>
  <c r="AN42" i="7"/>
  <c r="AP42" i="7"/>
  <c r="AL42" i="7"/>
  <c r="AH42" i="7"/>
  <c r="AR42" i="7"/>
  <c r="AD42" i="7"/>
  <c r="AB42" i="7"/>
  <c r="Z42" i="7"/>
  <c r="N42" i="7"/>
  <c r="X42" i="7"/>
  <c r="R42" i="7"/>
  <c r="P42" i="7"/>
  <c r="T42" i="7"/>
  <c r="L42" i="7"/>
  <c r="V42" i="7"/>
  <c r="AZ41" i="7"/>
  <c r="AX41" i="7"/>
  <c r="AV41" i="7"/>
  <c r="AT41" i="7"/>
  <c r="AJ41" i="7"/>
  <c r="AF41" i="7"/>
  <c r="AN41" i="7"/>
  <c r="AP41" i="7"/>
  <c r="AL41" i="7"/>
  <c r="AH41" i="7"/>
  <c r="AR41" i="7"/>
  <c r="AD41" i="7"/>
  <c r="AB41" i="7"/>
  <c r="Z41" i="7"/>
  <c r="N41" i="7"/>
  <c r="X41" i="7"/>
  <c r="R41" i="7"/>
  <c r="P41" i="7"/>
  <c r="T41" i="7"/>
  <c r="L41" i="7"/>
  <c r="V41" i="7"/>
  <c r="AZ39" i="7"/>
  <c r="AX39" i="7"/>
  <c r="AV39" i="7"/>
  <c r="AT39" i="7"/>
  <c r="AJ39" i="7"/>
  <c r="AF39" i="7"/>
  <c r="AN39" i="7"/>
  <c r="AP39" i="7"/>
  <c r="AL39" i="7"/>
  <c r="AH39" i="7"/>
  <c r="AR39" i="7"/>
  <c r="AD39" i="7"/>
  <c r="AB39" i="7"/>
  <c r="Z39" i="7"/>
  <c r="N39" i="7"/>
  <c r="X39" i="7"/>
  <c r="R39" i="7"/>
  <c r="P39" i="7"/>
  <c r="T39" i="7"/>
  <c r="L39" i="7"/>
  <c r="V39" i="7"/>
  <c r="AZ38" i="7"/>
  <c r="AX38" i="7"/>
  <c r="AV38" i="7"/>
  <c r="AT38" i="7"/>
  <c r="AJ38" i="7"/>
  <c r="AF38" i="7"/>
  <c r="AN38" i="7"/>
  <c r="AP38" i="7"/>
  <c r="AL38" i="7"/>
  <c r="AH38" i="7"/>
  <c r="AR38" i="7"/>
  <c r="AD38" i="7"/>
  <c r="AB38" i="7"/>
  <c r="Z38" i="7"/>
  <c r="N38" i="7"/>
  <c r="X38" i="7"/>
  <c r="R38" i="7"/>
  <c r="P38" i="7"/>
  <c r="T38" i="7"/>
  <c r="L38" i="7"/>
  <c r="V38" i="7"/>
  <c r="AZ37" i="7"/>
  <c r="AX37" i="7"/>
  <c r="AV37" i="7"/>
  <c r="AT37" i="7"/>
  <c r="AJ37" i="7"/>
  <c r="AF37" i="7"/>
  <c r="AN37" i="7"/>
  <c r="AP37" i="7"/>
  <c r="AL37" i="7"/>
  <c r="AH37" i="7"/>
  <c r="AR37" i="7"/>
  <c r="AD37" i="7"/>
  <c r="AB37" i="7"/>
  <c r="Z37" i="7"/>
  <c r="N37" i="7"/>
  <c r="X37" i="7"/>
  <c r="R37" i="7"/>
  <c r="P37" i="7"/>
  <c r="T37" i="7"/>
  <c r="L37" i="7"/>
  <c r="V37" i="7"/>
  <c r="AZ36" i="7"/>
  <c r="AX36" i="7"/>
  <c r="AV36" i="7"/>
  <c r="AT36" i="7"/>
  <c r="AJ36" i="7"/>
  <c r="AF36" i="7"/>
  <c r="AN36" i="7"/>
  <c r="AP36" i="7"/>
  <c r="AL36" i="7"/>
  <c r="AH36" i="7"/>
  <c r="AR36" i="7"/>
  <c r="AD36" i="7"/>
  <c r="AB36" i="7"/>
  <c r="Z36" i="7"/>
  <c r="N36" i="7"/>
  <c r="X36" i="7"/>
  <c r="R36" i="7"/>
  <c r="P36" i="7"/>
  <c r="T36" i="7"/>
  <c r="L36" i="7"/>
  <c r="V36" i="7"/>
  <c r="AZ35" i="7"/>
  <c r="AX35" i="7"/>
  <c r="AV35" i="7"/>
  <c r="AT35" i="7"/>
  <c r="AJ35" i="7"/>
  <c r="AF35" i="7"/>
  <c r="AN35" i="7"/>
  <c r="AP35" i="7"/>
  <c r="AL35" i="7"/>
  <c r="AH35" i="7"/>
  <c r="AR35" i="7"/>
  <c r="AD35" i="7"/>
  <c r="AB35" i="7"/>
  <c r="Z35" i="7"/>
  <c r="N35" i="7"/>
  <c r="X35" i="7"/>
  <c r="R35" i="7"/>
  <c r="P35" i="7"/>
  <c r="T35" i="7"/>
  <c r="L35" i="7"/>
  <c r="V35" i="7"/>
  <c r="AZ34" i="7"/>
  <c r="AX34" i="7"/>
  <c r="AV34" i="7"/>
  <c r="AT34" i="7"/>
  <c r="AJ34" i="7"/>
  <c r="AF34" i="7"/>
  <c r="AN34" i="7"/>
  <c r="AP34" i="7"/>
  <c r="AL34" i="7"/>
  <c r="AH34" i="7"/>
  <c r="AR34" i="7"/>
  <c r="AD34" i="7"/>
  <c r="AB34" i="7"/>
  <c r="Z34" i="7"/>
  <c r="N34" i="7"/>
  <c r="X34" i="7"/>
  <c r="R34" i="7"/>
  <c r="P34" i="7"/>
  <c r="T34" i="7"/>
  <c r="L34" i="7"/>
  <c r="V34" i="7"/>
  <c r="AZ33" i="7"/>
  <c r="AX33" i="7"/>
  <c r="AV33" i="7"/>
  <c r="AT33" i="7"/>
  <c r="AJ33" i="7"/>
  <c r="AF33" i="7"/>
  <c r="AN33" i="7"/>
  <c r="AP33" i="7"/>
  <c r="AL33" i="7"/>
  <c r="AH33" i="7"/>
  <c r="AR33" i="7"/>
  <c r="AD33" i="7"/>
  <c r="AB33" i="7"/>
  <c r="Z33" i="7"/>
  <c r="N33" i="7"/>
  <c r="X33" i="7"/>
  <c r="R33" i="7"/>
  <c r="P33" i="7"/>
  <c r="T33" i="7"/>
  <c r="L33" i="7"/>
  <c r="V33" i="7"/>
  <c r="AZ32" i="7"/>
  <c r="AX32" i="7"/>
  <c r="AV32" i="7"/>
  <c r="AT32" i="7"/>
  <c r="AJ32" i="7"/>
  <c r="AF32" i="7"/>
  <c r="AN32" i="7"/>
  <c r="AP32" i="7"/>
  <c r="AL32" i="7"/>
  <c r="AH32" i="7"/>
  <c r="AR32" i="7"/>
  <c r="AD32" i="7"/>
  <c r="AB32" i="7"/>
  <c r="Z32" i="7"/>
  <c r="N32" i="7"/>
  <c r="X32" i="7"/>
  <c r="R32" i="7"/>
  <c r="P32" i="7"/>
  <c r="T32" i="7"/>
  <c r="L32" i="7"/>
  <c r="V32" i="7"/>
  <c r="AZ31" i="7"/>
  <c r="AX31" i="7"/>
  <c r="AV31" i="7"/>
  <c r="AT31" i="7"/>
  <c r="AJ31" i="7"/>
  <c r="AF31" i="7"/>
  <c r="AN31" i="7"/>
  <c r="AP31" i="7"/>
  <c r="AL31" i="7"/>
  <c r="AH31" i="7"/>
  <c r="AR31" i="7"/>
  <c r="AD31" i="7"/>
  <c r="AB31" i="7"/>
  <c r="Z31" i="7"/>
  <c r="N31" i="7"/>
  <c r="X31" i="7"/>
  <c r="R31" i="7"/>
  <c r="P31" i="7"/>
  <c r="T31" i="7"/>
  <c r="L31" i="7"/>
  <c r="V31" i="7"/>
  <c r="AZ30" i="7"/>
  <c r="AX30" i="7"/>
  <c r="AV30" i="7"/>
  <c r="AT30" i="7"/>
  <c r="AJ30" i="7"/>
  <c r="AF30" i="7"/>
  <c r="AN30" i="7"/>
  <c r="AP30" i="7"/>
  <c r="AL30" i="7"/>
  <c r="AH30" i="7"/>
  <c r="AR30" i="7"/>
  <c r="AD30" i="7"/>
  <c r="AB30" i="7"/>
  <c r="Z30" i="7"/>
  <c r="N30" i="7"/>
  <c r="X30" i="7"/>
  <c r="R30" i="7"/>
  <c r="P30" i="7"/>
  <c r="T30" i="7"/>
  <c r="L30" i="7"/>
  <c r="V30" i="7"/>
  <c r="AZ29" i="7"/>
  <c r="AX29" i="7"/>
  <c r="AV29" i="7"/>
  <c r="AT29" i="7"/>
  <c r="AJ29" i="7"/>
  <c r="AF29" i="7"/>
  <c r="AN29" i="7"/>
  <c r="AP29" i="7"/>
  <c r="AL29" i="7"/>
  <c r="AH29" i="7"/>
  <c r="AR29" i="7"/>
  <c r="AD29" i="7"/>
  <c r="AB29" i="7"/>
  <c r="Z29" i="7"/>
  <c r="N29" i="7"/>
  <c r="X29" i="7"/>
  <c r="R29" i="7"/>
  <c r="P29" i="7"/>
  <c r="T29" i="7"/>
  <c r="L29" i="7"/>
  <c r="V29" i="7"/>
  <c r="AZ28" i="7"/>
  <c r="AX28" i="7"/>
  <c r="AV28" i="7"/>
  <c r="AT28" i="7"/>
  <c r="AJ28" i="7"/>
  <c r="AF28" i="7"/>
  <c r="AN28" i="7"/>
  <c r="AP28" i="7"/>
  <c r="AL28" i="7"/>
  <c r="AH28" i="7"/>
  <c r="AR28" i="7"/>
  <c r="AD28" i="7"/>
  <c r="AB28" i="7"/>
  <c r="Z28" i="7"/>
  <c r="N28" i="7"/>
  <c r="X28" i="7"/>
  <c r="R28" i="7"/>
  <c r="P28" i="7"/>
  <c r="T28" i="7"/>
  <c r="L28" i="7"/>
  <c r="V28" i="7"/>
  <c r="AZ26" i="7"/>
  <c r="AX26" i="7"/>
  <c r="AV26" i="7"/>
  <c r="AT26" i="7"/>
  <c r="AJ26" i="7"/>
  <c r="AF26" i="7"/>
  <c r="AN26" i="7"/>
  <c r="AP26" i="7"/>
  <c r="AL26" i="7"/>
  <c r="AH26" i="7"/>
  <c r="AR26" i="7"/>
  <c r="AD26" i="7"/>
  <c r="AB26" i="7"/>
  <c r="Z26" i="7"/>
  <c r="N26" i="7"/>
  <c r="X26" i="7"/>
  <c r="R26" i="7"/>
  <c r="P26" i="7"/>
  <c r="T26" i="7"/>
  <c r="L26" i="7"/>
  <c r="V26" i="7"/>
  <c r="AZ25" i="7"/>
  <c r="AX25" i="7"/>
  <c r="AV25" i="7"/>
  <c r="AT25" i="7"/>
  <c r="AJ25" i="7"/>
  <c r="AF25" i="7"/>
  <c r="AN25" i="7"/>
  <c r="AP25" i="7"/>
  <c r="AL25" i="7"/>
  <c r="AH25" i="7"/>
  <c r="AR25" i="7"/>
  <c r="AD25" i="7"/>
  <c r="AB25" i="7"/>
  <c r="Z25" i="7"/>
  <c r="N25" i="7"/>
  <c r="X25" i="7"/>
  <c r="R25" i="7"/>
  <c r="P25" i="7"/>
  <c r="T25" i="7"/>
  <c r="L25" i="7"/>
  <c r="V25" i="7"/>
  <c r="AZ24" i="7"/>
  <c r="AX24" i="7"/>
  <c r="AV24" i="7"/>
  <c r="AT24" i="7"/>
  <c r="AJ24" i="7"/>
  <c r="AF24" i="7"/>
  <c r="AN24" i="7"/>
  <c r="AP24" i="7"/>
  <c r="AL24" i="7"/>
  <c r="AH24" i="7"/>
  <c r="AR24" i="7"/>
  <c r="AD24" i="7"/>
  <c r="AB24" i="7"/>
  <c r="Z24" i="7"/>
  <c r="N24" i="7"/>
  <c r="X24" i="7"/>
  <c r="R24" i="7"/>
  <c r="P24" i="7"/>
  <c r="T24" i="7"/>
  <c r="L24" i="7"/>
  <c r="V24" i="7"/>
  <c r="AZ23" i="7"/>
  <c r="AX23" i="7"/>
  <c r="AV23" i="7"/>
  <c r="AT23" i="7"/>
  <c r="AJ23" i="7"/>
  <c r="AF23" i="7"/>
  <c r="AN23" i="7"/>
  <c r="AP23" i="7"/>
  <c r="AL23" i="7"/>
  <c r="AH23" i="7"/>
  <c r="AR23" i="7"/>
  <c r="AD23" i="7"/>
  <c r="AB23" i="7"/>
  <c r="Z23" i="7"/>
  <c r="N23" i="7"/>
  <c r="X23" i="7"/>
  <c r="R23" i="7"/>
  <c r="P23" i="7"/>
  <c r="T23" i="7"/>
  <c r="L23" i="7"/>
  <c r="V23" i="7"/>
  <c r="AZ22" i="7"/>
  <c r="AX22" i="7"/>
  <c r="AV22" i="7"/>
  <c r="AT22" i="7"/>
  <c r="AJ22" i="7"/>
  <c r="AF22" i="7"/>
  <c r="AN22" i="7"/>
  <c r="AP22" i="7"/>
  <c r="AL22" i="7"/>
  <c r="AH22" i="7"/>
  <c r="AR22" i="7"/>
  <c r="AD22" i="7"/>
  <c r="AB22" i="7"/>
  <c r="Z22" i="7"/>
  <c r="N22" i="7"/>
  <c r="X22" i="7"/>
  <c r="R22" i="7"/>
  <c r="P22" i="7"/>
  <c r="T22" i="7"/>
  <c r="L22" i="7"/>
  <c r="V22" i="7"/>
  <c r="AZ21" i="7"/>
  <c r="AX21" i="7"/>
  <c r="AV21" i="7"/>
  <c r="AT21" i="7"/>
  <c r="AJ21" i="7"/>
  <c r="AF21" i="7"/>
  <c r="AN21" i="7"/>
  <c r="AP21" i="7"/>
  <c r="AL21" i="7"/>
  <c r="AH21" i="7"/>
  <c r="AR21" i="7"/>
  <c r="AD21" i="7"/>
  <c r="AB21" i="7"/>
  <c r="Z21" i="7"/>
  <c r="N21" i="7"/>
  <c r="X21" i="7"/>
  <c r="R21" i="7"/>
  <c r="P21" i="7"/>
  <c r="T21" i="7"/>
  <c r="L21" i="7"/>
  <c r="V21" i="7"/>
  <c r="AZ19" i="7"/>
  <c r="AX19" i="7"/>
  <c r="AV19" i="7"/>
  <c r="AT19" i="7"/>
  <c r="AJ19" i="7"/>
  <c r="AF19" i="7"/>
  <c r="AN19" i="7"/>
  <c r="AP19" i="7"/>
  <c r="AL19" i="7"/>
  <c r="AH19" i="7"/>
  <c r="AR19" i="7"/>
  <c r="AD19" i="7"/>
  <c r="AB19" i="7"/>
  <c r="Z19" i="7"/>
  <c r="N19" i="7"/>
  <c r="X19" i="7"/>
  <c r="R19" i="7"/>
  <c r="P19" i="7"/>
  <c r="T19" i="7"/>
  <c r="L19" i="7"/>
  <c r="V19" i="7"/>
  <c r="AZ20" i="7"/>
  <c r="AX20" i="7"/>
  <c r="AV20" i="7"/>
  <c r="AT20" i="7"/>
  <c r="AJ20" i="7"/>
  <c r="AF20" i="7"/>
  <c r="AN20" i="7"/>
  <c r="AP20" i="7"/>
  <c r="AL20" i="7"/>
  <c r="AH20" i="7"/>
  <c r="AR20" i="7"/>
  <c r="AD20" i="7"/>
  <c r="AB20" i="7"/>
  <c r="Z20" i="7"/>
  <c r="N20" i="7"/>
  <c r="X20" i="7"/>
  <c r="R20" i="7"/>
  <c r="P20" i="7"/>
  <c r="T20" i="7"/>
  <c r="L20" i="7"/>
  <c r="V20" i="7"/>
  <c r="AZ18" i="7"/>
  <c r="AX18" i="7"/>
  <c r="AV18" i="7"/>
  <c r="AT18" i="7"/>
  <c r="AJ18" i="7"/>
  <c r="AF18" i="7"/>
  <c r="AN18" i="7"/>
  <c r="AP18" i="7"/>
  <c r="AL18" i="7"/>
  <c r="AH18" i="7"/>
  <c r="AR18" i="7"/>
  <c r="AD18" i="7"/>
  <c r="AB18" i="7"/>
  <c r="Z18" i="7"/>
  <c r="N18" i="7"/>
  <c r="X18" i="7"/>
  <c r="R18" i="7"/>
  <c r="P18" i="7"/>
  <c r="T18" i="7"/>
  <c r="L18" i="7"/>
  <c r="V18" i="7"/>
  <c r="AZ17" i="7"/>
  <c r="AX17" i="7"/>
  <c r="AV17" i="7"/>
  <c r="AT17" i="7"/>
  <c r="AJ17" i="7"/>
  <c r="AF17" i="7"/>
  <c r="AN17" i="7"/>
  <c r="AP17" i="7"/>
  <c r="AL17" i="7"/>
  <c r="AH17" i="7"/>
  <c r="AR17" i="7"/>
  <c r="AD17" i="7"/>
  <c r="AB17" i="7"/>
  <c r="Z17" i="7"/>
  <c r="N17" i="7"/>
  <c r="X17" i="7"/>
  <c r="R17" i="7"/>
  <c r="P17" i="7"/>
  <c r="T17" i="7"/>
  <c r="L17" i="7"/>
  <c r="V17" i="7"/>
  <c r="AZ16" i="7"/>
  <c r="AX16" i="7"/>
  <c r="AV16" i="7"/>
  <c r="AT16" i="7"/>
  <c r="AJ16" i="7"/>
  <c r="AF16" i="7"/>
  <c r="AN16" i="7"/>
  <c r="AP16" i="7"/>
  <c r="AL16" i="7"/>
  <c r="AH16" i="7"/>
  <c r="AR16" i="7"/>
  <c r="AD16" i="7"/>
  <c r="AB16" i="7"/>
  <c r="Z16" i="7"/>
  <c r="N16" i="7"/>
  <c r="X16" i="7"/>
  <c r="R16" i="7"/>
  <c r="P16" i="7"/>
  <c r="T16" i="7"/>
  <c r="L16" i="7"/>
  <c r="V16" i="7"/>
  <c r="AZ15" i="7"/>
  <c r="AX15" i="7"/>
  <c r="AV15" i="7"/>
  <c r="AT15" i="7"/>
  <c r="AJ15" i="7"/>
  <c r="AF15" i="7"/>
  <c r="AN15" i="7"/>
  <c r="AP15" i="7"/>
  <c r="AL15" i="7"/>
  <c r="AH15" i="7"/>
  <c r="AR15" i="7"/>
  <c r="AD15" i="7"/>
  <c r="AB15" i="7"/>
  <c r="Z15" i="7"/>
  <c r="N15" i="7"/>
  <c r="X15" i="7"/>
  <c r="R15" i="7"/>
  <c r="P15" i="7"/>
  <c r="T15" i="7"/>
  <c r="L15" i="7"/>
  <c r="V15" i="7"/>
  <c r="AZ14" i="7"/>
  <c r="AX14" i="7"/>
  <c r="AV14" i="7"/>
  <c r="AT14" i="7"/>
  <c r="AJ14" i="7"/>
  <c r="AF14" i="7"/>
  <c r="AN14" i="7"/>
  <c r="AP14" i="7"/>
  <c r="AL14" i="7"/>
  <c r="AH14" i="7"/>
  <c r="AR14" i="7"/>
  <c r="AD14" i="7"/>
  <c r="AB14" i="7"/>
  <c r="Z14" i="7"/>
  <c r="N14" i="7"/>
  <c r="X14" i="7"/>
  <c r="R14" i="7"/>
  <c r="P14" i="7"/>
  <c r="T14" i="7"/>
  <c r="L14" i="7"/>
  <c r="V14" i="7"/>
  <c r="AZ13" i="7"/>
  <c r="AX13" i="7"/>
  <c r="AV13" i="7"/>
  <c r="AT13" i="7"/>
  <c r="AJ13" i="7"/>
  <c r="AF13" i="7"/>
  <c r="AN13" i="7"/>
  <c r="AP13" i="7"/>
  <c r="AL13" i="7"/>
  <c r="AH13" i="7"/>
  <c r="AR13" i="7"/>
  <c r="AD13" i="7"/>
  <c r="AB13" i="7"/>
  <c r="Z13" i="7"/>
  <c r="N13" i="7"/>
  <c r="X13" i="7"/>
  <c r="R13" i="7"/>
  <c r="P13" i="7"/>
  <c r="T13" i="7"/>
  <c r="L13" i="7"/>
  <c r="V13" i="7"/>
  <c r="AZ12" i="7"/>
  <c r="AX12" i="7"/>
  <c r="AV12" i="7"/>
  <c r="AT12" i="7"/>
  <c r="AJ12" i="7"/>
  <c r="AF12" i="7"/>
  <c r="AN12" i="7"/>
  <c r="AP12" i="7"/>
  <c r="AL12" i="7"/>
  <c r="AH12" i="7"/>
  <c r="AR12" i="7"/>
  <c r="AD12" i="7"/>
  <c r="AB12" i="7"/>
  <c r="Z12" i="7"/>
  <c r="N12" i="7"/>
  <c r="X12" i="7"/>
  <c r="R12" i="7"/>
  <c r="P12" i="7"/>
  <c r="T12" i="7"/>
  <c r="L12" i="7"/>
  <c r="V12" i="7"/>
  <c r="AZ11" i="7"/>
  <c r="AX11" i="7"/>
  <c r="AV11" i="7"/>
  <c r="AT11" i="7"/>
  <c r="AJ11" i="7"/>
  <c r="AF11" i="7"/>
  <c r="AN11" i="7"/>
  <c r="AP11" i="7"/>
  <c r="AL11" i="7"/>
  <c r="AH11" i="7"/>
  <c r="AR11" i="7"/>
  <c r="AD11" i="7"/>
  <c r="AB11" i="7"/>
  <c r="Z11" i="7"/>
  <c r="N11" i="7"/>
  <c r="X11" i="7"/>
  <c r="R11" i="7"/>
  <c r="P11" i="7"/>
  <c r="T11" i="7"/>
  <c r="L11" i="7"/>
  <c r="V11" i="7"/>
  <c r="AF205" i="9"/>
  <c r="AD205" i="9"/>
  <c r="AB205" i="9"/>
  <c r="Z205" i="9"/>
  <c r="P205" i="9"/>
  <c r="L205" i="9"/>
  <c r="T205" i="9"/>
  <c r="V205" i="9"/>
  <c r="R205" i="9"/>
  <c r="N205" i="9"/>
  <c r="X205" i="9"/>
  <c r="AF204" i="9"/>
  <c r="AD204" i="9"/>
  <c r="AB204" i="9"/>
  <c r="Z204" i="9"/>
  <c r="P204" i="9"/>
  <c r="L204" i="9"/>
  <c r="T204" i="9"/>
  <c r="V204" i="9"/>
  <c r="R204" i="9"/>
  <c r="N204" i="9"/>
  <c r="X204" i="9"/>
  <c r="AF203" i="9"/>
  <c r="AD203" i="9"/>
  <c r="AB203" i="9"/>
  <c r="Z203" i="9"/>
  <c r="P203" i="9"/>
  <c r="L203" i="9"/>
  <c r="T203" i="9"/>
  <c r="V203" i="9"/>
  <c r="R203" i="9"/>
  <c r="N203" i="9"/>
  <c r="X203" i="9"/>
  <c r="AF202" i="9"/>
  <c r="AD202" i="9"/>
  <c r="AB202" i="9"/>
  <c r="Z202" i="9"/>
  <c r="P202" i="9"/>
  <c r="L202" i="9"/>
  <c r="T202" i="9"/>
  <c r="V202" i="9"/>
  <c r="R202" i="9"/>
  <c r="N202" i="9"/>
  <c r="X202" i="9"/>
  <c r="AF201" i="9"/>
  <c r="AD201" i="9"/>
  <c r="AB201" i="9"/>
  <c r="Z201" i="9"/>
  <c r="P201" i="9"/>
  <c r="L201" i="9"/>
  <c r="T201" i="9"/>
  <c r="V201" i="9"/>
  <c r="R201" i="9"/>
  <c r="N201" i="9"/>
  <c r="X201" i="9"/>
  <c r="AF200" i="9"/>
  <c r="AD200" i="9"/>
  <c r="AB200" i="9"/>
  <c r="Z200" i="9"/>
  <c r="P200" i="9"/>
  <c r="L200" i="9"/>
  <c r="T200" i="9"/>
  <c r="V200" i="9"/>
  <c r="R200" i="9"/>
  <c r="N200" i="9"/>
  <c r="X200" i="9"/>
  <c r="AF199" i="9"/>
  <c r="AD199" i="9"/>
  <c r="AB199" i="9"/>
  <c r="Z199" i="9"/>
  <c r="P199" i="9"/>
  <c r="L199" i="9"/>
  <c r="T199" i="9"/>
  <c r="V199" i="9"/>
  <c r="R199" i="9"/>
  <c r="N199" i="9"/>
  <c r="X199" i="9"/>
  <c r="AF198" i="9"/>
  <c r="AD198" i="9"/>
  <c r="AB198" i="9"/>
  <c r="Z198" i="9"/>
  <c r="P198" i="9"/>
  <c r="L198" i="9"/>
  <c r="T198" i="9"/>
  <c r="V198" i="9"/>
  <c r="R198" i="9"/>
  <c r="N198" i="9"/>
  <c r="X198" i="9"/>
  <c r="AF197" i="9"/>
  <c r="AD197" i="9"/>
  <c r="AB197" i="9"/>
  <c r="Z197" i="9"/>
  <c r="P197" i="9"/>
  <c r="L197" i="9"/>
  <c r="T197" i="9"/>
  <c r="V197" i="9"/>
  <c r="R197" i="9"/>
  <c r="N197" i="9"/>
  <c r="X197" i="9"/>
  <c r="AF196" i="9"/>
  <c r="AD196" i="9"/>
  <c r="AB196" i="9"/>
  <c r="Z196" i="9"/>
  <c r="P196" i="9"/>
  <c r="L196" i="9"/>
  <c r="T196" i="9"/>
  <c r="V196" i="9"/>
  <c r="R196" i="9"/>
  <c r="N196" i="9"/>
  <c r="X196" i="9"/>
  <c r="AF195" i="9"/>
  <c r="AD195" i="9"/>
  <c r="AB195" i="9"/>
  <c r="Z195" i="9"/>
  <c r="P195" i="9"/>
  <c r="L195" i="9"/>
  <c r="T195" i="9"/>
  <c r="V195" i="9"/>
  <c r="R195" i="9"/>
  <c r="N195" i="9"/>
  <c r="X195" i="9"/>
  <c r="AF193" i="9"/>
  <c r="AD193" i="9"/>
  <c r="AB193" i="9"/>
  <c r="Z193" i="9"/>
  <c r="P193" i="9"/>
  <c r="L193" i="9"/>
  <c r="T193" i="9"/>
  <c r="V193" i="9"/>
  <c r="R193" i="9"/>
  <c r="N193" i="9"/>
  <c r="X193" i="9"/>
  <c r="AF192" i="9"/>
  <c r="AD192" i="9"/>
  <c r="AB192" i="9"/>
  <c r="Z192" i="9"/>
  <c r="P192" i="9"/>
  <c r="L192" i="9"/>
  <c r="T192" i="9"/>
  <c r="V192" i="9"/>
  <c r="R192" i="9"/>
  <c r="N192" i="9"/>
  <c r="X192" i="9"/>
  <c r="AF191" i="9"/>
  <c r="AD191" i="9"/>
  <c r="AB191" i="9"/>
  <c r="Z191" i="9"/>
  <c r="P191" i="9"/>
  <c r="L191" i="9"/>
  <c r="T191" i="9"/>
  <c r="V191" i="9"/>
  <c r="R191" i="9"/>
  <c r="N191" i="9"/>
  <c r="X191" i="9"/>
  <c r="AF190" i="9"/>
  <c r="AD190" i="9"/>
  <c r="AB190" i="9"/>
  <c r="Z190" i="9"/>
  <c r="P190" i="9"/>
  <c r="L190" i="9"/>
  <c r="T190" i="9"/>
  <c r="V190" i="9"/>
  <c r="R190" i="9"/>
  <c r="N190" i="9"/>
  <c r="X190" i="9"/>
  <c r="AF189" i="9"/>
  <c r="AD189" i="9"/>
  <c r="AB189" i="9"/>
  <c r="Z189" i="9"/>
  <c r="P189" i="9"/>
  <c r="L189" i="9"/>
  <c r="T189" i="9"/>
  <c r="V189" i="9"/>
  <c r="R189" i="9"/>
  <c r="N189" i="9"/>
  <c r="X189" i="9"/>
  <c r="AF188" i="9"/>
  <c r="AD188" i="9"/>
  <c r="AB188" i="9"/>
  <c r="Z188" i="9"/>
  <c r="P188" i="9"/>
  <c r="L188" i="9"/>
  <c r="T188" i="9"/>
  <c r="V188" i="9"/>
  <c r="R188" i="9"/>
  <c r="N188" i="9"/>
  <c r="X188" i="9"/>
  <c r="AF187" i="9"/>
  <c r="AD187" i="9"/>
  <c r="AB187" i="9"/>
  <c r="Z187" i="9"/>
  <c r="P187" i="9"/>
  <c r="L187" i="9"/>
  <c r="T187" i="9"/>
  <c r="V187" i="9"/>
  <c r="R187" i="9"/>
  <c r="N187" i="9"/>
  <c r="X187" i="9"/>
  <c r="AF186" i="9"/>
  <c r="AD186" i="9"/>
  <c r="AB186" i="9"/>
  <c r="Z186" i="9"/>
  <c r="P186" i="9"/>
  <c r="L186" i="9"/>
  <c r="T186" i="9"/>
  <c r="V186" i="9"/>
  <c r="R186" i="9"/>
  <c r="N186" i="9"/>
  <c r="X186" i="9"/>
  <c r="AF185" i="9"/>
  <c r="AD185" i="9"/>
  <c r="AB185" i="9"/>
  <c r="Z185" i="9"/>
  <c r="P185" i="9"/>
  <c r="L185" i="9"/>
  <c r="T185" i="9"/>
  <c r="V185" i="9"/>
  <c r="R185" i="9"/>
  <c r="N185" i="9"/>
  <c r="X185" i="9"/>
  <c r="AF184" i="9"/>
  <c r="AD184" i="9"/>
  <c r="AB184" i="9"/>
  <c r="Z184" i="9"/>
  <c r="P184" i="9"/>
  <c r="L184" i="9"/>
  <c r="T184" i="9"/>
  <c r="V184" i="9"/>
  <c r="R184" i="9"/>
  <c r="N184" i="9"/>
  <c r="X184" i="9"/>
  <c r="AF183" i="9"/>
  <c r="AD183" i="9"/>
  <c r="AB183" i="9"/>
  <c r="Z183" i="9"/>
  <c r="P183" i="9"/>
  <c r="L183" i="9"/>
  <c r="T183" i="9"/>
  <c r="V183" i="9"/>
  <c r="R183" i="9"/>
  <c r="N183" i="9"/>
  <c r="X183" i="9"/>
  <c r="AF182" i="9"/>
  <c r="AD182" i="9"/>
  <c r="AB182" i="9"/>
  <c r="Z182" i="9"/>
  <c r="P182" i="9"/>
  <c r="L182" i="9"/>
  <c r="T182" i="9"/>
  <c r="V182" i="9"/>
  <c r="R182" i="9"/>
  <c r="N182" i="9"/>
  <c r="X182" i="9"/>
  <c r="AF181" i="9"/>
  <c r="AD181" i="9"/>
  <c r="AB181" i="9"/>
  <c r="Z181" i="9"/>
  <c r="P181" i="9"/>
  <c r="L181" i="9"/>
  <c r="T181" i="9"/>
  <c r="V181" i="9"/>
  <c r="R181" i="9"/>
  <c r="N181" i="9"/>
  <c r="X181" i="9"/>
  <c r="AF180" i="9"/>
  <c r="AD180" i="9"/>
  <c r="AB180" i="9"/>
  <c r="Z180" i="9"/>
  <c r="P180" i="9"/>
  <c r="L180" i="9"/>
  <c r="T180" i="9"/>
  <c r="V180" i="9"/>
  <c r="R180" i="9"/>
  <c r="N180" i="9"/>
  <c r="X180" i="9"/>
  <c r="AF179" i="9"/>
  <c r="AD179" i="9"/>
  <c r="AB179" i="9"/>
  <c r="Z179" i="9"/>
  <c r="P179" i="9"/>
  <c r="L179" i="9"/>
  <c r="T179" i="9"/>
  <c r="V179" i="9"/>
  <c r="R179" i="9"/>
  <c r="N179" i="9"/>
  <c r="X179" i="9"/>
  <c r="AF178" i="9"/>
  <c r="AD178" i="9"/>
  <c r="AB178" i="9"/>
  <c r="Z178" i="9"/>
  <c r="P178" i="9"/>
  <c r="L178" i="9"/>
  <c r="T178" i="9"/>
  <c r="V178" i="9"/>
  <c r="R178" i="9"/>
  <c r="N178" i="9"/>
  <c r="X178" i="9"/>
  <c r="AF177" i="9"/>
  <c r="AD177" i="9"/>
  <c r="AB177" i="9"/>
  <c r="Z177" i="9"/>
  <c r="P177" i="9"/>
  <c r="L177" i="9"/>
  <c r="T177" i="9"/>
  <c r="V177" i="9"/>
  <c r="R177" i="9"/>
  <c r="N177" i="9"/>
  <c r="X177" i="9"/>
  <c r="AF176" i="9"/>
  <c r="AD176" i="9"/>
  <c r="AB176" i="9"/>
  <c r="Z176" i="9"/>
  <c r="P176" i="9"/>
  <c r="L176" i="9"/>
  <c r="T176" i="9"/>
  <c r="V176" i="9"/>
  <c r="R176" i="9"/>
  <c r="N176" i="9"/>
  <c r="X176" i="9"/>
  <c r="AF175" i="9"/>
  <c r="AD175" i="9"/>
  <c r="AB175" i="9"/>
  <c r="Z175" i="9"/>
  <c r="P175" i="9"/>
  <c r="L175" i="9"/>
  <c r="T175" i="9"/>
  <c r="V175" i="9"/>
  <c r="R175" i="9"/>
  <c r="N175" i="9"/>
  <c r="X175" i="9"/>
  <c r="AF174" i="9"/>
  <c r="AD174" i="9"/>
  <c r="AB174" i="9"/>
  <c r="Z174" i="9"/>
  <c r="P174" i="9"/>
  <c r="L174" i="9"/>
  <c r="T174" i="9"/>
  <c r="V174" i="9"/>
  <c r="R174" i="9"/>
  <c r="N174" i="9"/>
  <c r="X174" i="9"/>
  <c r="AF173" i="9"/>
  <c r="AD173" i="9"/>
  <c r="AB173" i="9"/>
  <c r="Z173" i="9"/>
  <c r="P173" i="9"/>
  <c r="L173" i="9"/>
  <c r="T173" i="9"/>
  <c r="V173" i="9"/>
  <c r="R173" i="9"/>
  <c r="N173" i="9"/>
  <c r="X173" i="9"/>
  <c r="AF172" i="9"/>
  <c r="AD172" i="9"/>
  <c r="AB172" i="9"/>
  <c r="Z172" i="9"/>
  <c r="P172" i="9"/>
  <c r="L172" i="9"/>
  <c r="T172" i="9"/>
  <c r="V172" i="9"/>
  <c r="R172" i="9"/>
  <c r="N172" i="9"/>
  <c r="X172" i="9"/>
  <c r="AF171" i="9"/>
  <c r="AD171" i="9"/>
  <c r="AB171" i="9"/>
  <c r="Z171" i="9"/>
  <c r="P171" i="9"/>
  <c r="L171" i="9"/>
  <c r="T171" i="9"/>
  <c r="V171" i="9"/>
  <c r="R171" i="9"/>
  <c r="N171" i="9"/>
  <c r="X171" i="9"/>
  <c r="AF170" i="9"/>
  <c r="AD170" i="9"/>
  <c r="AB170" i="9"/>
  <c r="Z170" i="9"/>
  <c r="P170" i="9"/>
  <c r="L170" i="9"/>
  <c r="T170" i="9"/>
  <c r="V170" i="9"/>
  <c r="R170" i="9"/>
  <c r="N170" i="9"/>
  <c r="X170" i="9"/>
  <c r="AF169" i="9"/>
  <c r="AD169" i="9"/>
  <c r="AB169" i="9"/>
  <c r="Z169" i="9"/>
  <c r="P169" i="9"/>
  <c r="L169" i="9"/>
  <c r="T169" i="9"/>
  <c r="V169" i="9"/>
  <c r="R169" i="9"/>
  <c r="N169" i="9"/>
  <c r="X169" i="9"/>
  <c r="AF168" i="9"/>
  <c r="AD168" i="9"/>
  <c r="AB168" i="9"/>
  <c r="Z168" i="9"/>
  <c r="P168" i="9"/>
  <c r="L168" i="9"/>
  <c r="T168" i="9"/>
  <c r="V168" i="9"/>
  <c r="R168" i="9"/>
  <c r="N168" i="9"/>
  <c r="X168" i="9"/>
  <c r="AF167" i="9"/>
  <c r="AD167" i="9"/>
  <c r="AB167" i="9"/>
  <c r="Z167" i="9"/>
  <c r="P167" i="9"/>
  <c r="L167" i="9"/>
  <c r="T167" i="9"/>
  <c r="V167" i="9"/>
  <c r="R167" i="9"/>
  <c r="N167" i="9"/>
  <c r="X167" i="9"/>
  <c r="AF166" i="9"/>
  <c r="AD166" i="9"/>
  <c r="AB166" i="9"/>
  <c r="Z166" i="9"/>
  <c r="P166" i="9"/>
  <c r="L166" i="9"/>
  <c r="T166" i="9"/>
  <c r="V166" i="9"/>
  <c r="R166" i="9"/>
  <c r="N166" i="9"/>
  <c r="X166" i="9"/>
  <c r="AF165" i="9"/>
  <c r="AD165" i="9"/>
  <c r="AB165" i="9"/>
  <c r="Z165" i="9"/>
  <c r="P165" i="9"/>
  <c r="L165" i="9"/>
  <c r="T165" i="9"/>
  <c r="V165" i="9"/>
  <c r="R165" i="9"/>
  <c r="N165" i="9"/>
  <c r="X165" i="9"/>
  <c r="AF164" i="9"/>
  <c r="AD164" i="9"/>
  <c r="AB164" i="9"/>
  <c r="Z164" i="9"/>
  <c r="P164" i="9"/>
  <c r="L164" i="9"/>
  <c r="T164" i="9"/>
  <c r="V164" i="9"/>
  <c r="R164" i="9"/>
  <c r="N164" i="9"/>
  <c r="X164" i="9"/>
  <c r="AF163" i="9"/>
  <c r="AD163" i="9"/>
  <c r="AB163" i="9"/>
  <c r="Z163" i="9"/>
  <c r="P163" i="9"/>
  <c r="L163" i="9"/>
  <c r="T163" i="9"/>
  <c r="V163" i="9"/>
  <c r="R163" i="9"/>
  <c r="N163" i="9"/>
  <c r="X163" i="9"/>
  <c r="AF162" i="9"/>
  <c r="AD162" i="9"/>
  <c r="AB162" i="9"/>
  <c r="Z162" i="9"/>
  <c r="P162" i="9"/>
  <c r="L162" i="9"/>
  <c r="T162" i="9"/>
  <c r="V162" i="9"/>
  <c r="R162" i="9"/>
  <c r="N162" i="9"/>
  <c r="X162" i="9"/>
  <c r="AF161" i="9"/>
  <c r="AD161" i="9"/>
  <c r="AB161" i="9"/>
  <c r="Z161" i="9"/>
  <c r="P161" i="9"/>
  <c r="L161" i="9"/>
  <c r="T161" i="9"/>
  <c r="V161" i="9"/>
  <c r="R161" i="9"/>
  <c r="N161" i="9"/>
  <c r="X161" i="9"/>
  <c r="AF160" i="9"/>
  <c r="AD160" i="9"/>
  <c r="AB160" i="9"/>
  <c r="Z160" i="9"/>
  <c r="P160" i="9"/>
  <c r="L160" i="9"/>
  <c r="T160" i="9"/>
  <c r="V160" i="9"/>
  <c r="R160" i="9"/>
  <c r="N160" i="9"/>
  <c r="X160" i="9"/>
  <c r="AF159" i="9"/>
  <c r="AD159" i="9"/>
  <c r="AB159" i="9"/>
  <c r="Z159" i="9"/>
  <c r="P159" i="9"/>
  <c r="L159" i="9"/>
  <c r="T159" i="9"/>
  <c r="V159" i="9"/>
  <c r="R159" i="9"/>
  <c r="N159" i="9"/>
  <c r="X159" i="9"/>
  <c r="AF158" i="9"/>
  <c r="AD158" i="9"/>
  <c r="AB158" i="9"/>
  <c r="Z158" i="9"/>
  <c r="P158" i="9"/>
  <c r="L158" i="9"/>
  <c r="T158" i="9"/>
  <c r="V158" i="9"/>
  <c r="R158" i="9"/>
  <c r="N158" i="9"/>
  <c r="X158" i="9"/>
  <c r="AF157" i="9"/>
  <c r="AD157" i="9"/>
  <c r="AB157" i="9"/>
  <c r="Z157" i="9"/>
  <c r="P157" i="9"/>
  <c r="L157" i="9"/>
  <c r="T157" i="9"/>
  <c r="V157" i="9"/>
  <c r="R157" i="9"/>
  <c r="N157" i="9"/>
  <c r="X157" i="9"/>
  <c r="AF156" i="9"/>
  <c r="AD156" i="9"/>
  <c r="AB156" i="9"/>
  <c r="Z156" i="9"/>
  <c r="P156" i="9"/>
  <c r="L156" i="9"/>
  <c r="T156" i="9"/>
  <c r="V156" i="9"/>
  <c r="R156" i="9"/>
  <c r="N156" i="9"/>
  <c r="X156" i="9"/>
  <c r="AF155" i="9"/>
  <c r="AD155" i="9"/>
  <c r="AB155" i="9"/>
  <c r="Z155" i="9"/>
  <c r="P155" i="9"/>
  <c r="L155" i="9"/>
  <c r="T155" i="9"/>
  <c r="V155" i="9"/>
  <c r="R155" i="9"/>
  <c r="N155" i="9"/>
  <c r="X155" i="9"/>
  <c r="AF154" i="9"/>
  <c r="AD154" i="9"/>
  <c r="AB154" i="9"/>
  <c r="Z154" i="9"/>
  <c r="P154" i="9"/>
  <c r="L154" i="9"/>
  <c r="T154" i="9"/>
  <c r="V154" i="9"/>
  <c r="R154" i="9"/>
  <c r="N154" i="9"/>
  <c r="X154" i="9"/>
  <c r="AF153" i="9"/>
  <c r="AD153" i="9"/>
  <c r="AB153" i="9"/>
  <c r="Z153" i="9"/>
  <c r="P153" i="9"/>
  <c r="L153" i="9"/>
  <c r="T153" i="9"/>
  <c r="V153" i="9"/>
  <c r="R153" i="9"/>
  <c r="N153" i="9"/>
  <c r="X153" i="9"/>
  <c r="AF152" i="9"/>
  <c r="AD152" i="9"/>
  <c r="AB152" i="9"/>
  <c r="Z152" i="9"/>
  <c r="P152" i="9"/>
  <c r="L152" i="9"/>
  <c r="T152" i="9"/>
  <c r="V152" i="9"/>
  <c r="R152" i="9"/>
  <c r="N152" i="9"/>
  <c r="X152" i="9"/>
  <c r="AF151" i="9"/>
  <c r="AD151" i="9"/>
  <c r="AB151" i="9"/>
  <c r="Z151" i="9"/>
  <c r="P151" i="9"/>
  <c r="L151" i="9"/>
  <c r="T151" i="9"/>
  <c r="V151" i="9"/>
  <c r="R151" i="9"/>
  <c r="N151" i="9"/>
  <c r="X151" i="9"/>
  <c r="AF150" i="9"/>
  <c r="AD150" i="9"/>
  <c r="AB150" i="9"/>
  <c r="Z150" i="9"/>
  <c r="P150" i="9"/>
  <c r="L150" i="9"/>
  <c r="T150" i="9"/>
  <c r="V150" i="9"/>
  <c r="R150" i="9"/>
  <c r="N150" i="9"/>
  <c r="X150" i="9"/>
  <c r="AF149" i="9"/>
  <c r="AD149" i="9"/>
  <c r="AB149" i="9"/>
  <c r="Z149" i="9"/>
  <c r="P149" i="9"/>
  <c r="L149" i="9"/>
  <c r="T149" i="9"/>
  <c r="V149" i="9"/>
  <c r="R149" i="9"/>
  <c r="N149" i="9"/>
  <c r="X149" i="9"/>
  <c r="AF148" i="9"/>
  <c r="AD148" i="9"/>
  <c r="AB148" i="9"/>
  <c r="Z148" i="9"/>
  <c r="P148" i="9"/>
  <c r="L148" i="9"/>
  <c r="T148" i="9"/>
  <c r="V148" i="9"/>
  <c r="R148" i="9"/>
  <c r="N148" i="9"/>
  <c r="X148" i="9"/>
  <c r="AF147" i="9"/>
  <c r="AD147" i="9"/>
  <c r="AB147" i="9"/>
  <c r="Z147" i="9"/>
  <c r="P147" i="9"/>
  <c r="L147" i="9"/>
  <c r="T147" i="9"/>
  <c r="V147" i="9"/>
  <c r="R147" i="9"/>
  <c r="N147" i="9"/>
  <c r="X147" i="9"/>
  <c r="AF146" i="9"/>
  <c r="AD146" i="9"/>
  <c r="AB146" i="9"/>
  <c r="Z146" i="9"/>
  <c r="P146" i="9"/>
  <c r="L146" i="9"/>
  <c r="T146" i="9"/>
  <c r="V146" i="9"/>
  <c r="R146" i="9"/>
  <c r="N146" i="9"/>
  <c r="X146" i="9"/>
  <c r="AF145" i="9"/>
  <c r="AD145" i="9"/>
  <c r="AB145" i="9"/>
  <c r="Z145" i="9"/>
  <c r="P145" i="9"/>
  <c r="L145" i="9"/>
  <c r="T145" i="9"/>
  <c r="V145" i="9"/>
  <c r="R145" i="9"/>
  <c r="N145" i="9"/>
  <c r="X145" i="9"/>
  <c r="AF144" i="9"/>
  <c r="AD144" i="9"/>
  <c r="AB144" i="9"/>
  <c r="Z144" i="9"/>
  <c r="P144" i="9"/>
  <c r="L144" i="9"/>
  <c r="T144" i="9"/>
  <c r="V144" i="9"/>
  <c r="R144" i="9"/>
  <c r="N144" i="9"/>
  <c r="X144" i="9"/>
  <c r="AF143" i="9"/>
  <c r="AD143" i="9"/>
  <c r="AB143" i="9"/>
  <c r="Z143" i="9"/>
  <c r="P143" i="9"/>
  <c r="L143" i="9"/>
  <c r="T143" i="9"/>
  <c r="V143" i="9"/>
  <c r="R143" i="9"/>
  <c r="N143" i="9"/>
  <c r="X143" i="9"/>
  <c r="AF142" i="9"/>
  <c r="AD142" i="9"/>
  <c r="AB142" i="9"/>
  <c r="Z142" i="9"/>
  <c r="P142" i="9"/>
  <c r="L142" i="9"/>
  <c r="T142" i="9"/>
  <c r="V142" i="9"/>
  <c r="R142" i="9"/>
  <c r="N142" i="9"/>
  <c r="X142" i="9"/>
  <c r="AF141" i="9"/>
  <c r="AD141" i="9"/>
  <c r="AB141" i="9"/>
  <c r="Z141" i="9"/>
  <c r="P141" i="9"/>
  <c r="L141" i="9"/>
  <c r="T141" i="9"/>
  <c r="V141" i="9"/>
  <c r="R141" i="9"/>
  <c r="N141" i="9"/>
  <c r="X141" i="9"/>
  <c r="AF140" i="9"/>
  <c r="AD140" i="9"/>
  <c r="AB140" i="9"/>
  <c r="Z140" i="9"/>
  <c r="P140" i="9"/>
  <c r="L140" i="9"/>
  <c r="T140" i="9"/>
  <c r="V140" i="9"/>
  <c r="R140" i="9"/>
  <c r="N140" i="9"/>
  <c r="X140" i="9"/>
  <c r="AF139" i="9"/>
  <c r="AD139" i="9"/>
  <c r="AB139" i="9"/>
  <c r="Z139" i="9"/>
  <c r="P139" i="9"/>
  <c r="L139" i="9"/>
  <c r="T139" i="9"/>
  <c r="V139" i="9"/>
  <c r="R139" i="9"/>
  <c r="N139" i="9"/>
  <c r="X139" i="9"/>
  <c r="AF138" i="9"/>
  <c r="AD138" i="9"/>
  <c r="AB138" i="9"/>
  <c r="Z138" i="9"/>
  <c r="P138" i="9"/>
  <c r="L138" i="9"/>
  <c r="T138" i="9"/>
  <c r="V138" i="9"/>
  <c r="R138" i="9"/>
  <c r="N138" i="9"/>
  <c r="X138" i="9"/>
  <c r="AF137" i="9"/>
  <c r="AD137" i="9"/>
  <c r="AB137" i="9"/>
  <c r="Z137" i="9"/>
  <c r="P137" i="9"/>
  <c r="L137" i="9"/>
  <c r="T137" i="9"/>
  <c r="V137" i="9"/>
  <c r="R137" i="9"/>
  <c r="N137" i="9"/>
  <c r="X137" i="9"/>
  <c r="AF136" i="9"/>
  <c r="AD136" i="9"/>
  <c r="AB136" i="9"/>
  <c r="Z136" i="9"/>
  <c r="P136" i="9"/>
  <c r="L136" i="9"/>
  <c r="T136" i="9"/>
  <c r="V136" i="9"/>
  <c r="R136" i="9"/>
  <c r="N136" i="9"/>
  <c r="X136" i="9"/>
  <c r="AF135" i="9"/>
  <c r="AD135" i="9"/>
  <c r="AB135" i="9"/>
  <c r="Z135" i="9"/>
  <c r="P135" i="9"/>
  <c r="L135" i="9"/>
  <c r="T135" i="9"/>
  <c r="V135" i="9"/>
  <c r="R135" i="9"/>
  <c r="N135" i="9"/>
  <c r="X135" i="9"/>
  <c r="AF134" i="9"/>
  <c r="AD134" i="9"/>
  <c r="AB134" i="9"/>
  <c r="Z134" i="9"/>
  <c r="P134" i="9"/>
  <c r="L134" i="9"/>
  <c r="T134" i="9"/>
  <c r="V134" i="9"/>
  <c r="R134" i="9"/>
  <c r="N134" i="9"/>
  <c r="X134" i="9"/>
  <c r="AF133" i="9"/>
  <c r="AD133" i="9"/>
  <c r="AB133" i="9"/>
  <c r="Z133" i="9"/>
  <c r="P133" i="9"/>
  <c r="L133" i="9"/>
  <c r="T133" i="9"/>
  <c r="V133" i="9"/>
  <c r="R133" i="9"/>
  <c r="N133" i="9"/>
  <c r="X133" i="9"/>
  <c r="AF132" i="9"/>
  <c r="AD132" i="9"/>
  <c r="AB132" i="9"/>
  <c r="Z132" i="9"/>
  <c r="P132" i="9"/>
  <c r="L132" i="9"/>
  <c r="T132" i="9"/>
  <c r="V132" i="9"/>
  <c r="R132" i="9"/>
  <c r="N132" i="9"/>
  <c r="X132" i="9"/>
  <c r="AF131" i="9"/>
  <c r="AD131" i="9"/>
  <c r="AB131" i="9"/>
  <c r="Z131" i="9"/>
  <c r="P131" i="9"/>
  <c r="L131" i="9"/>
  <c r="T131" i="9"/>
  <c r="V131" i="9"/>
  <c r="R131" i="9"/>
  <c r="N131" i="9"/>
  <c r="X131" i="9"/>
  <c r="AF130" i="9"/>
  <c r="AD130" i="9"/>
  <c r="AB130" i="9"/>
  <c r="Z130" i="9"/>
  <c r="P130" i="9"/>
  <c r="L130" i="9"/>
  <c r="T130" i="9"/>
  <c r="V130" i="9"/>
  <c r="R130" i="9"/>
  <c r="N130" i="9"/>
  <c r="X130" i="9"/>
  <c r="AF129" i="9"/>
  <c r="AD129" i="9"/>
  <c r="AB129" i="9"/>
  <c r="Z129" i="9"/>
  <c r="P129" i="9"/>
  <c r="L129" i="9"/>
  <c r="T129" i="9"/>
  <c r="V129" i="9"/>
  <c r="R129" i="9"/>
  <c r="N129" i="9"/>
  <c r="X129" i="9"/>
  <c r="AF128" i="9"/>
  <c r="AD128" i="9"/>
  <c r="AB128" i="9"/>
  <c r="Z128" i="9"/>
  <c r="P128" i="9"/>
  <c r="L128" i="9"/>
  <c r="T128" i="9"/>
  <c r="V128" i="9"/>
  <c r="R128" i="9"/>
  <c r="N128" i="9"/>
  <c r="X128" i="9"/>
  <c r="AF127" i="9"/>
  <c r="AD127" i="9"/>
  <c r="AB127" i="9"/>
  <c r="Z127" i="9"/>
  <c r="P127" i="9"/>
  <c r="L127" i="9"/>
  <c r="T127" i="9"/>
  <c r="V127" i="9"/>
  <c r="R127" i="9"/>
  <c r="N127" i="9"/>
  <c r="X127" i="9"/>
  <c r="AF126" i="9"/>
  <c r="AD126" i="9"/>
  <c r="AB126" i="9"/>
  <c r="Z126" i="9"/>
  <c r="P126" i="9"/>
  <c r="L126" i="9"/>
  <c r="T126" i="9"/>
  <c r="V126" i="9"/>
  <c r="R126" i="9"/>
  <c r="N126" i="9"/>
  <c r="X126" i="9"/>
  <c r="AF125" i="9"/>
  <c r="AD125" i="9"/>
  <c r="AB125" i="9"/>
  <c r="Z125" i="9"/>
  <c r="P125" i="9"/>
  <c r="L125" i="9"/>
  <c r="T125" i="9"/>
  <c r="V125" i="9"/>
  <c r="R125" i="9"/>
  <c r="N125" i="9"/>
  <c r="X125" i="9"/>
  <c r="AF124" i="9"/>
  <c r="AD124" i="9"/>
  <c r="AB124" i="9"/>
  <c r="Z124" i="9"/>
  <c r="P124" i="9"/>
  <c r="L124" i="9"/>
  <c r="T124" i="9"/>
  <c r="V124" i="9"/>
  <c r="R124" i="9"/>
  <c r="N124" i="9"/>
  <c r="X124" i="9"/>
  <c r="AF123" i="9"/>
  <c r="AD123" i="9"/>
  <c r="AB123" i="9"/>
  <c r="Z123" i="9"/>
  <c r="P123" i="9"/>
  <c r="L123" i="9"/>
  <c r="T123" i="9"/>
  <c r="V123" i="9"/>
  <c r="R123" i="9"/>
  <c r="N123" i="9"/>
  <c r="X123" i="9"/>
  <c r="AF122" i="9"/>
  <c r="AD122" i="9"/>
  <c r="AB122" i="9"/>
  <c r="Z122" i="9"/>
  <c r="P122" i="9"/>
  <c r="L122" i="9"/>
  <c r="T122" i="9"/>
  <c r="V122" i="9"/>
  <c r="R122" i="9"/>
  <c r="N122" i="9"/>
  <c r="X122" i="9"/>
  <c r="AD94" i="9"/>
  <c r="AB94" i="9"/>
  <c r="Z94" i="9"/>
  <c r="N94" i="9"/>
  <c r="V94" i="9"/>
  <c r="R94" i="9"/>
  <c r="P94" i="9"/>
  <c r="T94" i="9"/>
  <c r="L94" i="9"/>
  <c r="AD93" i="9"/>
  <c r="AB93" i="9"/>
  <c r="Z93" i="9"/>
  <c r="N93" i="9"/>
  <c r="V93" i="9"/>
  <c r="R93" i="9"/>
  <c r="P93" i="9"/>
  <c r="T93" i="9"/>
  <c r="L93" i="9"/>
  <c r="AD92" i="9"/>
  <c r="AB92" i="9"/>
  <c r="Z92" i="9"/>
  <c r="N92" i="9"/>
  <c r="V92" i="9"/>
  <c r="R92" i="9"/>
  <c r="P92" i="9"/>
  <c r="T92" i="9"/>
  <c r="L92" i="9"/>
  <c r="AD91" i="9"/>
  <c r="AB91" i="9"/>
  <c r="Z91" i="9"/>
  <c r="N91" i="9"/>
  <c r="V91" i="9"/>
  <c r="R91" i="9"/>
  <c r="P91" i="9"/>
  <c r="T91" i="9"/>
  <c r="L91" i="9"/>
  <c r="AD90" i="9"/>
  <c r="AB90" i="9"/>
  <c r="Z90" i="9"/>
  <c r="N90" i="9"/>
  <c r="V90" i="9"/>
  <c r="R90" i="9"/>
  <c r="P90" i="9"/>
  <c r="T90" i="9"/>
  <c r="L90" i="9"/>
  <c r="AD89" i="9"/>
  <c r="AB89" i="9"/>
  <c r="Z89" i="9"/>
  <c r="N89" i="9"/>
  <c r="V89" i="9"/>
  <c r="R89" i="9"/>
  <c r="P89" i="9"/>
  <c r="T89" i="9"/>
  <c r="L89" i="9"/>
  <c r="AD88" i="9"/>
  <c r="AB88" i="9"/>
  <c r="Z88" i="9"/>
  <c r="N88" i="9"/>
  <c r="V88" i="9"/>
  <c r="R88" i="9"/>
  <c r="P88" i="9"/>
  <c r="T88" i="9"/>
  <c r="L88" i="9"/>
  <c r="AD87" i="9"/>
  <c r="Z87" i="9"/>
  <c r="N87" i="9"/>
  <c r="V87" i="9"/>
  <c r="R87" i="9"/>
  <c r="P87" i="9"/>
  <c r="T87" i="9"/>
  <c r="L87" i="9"/>
  <c r="AD86" i="9"/>
  <c r="AB86" i="9"/>
  <c r="Z86" i="9"/>
  <c r="N86" i="9"/>
  <c r="V86" i="9"/>
  <c r="R86" i="9"/>
  <c r="P86" i="9"/>
  <c r="T86" i="9"/>
  <c r="L86" i="9"/>
  <c r="AD85" i="9"/>
  <c r="AB85" i="9"/>
  <c r="Z85" i="9"/>
  <c r="N85" i="9"/>
  <c r="V85" i="9"/>
  <c r="R85" i="9"/>
  <c r="P85" i="9"/>
  <c r="T85" i="9"/>
  <c r="L85" i="9"/>
  <c r="AD84" i="9"/>
  <c r="AB84" i="9"/>
  <c r="Z84" i="9"/>
  <c r="N84" i="9"/>
  <c r="V84" i="9"/>
  <c r="R84" i="9"/>
  <c r="P84" i="9"/>
  <c r="T84" i="9"/>
  <c r="L84" i="9"/>
  <c r="AD82" i="9"/>
  <c r="AB82" i="9"/>
  <c r="Z82" i="9"/>
  <c r="N82" i="9"/>
  <c r="V82" i="9"/>
  <c r="R82" i="9"/>
  <c r="P82" i="9"/>
  <c r="T82" i="9"/>
  <c r="L82" i="9"/>
  <c r="AD81" i="9"/>
  <c r="AB81" i="9"/>
  <c r="Z81" i="9"/>
  <c r="N81" i="9"/>
  <c r="V81" i="9"/>
  <c r="R81" i="9"/>
  <c r="P81" i="9"/>
  <c r="T81" i="9"/>
  <c r="L81" i="9"/>
  <c r="AD80" i="9"/>
  <c r="AB80" i="9"/>
  <c r="Z80" i="9"/>
  <c r="N80" i="9"/>
  <c r="V80" i="9"/>
  <c r="R80" i="9"/>
  <c r="P80" i="9"/>
  <c r="T80" i="9"/>
  <c r="L80" i="9"/>
  <c r="AD79" i="9"/>
  <c r="AB79" i="9"/>
  <c r="Z79" i="9"/>
  <c r="N79" i="9"/>
  <c r="V79" i="9"/>
  <c r="R79" i="9"/>
  <c r="P79" i="9"/>
  <c r="T79" i="9"/>
  <c r="L79" i="9"/>
  <c r="AD78" i="9"/>
  <c r="AB78" i="9"/>
  <c r="Z78" i="9"/>
  <c r="N78" i="9"/>
  <c r="V78" i="9"/>
  <c r="R78" i="9"/>
  <c r="P78" i="9"/>
  <c r="T78" i="9"/>
  <c r="L78" i="9"/>
  <c r="AD77" i="9"/>
  <c r="AB77" i="9"/>
  <c r="Z77" i="9"/>
  <c r="N77" i="9"/>
  <c r="V77" i="9"/>
  <c r="R77" i="9"/>
  <c r="P77" i="9"/>
  <c r="T77" i="9"/>
  <c r="L77" i="9"/>
  <c r="AD76" i="9"/>
  <c r="AB76" i="9"/>
  <c r="Z76" i="9"/>
  <c r="N76" i="9"/>
  <c r="V76" i="9"/>
  <c r="R76" i="9"/>
  <c r="P76" i="9"/>
  <c r="T76" i="9"/>
  <c r="L76" i="9"/>
  <c r="AD75" i="9"/>
  <c r="AB75" i="9"/>
  <c r="Z75" i="9"/>
  <c r="N75" i="9"/>
  <c r="V75" i="9"/>
  <c r="R75" i="9"/>
  <c r="P75" i="9"/>
  <c r="T75" i="9"/>
  <c r="L75" i="9"/>
  <c r="AD74" i="9"/>
  <c r="AB74" i="9"/>
  <c r="Z74" i="9"/>
  <c r="N74" i="9"/>
  <c r="V74" i="9"/>
  <c r="R74" i="9"/>
  <c r="P74" i="9"/>
  <c r="T74" i="9"/>
  <c r="L74" i="9"/>
  <c r="AD73" i="9"/>
  <c r="AB73" i="9"/>
  <c r="Z73" i="9"/>
  <c r="N73" i="9"/>
  <c r="V73" i="9"/>
  <c r="R73" i="9"/>
  <c r="P73" i="9"/>
  <c r="T73" i="9"/>
  <c r="L73" i="9"/>
  <c r="AD72" i="9"/>
  <c r="AB72" i="9"/>
  <c r="Z72" i="9"/>
  <c r="N72" i="9"/>
  <c r="V72" i="9"/>
  <c r="R72" i="9"/>
  <c r="P72" i="9"/>
  <c r="T72" i="9"/>
  <c r="L72" i="9"/>
  <c r="AD71" i="9"/>
  <c r="AB71" i="9"/>
  <c r="Z71" i="9"/>
  <c r="N71" i="9"/>
  <c r="V71" i="9"/>
  <c r="R71" i="9"/>
  <c r="P71" i="9"/>
  <c r="T71" i="9"/>
  <c r="L71" i="9"/>
  <c r="AD70" i="9"/>
  <c r="AB70" i="9"/>
  <c r="Z70" i="9"/>
  <c r="N70" i="9"/>
  <c r="V70" i="9"/>
  <c r="R70" i="9"/>
  <c r="P70" i="9"/>
  <c r="T70" i="9"/>
  <c r="L70" i="9"/>
  <c r="AD69" i="9"/>
  <c r="AB69" i="9"/>
  <c r="Z69" i="9"/>
  <c r="N69" i="9"/>
  <c r="V69" i="9"/>
  <c r="R69" i="9"/>
  <c r="P69" i="9"/>
  <c r="T69" i="9"/>
  <c r="L69" i="9"/>
  <c r="AD68" i="9"/>
  <c r="AB68" i="9"/>
  <c r="Z68" i="9"/>
  <c r="N68" i="9"/>
  <c r="V68" i="9"/>
  <c r="R68" i="9"/>
  <c r="P68" i="9"/>
  <c r="T68" i="9"/>
  <c r="L68" i="9"/>
  <c r="AD67" i="9"/>
  <c r="AB67" i="9"/>
  <c r="Z67" i="9"/>
  <c r="N67" i="9"/>
  <c r="V67" i="9"/>
  <c r="R67" i="9"/>
  <c r="P67" i="9"/>
  <c r="T67" i="9"/>
  <c r="L67" i="9"/>
  <c r="AD66" i="9"/>
  <c r="AB66" i="9"/>
  <c r="Z66" i="9"/>
  <c r="N66" i="9"/>
  <c r="V66" i="9"/>
  <c r="R66" i="9"/>
  <c r="P66" i="9"/>
  <c r="T66" i="9"/>
  <c r="L66" i="9"/>
  <c r="AD65" i="9"/>
  <c r="AB65" i="9"/>
  <c r="Z65" i="9"/>
  <c r="N65" i="9"/>
  <c r="R65" i="9"/>
  <c r="P65" i="9"/>
  <c r="T65" i="9"/>
  <c r="L65" i="9"/>
  <c r="AD64" i="9"/>
  <c r="AB64" i="9"/>
  <c r="Z64" i="9"/>
  <c r="N64" i="9"/>
  <c r="V64" i="9"/>
  <c r="R64" i="9"/>
  <c r="P64" i="9"/>
  <c r="T64" i="9"/>
  <c r="L64" i="9"/>
  <c r="AD63" i="9"/>
  <c r="AB63" i="9"/>
  <c r="Z63" i="9"/>
  <c r="N63" i="9"/>
  <c r="V63" i="9"/>
  <c r="R63" i="9"/>
  <c r="P63" i="9"/>
  <c r="T63" i="9"/>
  <c r="L63" i="9"/>
  <c r="AD62" i="9"/>
  <c r="AB62" i="9"/>
  <c r="Z62" i="9"/>
  <c r="N62" i="9"/>
  <c r="V62" i="9"/>
  <c r="R62" i="9"/>
  <c r="P62" i="9"/>
  <c r="T62" i="9"/>
  <c r="L62" i="9"/>
  <c r="AD61" i="9"/>
  <c r="AB61" i="9"/>
  <c r="Z61" i="9"/>
  <c r="N61" i="9"/>
  <c r="V61" i="9"/>
  <c r="R61" i="9"/>
  <c r="P61" i="9"/>
  <c r="T61" i="9"/>
  <c r="L61" i="9"/>
  <c r="AD60" i="9"/>
  <c r="AB60" i="9"/>
  <c r="Z60" i="9"/>
  <c r="N60" i="9"/>
  <c r="V60" i="9"/>
  <c r="R60" i="9"/>
  <c r="P60" i="9"/>
  <c r="T60" i="9"/>
  <c r="L60" i="9"/>
  <c r="AD59" i="9"/>
  <c r="AB59" i="9"/>
  <c r="Z59" i="9"/>
  <c r="N59" i="9"/>
  <c r="V59" i="9"/>
  <c r="R59" i="9"/>
  <c r="P59" i="9"/>
  <c r="T59" i="9"/>
  <c r="L59" i="9"/>
  <c r="AD58" i="9"/>
  <c r="AB58" i="9"/>
  <c r="Z58" i="9"/>
  <c r="N58" i="9"/>
  <c r="V58" i="9"/>
  <c r="R58" i="9"/>
  <c r="P58" i="9"/>
  <c r="T58" i="9"/>
  <c r="L58" i="9"/>
  <c r="AD57" i="9"/>
  <c r="AB57" i="9"/>
  <c r="Z57" i="9"/>
  <c r="N57" i="9"/>
  <c r="V57" i="9"/>
  <c r="R57" i="9"/>
  <c r="P57" i="9"/>
  <c r="T57" i="9"/>
  <c r="L57" i="9"/>
  <c r="AD56" i="9"/>
  <c r="AB56" i="9"/>
  <c r="Z56" i="9"/>
  <c r="N56" i="9"/>
  <c r="V56" i="9"/>
  <c r="R56" i="9"/>
  <c r="P56" i="9"/>
  <c r="T56" i="9"/>
  <c r="L56" i="9"/>
  <c r="AD55" i="9"/>
  <c r="AB55" i="9"/>
  <c r="Z55" i="9"/>
  <c r="N55" i="9"/>
  <c r="V55" i="9"/>
  <c r="R55" i="9"/>
  <c r="P55" i="9"/>
  <c r="T55" i="9"/>
  <c r="L55" i="9"/>
  <c r="AD54" i="9"/>
  <c r="AB54" i="9"/>
  <c r="Z54" i="9"/>
  <c r="N54" i="9"/>
  <c r="V54" i="9"/>
  <c r="R54" i="9"/>
  <c r="P54" i="9"/>
  <c r="T54" i="9"/>
  <c r="L54" i="9"/>
  <c r="AD53" i="9"/>
  <c r="AB53" i="9"/>
  <c r="Z53" i="9"/>
  <c r="N53" i="9"/>
  <c r="V53" i="9"/>
  <c r="R53" i="9"/>
  <c r="P53" i="9"/>
  <c r="T53" i="9"/>
  <c r="L53" i="9"/>
  <c r="AD52" i="9"/>
  <c r="AB52" i="9"/>
  <c r="Z52" i="9"/>
  <c r="N52" i="9"/>
  <c r="V52" i="9"/>
  <c r="R52" i="9"/>
  <c r="P52" i="9"/>
  <c r="T52" i="9"/>
  <c r="L52" i="9"/>
  <c r="AD51" i="9"/>
  <c r="AB51" i="9"/>
  <c r="Z51" i="9"/>
  <c r="N51" i="9"/>
  <c r="V51" i="9"/>
  <c r="R51" i="9"/>
  <c r="P51" i="9"/>
  <c r="T51" i="9"/>
  <c r="L51" i="9"/>
  <c r="AD50" i="9"/>
  <c r="AB50" i="9"/>
  <c r="Z50" i="9"/>
  <c r="N50" i="9"/>
  <c r="V50" i="9"/>
  <c r="R50" i="9"/>
  <c r="P50" i="9"/>
  <c r="T50" i="9"/>
  <c r="L50" i="9"/>
  <c r="AD49" i="9"/>
  <c r="AB49" i="9"/>
  <c r="Z49" i="9"/>
  <c r="N49" i="9"/>
  <c r="V49" i="9"/>
  <c r="R49" i="9"/>
  <c r="P49" i="9"/>
  <c r="T49" i="9"/>
  <c r="L49" i="9"/>
  <c r="AD48" i="9"/>
  <c r="AB48" i="9"/>
  <c r="Z48" i="9"/>
  <c r="N48" i="9"/>
  <c r="V48" i="9"/>
  <c r="R48" i="9"/>
  <c r="P48" i="9"/>
  <c r="T48" i="9"/>
  <c r="L48" i="9"/>
  <c r="AD47" i="9"/>
  <c r="AB47" i="9"/>
  <c r="Z47" i="9"/>
  <c r="N47" i="9"/>
  <c r="V47" i="9"/>
  <c r="R47" i="9"/>
  <c r="P47" i="9"/>
  <c r="T47" i="9"/>
  <c r="L47" i="9"/>
  <c r="AD46" i="9"/>
  <c r="AB46" i="9"/>
  <c r="Z46" i="9"/>
  <c r="N46" i="9"/>
  <c r="V46" i="9"/>
  <c r="R46" i="9"/>
  <c r="P46" i="9"/>
  <c r="T46" i="9"/>
  <c r="L46" i="9"/>
  <c r="AD45" i="9"/>
  <c r="AB45" i="9"/>
  <c r="Z45" i="9"/>
  <c r="N45" i="9"/>
  <c r="V45" i="9"/>
  <c r="R45" i="9"/>
  <c r="P45" i="9"/>
  <c r="T45" i="9"/>
  <c r="L45" i="9"/>
  <c r="AD44" i="9"/>
  <c r="AB44" i="9"/>
  <c r="Z44" i="9"/>
  <c r="N44" i="9"/>
  <c r="V44" i="9"/>
  <c r="R44" i="9"/>
  <c r="P44" i="9"/>
  <c r="T44" i="9"/>
  <c r="L44" i="9"/>
  <c r="AD43" i="9"/>
  <c r="AB43" i="9"/>
  <c r="Z43" i="9"/>
  <c r="N43" i="9"/>
  <c r="V43" i="9"/>
  <c r="R43" i="9"/>
  <c r="P43" i="9"/>
  <c r="T43" i="9"/>
  <c r="L43" i="9"/>
  <c r="AD42" i="9"/>
  <c r="AB42" i="9"/>
  <c r="Z42" i="9"/>
  <c r="N42" i="9"/>
  <c r="V42" i="9"/>
  <c r="R42" i="9"/>
  <c r="P42" i="9"/>
  <c r="T42" i="9"/>
  <c r="L42" i="9"/>
  <c r="AD41" i="9"/>
  <c r="AB41" i="9"/>
  <c r="Z41" i="9"/>
  <c r="N41" i="9"/>
  <c r="V41" i="9"/>
  <c r="R41" i="9"/>
  <c r="P41" i="9"/>
  <c r="T41" i="9"/>
  <c r="L41" i="9"/>
  <c r="AD40" i="9"/>
  <c r="AB40" i="9"/>
  <c r="Z40" i="9"/>
  <c r="N40" i="9"/>
  <c r="V40" i="9"/>
  <c r="R40" i="9"/>
  <c r="P40" i="9"/>
  <c r="T40" i="9"/>
  <c r="L40" i="9"/>
  <c r="AD39" i="9"/>
  <c r="AB39" i="9"/>
  <c r="Z39" i="9"/>
  <c r="N39" i="9"/>
  <c r="V39" i="9"/>
  <c r="R39" i="9"/>
  <c r="P39" i="9"/>
  <c r="T39" i="9"/>
  <c r="L39" i="9"/>
  <c r="AD38" i="9"/>
  <c r="AB38" i="9"/>
  <c r="Z38" i="9"/>
  <c r="N38" i="9"/>
  <c r="V38" i="9"/>
  <c r="R38" i="9"/>
  <c r="P38" i="9"/>
  <c r="T38" i="9"/>
  <c r="L38" i="9"/>
  <c r="AD37" i="9"/>
  <c r="AB37" i="9"/>
  <c r="Z37" i="9"/>
  <c r="N37" i="9"/>
  <c r="V37" i="9"/>
  <c r="R37" i="9"/>
  <c r="P37" i="9"/>
  <c r="T37" i="9"/>
  <c r="L37" i="9"/>
  <c r="AD36" i="9"/>
  <c r="AB36" i="9"/>
  <c r="Z36" i="9"/>
  <c r="N36" i="9"/>
  <c r="V36" i="9"/>
  <c r="R36" i="9"/>
  <c r="P36" i="9"/>
  <c r="T36" i="9"/>
  <c r="L36" i="9"/>
  <c r="AD35" i="9"/>
  <c r="AB35" i="9"/>
  <c r="Z35" i="9"/>
  <c r="N35" i="9"/>
  <c r="V35" i="9"/>
  <c r="R35" i="9"/>
  <c r="P35" i="9"/>
  <c r="T35" i="9"/>
  <c r="L35" i="9"/>
  <c r="AD34" i="9"/>
  <c r="AB34" i="9"/>
  <c r="Z34" i="9"/>
  <c r="N34" i="9"/>
  <c r="V34" i="9"/>
  <c r="R34" i="9"/>
  <c r="P34" i="9"/>
  <c r="T34" i="9"/>
  <c r="L34" i="9"/>
  <c r="AD33" i="9"/>
  <c r="AB33" i="9"/>
  <c r="Z33" i="9"/>
  <c r="N33" i="9"/>
  <c r="V33" i="9"/>
  <c r="R33" i="9"/>
  <c r="P33" i="9"/>
  <c r="T33" i="9"/>
  <c r="L33" i="9"/>
  <c r="AD32" i="9"/>
  <c r="AB32" i="9"/>
  <c r="Z32" i="9"/>
  <c r="N32" i="9"/>
  <c r="V32" i="9"/>
  <c r="R32" i="9"/>
  <c r="P32" i="9"/>
  <c r="T32" i="9"/>
  <c r="L32" i="9"/>
  <c r="AD31" i="9"/>
  <c r="AB31" i="9"/>
  <c r="Z31" i="9"/>
  <c r="N31" i="9"/>
  <c r="V31" i="9"/>
  <c r="R31" i="9"/>
  <c r="P31" i="9"/>
  <c r="T31" i="9"/>
  <c r="L31" i="9"/>
  <c r="AD30" i="9"/>
  <c r="AB30" i="9"/>
  <c r="Z30" i="9"/>
  <c r="N30" i="9"/>
  <c r="V30" i="9"/>
  <c r="R30" i="9"/>
  <c r="P30" i="9"/>
  <c r="T30" i="9"/>
  <c r="L30" i="9"/>
  <c r="AD29" i="9"/>
  <c r="AB29" i="9"/>
  <c r="Z29" i="9"/>
  <c r="N29" i="9"/>
  <c r="V29" i="9"/>
  <c r="R29" i="9"/>
  <c r="P29" i="9"/>
  <c r="T29" i="9"/>
  <c r="L29" i="9"/>
  <c r="AD28" i="9"/>
  <c r="AB28" i="9"/>
  <c r="Z28" i="9"/>
  <c r="N28" i="9"/>
  <c r="V28" i="9"/>
  <c r="R28" i="9"/>
  <c r="P28" i="9"/>
  <c r="T28" i="9"/>
  <c r="L28" i="9"/>
  <c r="AD27" i="9"/>
  <c r="AB27" i="9"/>
  <c r="Z27" i="9"/>
  <c r="N27" i="9"/>
  <c r="V27" i="9"/>
  <c r="R27" i="9"/>
  <c r="P27" i="9"/>
  <c r="T27" i="9"/>
  <c r="L27" i="9"/>
  <c r="AD26" i="9"/>
  <c r="AB26" i="9"/>
  <c r="Z26" i="9"/>
  <c r="N26" i="9"/>
  <c r="V26" i="9"/>
  <c r="R26" i="9"/>
  <c r="P26" i="9"/>
  <c r="T26" i="9"/>
  <c r="L26" i="9"/>
  <c r="AD24" i="9"/>
  <c r="AB24" i="9"/>
  <c r="Z24" i="9"/>
  <c r="N24" i="9"/>
  <c r="V24" i="9"/>
  <c r="R24" i="9"/>
  <c r="P24" i="9"/>
  <c r="T24" i="9"/>
  <c r="L24" i="9"/>
  <c r="AD23" i="9"/>
  <c r="AB23" i="9"/>
  <c r="Z23" i="9"/>
  <c r="N23" i="9"/>
  <c r="V23" i="9"/>
  <c r="R23" i="9"/>
  <c r="P23" i="9"/>
  <c r="T23" i="9"/>
  <c r="L23" i="9"/>
  <c r="AD22" i="9"/>
  <c r="AB22" i="9"/>
  <c r="Z22" i="9"/>
  <c r="N22" i="9"/>
  <c r="V22" i="9"/>
  <c r="R22" i="9"/>
  <c r="P22" i="9"/>
  <c r="T22" i="9"/>
  <c r="L22" i="9"/>
  <c r="AD21" i="9"/>
  <c r="AB21" i="9"/>
  <c r="Z21" i="9"/>
  <c r="N21" i="9"/>
  <c r="V21" i="9"/>
  <c r="R21" i="9"/>
  <c r="P21" i="9"/>
  <c r="T21" i="9"/>
  <c r="L21" i="9"/>
  <c r="AD20" i="9"/>
  <c r="AB20" i="9"/>
  <c r="Z20" i="9"/>
  <c r="N20" i="9"/>
  <c r="V20" i="9"/>
  <c r="R20" i="9"/>
  <c r="P20" i="9"/>
  <c r="T20" i="9"/>
  <c r="L20" i="9"/>
  <c r="AD19" i="9"/>
  <c r="AB19" i="9"/>
  <c r="Z19" i="9"/>
  <c r="N19" i="9"/>
  <c r="V19" i="9"/>
  <c r="R19" i="9"/>
  <c r="P19" i="9"/>
  <c r="T19" i="9"/>
  <c r="L19" i="9"/>
  <c r="AD18" i="9"/>
  <c r="AB18" i="9"/>
  <c r="Z18" i="9"/>
  <c r="N18" i="9"/>
  <c r="V18" i="9"/>
  <c r="R18" i="9"/>
  <c r="P18" i="9"/>
  <c r="T18" i="9"/>
  <c r="L18" i="9"/>
  <c r="AD17" i="9"/>
  <c r="AB17" i="9"/>
  <c r="Z17" i="9"/>
  <c r="N17" i="9"/>
  <c r="V17" i="9"/>
  <c r="R17" i="9"/>
  <c r="P17" i="9"/>
  <c r="T17" i="9"/>
  <c r="L17" i="9"/>
  <c r="AD16" i="9"/>
  <c r="AB16" i="9"/>
  <c r="Z16" i="9"/>
  <c r="N16" i="9"/>
  <c r="V16" i="9"/>
  <c r="R16" i="9"/>
  <c r="P16" i="9"/>
  <c r="T16" i="9"/>
  <c r="L16" i="9"/>
  <c r="AD15" i="9"/>
  <c r="AB15" i="9"/>
  <c r="Z15" i="9"/>
  <c r="N15" i="9"/>
  <c r="V15" i="9"/>
  <c r="R15" i="9"/>
  <c r="P15" i="9"/>
  <c r="T15" i="9"/>
  <c r="L15" i="9"/>
  <c r="AD14" i="9"/>
  <c r="AB14" i="9"/>
  <c r="Z14" i="9"/>
  <c r="N14" i="9"/>
  <c r="V14" i="9"/>
  <c r="R14" i="9"/>
  <c r="P14" i="9"/>
  <c r="T14" i="9"/>
  <c r="L14" i="9"/>
  <c r="AD13" i="9"/>
  <c r="AB13" i="9"/>
  <c r="Z13" i="9"/>
  <c r="N13" i="9"/>
  <c r="V13" i="9"/>
  <c r="R13" i="9"/>
  <c r="P13" i="9"/>
  <c r="T13" i="9"/>
  <c r="L13" i="9"/>
  <c r="AD12" i="9"/>
  <c r="AB12" i="9"/>
  <c r="Z12" i="9"/>
  <c r="N12" i="9"/>
  <c r="V12" i="9"/>
  <c r="R12" i="9"/>
  <c r="P12" i="9"/>
  <c r="T12" i="9"/>
  <c r="L12" i="9"/>
  <c r="AD11" i="9"/>
  <c r="AB11" i="9"/>
  <c r="Z11" i="9"/>
  <c r="N11" i="9"/>
  <c r="V11" i="9"/>
  <c r="R11" i="9"/>
  <c r="P11" i="9"/>
  <c r="T11" i="9"/>
  <c r="L11" i="9"/>
  <c r="AZ113" i="10"/>
  <c r="AX113" i="10"/>
  <c r="AV113" i="10"/>
  <c r="AT113" i="10"/>
  <c r="AJ113" i="10"/>
  <c r="AF113" i="10"/>
  <c r="AN113" i="10"/>
  <c r="AP113" i="10"/>
  <c r="AL113" i="10"/>
  <c r="AH113" i="10"/>
  <c r="AR113" i="10"/>
  <c r="AD113" i="10"/>
  <c r="AB113" i="10"/>
  <c r="Z113" i="10"/>
  <c r="N113" i="10"/>
  <c r="V113" i="10"/>
  <c r="R113" i="10"/>
  <c r="P113" i="10"/>
  <c r="T113" i="10"/>
  <c r="L113" i="10"/>
  <c r="X113" i="10"/>
  <c r="AZ112" i="10"/>
  <c r="AX112" i="10"/>
  <c r="AV112" i="10"/>
  <c r="AT112" i="10"/>
  <c r="AJ112" i="10"/>
  <c r="AF112" i="10"/>
  <c r="AN112" i="10"/>
  <c r="AP112" i="10"/>
  <c r="AL112" i="10"/>
  <c r="AH112" i="10"/>
  <c r="AR112" i="10"/>
  <c r="AD112" i="10"/>
  <c r="AB112" i="10"/>
  <c r="Z112" i="10"/>
  <c r="N112" i="10"/>
  <c r="V112" i="10"/>
  <c r="R112" i="10"/>
  <c r="P112" i="10"/>
  <c r="T112" i="10"/>
  <c r="L112" i="10"/>
  <c r="X112" i="10"/>
  <c r="AZ110" i="10"/>
  <c r="AX110" i="10"/>
  <c r="AV110" i="10"/>
  <c r="AT110" i="10"/>
  <c r="AJ110" i="10"/>
  <c r="AF110" i="10"/>
  <c r="AN110" i="10"/>
  <c r="AP110" i="10"/>
  <c r="AL110" i="10"/>
  <c r="AH110" i="10"/>
  <c r="AR110" i="10"/>
  <c r="AD110" i="10"/>
  <c r="AB110" i="10"/>
  <c r="Z110" i="10"/>
  <c r="N110" i="10"/>
  <c r="V110" i="10"/>
  <c r="R110" i="10"/>
  <c r="P110" i="10"/>
  <c r="T110" i="10"/>
  <c r="L110" i="10"/>
  <c r="X110" i="10"/>
  <c r="AZ106" i="10"/>
  <c r="AX106" i="10"/>
  <c r="AV106" i="10"/>
  <c r="AT106" i="10"/>
  <c r="AJ106" i="10"/>
  <c r="AF106" i="10"/>
  <c r="AN106" i="10"/>
  <c r="AP106" i="10"/>
  <c r="AL106" i="10"/>
  <c r="AH106" i="10"/>
  <c r="AR106" i="10"/>
  <c r="AD106" i="10"/>
  <c r="AB106" i="10"/>
  <c r="Z106" i="10"/>
  <c r="N106" i="10"/>
  <c r="V106" i="10"/>
  <c r="R106" i="10"/>
  <c r="P106" i="10"/>
  <c r="T106" i="10"/>
  <c r="L106" i="10"/>
  <c r="X106" i="10"/>
  <c r="AZ105" i="10"/>
  <c r="AX105" i="10"/>
  <c r="AV105" i="10"/>
  <c r="AT105" i="10"/>
  <c r="AJ105" i="10"/>
  <c r="AF105" i="10"/>
  <c r="AN105" i="10"/>
  <c r="AP105" i="10"/>
  <c r="AL105" i="10"/>
  <c r="AH105" i="10"/>
  <c r="AR105" i="10"/>
  <c r="AD105" i="10"/>
  <c r="Z105" i="10"/>
  <c r="N105" i="10"/>
  <c r="V105" i="10"/>
  <c r="R105" i="10"/>
  <c r="P105" i="10"/>
  <c r="T105" i="10"/>
  <c r="L105" i="10"/>
  <c r="X105" i="10"/>
  <c r="AZ104" i="10"/>
  <c r="AX104" i="10"/>
  <c r="AV104" i="10"/>
  <c r="AT104" i="10"/>
  <c r="AJ104" i="10"/>
  <c r="AF104" i="10"/>
  <c r="AN104" i="10"/>
  <c r="AP104" i="10"/>
  <c r="AL104" i="10"/>
  <c r="AH104" i="10"/>
  <c r="AR104" i="10"/>
  <c r="AD104" i="10"/>
  <c r="AB104" i="10"/>
  <c r="Z104" i="10"/>
  <c r="N104" i="10"/>
  <c r="V104" i="10"/>
  <c r="R104" i="10"/>
  <c r="P104" i="10"/>
  <c r="T104" i="10"/>
  <c r="L104" i="10"/>
  <c r="X104" i="10"/>
  <c r="AZ102" i="10"/>
  <c r="AX102" i="10"/>
  <c r="AV102" i="10"/>
  <c r="AT102" i="10"/>
  <c r="AJ102" i="10"/>
  <c r="AF102" i="10"/>
  <c r="AN102" i="10"/>
  <c r="AP102" i="10"/>
  <c r="AL102" i="10"/>
  <c r="AH102" i="10"/>
  <c r="AR102" i="10"/>
  <c r="AD102" i="10"/>
  <c r="AB102" i="10"/>
  <c r="Z102" i="10"/>
  <c r="N102" i="10"/>
  <c r="V102" i="10"/>
  <c r="R102" i="10"/>
  <c r="P102" i="10"/>
  <c r="T102" i="10"/>
  <c r="L102" i="10"/>
  <c r="X102" i="10"/>
  <c r="AZ100" i="10"/>
  <c r="AX100" i="10"/>
  <c r="AV100" i="10"/>
  <c r="AT100" i="10"/>
  <c r="AJ100" i="10"/>
  <c r="AF100" i="10"/>
  <c r="AN100" i="10"/>
  <c r="AP100" i="10"/>
  <c r="AL100" i="10"/>
  <c r="AH100" i="10"/>
  <c r="AR100" i="10"/>
  <c r="AD100" i="10"/>
  <c r="AB100" i="10"/>
  <c r="Z100" i="10"/>
  <c r="N100" i="10"/>
  <c r="V100" i="10"/>
  <c r="R100" i="10"/>
  <c r="P100" i="10"/>
  <c r="T100" i="10"/>
  <c r="L100" i="10"/>
  <c r="X100" i="10"/>
  <c r="AZ97" i="10"/>
  <c r="AX97" i="10"/>
  <c r="AV97" i="10"/>
  <c r="AT97" i="10"/>
  <c r="AJ97" i="10"/>
  <c r="AF97" i="10"/>
  <c r="AN97" i="10"/>
  <c r="AP97" i="10"/>
  <c r="AL97" i="10"/>
  <c r="AH97" i="10"/>
  <c r="AR97" i="10"/>
  <c r="AD97" i="10"/>
  <c r="AB97" i="10"/>
  <c r="Z97" i="10"/>
  <c r="N97" i="10"/>
  <c r="V97" i="10"/>
  <c r="R97" i="10"/>
  <c r="P97" i="10"/>
  <c r="T97" i="10"/>
  <c r="L97" i="10"/>
  <c r="X97" i="10"/>
  <c r="AZ94" i="10"/>
  <c r="AX94" i="10"/>
  <c r="AV94" i="10"/>
  <c r="AT94" i="10"/>
  <c r="AJ94" i="10"/>
  <c r="AF94" i="10"/>
  <c r="AN94" i="10"/>
  <c r="AP94" i="10"/>
  <c r="AL94" i="10"/>
  <c r="AH94" i="10"/>
  <c r="AR94" i="10"/>
  <c r="AD94" i="10"/>
  <c r="AB94" i="10"/>
  <c r="Z94" i="10"/>
  <c r="N94" i="10"/>
  <c r="V94" i="10"/>
  <c r="R94" i="10"/>
  <c r="P94" i="10"/>
  <c r="T94" i="10"/>
  <c r="L94" i="10"/>
  <c r="X94" i="10"/>
  <c r="AZ93" i="10"/>
  <c r="AX93" i="10"/>
  <c r="AV93" i="10"/>
  <c r="AT93" i="10"/>
  <c r="AJ93" i="10"/>
  <c r="AF93" i="10"/>
  <c r="AN93" i="10"/>
  <c r="AP93" i="10"/>
  <c r="AL93" i="10"/>
  <c r="AH93" i="10"/>
  <c r="AR93" i="10"/>
  <c r="AD93" i="10"/>
  <c r="AB93" i="10"/>
  <c r="Z93" i="10"/>
  <c r="N93" i="10"/>
  <c r="V93" i="10"/>
  <c r="R93" i="10"/>
  <c r="P93" i="10"/>
  <c r="T93" i="10"/>
  <c r="L93" i="10"/>
  <c r="X93" i="10"/>
  <c r="AZ92" i="10"/>
  <c r="AX92" i="10"/>
  <c r="AV92" i="10"/>
  <c r="AT92" i="10"/>
  <c r="AJ92" i="10"/>
  <c r="AF92" i="10"/>
  <c r="AN92" i="10"/>
  <c r="AP92" i="10"/>
  <c r="AL92" i="10"/>
  <c r="AH92" i="10"/>
  <c r="AR92" i="10"/>
  <c r="AD92" i="10"/>
  <c r="AB92" i="10"/>
  <c r="Z92" i="10"/>
  <c r="N92" i="10"/>
  <c r="V92" i="10"/>
  <c r="R92" i="10"/>
  <c r="P92" i="10"/>
  <c r="T92" i="10"/>
  <c r="L92" i="10"/>
  <c r="X92" i="10"/>
  <c r="AZ90" i="10"/>
  <c r="AX90" i="10"/>
  <c r="AV90" i="10"/>
  <c r="AT90" i="10"/>
  <c r="AJ90" i="10"/>
  <c r="AF90" i="10"/>
  <c r="AN90" i="10"/>
  <c r="AP90" i="10"/>
  <c r="AL90" i="10"/>
  <c r="AH90" i="10"/>
  <c r="AR90" i="10"/>
  <c r="AD90" i="10"/>
  <c r="AB90" i="10"/>
  <c r="Z90" i="10"/>
  <c r="N90" i="10"/>
  <c r="V90" i="10"/>
  <c r="R90" i="10"/>
  <c r="P90" i="10"/>
  <c r="T90" i="10"/>
  <c r="L90" i="10"/>
  <c r="X90" i="10"/>
  <c r="AZ86" i="10"/>
  <c r="AX86" i="10"/>
  <c r="AV86" i="10"/>
  <c r="AT86" i="10"/>
  <c r="AJ86" i="10"/>
  <c r="AF86" i="10"/>
  <c r="AN86" i="10"/>
  <c r="AP86" i="10"/>
  <c r="AL86" i="10"/>
  <c r="AH86" i="10"/>
  <c r="AR86" i="10"/>
  <c r="AD86" i="10"/>
  <c r="AB86" i="10"/>
  <c r="Z86" i="10"/>
  <c r="N86" i="10"/>
  <c r="V86" i="10"/>
  <c r="R86" i="10"/>
  <c r="P86" i="10"/>
  <c r="T86" i="10"/>
  <c r="L86" i="10"/>
  <c r="X86" i="10"/>
  <c r="AZ85" i="10"/>
  <c r="AX85" i="10"/>
  <c r="AV85" i="10"/>
  <c r="AT85" i="10"/>
  <c r="AJ85" i="10"/>
  <c r="AF85" i="10"/>
  <c r="AN85" i="10"/>
  <c r="AP85" i="10"/>
  <c r="AL85" i="10"/>
  <c r="AH85" i="10"/>
  <c r="AR85" i="10"/>
  <c r="AD85" i="10"/>
  <c r="AB85" i="10"/>
  <c r="Z85" i="10"/>
  <c r="N85" i="10"/>
  <c r="V85" i="10"/>
  <c r="R85" i="10"/>
  <c r="P85" i="10"/>
  <c r="T85" i="10"/>
  <c r="L85" i="10"/>
  <c r="X85" i="10"/>
  <c r="AZ84" i="10"/>
  <c r="AX84" i="10"/>
  <c r="AV84" i="10"/>
  <c r="AT84" i="10"/>
  <c r="AJ84" i="10"/>
  <c r="AF84" i="10"/>
  <c r="AN84" i="10"/>
  <c r="AP84" i="10"/>
  <c r="AL84" i="10"/>
  <c r="AH84" i="10"/>
  <c r="AR84" i="10"/>
  <c r="AD84" i="10"/>
  <c r="AB84" i="10"/>
  <c r="Z84" i="10"/>
  <c r="N84" i="10"/>
  <c r="V84" i="10"/>
  <c r="R84" i="10"/>
  <c r="P84" i="10"/>
  <c r="T84" i="10"/>
  <c r="L84" i="10"/>
  <c r="X84" i="10"/>
  <c r="AZ82" i="10"/>
  <c r="AX82" i="10"/>
  <c r="AV82" i="10"/>
  <c r="AT82" i="10"/>
  <c r="AJ82" i="10"/>
  <c r="AF82" i="10"/>
  <c r="AN82" i="10"/>
  <c r="AP82" i="10"/>
  <c r="AL82" i="10"/>
  <c r="AH82" i="10"/>
  <c r="AR82" i="10"/>
  <c r="AD82" i="10"/>
  <c r="AB82" i="10"/>
  <c r="Z82" i="10"/>
  <c r="N82" i="10"/>
  <c r="V82" i="10"/>
  <c r="R82" i="10"/>
  <c r="P82" i="10"/>
  <c r="T82" i="10"/>
  <c r="L82" i="10"/>
  <c r="X82" i="10"/>
  <c r="AZ81" i="10"/>
  <c r="AX81" i="10"/>
  <c r="AV81" i="10"/>
  <c r="AT81" i="10"/>
  <c r="AJ81" i="10"/>
  <c r="AF81" i="10"/>
  <c r="AN81" i="10"/>
  <c r="AP81" i="10"/>
  <c r="AL81" i="10"/>
  <c r="AH81" i="10"/>
  <c r="AR81" i="10"/>
  <c r="AD81" i="10"/>
  <c r="AB81" i="10"/>
  <c r="Z81" i="10"/>
  <c r="N81" i="10"/>
  <c r="V81" i="10"/>
  <c r="R81" i="10"/>
  <c r="P81" i="10"/>
  <c r="T81" i="10"/>
  <c r="L81" i="10"/>
  <c r="X81" i="10"/>
  <c r="AZ80" i="10"/>
  <c r="AX80" i="10"/>
  <c r="AV80" i="10"/>
  <c r="AT80" i="10"/>
  <c r="AJ80" i="10"/>
  <c r="AF80" i="10"/>
  <c r="AN80" i="10"/>
  <c r="AP80" i="10"/>
  <c r="AL80" i="10"/>
  <c r="AH80" i="10"/>
  <c r="AR80" i="10"/>
  <c r="AD80" i="10"/>
  <c r="AB80" i="10"/>
  <c r="Z80" i="10"/>
  <c r="N80" i="10"/>
  <c r="R80" i="10"/>
  <c r="P80" i="10"/>
  <c r="T80" i="10"/>
  <c r="L80" i="10"/>
  <c r="X80" i="10"/>
  <c r="AZ78" i="10"/>
  <c r="AX78" i="10"/>
  <c r="AV78" i="10"/>
  <c r="AT78" i="10"/>
  <c r="AJ78" i="10"/>
  <c r="AF78" i="10"/>
  <c r="AN78" i="10"/>
  <c r="AP78" i="10"/>
  <c r="AL78" i="10"/>
  <c r="AH78" i="10"/>
  <c r="AR78" i="10"/>
  <c r="AD78" i="10"/>
  <c r="AB78" i="10"/>
  <c r="Z78" i="10"/>
  <c r="N78" i="10"/>
  <c r="V78" i="10"/>
  <c r="R78" i="10"/>
  <c r="P78" i="10"/>
  <c r="T78" i="10"/>
  <c r="L78" i="10"/>
  <c r="X78" i="10"/>
  <c r="AZ75" i="10"/>
  <c r="AX75" i="10"/>
  <c r="AV75" i="10"/>
  <c r="AT75" i="10"/>
  <c r="AJ75" i="10"/>
  <c r="AF75" i="10"/>
  <c r="AN75" i="10"/>
  <c r="AP75" i="10"/>
  <c r="AL75" i="10"/>
  <c r="AH75" i="10"/>
  <c r="AR75" i="10"/>
  <c r="AD75" i="10"/>
  <c r="AB75" i="10"/>
  <c r="Z75" i="10"/>
  <c r="N75" i="10"/>
  <c r="V75" i="10"/>
  <c r="R75" i="10"/>
  <c r="P75" i="10"/>
  <c r="T75" i="10"/>
  <c r="L75" i="10"/>
  <c r="X75" i="10"/>
  <c r="AZ70" i="10"/>
  <c r="AX70" i="10"/>
  <c r="AV70" i="10"/>
  <c r="AT70" i="10"/>
  <c r="AJ70" i="10"/>
  <c r="AF70" i="10"/>
  <c r="AN70" i="10"/>
  <c r="AP70" i="10"/>
  <c r="AL70" i="10"/>
  <c r="AH70" i="10"/>
  <c r="AR70" i="10"/>
  <c r="AD70" i="10"/>
  <c r="AB70" i="10"/>
  <c r="Z70" i="10"/>
  <c r="N70" i="10"/>
  <c r="V70" i="10"/>
  <c r="R70" i="10"/>
  <c r="P70" i="10"/>
  <c r="T70" i="10"/>
  <c r="L70" i="10"/>
  <c r="X70" i="10"/>
  <c r="AZ69" i="10"/>
  <c r="AX69" i="10"/>
  <c r="AV69" i="10"/>
  <c r="AT69" i="10"/>
  <c r="AJ69" i="10"/>
  <c r="AF69" i="10"/>
  <c r="AN69" i="10"/>
  <c r="AP69" i="10"/>
  <c r="AL69" i="10"/>
  <c r="AH69" i="10"/>
  <c r="AR69" i="10"/>
  <c r="AD69" i="10"/>
  <c r="AB69" i="10"/>
  <c r="Z69" i="10"/>
  <c r="N69" i="10"/>
  <c r="V69" i="10"/>
  <c r="R69" i="10"/>
  <c r="P69" i="10"/>
  <c r="T69" i="10"/>
  <c r="L69" i="10"/>
  <c r="X69" i="10"/>
  <c r="AZ68" i="10"/>
  <c r="AX68" i="10"/>
  <c r="AV68" i="10"/>
  <c r="AT68" i="10"/>
  <c r="AJ68" i="10"/>
  <c r="AF68" i="10"/>
  <c r="AN68" i="10"/>
  <c r="AP68" i="10"/>
  <c r="AL68" i="10"/>
  <c r="AH68" i="10"/>
  <c r="AR68" i="10"/>
  <c r="AD68" i="10"/>
  <c r="AB68" i="10"/>
  <c r="Z68" i="10"/>
  <c r="N68" i="10"/>
  <c r="V68" i="10"/>
  <c r="R68" i="10"/>
  <c r="P68" i="10"/>
  <c r="T68" i="10"/>
  <c r="L68" i="10"/>
  <c r="X68" i="10"/>
  <c r="AZ67" i="10"/>
  <c r="AX67" i="10"/>
  <c r="AV67" i="10"/>
  <c r="AT67" i="10"/>
  <c r="AJ67" i="10"/>
  <c r="AF67" i="10"/>
  <c r="AN67" i="10"/>
  <c r="AP67" i="10"/>
  <c r="AL67" i="10"/>
  <c r="AH67" i="10"/>
  <c r="AR67" i="10"/>
  <c r="AD67" i="10"/>
  <c r="AB67" i="10"/>
  <c r="Z67" i="10"/>
  <c r="N67" i="10"/>
  <c r="V67" i="10"/>
  <c r="R67" i="10"/>
  <c r="P67" i="10"/>
  <c r="T67" i="10"/>
  <c r="L67" i="10"/>
  <c r="X67" i="10"/>
  <c r="AZ61" i="10"/>
  <c r="AX61" i="10"/>
  <c r="AV61" i="10"/>
  <c r="AT61" i="10"/>
  <c r="AJ61" i="10"/>
  <c r="AF61" i="10"/>
  <c r="AN61" i="10"/>
  <c r="AP61" i="10"/>
  <c r="AL61" i="10"/>
  <c r="AH61" i="10"/>
  <c r="AR61" i="10"/>
  <c r="AD61" i="10"/>
  <c r="AB61" i="10"/>
  <c r="Z61" i="10"/>
  <c r="N61" i="10"/>
  <c r="V61" i="10"/>
  <c r="R61" i="10"/>
  <c r="P61" i="10"/>
  <c r="T61" i="10"/>
  <c r="L61" i="10"/>
  <c r="X61" i="10"/>
  <c r="AZ60" i="10"/>
  <c r="AX60" i="10"/>
  <c r="AV60" i="10"/>
  <c r="AT60" i="10"/>
  <c r="AJ60" i="10"/>
  <c r="AF60" i="10"/>
  <c r="AN60" i="10"/>
  <c r="AP60" i="10"/>
  <c r="AL60" i="10"/>
  <c r="AH60" i="10"/>
  <c r="AR60" i="10"/>
  <c r="AD60" i="10"/>
  <c r="AB60" i="10"/>
  <c r="Z60" i="10"/>
  <c r="N60" i="10"/>
  <c r="V60" i="10"/>
  <c r="R60" i="10"/>
  <c r="P60" i="10"/>
  <c r="T60" i="10"/>
  <c r="L60" i="10"/>
  <c r="X60" i="10"/>
  <c r="AZ55" i="10"/>
  <c r="AX55" i="10"/>
  <c r="AV55" i="10"/>
  <c r="AT55" i="10"/>
  <c r="AJ55" i="10"/>
  <c r="AF55" i="10"/>
  <c r="AN55" i="10"/>
  <c r="AP55" i="10"/>
  <c r="AL55" i="10"/>
  <c r="AH55" i="10"/>
  <c r="AR55" i="10"/>
  <c r="AD55" i="10"/>
  <c r="AB55" i="10"/>
  <c r="Z55" i="10"/>
  <c r="N55" i="10"/>
  <c r="V55" i="10"/>
  <c r="R55" i="10"/>
  <c r="P55" i="10"/>
  <c r="T55" i="10"/>
  <c r="L55" i="10"/>
  <c r="X55" i="10"/>
  <c r="AZ54" i="10"/>
  <c r="AX54" i="10"/>
  <c r="AV54" i="10"/>
  <c r="AT54" i="10"/>
  <c r="AJ54" i="10"/>
  <c r="AF54" i="10"/>
  <c r="AN54" i="10"/>
  <c r="AP54" i="10"/>
  <c r="AL54" i="10"/>
  <c r="AH54" i="10"/>
  <c r="AR54" i="10"/>
  <c r="AD54" i="10"/>
  <c r="AB54" i="10"/>
  <c r="Z54" i="10"/>
  <c r="N54" i="10"/>
  <c r="V54" i="10"/>
  <c r="R54" i="10"/>
  <c r="P54" i="10"/>
  <c r="T54" i="10"/>
  <c r="L54" i="10"/>
  <c r="X54" i="10"/>
  <c r="AZ53" i="10"/>
  <c r="AX53" i="10"/>
  <c r="AV53" i="10"/>
  <c r="AT53" i="10"/>
  <c r="AJ53" i="10"/>
  <c r="AF53" i="10"/>
  <c r="AN53" i="10"/>
  <c r="AP53" i="10"/>
  <c r="AL53" i="10"/>
  <c r="AH53" i="10"/>
  <c r="AR53" i="10"/>
  <c r="AD53" i="10"/>
  <c r="AB53" i="10"/>
  <c r="Z53" i="10"/>
  <c r="N53" i="10"/>
  <c r="V53" i="10"/>
  <c r="R53" i="10"/>
  <c r="P53" i="10"/>
  <c r="T53" i="10"/>
  <c r="L53" i="10"/>
  <c r="X53" i="10"/>
  <c r="AZ51" i="10"/>
  <c r="AX51" i="10"/>
  <c r="AV51" i="10"/>
  <c r="AT51" i="10"/>
  <c r="AJ51" i="10"/>
  <c r="AF51" i="10"/>
  <c r="AN51" i="10"/>
  <c r="AP51" i="10"/>
  <c r="AL51" i="10"/>
  <c r="AH51" i="10"/>
  <c r="AR51" i="10"/>
  <c r="AD51" i="10"/>
  <c r="AB51" i="10"/>
  <c r="Z51" i="10"/>
  <c r="N51" i="10"/>
  <c r="V51" i="10"/>
  <c r="R51" i="10"/>
  <c r="P51" i="10"/>
  <c r="T51" i="10"/>
  <c r="L51" i="10"/>
  <c r="X51" i="10"/>
  <c r="AZ50" i="10"/>
  <c r="AX50" i="10"/>
  <c r="AV50" i="10"/>
  <c r="AT50" i="10"/>
  <c r="AJ50" i="10"/>
  <c r="AF50" i="10"/>
  <c r="AN50" i="10"/>
  <c r="AP50" i="10"/>
  <c r="AL50" i="10"/>
  <c r="AH50" i="10"/>
  <c r="AR50" i="10"/>
  <c r="AD50" i="10"/>
  <c r="AB50" i="10"/>
  <c r="Z50" i="10"/>
  <c r="N50" i="10"/>
  <c r="V50" i="10"/>
  <c r="R50" i="10"/>
  <c r="P50" i="10"/>
  <c r="T50" i="10"/>
  <c r="L50" i="10"/>
  <c r="X50" i="10"/>
  <c r="AZ47" i="10"/>
  <c r="AX47" i="10"/>
  <c r="AV47" i="10"/>
  <c r="AT47" i="10"/>
  <c r="AJ47" i="10"/>
  <c r="AF47" i="10"/>
  <c r="AN47" i="10"/>
  <c r="AP47" i="10"/>
  <c r="AL47" i="10"/>
  <c r="AH47" i="10"/>
  <c r="AR47" i="10"/>
  <c r="AD47" i="10"/>
  <c r="AB47" i="10"/>
  <c r="Z47" i="10"/>
  <c r="N47" i="10"/>
  <c r="V47" i="10"/>
  <c r="R47" i="10"/>
  <c r="P47" i="10"/>
  <c r="T47" i="10"/>
  <c r="L47" i="10"/>
  <c r="X47" i="10"/>
  <c r="AZ46" i="10"/>
  <c r="AX46" i="10"/>
  <c r="AV46" i="10"/>
  <c r="AT46" i="10"/>
  <c r="AJ46" i="10"/>
  <c r="AF46" i="10"/>
  <c r="AN46" i="10"/>
  <c r="AP46" i="10"/>
  <c r="AL46" i="10"/>
  <c r="AH46" i="10"/>
  <c r="AR46" i="10"/>
  <c r="AD46" i="10"/>
  <c r="AB46" i="10"/>
  <c r="Z46" i="10"/>
  <c r="N46" i="10"/>
  <c r="V46" i="10"/>
  <c r="R46" i="10"/>
  <c r="P46" i="10"/>
  <c r="T46" i="10"/>
  <c r="L46" i="10"/>
  <c r="X46" i="10"/>
  <c r="AZ45" i="10"/>
  <c r="AX45" i="10"/>
  <c r="AV45" i="10"/>
  <c r="AT45" i="10"/>
  <c r="AJ45" i="10"/>
  <c r="AF45" i="10"/>
  <c r="AN45" i="10"/>
  <c r="AP45" i="10"/>
  <c r="AL45" i="10"/>
  <c r="AH45" i="10"/>
  <c r="AR45" i="10"/>
  <c r="AD45" i="10"/>
  <c r="AB45" i="10"/>
  <c r="Z45" i="10"/>
  <c r="N45" i="10"/>
  <c r="V45" i="10"/>
  <c r="R45" i="10"/>
  <c r="P45" i="10"/>
  <c r="T45" i="10"/>
  <c r="L45" i="10"/>
  <c r="X45" i="10"/>
  <c r="AZ44" i="10"/>
  <c r="AX44" i="10"/>
  <c r="AV44" i="10"/>
  <c r="AT44" i="10"/>
  <c r="AJ44" i="10"/>
  <c r="AF44" i="10"/>
  <c r="AN44" i="10"/>
  <c r="AP44" i="10"/>
  <c r="AL44" i="10"/>
  <c r="AH44" i="10"/>
  <c r="AR44" i="10"/>
  <c r="AD44" i="10"/>
  <c r="AB44" i="10"/>
  <c r="Z44" i="10"/>
  <c r="N44" i="10"/>
  <c r="V44" i="10"/>
  <c r="R44" i="10"/>
  <c r="P44" i="10"/>
  <c r="T44" i="10"/>
  <c r="L44" i="10"/>
  <c r="X44" i="10"/>
  <c r="AZ41" i="10"/>
  <c r="AX41" i="10"/>
  <c r="AV41" i="10"/>
  <c r="AT41" i="10"/>
  <c r="AJ41" i="10"/>
  <c r="AF41" i="10"/>
  <c r="AN41" i="10"/>
  <c r="AP41" i="10"/>
  <c r="AL41" i="10"/>
  <c r="AH41" i="10"/>
  <c r="AR41" i="10"/>
  <c r="AD41" i="10"/>
  <c r="AB41" i="10"/>
  <c r="Z41" i="10"/>
  <c r="N41" i="10"/>
  <c r="V41" i="10"/>
  <c r="R41" i="10"/>
  <c r="P41" i="10"/>
  <c r="T41" i="10"/>
  <c r="L41" i="10"/>
  <c r="X41" i="10"/>
  <c r="AZ40" i="10"/>
  <c r="AX40" i="10"/>
  <c r="AV40" i="10"/>
  <c r="AT40" i="10"/>
  <c r="AJ40" i="10"/>
  <c r="AF40" i="10"/>
  <c r="AN40" i="10"/>
  <c r="AP40" i="10"/>
  <c r="AL40" i="10"/>
  <c r="AH40" i="10"/>
  <c r="AR40" i="10"/>
  <c r="AD40" i="10"/>
  <c r="AB40" i="10"/>
  <c r="Z40" i="10"/>
  <c r="N40" i="10"/>
  <c r="V40" i="10"/>
  <c r="R40" i="10"/>
  <c r="P40" i="10"/>
  <c r="T40" i="10"/>
  <c r="L40" i="10"/>
  <c r="X40" i="10"/>
  <c r="AZ37" i="10"/>
  <c r="AX37" i="10"/>
  <c r="AV37" i="10"/>
  <c r="AT37" i="10"/>
  <c r="AJ37" i="10"/>
  <c r="AF37" i="10"/>
  <c r="AN37" i="10"/>
  <c r="AP37" i="10"/>
  <c r="AL37" i="10"/>
  <c r="AH37" i="10"/>
  <c r="AR37" i="10"/>
  <c r="AD37" i="10"/>
  <c r="AB37" i="10"/>
  <c r="Z37" i="10"/>
  <c r="N37" i="10"/>
  <c r="V37" i="10"/>
  <c r="R37" i="10"/>
  <c r="P37" i="10"/>
  <c r="T37" i="10"/>
  <c r="L37" i="10"/>
  <c r="X37" i="10"/>
  <c r="AZ36" i="10"/>
  <c r="AX36" i="10"/>
  <c r="AV36" i="10"/>
  <c r="AT36" i="10"/>
  <c r="AJ36" i="10"/>
  <c r="AF36" i="10"/>
  <c r="AN36" i="10"/>
  <c r="AP36" i="10"/>
  <c r="AL36" i="10"/>
  <c r="AH36" i="10"/>
  <c r="AR36" i="10"/>
  <c r="AD36" i="10"/>
  <c r="AB36" i="10"/>
  <c r="Z36" i="10"/>
  <c r="N36" i="10"/>
  <c r="V36" i="10"/>
  <c r="R36" i="10"/>
  <c r="P36" i="10"/>
  <c r="T36" i="10"/>
  <c r="L36" i="10"/>
  <c r="X36" i="10"/>
  <c r="AZ35" i="10"/>
  <c r="AX35" i="10"/>
  <c r="AV35" i="10"/>
  <c r="AT35" i="10"/>
  <c r="AJ35" i="10"/>
  <c r="AF35" i="10"/>
  <c r="AN35" i="10"/>
  <c r="AP35" i="10"/>
  <c r="AL35" i="10"/>
  <c r="AH35" i="10"/>
  <c r="AR35" i="10"/>
  <c r="AD35" i="10"/>
  <c r="AB35" i="10"/>
  <c r="Z35" i="10"/>
  <c r="N35" i="10"/>
  <c r="V35" i="10"/>
  <c r="R35" i="10"/>
  <c r="P35" i="10"/>
  <c r="T35" i="10"/>
  <c r="L35" i="10"/>
  <c r="X35" i="10"/>
  <c r="AZ34" i="10"/>
  <c r="AX34" i="10"/>
  <c r="AV34" i="10"/>
  <c r="AT34" i="10"/>
  <c r="AJ34" i="10"/>
  <c r="AF34" i="10"/>
  <c r="AN34" i="10"/>
  <c r="AP34" i="10"/>
  <c r="AL34" i="10"/>
  <c r="AH34" i="10"/>
  <c r="AR34" i="10"/>
  <c r="AD34" i="10"/>
  <c r="AB34" i="10"/>
  <c r="Z34" i="10"/>
  <c r="N34" i="10"/>
  <c r="V34" i="10"/>
  <c r="R34" i="10"/>
  <c r="P34" i="10"/>
  <c r="T34" i="10"/>
  <c r="L34" i="10"/>
  <c r="X34" i="10"/>
  <c r="AZ33" i="10"/>
  <c r="AX33" i="10"/>
  <c r="AV33" i="10"/>
  <c r="AT33" i="10"/>
  <c r="AJ33" i="10"/>
  <c r="AF33" i="10"/>
  <c r="AN33" i="10"/>
  <c r="AP33" i="10"/>
  <c r="AL33" i="10"/>
  <c r="AH33" i="10"/>
  <c r="AR33" i="10"/>
  <c r="AD33" i="10"/>
  <c r="AB33" i="10"/>
  <c r="Z33" i="10"/>
  <c r="N33" i="10"/>
  <c r="V33" i="10"/>
  <c r="R33" i="10"/>
  <c r="P33" i="10"/>
  <c r="T33" i="10"/>
  <c r="L33" i="10"/>
  <c r="X33" i="10"/>
  <c r="AZ27" i="10"/>
  <c r="AX27" i="10"/>
  <c r="AV27" i="10"/>
  <c r="AT27" i="10"/>
  <c r="AJ27" i="10"/>
  <c r="AF27" i="10"/>
  <c r="AN27" i="10"/>
  <c r="AP27" i="10"/>
  <c r="AL27" i="10"/>
  <c r="AH27" i="10"/>
  <c r="AR27" i="10"/>
  <c r="AD27" i="10"/>
  <c r="AB27" i="10"/>
  <c r="Z27" i="10"/>
  <c r="N27" i="10"/>
  <c r="V27" i="10"/>
  <c r="R27" i="10"/>
  <c r="P27" i="10"/>
  <c r="T27" i="10"/>
  <c r="L27" i="10"/>
  <c r="X27" i="10"/>
  <c r="AZ26" i="10"/>
  <c r="AX26" i="10"/>
  <c r="AV26" i="10"/>
  <c r="AT26" i="10"/>
  <c r="AJ26" i="10"/>
  <c r="AF26" i="10"/>
  <c r="AN26" i="10"/>
  <c r="AP26" i="10"/>
  <c r="AL26" i="10"/>
  <c r="AH26" i="10"/>
  <c r="AR26" i="10"/>
  <c r="AD26" i="10"/>
  <c r="AB26" i="10"/>
  <c r="Z26" i="10"/>
  <c r="N26" i="10"/>
  <c r="V26" i="10"/>
  <c r="R26" i="10"/>
  <c r="P26" i="10"/>
  <c r="T26" i="10"/>
  <c r="L26" i="10"/>
  <c r="X26" i="10"/>
  <c r="AZ25" i="10"/>
  <c r="AX25" i="10"/>
  <c r="AV25" i="10"/>
  <c r="AT25" i="10"/>
  <c r="AJ25" i="10"/>
  <c r="AF25" i="10"/>
  <c r="AN25" i="10"/>
  <c r="AP25" i="10"/>
  <c r="AL25" i="10"/>
  <c r="AH25" i="10"/>
  <c r="AR25" i="10"/>
  <c r="AD25" i="10"/>
  <c r="AB25" i="10"/>
  <c r="Z25" i="10"/>
  <c r="N25" i="10"/>
  <c r="V25" i="10"/>
  <c r="R25" i="10"/>
  <c r="P25" i="10"/>
  <c r="T25" i="10"/>
  <c r="L25" i="10"/>
  <c r="X25" i="10"/>
  <c r="AZ23" i="10"/>
  <c r="AX23" i="10"/>
  <c r="AV23" i="10"/>
  <c r="AT23" i="10"/>
  <c r="AJ23" i="10"/>
  <c r="AF23" i="10"/>
  <c r="AN23" i="10"/>
  <c r="AP23" i="10"/>
  <c r="AL23" i="10"/>
  <c r="AH23" i="10"/>
  <c r="AR23" i="10"/>
  <c r="AD23" i="10"/>
  <c r="AB23" i="10"/>
  <c r="Z23" i="10"/>
  <c r="N23" i="10"/>
  <c r="V23" i="10"/>
  <c r="R23" i="10"/>
  <c r="P23" i="10"/>
  <c r="T23" i="10"/>
  <c r="L23" i="10"/>
  <c r="X23" i="10"/>
  <c r="AZ22" i="10"/>
  <c r="AX22" i="10"/>
  <c r="AV22" i="10"/>
  <c r="AT22" i="10"/>
  <c r="AJ22" i="10"/>
  <c r="AF22" i="10"/>
  <c r="AN22" i="10"/>
  <c r="AP22" i="10"/>
  <c r="AL22" i="10"/>
  <c r="AH22" i="10"/>
  <c r="AR22" i="10"/>
  <c r="AD22" i="10"/>
  <c r="AB22" i="10"/>
  <c r="Z22" i="10"/>
  <c r="N22" i="10"/>
  <c r="V22" i="10"/>
  <c r="R22" i="10"/>
  <c r="P22" i="10"/>
  <c r="T22" i="10"/>
  <c r="L22" i="10"/>
  <c r="X22" i="10"/>
  <c r="AZ19" i="10"/>
  <c r="AX19" i="10"/>
  <c r="AV19" i="10"/>
  <c r="AT19" i="10"/>
  <c r="AJ19" i="10"/>
  <c r="AF19" i="10"/>
  <c r="AN19" i="10"/>
  <c r="AP19" i="10"/>
  <c r="AL19" i="10"/>
  <c r="AH19" i="10"/>
  <c r="AR19" i="10"/>
  <c r="AD19" i="10"/>
  <c r="AB19" i="10"/>
  <c r="Z19" i="10"/>
  <c r="N19" i="10"/>
  <c r="V19" i="10"/>
  <c r="R19" i="10"/>
  <c r="P19" i="10"/>
  <c r="T19" i="10"/>
  <c r="L19" i="10"/>
  <c r="X19" i="10"/>
  <c r="AZ18" i="10"/>
  <c r="AX18" i="10"/>
  <c r="AV18" i="10"/>
  <c r="AT18" i="10"/>
  <c r="AJ18" i="10"/>
  <c r="AF18" i="10"/>
  <c r="AN18" i="10"/>
  <c r="AP18" i="10"/>
  <c r="AL18" i="10"/>
  <c r="AH18" i="10"/>
  <c r="AR18" i="10"/>
  <c r="AD18" i="10"/>
  <c r="AB18" i="10"/>
  <c r="Z18" i="10"/>
  <c r="N18" i="10"/>
  <c r="V18" i="10"/>
  <c r="R18" i="10"/>
  <c r="P18" i="10"/>
  <c r="T18" i="10"/>
  <c r="L18" i="10"/>
  <c r="X18" i="10"/>
  <c r="AZ14" i="10"/>
  <c r="AX14" i="10"/>
  <c r="AV14" i="10"/>
  <c r="AT14" i="10"/>
  <c r="AJ14" i="10"/>
  <c r="AF14" i="10"/>
  <c r="AN14" i="10"/>
  <c r="AP14" i="10"/>
  <c r="AL14" i="10"/>
  <c r="AH14" i="10"/>
  <c r="AR14" i="10"/>
  <c r="AD14" i="10"/>
  <c r="AB14" i="10"/>
  <c r="Z14" i="10"/>
  <c r="N14" i="10"/>
  <c r="V14" i="10"/>
  <c r="R14" i="10"/>
  <c r="P14" i="10"/>
  <c r="T14" i="10"/>
  <c r="L14" i="10"/>
  <c r="X14" i="10"/>
  <c r="AZ11" i="10"/>
  <c r="AX11" i="10"/>
  <c r="AV11" i="10"/>
  <c r="AT11" i="10"/>
  <c r="AJ11" i="10"/>
  <c r="AF11" i="10"/>
  <c r="AN11" i="10"/>
  <c r="AP11" i="10"/>
  <c r="AL11" i="10"/>
  <c r="AH11" i="10"/>
  <c r="AR11" i="10"/>
  <c r="AD11" i="10"/>
  <c r="AB11" i="10"/>
  <c r="Z11" i="10"/>
  <c r="N11" i="10"/>
  <c r="V11" i="10"/>
  <c r="R11" i="10"/>
  <c r="P11" i="10"/>
  <c r="T11" i="10"/>
  <c r="L11" i="10"/>
  <c r="X11" i="10"/>
  <c r="AL11" i="12"/>
  <c r="AL12" i="12"/>
  <c r="AL13" i="12"/>
  <c r="AL14" i="12"/>
  <c r="AL15" i="12"/>
  <c r="AL16" i="12"/>
  <c r="AL17" i="12"/>
  <c r="AL18" i="12"/>
  <c r="AL19" i="12"/>
  <c r="AL20" i="12"/>
  <c r="AL21" i="12"/>
  <c r="AL22" i="12"/>
  <c r="AL23" i="12"/>
  <c r="AL24" i="12"/>
  <c r="AL25" i="12"/>
  <c r="AL26" i="12"/>
  <c r="AL27" i="12"/>
  <c r="AL28" i="12"/>
  <c r="AL29" i="12"/>
  <c r="AL30" i="12"/>
  <c r="AL31" i="12"/>
  <c r="AL32" i="12"/>
  <c r="AL33" i="12"/>
  <c r="AL34" i="12"/>
  <c r="AL35" i="12"/>
  <c r="AL36" i="12"/>
  <c r="AL37" i="12"/>
  <c r="AL38" i="12"/>
  <c r="AL39" i="12"/>
  <c r="AL40" i="12"/>
  <c r="AL41" i="12"/>
  <c r="AL42" i="12"/>
  <c r="AL43" i="12"/>
  <c r="AL44" i="12"/>
  <c r="AL45" i="12"/>
  <c r="AL46" i="12"/>
  <c r="AL47" i="12"/>
  <c r="AL48" i="12"/>
  <c r="AL49" i="12"/>
  <c r="AL50" i="12"/>
  <c r="AL51" i="12"/>
  <c r="AL52" i="12"/>
  <c r="AL53" i="12"/>
  <c r="AL54" i="12"/>
  <c r="AL55" i="12"/>
  <c r="AL57" i="12"/>
  <c r="AL58" i="12"/>
  <c r="AL59" i="12"/>
  <c r="AL60" i="12"/>
  <c r="AL61" i="12"/>
  <c r="AL62" i="12"/>
  <c r="AL63" i="12"/>
  <c r="AK66" i="12"/>
  <c r="H66" i="12"/>
  <c r="AL66" i="12"/>
  <c r="AK67" i="12"/>
  <c r="AL67" i="12"/>
  <c r="AQ66" i="12"/>
  <c r="AQ67" i="12"/>
  <c r="AR67" i="12"/>
  <c r="AY66" i="12"/>
  <c r="AY67" i="12"/>
  <c r="AZ67" i="12"/>
  <c r="AS66" i="12"/>
  <c r="AS67" i="12"/>
  <c r="AT67" i="12"/>
  <c r="AW66" i="12"/>
  <c r="AW67" i="12"/>
  <c r="AX67" i="12"/>
  <c r="AU66" i="12"/>
  <c r="AU67" i="12"/>
  <c r="AV67" i="12"/>
  <c r="AO66" i="12"/>
  <c r="AO67" i="12"/>
  <c r="AP67" i="12"/>
  <c r="AG66" i="12"/>
  <c r="AG67" i="12"/>
  <c r="AH67" i="12"/>
  <c r="AE66" i="12"/>
  <c r="AE67" i="12"/>
  <c r="AF67" i="12"/>
  <c r="AI66" i="12"/>
  <c r="AI67" i="12"/>
  <c r="AJ67" i="12"/>
  <c r="AA66" i="12"/>
  <c r="AA67" i="12"/>
  <c r="AB67" i="12"/>
  <c r="Y66" i="12"/>
  <c r="Y67" i="12"/>
  <c r="Z67" i="12"/>
  <c r="W66" i="12"/>
  <c r="W67" i="12"/>
  <c r="X67" i="12"/>
  <c r="AM66" i="12"/>
  <c r="AM67" i="12"/>
  <c r="AN67" i="12"/>
  <c r="AC66" i="12"/>
  <c r="AC67" i="12"/>
  <c r="AD67" i="12"/>
  <c r="O66" i="12"/>
  <c r="O67" i="12"/>
  <c r="P67" i="12"/>
  <c r="Q66" i="12"/>
  <c r="Q67" i="12"/>
  <c r="R67" i="12"/>
  <c r="S66" i="12"/>
  <c r="S67" i="12"/>
  <c r="T67" i="12"/>
  <c r="M66" i="12"/>
  <c r="M67" i="12"/>
  <c r="N67" i="12"/>
  <c r="U66" i="12"/>
  <c r="U67" i="12"/>
  <c r="V67" i="12"/>
  <c r="K66" i="12"/>
  <c r="K67" i="12"/>
  <c r="L67" i="12"/>
  <c r="AR66" i="12"/>
  <c r="AZ66" i="12"/>
  <c r="AT66" i="12"/>
  <c r="AX66" i="12"/>
  <c r="AV66" i="12"/>
  <c r="AP66" i="12"/>
  <c r="AH66" i="12"/>
  <c r="AF66" i="12"/>
  <c r="AJ66" i="12"/>
  <c r="AB66" i="12"/>
  <c r="Z66" i="12"/>
  <c r="X66" i="12"/>
  <c r="AN66" i="12"/>
  <c r="AD66" i="12"/>
  <c r="P66" i="12"/>
  <c r="R66" i="12"/>
  <c r="T66" i="12"/>
  <c r="N66" i="12"/>
  <c r="V66" i="12"/>
  <c r="L66" i="12"/>
  <c r="AR63" i="12"/>
  <c r="AZ63" i="12"/>
  <c r="AT63" i="12"/>
  <c r="AX63" i="12"/>
  <c r="AV63" i="12"/>
  <c r="AP63" i="12"/>
  <c r="AH63" i="12"/>
  <c r="AF63" i="12"/>
  <c r="AJ63" i="12"/>
  <c r="AB63" i="12"/>
  <c r="Z63" i="12"/>
  <c r="X63" i="12"/>
  <c r="AN63" i="12"/>
  <c r="AD63" i="12"/>
  <c r="P63" i="12"/>
  <c r="R63" i="12"/>
  <c r="T63" i="12"/>
  <c r="N63" i="12"/>
  <c r="V63" i="12"/>
  <c r="L63" i="12"/>
  <c r="AR62" i="12"/>
  <c r="AZ62" i="12"/>
  <c r="AT62" i="12"/>
  <c r="AX62" i="12"/>
  <c r="AV62" i="12"/>
  <c r="AP62" i="12"/>
  <c r="AH62" i="12"/>
  <c r="AF62" i="12"/>
  <c r="AJ62" i="12"/>
  <c r="AB62" i="12"/>
  <c r="Z62" i="12"/>
  <c r="X62" i="12"/>
  <c r="AN62" i="12"/>
  <c r="AD62" i="12"/>
  <c r="P62" i="12"/>
  <c r="R62" i="12"/>
  <c r="T62" i="12"/>
  <c r="N62" i="12"/>
  <c r="V62" i="12"/>
  <c r="L62" i="12"/>
  <c r="AR61" i="12"/>
  <c r="AZ61" i="12"/>
  <c r="AT61" i="12"/>
  <c r="AX61" i="12"/>
  <c r="AV61" i="12"/>
  <c r="AP61" i="12"/>
  <c r="AH61" i="12"/>
  <c r="AF61" i="12"/>
  <c r="AJ61" i="12"/>
  <c r="AB61" i="12"/>
  <c r="Z61" i="12"/>
  <c r="X61" i="12"/>
  <c r="AN61" i="12"/>
  <c r="AD61" i="12"/>
  <c r="P61" i="12"/>
  <c r="R61" i="12"/>
  <c r="T61" i="12"/>
  <c r="N61" i="12"/>
  <c r="V61" i="12"/>
  <c r="L61" i="12"/>
  <c r="AR60" i="12"/>
  <c r="AZ60" i="12"/>
  <c r="AT60" i="12"/>
  <c r="AX60" i="12"/>
  <c r="AV60" i="12"/>
  <c r="AP60" i="12"/>
  <c r="AH60" i="12"/>
  <c r="AF60" i="12"/>
  <c r="AJ60" i="12"/>
  <c r="AB60" i="12"/>
  <c r="Z60" i="12"/>
  <c r="X60" i="12"/>
  <c r="AN60" i="12"/>
  <c r="AD60" i="12"/>
  <c r="P60" i="12"/>
  <c r="R60" i="12"/>
  <c r="T60" i="12"/>
  <c r="N60" i="12"/>
  <c r="V60" i="12"/>
  <c r="L60" i="12"/>
  <c r="AR59" i="12"/>
  <c r="AZ59" i="12"/>
  <c r="AT59" i="12"/>
  <c r="AX59" i="12"/>
  <c r="AV59" i="12"/>
  <c r="AP59" i="12"/>
  <c r="AH59" i="12"/>
  <c r="AF59" i="12"/>
  <c r="AJ59" i="12"/>
  <c r="AB59" i="12"/>
  <c r="X59" i="12"/>
  <c r="AN59" i="12"/>
  <c r="AD59" i="12"/>
  <c r="P59" i="12"/>
  <c r="R59" i="12"/>
  <c r="T59" i="12"/>
  <c r="N59" i="12"/>
  <c r="V59" i="12"/>
  <c r="L59" i="12"/>
  <c r="AR58" i="12"/>
  <c r="AZ58" i="12"/>
  <c r="AT58" i="12"/>
  <c r="AX58" i="12"/>
  <c r="AV58" i="12"/>
  <c r="AP58" i="12"/>
  <c r="AH58" i="12"/>
  <c r="AF58" i="12"/>
  <c r="AJ58" i="12"/>
  <c r="AB58" i="12"/>
  <c r="Z58" i="12"/>
  <c r="X58" i="12"/>
  <c r="AN58" i="12"/>
  <c r="AD58" i="12"/>
  <c r="P58" i="12"/>
  <c r="R58" i="12"/>
  <c r="T58" i="12"/>
  <c r="N58" i="12"/>
  <c r="V58" i="12"/>
  <c r="L58" i="12"/>
  <c r="AR57" i="12"/>
  <c r="AZ57" i="12"/>
  <c r="AT57" i="12"/>
  <c r="AX57" i="12"/>
  <c r="AV57" i="12"/>
  <c r="AP57" i="12"/>
  <c r="AH57" i="12"/>
  <c r="AF57" i="12"/>
  <c r="AJ57" i="12"/>
  <c r="AB57" i="12"/>
  <c r="Z57" i="12"/>
  <c r="X57" i="12"/>
  <c r="AN57" i="12"/>
  <c r="AD57" i="12"/>
  <c r="P57" i="12"/>
  <c r="R57" i="12"/>
  <c r="T57" i="12"/>
  <c r="N57" i="12"/>
  <c r="V57" i="12"/>
  <c r="L57" i="12"/>
  <c r="AR55" i="12"/>
  <c r="AZ55" i="12"/>
  <c r="AT55" i="12"/>
  <c r="AX55" i="12"/>
  <c r="AV55" i="12"/>
  <c r="AP55" i="12"/>
  <c r="AH55" i="12"/>
  <c r="AF55" i="12"/>
  <c r="AJ55" i="12"/>
  <c r="AB55" i="12"/>
  <c r="Z55" i="12"/>
  <c r="X55" i="12"/>
  <c r="AN55" i="12"/>
  <c r="AD55" i="12"/>
  <c r="P55" i="12"/>
  <c r="R55" i="12"/>
  <c r="T55" i="12"/>
  <c r="N55" i="12"/>
  <c r="V55" i="12"/>
  <c r="L55" i="12"/>
  <c r="AR54" i="12"/>
  <c r="AZ54" i="12"/>
  <c r="AT54" i="12"/>
  <c r="AX54" i="12"/>
  <c r="AV54" i="12"/>
  <c r="AP54" i="12"/>
  <c r="AH54" i="12"/>
  <c r="AF54" i="12"/>
  <c r="AJ54" i="12"/>
  <c r="AB54" i="12"/>
  <c r="Z54" i="12"/>
  <c r="X54" i="12"/>
  <c r="AN54" i="12"/>
  <c r="AD54" i="12"/>
  <c r="P54" i="12"/>
  <c r="R54" i="12"/>
  <c r="T54" i="12"/>
  <c r="N54" i="12"/>
  <c r="V54" i="12"/>
  <c r="L54" i="12"/>
  <c r="AR53" i="12"/>
  <c r="AZ53" i="12"/>
  <c r="AT53" i="12"/>
  <c r="AX53" i="12"/>
  <c r="AV53" i="12"/>
  <c r="AP53" i="12"/>
  <c r="AH53" i="12"/>
  <c r="AF53" i="12"/>
  <c r="AJ53" i="12"/>
  <c r="AB53" i="12"/>
  <c r="Z53" i="12"/>
  <c r="X53" i="12"/>
  <c r="AN53" i="12"/>
  <c r="AD53" i="12"/>
  <c r="P53" i="12"/>
  <c r="R53" i="12"/>
  <c r="T53" i="12"/>
  <c r="N53" i="12"/>
  <c r="V53" i="12"/>
  <c r="L53" i="12"/>
  <c r="AR52" i="12"/>
  <c r="AZ52" i="12"/>
  <c r="AT52" i="12"/>
  <c r="AX52" i="12"/>
  <c r="AV52" i="12"/>
  <c r="AP52" i="12"/>
  <c r="AH52" i="12"/>
  <c r="AF52" i="12"/>
  <c r="AJ52" i="12"/>
  <c r="AB52" i="12"/>
  <c r="Z52" i="12"/>
  <c r="X52" i="12"/>
  <c r="AN52" i="12"/>
  <c r="AD52" i="12"/>
  <c r="P52" i="12"/>
  <c r="R52" i="12"/>
  <c r="T52" i="12"/>
  <c r="N52" i="12"/>
  <c r="V52" i="12"/>
  <c r="L52" i="12"/>
  <c r="AR51" i="12"/>
  <c r="AZ51" i="12"/>
  <c r="AT51" i="12"/>
  <c r="AX51" i="12"/>
  <c r="AV51" i="12"/>
  <c r="AP51" i="12"/>
  <c r="AH51" i="12"/>
  <c r="AF51" i="12"/>
  <c r="AJ51" i="12"/>
  <c r="AB51" i="12"/>
  <c r="Z51" i="12"/>
  <c r="X51" i="12"/>
  <c r="AN51" i="12"/>
  <c r="AD51" i="12"/>
  <c r="P51" i="12"/>
  <c r="R51" i="12"/>
  <c r="T51" i="12"/>
  <c r="N51" i="12"/>
  <c r="V51" i="12"/>
  <c r="L51" i="12"/>
  <c r="AR50" i="12"/>
  <c r="AZ50" i="12"/>
  <c r="AT50" i="12"/>
  <c r="AX50" i="12"/>
  <c r="AV50" i="12"/>
  <c r="AP50" i="12"/>
  <c r="AH50" i="12"/>
  <c r="AF50" i="12"/>
  <c r="AJ50" i="12"/>
  <c r="AB50" i="12"/>
  <c r="Z50" i="12"/>
  <c r="X50" i="12"/>
  <c r="AN50" i="12"/>
  <c r="AD50" i="12"/>
  <c r="P50" i="12"/>
  <c r="R50" i="12"/>
  <c r="T50" i="12"/>
  <c r="N50" i="12"/>
  <c r="V50" i="12"/>
  <c r="L50" i="12"/>
  <c r="AR49" i="12"/>
  <c r="AZ49" i="12"/>
  <c r="AT49" i="12"/>
  <c r="AX49" i="12"/>
  <c r="AV49" i="12"/>
  <c r="AP49" i="12"/>
  <c r="AH49" i="12"/>
  <c r="AF49" i="12"/>
  <c r="AJ49" i="12"/>
  <c r="AB49" i="12"/>
  <c r="Z49" i="12"/>
  <c r="X49" i="12"/>
  <c r="AN49" i="12"/>
  <c r="AD49" i="12"/>
  <c r="P49" i="12"/>
  <c r="R49" i="12"/>
  <c r="T49" i="12"/>
  <c r="N49" i="12"/>
  <c r="V49" i="12"/>
  <c r="L49" i="12"/>
  <c r="AR48" i="12"/>
  <c r="AZ48" i="12"/>
  <c r="AT48" i="12"/>
  <c r="AX48" i="12"/>
  <c r="AV48" i="12"/>
  <c r="AP48" i="12"/>
  <c r="AH48" i="12"/>
  <c r="AF48" i="12"/>
  <c r="AJ48" i="12"/>
  <c r="AB48" i="12"/>
  <c r="Z48" i="12"/>
  <c r="X48" i="12"/>
  <c r="AN48" i="12"/>
  <c r="AD48" i="12"/>
  <c r="P48" i="12"/>
  <c r="R48" i="12"/>
  <c r="T48" i="12"/>
  <c r="N48" i="12"/>
  <c r="V48" i="12"/>
  <c r="L48" i="12"/>
  <c r="AR47" i="12"/>
  <c r="AZ47" i="12"/>
  <c r="AT47" i="12"/>
  <c r="AX47" i="12"/>
  <c r="AV47" i="12"/>
  <c r="AP47" i="12"/>
  <c r="AH47" i="12"/>
  <c r="AF47" i="12"/>
  <c r="AJ47" i="12"/>
  <c r="AB47" i="12"/>
  <c r="Z47" i="12"/>
  <c r="X47" i="12"/>
  <c r="AN47" i="12"/>
  <c r="AD47" i="12"/>
  <c r="P47" i="12"/>
  <c r="R47" i="12"/>
  <c r="T47" i="12"/>
  <c r="N47" i="12"/>
  <c r="V47" i="12"/>
  <c r="L47" i="12"/>
  <c r="AR46" i="12"/>
  <c r="AZ46" i="12"/>
  <c r="AT46" i="12"/>
  <c r="AX46" i="12"/>
  <c r="AV46" i="12"/>
  <c r="AP46" i="12"/>
  <c r="AH46" i="12"/>
  <c r="AF46" i="12"/>
  <c r="AJ46" i="12"/>
  <c r="AB46" i="12"/>
  <c r="Z46" i="12"/>
  <c r="X46" i="12"/>
  <c r="AN46" i="12"/>
  <c r="AD46" i="12"/>
  <c r="P46" i="12"/>
  <c r="R46" i="12"/>
  <c r="T46" i="12"/>
  <c r="N46" i="12"/>
  <c r="V46" i="12"/>
  <c r="L46" i="12"/>
  <c r="AR45" i="12"/>
  <c r="AZ45" i="12"/>
  <c r="AT45" i="12"/>
  <c r="AX45" i="12"/>
  <c r="AV45" i="12"/>
  <c r="AP45" i="12"/>
  <c r="AH45" i="12"/>
  <c r="AF45" i="12"/>
  <c r="AJ45" i="12"/>
  <c r="AB45" i="12"/>
  <c r="Z45" i="12"/>
  <c r="X45" i="12"/>
  <c r="AN45" i="12"/>
  <c r="AD45" i="12"/>
  <c r="P45" i="12"/>
  <c r="R45" i="12"/>
  <c r="T45" i="12"/>
  <c r="N45" i="12"/>
  <c r="V45" i="12"/>
  <c r="L45" i="12"/>
  <c r="AR44" i="12"/>
  <c r="AZ44" i="12"/>
  <c r="AT44" i="12"/>
  <c r="AX44" i="12"/>
  <c r="AV44" i="12"/>
  <c r="AP44" i="12"/>
  <c r="AH44" i="12"/>
  <c r="AF44" i="12"/>
  <c r="AJ44" i="12"/>
  <c r="AB44" i="12"/>
  <c r="Z44" i="12"/>
  <c r="X44" i="12"/>
  <c r="AN44" i="12"/>
  <c r="AD44" i="12"/>
  <c r="R44" i="12"/>
  <c r="T44" i="12"/>
  <c r="N44" i="12"/>
  <c r="V44" i="12"/>
  <c r="L44" i="12"/>
  <c r="AR43" i="12"/>
  <c r="AZ43" i="12"/>
  <c r="AT43" i="12"/>
  <c r="AX43" i="12"/>
  <c r="AV43" i="12"/>
  <c r="AP43" i="12"/>
  <c r="AH43" i="12"/>
  <c r="AF43" i="12"/>
  <c r="AJ43" i="12"/>
  <c r="AB43" i="12"/>
  <c r="Z43" i="12"/>
  <c r="X43" i="12"/>
  <c r="AN43" i="12"/>
  <c r="AD43" i="12"/>
  <c r="P43" i="12"/>
  <c r="R43" i="12"/>
  <c r="T43" i="12"/>
  <c r="N43" i="12"/>
  <c r="V43" i="12"/>
  <c r="L43" i="12"/>
  <c r="AR42" i="12"/>
  <c r="AZ42" i="12"/>
  <c r="AT42" i="12"/>
  <c r="AX42" i="12"/>
  <c r="AV42" i="12"/>
  <c r="AP42" i="12"/>
  <c r="AH42" i="12"/>
  <c r="AF42" i="12"/>
  <c r="AJ42" i="12"/>
  <c r="AB42" i="12"/>
  <c r="Z42" i="12"/>
  <c r="X42" i="12"/>
  <c r="AN42" i="12"/>
  <c r="AD42" i="12"/>
  <c r="P42" i="12"/>
  <c r="R42" i="12"/>
  <c r="T42" i="12"/>
  <c r="N42" i="12"/>
  <c r="V42" i="12"/>
  <c r="L42" i="12"/>
  <c r="AR41" i="12"/>
  <c r="AZ41" i="12"/>
  <c r="AT41" i="12"/>
  <c r="AX41" i="12"/>
  <c r="AV41" i="12"/>
  <c r="AP41" i="12"/>
  <c r="AH41" i="12"/>
  <c r="AF41" i="12"/>
  <c r="AJ41" i="12"/>
  <c r="AB41" i="12"/>
  <c r="Z41" i="12"/>
  <c r="X41" i="12"/>
  <c r="AN41" i="12"/>
  <c r="AD41" i="12"/>
  <c r="P41" i="12"/>
  <c r="R41" i="12"/>
  <c r="T41" i="12"/>
  <c r="N41" i="12"/>
  <c r="V41" i="12"/>
  <c r="L41" i="12"/>
  <c r="AR40" i="12"/>
  <c r="AZ40" i="12"/>
  <c r="AT40" i="12"/>
  <c r="AX40" i="12"/>
  <c r="AV40" i="12"/>
  <c r="AP40" i="12"/>
  <c r="AH40" i="12"/>
  <c r="AF40" i="12"/>
  <c r="AJ40" i="12"/>
  <c r="AB40" i="12"/>
  <c r="Z40" i="12"/>
  <c r="X40" i="12"/>
  <c r="AN40" i="12"/>
  <c r="AD40" i="12"/>
  <c r="P40" i="12"/>
  <c r="R40" i="12"/>
  <c r="T40" i="12"/>
  <c r="N40" i="12"/>
  <c r="V40" i="12"/>
  <c r="L40" i="12"/>
  <c r="AR39" i="12"/>
  <c r="AZ39" i="12"/>
  <c r="AT39" i="12"/>
  <c r="AX39" i="12"/>
  <c r="AV39" i="12"/>
  <c r="AP39" i="12"/>
  <c r="AH39" i="12"/>
  <c r="AF39" i="12"/>
  <c r="AJ39" i="12"/>
  <c r="AB39" i="12"/>
  <c r="Z39" i="12"/>
  <c r="X39" i="12"/>
  <c r="AN39" i="12"/>
  <c r="AD39" i="12"/>
  <c r="P39" i="12"/>
  <c r="R39" i="12"/>
  <c r="T39" i="12"/>
  <c r="N39" i="12"/>
  <c r="V39" i="12"/>
  <c r="L39" i="12"/>
  <c r="AR38" i="12"/>
  <c r="AZ38" i="12"/>
  <c r="AT38" i="12"/>
  <c r="AX38" i="12"/>
  <c r="AV38" i="12"/>
  <c r="AP38" i="12"/>
  <c r="AH38" i="12"/>
  <c r="AF38" i="12"/>
  <c r="AJ38" i="12"/>
  <c r="AB38" i="12"/>
  <c r="Z38" i="12"/>
  <c r="X38" i="12"/>
  <c r="AN38" i="12"/>
  <c r="AD38" i="12"/>
  <c r="P38" i="12"/>
  <c r="R38" i="12"/>
  <c r="T38" i="12"/>
  <c r="N38" i="12"/>
  <c r="V38" i="12"/>
  <c r="L38" i="12"/>
  <c r="AR37" i="12"/>
  <c r="AZ37" i="12"/>
  <c r="AT37" i="12"/>
  <c r="AX37" i="12"/>
  <c r="AV37" i="12"/>
  <c r="AP37" i="12"/>
  <c r="AH37" i="12"/>
  <c r="AF37" i="12"/>
  <c r="AJ37" i="12"/>
  <c r="AB37" i="12"/>
  <c r="Z37" i="12"/>
  <c r="X37" i="12"/>
  <c r="AN37" i="12"/>
  <c r="AD37" i="12"/>
  <c r="P37" i="12"/>
  <c r="R37" i="12"/>
  <c r="T37" i="12"/>
  <c r="N37" i="12"/>
  <c r="V37" i="12"/>
  <c r="L37" i="12"/>
  <c r="AR36" i="12"/>
  <c r="AZ36" i="12"/>
  <c r="AT36" i="12"/>
  <c r="AX36" i="12"/>
  <c r="AV36" i="12"/>
  <c r="AP36" i="12"/>
  <c r="AH36" i="12"/>
  <c r="AF36" i="12"/>
  <c r="AJ36" i="12"/>
  <c r="AB36" i="12"/>
  <c r="Z36" i="12"/>
  <c r="X36" i="12"/>
  <c r="AN36" i="12"/>
  <c r="AD36" i="12"/>
  <c r="P36" i="12"/>
  <c r="R36" i="12"/>
  <c r="T36" i="12"/>
  <c r="N36" i="12"/>
  <c r="V36" i="12"/>
  <c r="L36" i="12"/>
  <c r="AR35" i="12"/>
  <c r="AZ35" i="12"/>
  <c r="AT35" i="12"/>
  <c r="AX35" i="12"/>
  <c r="AV35" i="12"/>
  <c r="AP35" i="12"/>
  <c r="AH35" i="12"/>
  <c r="AF35" i="12"/>
  <c r="AJ35" i="12"/>
  <c r="AB35" i="12"/>
  <c r="Z35" i="12"/>
  <c r="X35" i="12"/>
  <c r="AN35" i="12"/>
  <c r="AD35" i="12"/>
  <c r="P35" i="12"/>
  <c r="R35" i="12"/>
  <c r="T35" i="12"/>
  <c r="N35" i="12"/>
  <c r="V35" i="12"/>
  <c r="L35" i="12"/>
  <c r="AR34" i="12"/>
  <c r="AZ34" i="12"/>
  <c r="AT34" i="12"/>
  <c r="AX34" i="12"/>
  <c r="AV34" i="12"/>
  <c r="AP34" i="12"/>
  <c r="AH34" i="12"/>
  <c r="AF34" i="12"/>
  <c r="AJ34" i="12"/>
  <c r="AB34" i="12"/>
  <c r="Z34" i="12"/>
  <c r="X34" i="12"/>
  <c r="AN34" i="12"/>
  <c r="AD34" i="12"/>
  <c r="P34" i="12"/>
  <c r="R34" i="12"/>
  <c r="T34" i="12"/>
  <c r="N34" i="12"/>
  <c r="V34" i="12"/>
  <c r="L34" i="12"/>
  <c r="AR33" i="12"/>
  <c r="AZ33" i="12"/>
  <c r="AT33" i="12"/>
  <c r="AX33" i="12"/>
  <c r="AV33" i="12"/>
  <c r="AP33" i="12"/>
  <c r="AH33" i="12"/>
  <c r="AF33" i="12"/>
  <c r="AJ33" i="12"/>
  <c r="AB33" i="12"/>
  <c r="Z33" i="12"/>
  <c r="X33" i="12"/>
  <c r="AN33" i="12"/>
  <c r="AD33" i="12"/>
  <c r="P33" i="12"/>
  <c r="R33" i="12"/>
  <c r="T33" i="12"/>
  <c r="N33" i="12"/>
  <c r="V33" i="12"/>
  <c r="L33" i="12"/>
  <c r="AR32" i="12"/>
  <c r="AZ32" i="12"/>
  <c r="AT32" i="12"/>
  <c r="AX32" i="12"/>
  <c r="AV32" i="12"/>
  <c r="AP32" i="12"/>
  <c r="AH32" i="12"/>
  <c r="AF32" i="12"/>
  <c r="AJ32" i="12"/>
  <c r="AB32" i="12"/>
  <c r="Z32" i="12"/>
  <c r="X32" i="12"/>
  <c r="AN32" i="12"/>
  <c r="AD32" i="12"/>
  <c r="P32" i="12"/>
  <c r="R32" i="12"/>
  <c r="T32" i="12"/>
  <c r="N32" i="12"/>
  <c r="V32" i="12"/>
  <c r="L32" i="12"/>
  <c r="AR31" i="12"/>
  <c r="AZ31" i="12"/>
  <c r="AT31" i="12"/>
  <c r="AX31" i="12"/>
  <c r="AV31" i="12"/>
  <c r="AP31" i="12"/>
  <c r="AH31" i="12"/>
  <c r="AF31" i="12"/>
  <c r="AJ31" i="12"/>
  <c r="AB31" i="12"/>
  <c r="Z31" i="12"/>
  <c r="X31" i="12"/>
  <c r="AN31" i="12"/>
  <c r="AD31" i="12"/>
  <c r="P31" i="12"/>
  <c r="R31" i="12"/>
  <c r="T31" i="12"/>
  <c r="N31" i="12"/>
  <c r="V31" i="12"/>
  <c r="L31" i="12"/>
  <c r="AR30" i="12"/>
  <c r="AZ30" i="12"/>
  <c r="AT30" i="12"/>
  <c r="AX30" i="12"/>
  <c r="AV30" i="12"/>
  <c r="AP30" i="12"/>
  <c r="AH30" i="12"/>
  <c r="AF30" i="12"/>
  <c r="AJ30" i="12"/>
  <c r="AB30" i="12"/>
  <c r="Z30" i="12"/>
  <c r="X30" i="12"/>
  <c r="AN30" i="12"/>
  <c r="AD30" i="12"/>
  <c r="P30" i="12"/>
  <c r="R30" i="12"/>
  <c r="T30" i="12"/>
  <c r="N30" i="12"/>
  <c r="V30" i="12"/>
  <c r="L30" i="12"/>
  <c r="AR29" i="12"/>
  <c r="AZ29" i="12"/>
  <c r="AT29" i="12"/>
  <c r="AX29" i="12"/>
  <c r="AV29" i="12"/>
  <c r="AP29" i="12"/>
  <c r="AH29" i="12"/>
  <c r="AF29" i="12"/>
  <c r="AJ29" i="12"/>
  <c r="AB29" i="12"/>
  <c r="Z29" i="12"/>
  <c r="X29" i="12"/>
  <c r="AN29" i="12"/>
  <c r="AD29" i="12"/>
  <c r="P29" i="12"/>
  <c r="R29" i="12"/>
  <c r="T29" i="12"/>
  <c r="N29" i="12"/>
  <c r="V29" i="12"/>
  <c r="L29" i="12"/>
  <c r="AR28" i="12"/>
  <c r="AZ28" i="12"/>
  <c r="AT28" i="12"/>
  <c r="AX28" i="12"/>
  <c r="AV28" i="12"/>
  <c r="AP28" i="12"/>
  <c r="AH28" i="12"/>
  <c r="AF28" i="12"/>
  <c r="AJ28" i="12"/>
  <c r="AB28" i="12"/>
  <c r="Z28" i="12"/>
  <c r="X28" i="12"/>
  <c r="AN28" i="12"/>
  <c r="AD28" i="12"/>
  <c r="P28" i="12"/>
  <c r="R28" i="12"/>
  <c r="T28" i="12"/>
  <c r="N28" i="12"/>
  <c r="V28" i="12"/>
  <c r="L28" i="12"/>
  <c r="AR27" i="12"/>
  <c r="AZ27" i="12"/>
  <c r="AT27" i="12"/>
  <c r="AX27" i="12"/>
  <c r="AV27" i="12"/>
  <c r="AP27" i="12"/>
  <c r="AH27" i="12"/>
  <c r="AF27" i="12"/>
  <c r="AJ27" i="12"/>
  <c r="AB27" i="12"/>
  <c r="Z27" i="12"/>
  <c r="X27" i="12"/>
  <c r="AN27" i="12"/>
  <c r="AD27" i="12"/>
  <c r="P27" i="12"/>
  <c r="R27" i="12"/>
  <c r="T27" i="12"/>
  <c r="N27" i="12"/>
  <c r="V27" i="12"/>
  <c r="L27" i="12"/>
  <c r="AR26" i="12"/>
  <c r="AZ26" i="12"/>
  <c r="AT26" i="12"/>
  <c r="AX26" i="12"/>
  <c r="AV26" i="12"/>
  <c r="AP26" i="12"/>
  <c r="AH26" i="12"/>
  <c r="AF26" i="12"/>
  <c r="AJ26" i="12"/>
  <c r="AB26" i="12"/>
  <c r="Z26" i="12"/>
  <c r="X26" i="12"/>
  <c r="AN26" i="12"/>
  <c r="AD26" i="12"/>
  <c r="P26" i="12"/>
  <c r="R26" i="12"/>
  <c r="T26" i="12"/>
  <c r="N26" i="12"/>
  <c r="V26" i="12"/>
  <c r="L26" i="12"/>
  <c r="AR25" i="12"/>
  <c r="AZ25" i="12"/>
  <c r="AT25" i="12"/>
  <c r="AX25" i="12"/>
  <c r="AV25" i="12"/>
  <c r="AP25" i="12"/>
  <c r="AH25" i="12"/>
  <c r="AF25" i="12"/>
  <c r="AJ25" i="12"/>
  <c r="AB25" i="12"/>
  <c r="Z25" i="12"/>
  <c r="X25" i="12"/>
  <c r="AN25" i="12"/>
  <c r="AD25" i="12"/>
  <c r="P25" i="12"/>
  <c r="R25" i="12"/>
  <c r="T25" i="12"/>
  <c r="N25" i="12"/>
  <c r="V25" i="12"/>
  <c r="L25" i="12"/>
  <c r="AR24" i="12"/>
  <c r="AZ24" i="12"/>
  <c r="AT24" i="12"/>
  <c r="AX24" i="12"/>
  <c r="AV24" i="12"/>
  <c r="AP24" i="12"/>
  <c r="AH24" i="12"/>
  <c r="AF24" i="12"/>
  <c r="AJ24" i="12"/>
  <c r="AB24" i="12"/>
  <c r="Z24" i="12"/>
  <c r="X24" i="12"/>
  <c r="AN24" i="12"/>
  <c r="AD24" i="12"/>
  <c r="P24" i="12"/>
  <c r="R24" i="12"/>
  <c r="T24" i="12"/>
  <c r="N24" i="12"/>
  <c r="V24" i="12"/>
  <c r="L24" i="12"/>
  <c r="AR23" i="12"/>
  <c r="AZ23" i="12"/>
  <c r="AT23" i="12"/>
  <c r="AX23" i="12"/>
  <c r="AV23" i="12"/>
  <c r="AP23" i="12"/>
  <c r="AH23" i="12"/>
  <c r="AF23" i="12"/>
  <c r="AJ23" i="12"/>
  <c r="AB23" i="12"/>
  <c r="Z23" i="12"/>
  <c r="X23" i="12"/>
  <c r="AN23" i="12"/>
  <c r="AD23" i="12"/>
  <c r="P23" i="12"/>
  <c r="R23" i="12"/>
  <c r="T23" i="12"/>
  <c r="N23" i="12"/>
  <c r="V23" i="12"/>
  <c r="L23" i="12"/>
  <c r="AR22" i="12"/>
  <c r="AZ22" i="12"/>
  <c r="AT22" i="12"/>
  <c r="AX22" i="12"/>
  <c r="AV22" i="12"/>
  <c r="AP22" i="12"/>
  <c r="AH22" i="12"/>
  <c r="AF22" i="12"/>
  <c r="AJ22" i="12"/>
  <c r="AB22" i="12"/>
  <c r="Z22" i="12"/>
  <c r="X22" i="12"/>
  <c r="AN22" i="12"/>
  <c r="AD22" i="12"/>
  <c r="P22" i="12"/>
  <c r="R22" i="12"/>
  <c r="T22" i="12"/>
  <c r="N22" i="12"/>
  <c r="V22" i="12"/>
  <c r="L22" i="12"/>
  <c r="AR21" i="12"/>
  <c r="AZ21" i="12"/>
  <c r="AT21" i="12"/>
  <c r="AX21" i="12"/>
  <c r="AV21" i="12"/>
  <c r="AP21" i="12"/>
  <c r="AH21" i="12"/>
  <c r="AF21" i="12"/>
  <c r="AJ21" i="12"/>
  <c r="AB21" i="12"/>
  <c r="Z21" i="12"/>
  <c r="X21" i="12"/>
  <c r="AN21" i="12"/>
  <c r="AD21" i="12"/>
  <c r="P21" i="12"/>
  <c r="R21" i="12"/>
  <c r="T21" i="12"/>
  <c r="N21" i="12"/>
  <c r="V21" i="12"/>
  <c r="L21" i="12"/>
  <c r="AR20" i="12"/>
  <c r="AZ20" i="12"/>
  <c r="AT20" i="12"/>
  <c r="AX20" i="12"/>
  <c r="AV20" i="12"/>
  <c r="AP20" i="12"/>
  <c r="AH20" i="12"/>
  <c r="AF20" i="12"/>
  <c r="AJ20" i="12"/>
  <c r="AB20" i="12"/>
  <c r="Z20" i="12"/>
  <c r="X20" i="12"/>
  <c r="AN20" i="12"/>
  <c r="AD20" i="12"/>
  <c r="P20" i="12"/>
  <c r="R20" i="12"/>
  <c r="T20" i="12"/>
  <c r="N20" i="12"/>
  <c r="V20" i="12"/>
  <c r="L20" i="12"/>
  <c r="AR19" i="12"/>
  <c r="AZ19" i="12"/>
  <c r="AT19" i="12"/>
  <c r="AX19" i="12"/>
  <c r="AV19" i="12"/>
  <c r="AP19" i="12"/>
  <c r="AH19" i="12"/>
  <c r="AF19" i="12"/>
  <c r="AJ19" i="12"/>
  <c r="AB19" i="12"/>
  <c r="Z19" i="12"/>
  <c r="X19" i="12"/>
  <c r="AN19" i="12"/>
  <c r="AD19" i="12"/>
  <c r="P19" i="12"/>
  <c r="R19" i="12"/>
  <c r="T19" i="12"/>
  <c r="N19" i="12"/>
  <c r="V19" i="12"/>
  <c r="L19" i="12"/>
  <c r="AR18" i="12"/>
  <c r="AZ18" i="12"/>
  <c r="AT18" i="12"/>
  <c r="AX18" i="12"/>
  <c r="AV18" i="12"/>
  <c r="AP18" i="12"/>
  <c r="AH18" i="12"/>
  <c r="AF18" i="12"/>
  <c r="AJ18" i="12"/>
  <c r="AB18" i="12"/>
  <c r="Z18" i="12"/>
  <c r="X18" i="12"/>
  <c r="AN18" i="12"/>
  <c r="AD18" i="12"/>
  <c r="P18" i="12"/>
  <c r="R18" i="12"/>
  <c r="T18" i="12"/>
  <c r="N18" i="12"/>
  <c r="V18" i="12"/>
  <c r="L18" i="12"/>
  <c r="AR17" i="12"/>
  <c r="AZ17" i="12"/>
  <c r="AT17" i="12"/>
  <c r="AX17" i="12"/>
  <c r="AV17" i="12"/>
  <c r="AP17" i="12"/>
  <c r="AH17" i="12"/>
  <c r="AF17" i="12"/>
  <c r="AJ17" i="12"/>
  <c r="AB17" i="12"/>
  <c r="Z17" i="12"/>
  <c r="X17" i="12"/>
  <c r="AN17" i="12"/>
  <c r="AD17" i="12"/>
  <c r="P17" i="12"/>
  <c r="R17" i="12"/>
  <c r="T17" i="12"/>
  <c r="N17" i="12"/>
  <c r="V17" i="12"/>
  <c r="L17" i="12"/>
  <c r="AR16" i="12"/>
  <c r="AZ16" i="12"/>
  <c r="AT16" i="12"/>
  <c r="AX16" i="12"/>
  <c r="AV16" i="12"/>
  <c r="AP16" i="12"/>
  <c r="AH16" i="12"/>
  <c r="AF16" i="12"/>
  <c r="AJ16" i="12"/>
  <c r="AB16" i="12"/>
  <c r="Z16" i="12"/>
  <c r="X16" i="12"/>
  <c r="AN16" i="12"/>
  <c r="AD16" i="12"/>
  <c r="P16" i="12"/>
  <c r="R16" i="12"/>
  <c r="T16" i="12"/>
  <c r="N16" i="12"/>
  <c r="V16" i="12"/>
  <c r="L16" i="12"/>
  <c r="AR15" i="12"/>
  <c r="AZ15" i="12"/>
  <c r="AT15" i="12"/>
  <c r="AX15" i="12"/>
  <c r="AV15" i="12"/>
  <c r="AP15" i="12"/>
  <c r="AH15" i="12"/>
  <c r="AF15" i="12"/>
  <c r="AJ15" i="12"/>
  <c r="AB15" i="12"/>
  <c r="Z15" i="12"/>
  <c r="X15" i="12"/>
  <c r="AN15" i="12"/>
  <c r="AD15" i="12"/>
  <c r="P15" i="12"/>
  <c r="R15" i="12"/>
  <c r="T15" i="12"/>
  <c r="N15" i="12"/>
  <c r="V15" i="12"/>
  <c r="L15" i="12"/>
  <c r="AR14" i="12"/>
  <c r="AZ14" i="12"/>
  <c r="AT14" i="12"/>
  <c r="AX14" i="12"/>
  <c r="AV14" i="12"/>
  <c r="AP14" i="12"/>
  <c r="AH14" i="12"/>
  <c r="AF14" i="12"/>
  <c r="AJ14" i="12"/>
  <c r="AB14" i="12"/>
  <c r="Z14" i="12"/>
  <c r="X14" i="12"/>
  <c r="AN14" i="12"/>
  <c r="AD14" i="12"/>
  <c r="P14" i="12"/>
  <c r="R14" i="12"/>
  <c r="T14" i="12"/>
  <c r="N14" i="12"/>
  <c r="V14" i="12"/>
  <c r="L14" i="12"/>
  <c r="AR13" i="12"/>
  <c r="AZ13" i="12"/>
  <c r="AT13" i="12"/>
  <c r="AX13" i="12"/>
  <c r="AV13" i="12"/>
  <c r="AP13" i="12"/>
  <c r="AH13" i="12"/>
  <c r="AF13" i="12"/>
  <c r="AJ13" i="12"/>
  <c r="AB13" i="12"/>
  <c r="Z13" i="12"/>
  <c r="X13" i="12"/>
  <c r="AN13" i="12"/>
  <c r="AD13" i="12"/>
  <c r="P13" i="12"/>
  <c r="R13" i="12"/>
  <c r="T13" i="12"/>
  <c r="N13" i="12"/>
  <c r="V13" i="12"/>
  <c r="L13" i="12"/>
  <c r="AR12" i="12"/>
  <c r="AZ12" i="12"/>
  <c r="AT12" i="12"/>
  <c r="AX12" i="12"/>
  <c r="AV12" i="12"/>
  <c r="AP12" i="12"/>
  <c r="AH12" i="12"/>
  <c r="AF12" i="12"/>
  <c r="AJ12" i="12"/>
  <c r="AB12" i="12"/>
  <c r="Z12" i="12"/>
  <c r="X12" i="12"/>
  <c r="AN12" i="12"/>
  <c r="AD12" i="12"/>
  <c r="P12" i="12"/>
  <c r="R12" i="12"/>
  <c r="T12" i="12"/>
  <c r="N12" i="12"/>
  <c r="V12" i="12"/>
  <c r="L12" i="12"/>
  <c r="AR11" i="12"/>
  <c r="AZ11" i="12"/>
  <c r="AT11" i="12"/>
  <c r="AX11" i="12"/>
  <c r="AV11" i="12"/>
  <c r="AP11" i="12"/>
  <c r="AH11" i="12"/>
  <c r="AF11" i="12"/>
  <c r="AJ11" i="12"/>
  <c r="AB11" i="12"/>
  <c r="Z11" i="12"/>
  <c r="X11" i="12"/>
  <c r="AN11" i="12"/>
  <c r="AD11" i="12"/>
  <c r="P11" i="12"/>
  <c r="R11" i="12"/>
  <c r="T11" i="12"/>
  <c r="N11" i="12"/>
  <c r="V11" i="12"/>
  <c r="L11" i="12"/>
  <c r="AF59" i="11"/>
  <c r="AR58" i="11"/>
  <c r="T30" i="11"/>
  <c r="L20" i="11"/>
  <c r="AF20" i="11"/>
  <c r="P20" i="11"/>
  <c r="AB20" i="11"/>
  <c r="X20" i="11"/>
  <c r="T20" i="11"/>
  <c r="AV20" i="11"/>
  <c r="BP20" i="11"/>
  <c r="AJ20" i="11"/>
  <c r="AN20" i="11"/>
  <c r="AR20" i="11"/>
  <c r="BH20" i="11"/>
  <c r="AZ20" i="11"/>
  <c r="BL20" i="11"/>
  <c r="BD20" i="11"/>
  <c r="BT20" i="11"/>
  <c r="BX20" i="11"/>
  <c r="CB20" i="11"/>
  <c r="CF20" i="11"/>
  <c r="CJ20" i="11"/>
  <c r="CN20" i="11"/>
  <c r="CN63" i="11"/>
  <c r="CJ63" i="11"/>
  <c r="CF63" i="11"/>
  <c r="CB63" i="11"/>
  <c r="BX63" i="11"/>
  <c r="BT63" i="11"/>
  <c r="BD63" i="11"/>
  <c r="BL63" i="11"/>
  <c r="AZ63" i="11"/>
  <c r="BH63" i="11"/>
  <c r="AR63" i="11"/>
  <c r="AN63" i="11"/>
  <c r="AJ63" i="11"/>
  <c r="BP63" i="11"/>
  <c r="AV63" i="11"/>
  <c r="T63" i="11"/>
  <c r="X63" i="11"/>
  <c r="AB63" i="11"/>
  <c r="P63" i="11"/>
  <c r="AF63" i="11"/>
  <c r="L63" i="11"/>
  <c r="CN62" i="11"/>
  <c r="CJ62" i="11"/>
  <c r="CF62" i="11"/>
  <c r="CB62" i="11"/>
  <c r="BX62" i="11"/>
  <c r="BT62" i="11"/>
  <c r="BD62" i="11"/>
  <c r="BL62" i="11"/>
  <c r="AZ62" i="11"/>
  <c r="BH62" i="11"/>
  <c r="AR62" i="11"/>
  <c r="AN62" i="11"/>
  <c r="AJ62" i="11"/>
  <c r="BP62" i="11"/>
  <c r="AV62" i="11"/>
  <c r="T62" i="11"/>
  <c r="X62" i="11"/>
  <c r="AB62" i="11"/>
  <c r="P62" i="11"/>
  <c r="AF62" i="11"/>
  <c r="L62" i="11"/>
  <c r="CN61" i="11"/>
  <c r="CJ61" i="11"/>
  <c r="CF61" i="11"/>
  <c r="CB61" i="11"/>
  <c r="BX61" i="11"/>
  <c r="BT61" i="11"/>
  <c r="BD61" i="11"/>
  <c r="BL61" i="11"/>
  <c r="AZ61" i="11"/>
  <c r="BH61" i="11"/>
  <c r="AR61" i="11"/>
  <c r="AN61" i="11"/>
  <c r="AJ61" i="11"/>
  <c r="BP61" i="11"/>
  <c r="AV61" i="11"/>
  <c r="T61" i="11"/>
  <c r="X61" i="11"/>
  <c r="AB61" i="11"/>
  <c r="P61" i="11"/>
  <c r="AF61" i="11"/>
  <c r="L61" i="11"/>
  <c r="CN60" i="11"/>
  <c r="CJ60" i="11"/>
  <c r="CF60" i="11"/>
  <c r="CB60" i="11"/>
  <c r="BX60" i="11"/>
  <c r="BT60" i="11"/>
  <c r="BD60" i="11"/>
  <c r="BL60" i="11"/>
  <c r="AZ60" i="11"/>
  <c r="BH60" i="11"/>
  <c r="AR60" i="11"/>
  <c r="AN60" i="11"/>
  <c r="AJ60" i="11"/>
  <c r="BP60" i="11"/>
  <c r="AV60" i="11"/>
  <c r="T60" i="11"/>
  <c r="X60" i="11"/>
  <c r="AB60" i="11"/>
  <c r="P60" i="11"/>
  <c r="AF60" i="11"/>
  <c r="L60" i="11"/>
  <c r="CN59" i="11"/>
  <c r="CJ59" i="11"/>
  <c r="CF59" i="11"/>
  <c r="CB59" i="11"/>
  <c r="BX59" i="11"/>
  <c r="BT59" i="11"/>
  <c r="BD59" i="11"/>
  <c r="BL59" i="11"/>
  <c r="AZ59" i="11"/>
  <c r="BH59" i="11"/>
  <c r="AR59" i="11"/>
  <c r="AJ59" i="11"/>
  <c r="BP59" i="11"/>
  <c r="AV59" i="11"/>
  <c r="T59" i="11"/>
  <c r="X59" i="11"/>
  <c r="AB59" i="11"/>
  <c r="P59" i="11"/>
  <c r="L59" i="11"/>
  <c r="CN58" i="11"/>
  <c r="CJ58" i="11"/>
  <c r="CF58" i="11"/>
  <c r="CB58" i="11"/>
  <c r="BX58" i="11"/>
  <c r="BT58" i="11"/>
  <c r="BD58" i="11"/>
  <c r="BL58" i="11"/>
  <c r="AZ58" i="11"/>
  <c r="BH58" i="11"/>
  <c r="AN58" i="11"/>
  <c r="AJ58" i="11"/>
  <c r="BP58" i="11"/>
  <c r="AV58" i="11"/>
  <c r="T58" i="11"/>
  <c r="X58" i="11"/>
  <c r="AB58" i="11"/>
  <c r="P58" i="11"/>
  <c r="AF58" i="11"/>
  <c r="L58" i="11"/>
  <c r="CN57" i="11"/>
  <c r="CJ57" i="11"/>
  <c r="CF57" i="11"/>
  <c r="CB57" i="11"/>
  <c r="BX57" i="11"/>
  <c r="BT57" i="11"/>
  <c r="BD57" i="11"/>
  <c r="BL57" i="11"/>
  <c r="AZ57" i="11"/>
  <c r="BH57" i="11"/>
  <c r="AR57" i="11"/>
  <c r="AN57" i="11"/>
  <c r="AJ57" i="11"/>
  <c r="BP57" i="11"/>
  <c r="AV57" i="11"/>
  <c r="T57" i="11"/>
  <c r="X57" i="11"/>
  <c r="AB57" i="11"/>
  <c r="P57" i="11"/>
  <c r="AF57" i="11"/>
  <c r="L57" i="11"/>
  <c r="CN55" i="11"/>
  <c r="CJ55" i="11"/>
  <c r="CF55" i="11"/>
  <c r="CB55" i="11"/>
  <c r="BX55" i="11"/>
  <c r="BT55" i="11"/>
  <c r="BD55" i="11"/>
  <c r="BL55" i="11"/>
  <c r="AZ55" i="11"/>
  <c r="BH55" i="11"/>
  <c r="AR55" i="11"/>
  <c r="AN55" i="11"/>
  <c r="AJ55" i="11"/>
  <c r="BP55" i="11"/>
  <c r="AV55" i="11"/>
  <c r="T55" i="11"/>
  <c r="X55" i="11"/>
  <c r="AB55" i="11"/>
  <c r="P55" i="11"/>
  <c r="AF55" i="11"/>
  <c r="L55" i="11"/>
  <c r="CN54" i="11"/>
  <c r="CJ54" i="11"/>
  <c r="CF54" i="11"/>
  <c r="CB54" i="11"/>
  <c r="BX54" i="11"/>
  <c r="BT54" i="11"/>
  <c r="BD54" i="11"/>
  <c r="BL54" i="11"/>
  <c r="AZ54" i="11"/>
  <c r="BH54" i="11"/>
  <c r="AR54" i="11"/>
  <c r="AN54" i="11"/>
  <c r="AJ54" i="11"/>
  <c r="BP54" i="11"/>
  <c r="AV54" i="11"/>
  <c r="T54" i="11"/>
  <c r="X54" i="11"/>
  <c r="AB54" i="11"/>
  <c r="P54" i="11"/>
  <c r="AF54" i="11"/>
  <c r="L54" i="11"/>
  <c r="CN53" i="11"/>
  <c r="CJ53" i="11"/>
  <c r="CF53" i="11"/>
  <c r="CB53" i="11"/>
  <c r="BX53" i="11"/>
  <c r="BT53" i="11"/>
  <c r="BD53" i="11"/>
  <c r="BL53" i="11"/>
  <c r="AZ53" i="11"/>
  <c r="BH53" i="11"/>
  <c r="AR53" i="11"/>
  <c r="AN53" i="11"/>
  <c r="AJ53" i="11"/>
  <c r="BP53" i="11"/>
  <c r="AV53" i="11"/>
  <c r="T53" i="11"/>
  <c r="X53" i="11"/>
  <c r="AB53" i="11"/>
  <c r="P53" i="11"/>
  <c r="AF53" i="11"/>
  <c r="L53" i="11"/>
  <c r="CN52" i="11"/>
  <c r="CJ52" i="11"/>
  <c r="CF52" i="11"/>
  <c r="CB52" i="11"/>
  <c r="BX52" i="11"/>
  <c r="BT52" i="11"/>
  <c r="BD52" i="11"/>
  <c r="BL52" i="11"/>
  <c r="AZ52" i="11"/>
  <c r="BH52" i="11"/>
  <c r="AR52" i="11"/>
  <c r="AN52" i="11"/>
  <c r="AJ52" i="11"/>
  <c r="BP52" i="11"/>
  <c r="AV52" i="11"/>
  <c r="T52" i="11"/>
  <c r="X52" i="11"/>
  <c r="AB52" i="11"/>
  <c r="P52" i="11"/>
  <c r="AF52" i="11"/>
  <c r="L52" i="11"/>
  <c r="CN51" i="11"/>
  <c r="CJ51" i="11"/>
  <c r="CF51" i="11"/>
  <c r="CB51" i="11"/>
  <c r="BX51" i="11"/>
  <c r="BT51" i="11"/>
  <c r="BD51" i="11"/>
  <c r="BL51" i="11"/>
  <c r="AZ51" i="11"/>
  <c r="BH51" i="11"/>
  <c r="AR51" i="11"/>
  <c r="AN51" i="11"/>
  <c r="AJ51" i="11"/>
  <c r="BP51" i="11"/>
  <c r="AV51" i="11"/>
  <c r="T51" i="11"/>
  <c r="X51" i="11"/>
  <c r="AB51" i="11"/>
  <c r="P51" i="11"/>
  <c r="AF51" i="11"/>
  <c r="L51" i="11"/>
  <c r="CN50" i="11"/>
  <c r="CJ50" i="11"/>
  <c r="CF50" i="11"/>
  <c r="CB50" i="11"/>
  <c r="BX50" i="11"/>
  <c r="BT50" i="11"/>
  <c r="BD50" i="11"/>
  <c r="BL50" i="11"/>
  <c r="AZ50" i="11"/>
  <c r="BH50" i="11"/>
  <c r="AR50" i="11"/>
  <c r="AN50" i="11"/>
  <c r="AJ50" i="11"/>
  <c r="BP50" i="11"/>
  <c r="AV50" i="11"/>
  <c r="T50" i="11"/>
  <c r="X50" i="11"/>
  <c r="AB50" i="11"/>
  <c r="P50" i="11"/>
  <c r="AF50" i="11"/>
  <c r="L50" i="11"/>
  <c r="CN49" i="11"/>
  <c r="CJ49" i="11"/>
  <c r="CF49" i="11"/>
  <c r="CB49" i="11"/>
  <c r="BX49" i="11"/>
  <c r="BT49" i="11"/>
  <c r="BD49" i="11"/>
  <c r="BL49" i="11"/>
  <c r="AZ49" i="11"/>
  <c r="BH49" i="11"/>
  <c r="AR49" i="11"/>
  <c r="AN49" i="11"/>
  <c r="AJ49" i="11"/>
  <c r="BP49" i="11"/>
  <c r="AV49" i="11"/>
  <c r="T49" i="11"/>
  <c r="X49" i="11"/>
  <c r="AB49" i="11"/>
  <c r="P49" i="11"/>
  <c r="AF49" i="11"/>
  <c r="L49" i="11"/>
  <c r="CN48" i="11"/>
  <c r="CJ48" i="11"/>
  <c r="CF48" i="11"/>
  <c r="CB48" i="11"/>
  <c r="BX48" i="11"/>
  <c r="BT48" i="11"/>
  <c r="BD48" i="11"/>
  <c r="BL48" i="11"/>
  <c r="AZ48" i="11"/>
  <c r="BH48" i="11"/>
  <c r="AR48" i="11"/>
  <c r="AN48" i="11"/>
  <c r="AJ48" i="11"/>
  <c r="BP48" i="11"/>
  <c r="AV48" i="11"/>
  <c r="T48" i="11"/>
  <c r="X48" i="11"/>
  <c r="AB48" i="11"/>
  <c r="P48" i="11"/>
  <c r="AF48" i="11"/>
  <c r="L48" i="11"/>
  <c r="CN47" i="11"/>
  <c r="CJ47" i="11"/>
  <c r="CF47" i="11"/>
  <c r="CB47" i="11"/>
  <c r="BX47" i="11"/>
  <c r="BT47" i="11"/>
  <c r="BD47" i="11"/>
  <c r="BL47" i="11"/>
  <c r="AZ47" i="11"/>
  <c r="BH47" i="11"/>
  <c r="AR47" i="11"/>
  <c r="AN47" i="11"/>
  <c r="AJ47" i="11"/>
  <c r="BP47" i="11"/>
  <c r="AV47" i="11"/>
  <c r="T47" i="11"/>
  <c r="X47" i="11"/>
  <c r="AB47" i="11"/>
  <c r="P47" i="11"/>
  <c r="AF47" i="11"/>
  <c r="L47" i="11"/>
  <c r="CN46" i="11"/>
  <c r="CJ46" i="11"/>
  <c r="CF46" i="11"/>
  <c r="CB46" i="11"/>
  <c r="BX46" i="11"/>
  <c r="BT46" i="11"/>
  <c r="BD46" i="11"/>
  <c r="BL46" i="11"/>
  <c r="AZ46" i="11"/>
  <c r="BH46" i="11"/>
  <c r="AR46" i="11"/>
  <c r="AN46" i="11"/>
  <c r="AJ46" i="11"/>
  <c r="BP46" i="11"/>
  <c r="AV46" i="11"/>
  <c r="T46" i="11"/>
  <c r="X46" i="11"/>
  <c r="AB46" i="11"/>
  <c r="P46" i="11"/>
  <c r="AF46" i="11"/>
  <c r="L46" i="11"/>
  <c r="CN45" i="11"/>
  <c r="CJ45" i="11"/>
  <c r="CF45" i="11"/>
  <c r="CB45" i="11"/>
  <c r="BX45" i="11"/>
  <c r="BT45" i="11"/>
  <c r="BD45" i="11"/>
  <c r="BL45" i="11"/>
  <c r="AZ45" i="11"/>
  <c r="BH45" i="11"/>
  <c r="AR45" i="11"/>
  <c r="AN45" i="11"/>
  <c r="AJ45" i="11"/>
  <c r="BP45" i="11"/>
  <c r="AV45" i="11"/>
  <c r="T45" i="11"/>
  <c r="X45" i="11"/>
  <c r="AB45" i="11"/>
  <c r="P45" i="11"/>
  <c r="AF45" i="11"/>
  <c r="L45" i="11"/>
  <c r="CN44" i="11"/>
  <c r="CJ44" i="11"/>
  <c r="CF44" i="11"/>
  <c r="CB44" i="11"/>
  <c r="BX44" i="11"/>
  <c r="BT44" i="11"/>
  <c r="BD44" i="11"/>
  <c r="BL44" i="11"/>
  <c r="AZ44" i="11"/>
  <c r="BH44" i="11"/>
  <c r="AR44" i="11"/>
  <c r="AN44" i="11"/>
  <c r="AJ44" i="11"/>
  <c r="BP44" i="11"/>
  <c r="AV44" i="11"/>
  <c r="X44" i="11"/>
  <c r="AB44" i="11"/>
  <c r="P44" i="11"/>
  <c r="AF44" i="11"/>
  <c r="L44" i="11"/>
  <c r="CN43" i="11"/>
  <c r="CJ43" i="11"/>
  <c r="CF43" i="11"/>
  <c r="CB43" i="11"/>
  <c r="BX43" i="11"/>
  <c r="BT43" i="11"/>
  <c r="BD43" i="11"/>
  <c r="BL43" i="11"/>
  <c r="AZ43" i="11"/>
  <c r="BH43" i="11"/>
  <c r="AR43" i="11"/>
  <c r="AN43" i="11"/>
  <c r="AJ43" i="11"/>
  <c r="BP43" i="11"/>
  <c r="AV43" i="11"/>
  <c r="T43" i="11"/>
  <c r="X43" i="11"/>
  <c r="AB43" i="11"/>
  <c r="P43" i="11"/>
  <c r="AF43" i="11"/>
  <c r="L43" i="11"/>
  <c r="CN42" i="11"/>
  <c r="CJ42" i="11"/>
  <c r="CF42" i="11"/>
  <c r="CB42" i="11"/>
  <c r="BX42" i="11"/>
  <c r="BT42" i="11"/>
  <c r="BD42" i="11"/>
  <c r="BL42" i="11"/>
  <c r="AZ42" i="11"/>
  <c r="BH42" i="11"/>
  <c r="AR42" i="11"/>
  <c r="AN42" i="11"/>
  <c r="AJ42" i="11"/>
  <c r="BP42" i="11"/>
  <c r="AV42" i="11"/>
  <c r="T42" i="11"/>
  <c r="X42" i="11"/>
  <c r="AB42" i="11"/>
  <c r="P42" i="11"/>
  <c r="AF42" i="11"/>
  <c r="L42" i="11"/>
  <c r="CN41" i="11"/>
  <c r="CJ41" i="11"/>
  <c r="CF41" i="11"/>
  <c r="CB41" i="11"/>
  <c r="BX41" i="11"/>
  <c r="BT41" i="11"/>
  <c r="BD41" i="11"/>
  <c r="BL41" i="11"/>
  <c r="AZ41" i="11"/>
  <c r="BH41" i="11"/>
  <c r="AR41" i="11"/>
  <c r="AN41" i="11"/>
  <c r="AJ41" i="11"/>
  <c r="BP41" i="11"/>
  <c r="AV41" i="11"/>
  <c r="T41" i="11"/>
  <c r="X41" i="11"/>
  <c r="AB41" i="11"/>
  <c r="P41" i="11"/>
  <c r="AF41" i="11"/>
  <c r="L41" i="11"/>
  <c r="CN40" i="11"/>
  <c r="CJ40" i="11"/>
  <c r="CF40" i="11"/>
  <c r="CB40" i="11"/>
  <c r="BX40" i="11"/>
  <c r="BT40" i="11"/>
  <c r="BD40" i="11"/>
  <c r="BL40" i="11"/>
  <c r="AZ40" i="11"/>
  <c r="BH40" i="11"/>
  <c r="AR40" i="11"/>
  <c r="AN40" i="11"/>
  <c r="AJ40" i="11"/>
  <c r="BP40" i="11"/>
  <c r="AV40" i="11"/>
  <c r="T40" i="11"/>
  <c r="X40" i="11"/>
  <c r="AB40" i="11"/>
  <c r="P40" i="11"/>
  <c r="AF40" i="11"/>
  <c r="L40" i="11"/>
  <c r="CN39" i="11"/>
  <c r="CJ39" i="11"/>
  <c r="CF39" i="11"/>
  <c r="CB39" i="11"/>
  <c r="BX39" i="11"/>
  <c r="BT39" i="11"/>
  <c r="BD39" i="11"/>
  <c r="BL39" i="11"/>
  <c r="AZ39" i="11"/>
  <c r="BH39" i="11"/>
  <c r="AR39" i="11"/>
  <c r="AN39" i="11"/>
  <c r="AJ39" i="11"/>
  <c r="BP39" i="11"/>
  <c r="AV39" i="11"/>
  <c r="T39" i="11"/>
  <c r="X39" i="11"/>
  <c r="AB39" i="11"/>
  <c r="P39" i="11"/>
  <c r="AF39" i="11"/>
  <c r="L39" i="11"/>
  <c r="CN38" i="11"/>
  <c r="CJ38" i="11"/>
  <c r="CF38" i="11"/>
  <c r="CB38" i="11"/>
  <c r="BX38" i="11"/>
  <c r="BT38" i="11"/>
  <c r="BD38" i="11"/>
  <c r="BL38" i="11"/>
  <c r="AZ38" i="11"/>
  <c r="BH38" i="11"/>
  <c r="AR38" i="11"/>
  <c r="AN38" i="11"/>
  <c r="AJ38" i="11"/>
  <c r="BP38" i="11"/>
  <c r="AV38" i="11"/>
  <c r="T38" i="11"/>
  <c r="X38" i="11"/>
  <c r="AB38" i="11"/>
  <c r="P38" i="11"/>
  <c r="AF38" i="11"/>
  <c r="L38" i="11"/>
  <c r="CN37" i="11"/>
  <c r="CJ37" i="11"/>
  <c r="CF37" i="11"/>
  <c r="CB37" i="11"/>
  <c r="BX37" i="11"/>
  <c r="BT37" i="11"/>
  <c r="BD37" i="11"/>
  <c r="BL37" i="11"/>
  <c r="AZ37" i="11"/>
  <c r="BH37" i="11"/>
  <c r="AR37" i="11"/>
  <c r="AN37" i="11"/>
  <c r="AJ37" i="11"/>
  <c r="BP37" i="11"/>
  <c r="AV37" i="11"/>
  <c r="T37" i="11"/>
  <c r="X37" i="11"/>
  <c r="AB37" i="11"/>
  <c r="P37" i="11"/>
  <c r="AF37" i="11"/>
  <c r="L37" i="11"/>
  <c r="CN36" i="11"/>
  <c r="CJ36" i="11"/>
  <c r="CF36" i="11"/>
  <c r="CB36" i="11"/>
  <c r="BX36" i="11"/>
  <c r="BT36" i="11"/>
  <c r="BD36" i="11"/>
  <c r="BL36" i="11"/>
  <c r="AZ36" i="11"/>
  <c r="BH36" i="11"/>
  <c r="AR36" i="11"/>
  <c r="AN36" i="11"/>
  <c r="AJ36" i="11"/>
  <c r="BP36" i="11"/>
  <c r="AV36" i="11"/>
  <c r="T36" i="11"/>
  <c r="X36" i="11"/>
  <c r="AB36" i="11"/>
  <c r="P36" i="11"/>
  <c r="AF36" i="11"/>
  <c r="L36" i="11"/>
  <c r="CN35" i="11"/>
  <c r="CJ35" i="11"/>
  <c r="CF35" i="11"/>
  <c r="CB35" i="11"/>
  <c r="BX35" i="11"/>
  <c r="BT35" i="11"/>
  <c r="BD35" i="11"/>
  <c r="BL35" i="11"/>
  <c r="AZ35" i="11"/>
  <c r="BH35" i="11"/>
  <c r="AR35" i="11"/>
  <c r="AN35" i="11"/>
  <c r="AJ35" i="11"/>
  <c r="BP35" i="11"/>
  <c r="AV35" i="11"/>
  <c r="T35" i="11"/>
  <c r="X35" i="11"/>
  <c r="AB35" i="11"/>
  <c r="P35" i="11"/>
  <c r="AF35" i="11"/>
  <c r="L35" i="11"/>
  <c r="CN34" i="11"/>
  <c r="CJ34" i="11"/>
  <c r="CF34" i="11"/>
  <c r="CB34" i="11"/>
  <c r="BX34" i="11"/>
  <c r="BT34" i="11"/>
  <c r="BD34" i="11"/>
  <c r="BL34" i="11"/>
  <c r="AZ34" i="11"/>
  <c r="BH34" i="11"/>
  <c r="AR34" i="11"/>
  <c r="AN34" i="11"/>
  <c r="AJ34" i="11"/>
  <c r="BP34" i="11"/>
  <c r="AV34" i="11"/>
  <c r="T34" i="11"/>
  <c r="X34" i="11"/>
  <c r="AB34" i="11"/>
  <c r="P34" i="11"/>
  <c r="AF34" i="11"/>
  <c r="L34" i="11"/>
  <c r="CN33" i="11"/>
  <c r="CJ33" i="11"/>
  <c r="CF33" i="11"/>
  <c r="CB33" i="11"/>
  <c r="BX33" i="11"/>
  <c r="BT33" i="11"/>
  <c r="BD33" i="11"/>
  <c r="BL33" i="11"/>
  <c r="AZ33" i="11"/>
  <c r="BH33" i="11"/>
  <c r="AR33" i="11"/>
  <c r="AN33" i="11"/>
  <c r="AJ33" i="11"/>
  <c r="BP33" i="11"/>
  <c r="AV33" i="11"/>
  <c r="T33" i="11"/>
  <c r="X33" i="11"/>
  <c r="AB33" i="11"/>
  <c r="P33" i="11"/>
  <c r="AF33" i="11"/>
  <c r="L33" i="11"/>
  <c r="CN32" i="11"/>
  <c r="CJ32" i="11"/>
  <c r="CF32" i="11"/>
  <c r="CB32" i="11"/>
  <c r="BX32" i="11"/>
  <c r="BT32" i="11"/>
  <c r="BD32" i="11"/>
  <c r="BL32" i="11"/>
  <c r="AZ32" i="11"/>
  <c r="BH32" i="11"/>
  <c r="AR32" i="11"/>
  <c r="AN32" i="11"/>
  <c r="AJ32" i="11"/>
  <c r="BP32" i="11"/>
  <c r="AV32" i="11"/>
  <c r="T32" i="11"/>
  <c r="X32" i="11"/>
  <c r="AB32" i="11"/>
  <c r="P32" i="11"/>
  <c r="AF32" i="11"/>
  <c r="L32" i="11"/>
  <c r="CN31" i="11"/>
  <c r="CJ31" i="11"/>
  <c r="CF31" i="11"/>
  <c r="CB31" i="11"/>
  <c r="BX31" i="11"/>
  <c r="BT31" i="11"/>
  <c r="BD31" i="11"/>
  <c r="BL31" i="11"/>
  <c r="AZ31" i="11"/>
  <c r="BH31" i="11"/>
  <c r="AR31" i="11"/>
  <c r="AN31" i="11"/>
  <c r="AJ31" i="11"/>
  <c r="BP31" i="11"/>
  <c r="AV31" i="11"/>
  <c r="T31" i="11"/>
  <c r="X31" i="11"/>
  <c r="AB31" i="11"/>
  <c r="P31" i="11"/>
  <c r="AF31" i="11"/>
  <c r="L31" i="11"/>
  <c r="CN30" i="11"/>
  <c r="CJ30" i="11"/>
  <c r="CF30" i="11"/>
  <c r="CB30" i="11"/>
  <c r="BX30" i="11"/>
  <c r="BT30" i="11"/>
  <c r="BD30" i="11"/>
  <c r="BL30" i="11"/>
  <c r="AZ30" i="11"/>
  <c r="BH30" i="11"/>
  <c r="AR30" i="11"/>
  <c r="AN30" i="11"/>
  <c r="AJ30" i="11"/>
  <c r="BP30" i="11"/>
  <c r="AV30" i="11"/>
  <c r="X30" i="11"/>
  <c r="AB30" i="11"/>
  <c r="P30" i="11"/>
  <c r="AF30" i="11"/>
  <c r="L30" i="11"/>
  <c r="CN29" i="11"/>
  <c r="CJ29" i="11"/>
  <c r="CF29" i="11"/>
  <c r="CB29" i="11"/>
  <c r="BX29" i="11"/>
  <c r="BT29" i="11"/>
  <c r="BD29" i="11"/>
  <c r="BL29" i="11"/>
  <c r="AZ29" i="11"/>
  <c r="BH29" i="11"/>
  <c r="AR29" i="11"/>
  <c r="AN29" i="11"/>
  <c r="AJ29" i="11"/>
  <c r="BP29" i="11"/>
  <c r="AV29" i="11"/>
  <c r="T29" i="11"/>
  <c r="X29" i="11"/>
  <c r="AB29" i="11"/>
  <c r="P29" i="11"/>
  <c r="AF29" i="11"/>
  <c r="L29" i="11"/>
  <c r="CN28" i="11"/>
  <c r="CJ28" i="11"/>
  <c r="CF28" i="11"/>
  <c r="CB28" i="11"/>
  <c r="BX28" i="11"/>
  <c r="BT28" i="11"/>
  <c r="BD28" i="11"/>
  <c r="BL28" i="11"/>
  <c r="AZ28" i="11"/>
  <c r="BH28" i="11"/>
  <c r="AR28" i="11"/>
  <c r="AN28" i="11"/>
  <c r="AJ28" i="11"/>
  <c r="BP28" i="11"/>
  <c r="AV28" i="11"/>
  <c r="T28" i="11"/>
  <c r="X28" i="11"/>
  <c r="AB28" i="11"/>
  <c r="P28" i="11"/>
  <c r="AF28" i="11"/>
  <c r="L28" i="11"/>
  <c r="CN27" i="11"/>
  <c r="CJ27" i="11"/>
  <c r="CF27" i="11"/>
  <c r="CB27" i="11"/>
  <c r="BX27" i="11"/>
  <c r="BT27" i="11"/>
  <c r="BD27" i="11"/>
  <c r="BL27" i="11"/>
  <c r="AZ27" i="11"/>
  <c r="BH27" i="11"/>
  <c r="AR27" i="11"/>
  <c r="AN27" i="11"/>
  <c r="AJ27" i="11"/>
  <c r="BP27" i="11"/>
  <c r="AV27" i="11"/>
  <c r="T27" i="11"/>
  <c r="X27" i="11"/>
  <c r="AB27" i="11"/>
  <c r="P27" i="11"/>
  <c r="AF27" i="11"/>
  <c r="L27" i="11"/>
  <c r="CN26" i="11"/>
  <c r="CJ26" i="11"/>
  <c r="CF26" i="11"/>
  <c r="CB26" i="11"/>
  <c r="BX26" i="11"/>
  <c r="BT26" i="11"/>
  <c r="BD26" i="11"/>
  <c r="BL26" i="11"/>
  <c r="AZ26" i="11"/>
  <c r="BH26" i="11"/>
  <c r="AR26" i="11"/>
  <c r="AN26" i="11"/>
  <c r="AJ26" i="11"/>
  <c r="BP26" i="11"/>
  <c r="AV26" i="11"/>
  <c r="T26" i="11"/>
  <c r="X26" i="11"/>
  <c r="AB26" i="11"/>
  <c r="P26" i="11"/>
  <c r="AF26" i="11"/>
  <c r="L26" i="11"/>
  <c r="CN25" i="11"/>
  <c r="CJ25" i="11"/>
  <c r="CF25" i="11"/>
  <c r="CB25" i="11"/>
  <c r="BX25" i="11"/>
  <c r="BT25" i="11"/>
  <c r="BD25" i="11"/>
  <c r="BL25" i="11"/>
  <c r="AZ25" i="11"/>
  <c r="BH25" i="11"/>
  <c r="AR25" i="11"/>
  <c r="AN25" i="11"/>
  <c r="AJ25" i="11"/>
  <c r="BP25" i="11"/>
  <c r="AV25" i="11"/>
  <c r="T25" i="11"/>
  <c r="X25" i="11"/>
  <c r="AB25" i="11"/>
  <c r="P25" i="11"/>
  <c r="AF25" i="11"/>
  <c r="L25" i="11"/>
  <c r="CN24" i="11"/>
  <c r="CJ24" i="11"/>
  <c r="CF24" i="11"/>
  <c r="CB24" i="11"/>
  <c r="BX24" i="11"/>
  <c r="BT24" i="11"/>
  <c r="BD24" i="11"/>
  <c r="BL24" i="11"/>
  <c r="AZ24" i="11"/>
  <c r="BH24" i="11"/>
  <c r="AR24" i="11"/>
  <c r="AN24" i="11"/>
  <c r="AJ24" i="11"/>
  <c r="BP24" i="11"/>
  <c r="AV24" i="11"/>
  <c r="T24" i="11"/>
  <c r="X24" i="11"/>
  <c r="AB24" i="11"/>
  <c r="P24" i="11"/>
  <c r="AF24" i="11"/>
  <c r="L24" i="11"/>
  <c r="CN23" i="11"/>
  <c r="CJ23" i="11"/>
  <c r="CF23" i="11"/>
  <c r="CB23" i="11"/>
  <c r="BX23" i="11"/>
  <c r="BT23" i="11"/>
  <c r="BD23" i="11"/>
  <c r="BL23" i="11"/>
  <c r="AZ23" i="11"/>
  <c r="BH23" i="11"/>
  <c r="AR23" i="11"/>
  <c r="AN23" i="11"/>
  <c r="AJ23" i="11"/>
  <c r="BP23" i="11"/>
  <c r="AV23" i="11"/>
  <c r="T23" i="11"/>
  <c r="X23" i="11"/>
  <c r="AB23" i="11"/>
  <c r="P23" i="11"/>
  <c r="AF23" i="11"/>
  <c r="L23" i="11"/>
  <c r="CN22" i="11"/>
  <c r="CJ22" i="11"/>
  <c r="CF22" i="11"/>
  <c r="CB22" i="11"/>
  <c r="BX22" i="11"/>
  <c r="BT22" i="11"/>
  <c r="BD22" i="11"/>
  <c r="BL22" i="11"/>
  <c r="AZ22" i="11"/>
  <c r="BH22" i="11"/>
  <c r="AR22" i="11"/>
  <c r="AN22" i="11"/>
  <c r="AJ22" i="11"/>
  <c r="BP22" i="11"/>
  <c r="AV22" i="11"/>
  <c r="T22" i="11"/>
  <c r="X22" i="11"/>
  <c r="AB22" i="11"/>
  <c r="P22" i="11"/>
  <c r="AF22" i="11"/>
  <c r="L22" i="11"/>
  <c r="CN21" i="11"/>
  <c r="CJ21" i="11"/>
  <c r="CF21" i="11"/>
  <c r="CB21" i="11"/>
  <c r="BX21" i="11"/>
  <c r="BT21" i="11"/>
  <c r="BD21" i="11"/>
  <c r="BL21" i="11"/>
  <c r="AZ21" i="11"/>
  <c r="BH21" i="11"/>
  <c r="AR21" i="11"/>
  <c r="AN21" i="11"/>
  <c r="AJ21" i="11"/>
  <c r="BP21" i="11"/>
  <c r="AV21" i="11"/>
  <c r="T21" i="11"/>
  <c r="X21" i="11"/>
  <c r="AB21" i="11"/>
  <c r="P21" i="11"/>
  <c r="AF21" i="11"/>
  <c r="L21" i="11"/>
  <c r="CN19" i="11"/>
  <c r="CJ19" i="11"/>
  <c r="CF19" i="11"/>
  <c r="CB19" i="11"/>
  <c r="BX19" i="11"/>
  <c r="BT19" i="11"/>
  <c r="BD19" i="11"/>
  <c r="BL19" i="11"/>
  <c r="AZ19" i="11"/>
  <c r="BH19" i="11"/>
  <c r="AR19" i="11"/>
  <c r="AN19" i="11"/>
  <c r="AJ19" i="11"/>
  <c r="BP19" i="11"/>
  <c r="AV19" i="11"/>
  <c r="T19" i="11"/>
  <c r="X19" i="11"/>
  <c r="AB19" i="11"/>
  <c r="P19" i="11"/>
  <c r="AF19" i="11"/>
  <c r="L19" i="11"/>
  <c r="CN18" i="11"/>
  <c r="CJ18" i="11"/>
  <c r="CF18" i="11"/>
  <c r="CB18" i="11"/>
  <c r="BX18" i="11"/>
  <c r="BT18" i="11"/>
  <c r="BD18" i="11"/>
  <c r="BL18" i="11"/>
  <c r="AZ18" i="11"/>
  <c r="BH18" i="11"/>
  <c r="AR18" i="11"/>
  <c r="AN18" i="11"/>
  <c r="AJ18" i="11"/>
  <c r="BP18" i="11"/>
  <c r="AV18" i="11"/>
  <c r="T18" i="11"/>
  <c r="X18" i="11"/>
  <c r="AB18" i="11"/>
  <c r="P18" i="11"/>
  <c r="AF18" i="11"/>
  <c r="L18" i="11"/>
  <c r="CN17" i="11"/>
  <c r="CJ17" i="11"/>
  <c r="CF17" i="11"/>
  <c r="CB17" i="11"/>
  <c r="BX17" i="11"/>
  <c r="BT17" i="11"/>
  <c r="BD17" i="11"/>
  <c r="BL17" i="11"/>
  <c r="AZ17" i="11"/>
  <c r="BH17" i="11"/>
  <c r="AR17" i="11"/>
  <c r="AN17" i="11"/>
  <c r="AJ17" i="11"/>
  <c r="BP17" i="11"/>
  <c r="AV17" i="11"/>
  <c r="T17" i="11"/>
  <c r="X17" i="11"/>
  <c r="AB17" i="11"/>
  <c r="P17" i="11"/>
  <c r="AF17" i="11"/>
  <c r="L17" i="11"/>
  <c r="CN16" i="11"/>
  <c r="CJ16" i="11"/>
  <c r="CF16" i="11"/>
  <c r="CB16" i="11"/>
  <c r="BX16" i="11"/>
  <c r="BT16" i="11"/>
  <c r="BD16" i="11"/>
  <c r="BL16" i="11"/>
  <c r="AZ16" i="11"/>
  <c r="BH16" i="11"/>
  <c r="AR16" i="11"/>
  <c r="AN16" i="11"/>
  <c r="AJ16" i="11"/>
  <c r="BP16" i="11"/>
  <c r="AV16" i="11"/>
  <c r="T16" i="11"/>
  <c r="X16" i="11"/>
  <c r="AB16" i="11"/>
  <c r="P16" i="11"/>
  <c r="AF16" i="11"/>
  <c r="L16" i="11"/>
  <c r="CN15" i="11"/>
  <c r="CJ15" i="11"/>
  <c r="CF15" i="11"/>
  <c r="CB15" i="11"/>
  <c r="BX15" i="11"/>
  <c r="BT15" i="11"/>
  <c r="BD15" i="11"/>
  <c r="BL15" i="11"/>
  <c r="AZ15" i="11"/>
  <c r="BH15" i="11"/>
  <c r="AR15" i="11"/>
  <c r="AN15" i="11"/>
  <c r="AJ15" i="11"/>
  <c r="BP15" i="11"/>
  <c r="AV15" i="11"/>
  <c r="T15" i="11"/>
  <c r="X15" i="11"/>
  <c r="AB15" i="11"/>
  <c r="P15" i="11"/>
  <c r="AF15" i="11"/>
  <c r="L15" i="11"/>
  <c r="CN14" i="11"/>
  <c r="CJ14" i="11"/>
  <c r="CF14" i="11"/>
  <c r="CB14" i="11"/>
  <c r="BX14" i="11"/>
  <c r="BT14" i="11"/>
  <c r="BD14" i="11"/>
  <c r="BL14" i="11"/>
  <c r="AZ14" i="11"/>
  <c r="BH14" i="11"/>
  <c r="AR14" i="11"/>
  <c r="AN14" i="11"/>
  <c r="AJ14" i="11"/>
  <c r="BP14" i="11"/>
  <c r="AV14" i="11"/>
  <c r="T14" i="11"/>
  <c r="X14" i="11"/>
  <c r="AB14" i="11"/>
  <c r="P14" i="11"/>
  <c r="AF14" i="11"/>
  <c r="L14" i="11"/>
  <c r="CN13" i="11"/>
  <c r="CJ13" i="11"/>
  <c r="CF13" i="11"/>
  <c r="CB13" i="11"/>
  <c r="BX13" i="11"/>
  <c r="BT13" i="11"/>
  <c r="BD13" i="11"/>
  <c r="BL13" i="11"/>
  <c r="AZ13" i="11"/>
  <c r="BH13" i="11"/>
  <c r="AR13" i="11"/>
  <c r="AN13" i="11"/>
  <c r="AJ13" i="11"/>
  <c r="BP13" i="11"/>
  <c r="AV13" i="11"/>
  <c r="T13" i="11"/>
  <c r="X13" i="11"/>
  <c r="AB13" i="11"/>
  <c r="P13" i="11"/>
  <c r="AF13" i="11"/>
  <c r="L13" i="11"/>
  <c r="CN12" i="11"/>
  <c r="CJ12" i="11"/>
  <c r="CF12" i="11"/>
  <c r="CB12" i="11"/>
  <c r="BX12" i="11"/>
  <c r="BT12" i="11"/>
  <c r="BD12" i="11"/>
  <c r="BL12" i="11"/>
  <c r="AZ12" i="11"/>
  <c r="BH12" i="11"/>
  <c r="AR12" i="11"/>
  <c r="AN12" i="11"/>
  <c r="AJ12" i="11"/>
  <c r="BP12" i="11"/>
  <c r="AV12" i="11"/>
  <c r="T12" i="11"/>
  <c r="X12" i="11"/>
  <c r="AB12" i="11"/>
  <c r="P12" i="11"/>
  <c r="AF12" i="11"/>
  <c r="L12" i="11"/>
  <c r="CN11" i="11"/>
  <c r="CJ11" i="11"/>
  <c r="CF11" i="11"/>
  <c r="CB11" i="11"/>
  <c r="BX11" i="11"/>
  <c r="BT11" i="11"/>
  <c r="BD11" i="11"/>
  <c r="BL11" i="11"/>
  <c r="AZ11" i="11"/>
  <c r="BH11" i="11"/>
  <c r="AR11" i="11"/>
  <c r="AN11" i="11"/>
  <c r="AJ11" i="11"/>
  <c r="BP11" i="11"/>
  <c r="AV11" i="11"/>
  <c r="T11" i="11"/>
  <c r="X11" i="11"/>
  <c r="AB11" i="11"/>
  <c r="P11" i="11"/>
  <c r="AF11" i="11"/>
  <c r="L11" i="11"/>
  <c r="AE116" i="10"/>
  <c r="AE117" i="10"/>
  <c r="AF117" i="10"/>
  <c r="U116" i="10"/>
  <c r="U117" i="10"/>
  <c r="V117" i="10"/>
  <c r="AC116" i="10"/>
  <c r="AC117" i="10"/>
  <c r="AD117" i="10"/>
  <c r="M116" i="10"/>
  <c r="M117" i="10"/>
  <c r="N117" i="10"/>
  <c r="Q116" i="10"/>
  <c r="Q117" i="10"/>
  <c r="R117" i="10"/>
  <c r="AA116" i="10"/>
  <c r="AA117" i="10"/>
  <c r="AB117" i="10"/>
  <c r="AI116" i="10"/>
  <c r="AI117" i="10"/>
  <c r="AJ117" i="10"/>
  <c r="AK116" i="10"/>
  <c r="AK117" i="10"/>
  <c r="AL117" i="10"/>
  <c r="AW116" i="10"/>
  <c r="AW117" i="10"/>
  <c r="AX117" i="10"/>
  <c r="Y116" i="10"/>
  <c r="Y117" i="10"/>
  <c r="Z117" i="10"/>
  <c r="O116" i="10"/>
  <c r="O117" i="10"/>
  <c r="P117" i="10"/>
  <c r="AU116" i="10"/>
  <c r="AU117" i="10"/>
  <c r="AV117" i="10"/>
  <c r="AQ116" i="10"/>
  <c r="AQ117" i="10"/>
  <c r="AR117" i="10"/>
  <c r="W116" i="10"/>
  <c r="W117" i="10"/>
  <c r="X117" i="10"/>
  <c r="K116" i="10"/>
  <c r="K117" i="10"/>
  <c r="L117" i="10"/>
  <c r="S116" i="10"/>
  <c r="S117" i="10"/>
  <c r="T117" i="10"/>
  <c r="AY117" i="10"/>
  <c r="AO116" i="10"/>
  <c r="AO117" i="10"/>
  <c r="AP117" i="10"/>
  <c r="AS116" i="10"/>
  <c r="AS117" i="10"/>
  <c r="AT117" i="10"/>
  <c r="AM116" i="10"/>
  <c r="AM117" i="10"/>
  <c r="AN117" i="10"/>
  <c r="AG116" i="10"/>
  <c r="AG117" i="10"/>
  <c r="AH117" i="10"/>
  <c r="H116" i="10"/>
  <c r="AF116" i="10"/>
  <c r="V116" i="10"/>
  <c r="AD116" i="10"/>
  <c r="N116" i="10"/>
  <c r="R116" i="10"/>
  <c r="AB116" i="10"/>
  <c r="AJ116" i="10"/>
  <c r="AL116" i="10"/>
  <c r="AX116" i="10"/>
  <c r="Z116" i="10"/>
  <c r="P116" i="10"/>
  <c r="AV116" i="10"/>
  <c r="AR116" i="10"/>
  <c r="X116" i="10"/>
  <c r="L116" i="10"/>
  <c r="T116" i="10"/>
  <c r="AY116" i="10"/>
  <c r="AZ116" i="10"/>
  <c r="AP116" i="10"/>
  <c r="AT116" i="10"/>
  <c r="AN116" i="10"/>
  <c r="AH116" i="10"/>
  <c r="AF111" i="10"/>
  <c r="V111" i="10"/>
  <c r="AD111" i="10"/>
  <c r="N111" i="10"/>
  <c r="R111" i="10"/>
  <c r="AB111" i="10"/>
  <c r="AJ111" i="10"/>
  <c r="AL111" i="10"/>
  <c r="AX111" i="10"/>
  <c r="Z111" i="10"/>
  <c r="P111" i="10"/>
  <c r="AV111" i="10"/>
  <c r="AR111" i="10"/>
  <c r="X111" i="10"/>
  <c r="L111" i="10"/>
  <c r="T111" i="10"/>
  <c r="AZ111" i="10"/>
  <c r="AP111" i="10"/>
  <c r="AT111" i="10"/>
  <c r="AN111" i="10"/>
  <c r="AH111" i="10"/>
  <c r="AF109" i="10"/>
  <c r="V109" i="10"/>
  <c r="AD109" i="10"/>
  <c r="N109" i="10"/>
  <c r="R109" i="10"/>
  <c r="AB109" i="10"/>
  <c r="AJ109" i="10"/>
  <c r="AL109" i="10"/>
  <c r="AX109" i="10"/>
  <c r="Z109" i="10"/>
  <c r="P109" i="10"/>
  <c r="AV109" i="10"/>
  <c r="AR109" i="10"/>
  <c r="X109" i="10"/>
  <c r="L109" i="10"/>
  <c r="T109" i="10"/>
  <c r="AZ109" i="10"/>
  <c r="AP109" i="10"/>
  <c r="AT109" i="10"/>
  <c r="AN109" i="10"/>
  <c r="AH109" i="10"/>
  <c r="AF108" i="10"/>
  <c r="V108" i="10"/>
  <c r="AD108" i="10"/>
  <c r="N108" i="10"/>
  <c r="R108" i="10"/>
  <c r="AB108" i="10"/>
  <c r="AJ108" i="10"/>
  <c r="AL108" i="10"/>
  <c r="AX108" i="10"/>
  <c r="Z108" i="10"/>
  <c r="P108" i="10"/>
  <c r="AV108" i="10"/>
  <c r="AR108" i="10"/>
  <c r="X108" i="10"/>
  <c r="L108" i="10"/>
  <c r="T108" i="10"/>
  <c r="AZ108" i="10"/>
  <c r="AP108" i="10"/>
  <c r="AT108" i="10"/>
  <c r="AN108" i="10"/>
  <c r="AH108" i="10"/>
  <c r="AF107" i="10"/>
  <c r="V107" i="10"/>
  <c r="AD107" i="10"/>
  <c r="N107" i="10"/>
  <c r="R107" i="10"/>
  <c r="AB107" i="10"/>
  <c r="AJ107" i="10"/>
  <c r="AL107" i="10"/>
  <c r="AX107" i="10"/>
  <c r="Z107" i="10"/>
  <c r="P107" i="10"/>
  <c r="AV107" i="10"/>
  <c r="AR107" i="10"/>
  <c r="X107" i="10"/>
  <c r="L107" i="10"/>
  <c r="T107" i="10"/>
  <c r="AZ107" i="10"/>
  <c r="AP107" i="10"/>
  <c r="AT107" i="10"/>
  <c r="AN107" i="10"/>
  <c r="AH107" i="10"/>
  <c r="AF103" i="10"/>
  <c r="V103" i="10"/>
  <c r="AD103" i="10"/>
  <c r="N103" i="10"/>
  <c r="R103" i="10"/>
  <c r="AB103" i="10"/>
  <c r="AJ103" i="10"/>
  <c r="AL103" i="10"/>
  <c r="AX103" i="10"/>
  <c r="Z103" i="10"/>
  <c r="P103" i="10"/>
  <c r="AV103" i="10"/>
  <c r="AR103" i="10"/>
  <c r="X103" i="10"/>
  <c r="L103" i="10"/>
  <c r="T103" i="10"/>
  <c r="AZ103" i="10"/>
  <c r="AP103" i="10"/>
  <c r="AT103" i="10"/>
  <c r="AN103" i="10"/>
  <c r="AH103" i="10"/>
  <c r="AF99" i="10"/>
  <c r="V99" i="10"/>
  <c r="AD99" i="10"/>
  <c r="N99" i="10"/>
  <c r="R99" i="10"/>
  <c r="AB99" i="10"/>
  <c r="AJ99" i="10"/>
  <c r="AL99" i="10"/>
  <c r="AX99" i="10"/>
  <c r="Z99" i="10"/>
  <c r="P99" i="10"/>
  <c r="AV99" i="10"/>
  <c r="AR99" i="10"/>
  <c r="X99" i="10"/>
  <c r="L99" i="10"/>
  <c r="T99" i="10"/>
  <c r="AZ99" i="10"/>
  <c r="AP99" i="10"/>
  <c r="AT99" i="10"/>
  <c r="AN99" i="10"/>
  <c r="AH99" i="10"/>
  <c r="AF98" i="10"/>
  <c r="V98" i="10"/>
  <c r="AD98" i="10"/>
  <c r="N98" i="10"/>
  <c r="R98" i="10"/>
  <c r="AB98" i="10"/>
  <c r="AJ98" i="10"/>
  <c r="AL98" i="10"/>
  <c r="AX98" i="10"/>
  <c r="Z98" i="10"/>
  <c r="P98" i="10"/>
  <c r="AV98" i="10"/>
  <c r="AR98" i="10"/>
  <c r="X98" i="10"/>
  <c r="L98" i="10"/>
  <c r="T98" i="10"/>
  <c r="AZ98" i="10"/>
  <c r="AP98" i="10"/>
  <c r="AT98" i="10"/>
  <c r="AN98" i="10"/>
  <c r="AH98" i="10"/>
  <c r="AF96" i="10"/>
  <c r="V96" i="10"/>
  <c r="AD96" i="10"/>
  <c r="N96" i="10"/>
  <c r="R96" i="10"/>
  <c r="AB96" i="10"/>
  <c r="AJ96" i="10"/>
  <c r="AL96" i="10"/>
  <c r="AX96" i="10"/>
  <c r="Z96" i="10"/>
  <c r="P96" i="10"/>
  <c r="AV96" i="10"/>
  <c r="AR96" i="10"/>
  <c r="X96" i="10"/>
  <c r="L96" i="10"/>
  <c r="T96" i="10"/>
  <c r="AZ96" i="10"/>
  <c r="AP96" i="10"/>
  <c r="AT96" i="10"/>
  <c r="AN96" i="10"/>
  <c r="AH96" i="10"/>
  <c r="AF95" i="10"/>
  <c r="V95" i="10"/>
  <c r="AD95" i="10"/>
  <c r="N95" i="10"/>
  <c r="R95" i="10"/>
  <c r="AB95" i="10"/>
  <c r="AJ95" i="10"/>
  <c r="AL95" i="10"/>
  <c r="AX95" i="10"/>
  <c r="Z95" i="10"/>
  <c r="P95" i="10"/>
  <c r="AV95" i="10"/>
  <c r="AR95" i="10"/>
  <c r="X95" i="10"/>
  <c r="L95" i="10"/>
  <c r="T95" i="10"/>
  <c r="AZ95" i="10"/>
  <c r="AP95" i="10"/>
  <c r="AT95" i="10"/>
  <c r="AN95" i="10"/>
  <c r="AH95" i="10"/>
  <c r="AF91" i="10"/>
  <c r="V91" i="10"/>
  <c r="AD91" i="10"/>
  <c r="N91" i="10"/>
  <c r="R91" i="10"/>
  <c r="AB91" i="10"/>
  <c r="AJ91" i="10"/>
  <c r="AL91" i="10"/>
  <c r="AX91" i="10"/>
  <c r="Z91" i="10"/>
  <c r="P91" i="10"/>
  <c r="AV91" i="10"/>
  <c r="AR91" i="10"/>
  <c r="X91" i="10"/>
  <c r="L91" i="10"/>
  <c r="T91" i="10"/>
  <c r="AZ91" i="10"/>
  <c r="AP91" i="10"/>
  <c r="AT91" i="10"/>
  <c r="AN91" i="10"/>
  <c r="AH91" i="10"/>
  <c r="AF89" i="10"/>
  <c r="V89" i="10"/>
  <c r="AD89" i="10"/>
  <c r="N89" i="10"/>
  <c r="R89" i="10"/>
  <c r="AB89" i="10"/>
  <c r="AJ89" i="10"/>
  <c r="AL89" i="10"/>
  <c r="AX89" i="10"/>
  <c r="Z89" i="10"/>
  <c r="P89" i="10"/>
  <c r="AV89" i="10"/>
  <c r="AR89" i="10"/>
  <c r="X89" i="10"/>
  <c r="L89" i="10"/>
  <c r="T89" i="10"/>
  <c r="AZ89" i="10"/>
  <c r="AP89" i="10"/>
  <c r="AT89" i="10"/>
  <c r="AN89" i="10"/>
  <c r="AH89" i="10"/>
  <c r="AF88" i="10"/>
  <c r="V88" i="10"/>
  <c r="AD88" i="10"/>
  <c r="N88" i="10"/>
  <c r="R88" i="10"/>
  <c r="AB88" i="10"/>
  <c r="AJ88" i="10"/>
  <c r="AL88" i="10"/>
  <c r="AX88" i="10"/>
  <c r="Z88" i="10"/>
  <c r="P88" i="10"/>
  <c r="AV88" i="10"/>
  <c r="AR88" i="10"/>
  <c r="X88" i="10"/>
  <c r="L88" i="10"/>
  <c r="T88" i="10"/>
  <c r="AZ88" i="10"/>
  <c r="AP88" i="10"/>
  <c r="AT88" i="10"/>
  <c r="AN88" i="10"/>
  <c r="AH88" i="10"/>
  <c r="AF87" i="10"/>
  <c r="V87" i="10"/>
  <c r="AD87" i="10"/>
  <c r="N87" i="10"/>
  <c r="R87" i="10"/>
  <c r="AB87" i="10"/>
  <c r="AJ87" i="10"/>
  <c r="AL87" i="10"/>
  <c r="AX87" i="10"/>
  <c r="Z87" i="10"/>
  <c r="P87" i="10"/>
  <c r="AV87" i="10"/>
  <c r="AR87" i="10"/>
  <c r="X87" i="10"/>
  <c r="L87" i="10"/>
  <c r="T87" i="10"/>
  <c r="AZ87" i="10"/>
  <c r="AP87" i="10"/>
  <c r="AT87" i="10"/>
  <c r="AN87" i="10"/>
  <c r="AH87" i="10"/>
  <c r="AF83" i="10"/>
  <c r="V83" i="10"/>
  <c r="AD83" i="10"/>
  <c r="N83" i="10"/>
  <c r="R83" i="10"/>
  <c r="AB83" i="10"/>
  <c r="AJ83" i="10"/>
  <c r="AL83" i="10"/>
  <c r="AX83" i="10"/>
  <c r="Z83" i="10"/>
  <c r="P83" i="10"/>
  <c r="AV83" i="10"/>
  <c r="AR83" i="10"/>
  <c r="X83" i="10"/>
  <c r="L83" i="10"/>
  <c r="T83" i="10"/>
  <c r="AZ83" i="10"/>
  <c r="AP83" i="10"/>
  <c r="AT83" i="10"/>
  <c r="AN83" i="10"/>
  <c r="AH83" i="10"/>
  <c r="AF79" i="10"/>
  <c r="V79" i="10"/>
  <c r="AD79" i="10"/>
  <c r="N79" i="10"/>
  <c r="R79" i="10"/>
  <c r="AB79" i="10"/>
  <c r="AJ79" i="10"/>
  <c r="AL79" i="10"/>
  <c r="AX79" i="10"/>
  <c r="Z79" i="10"/>
  <c r="P79" i="10"/>
  <c r="AV79" i="10"/>
  <c r="AR79" i="10"/>
  <c r="X79" i="10"/>
  <c r="L79" i="10"/>
  <c r="T79" i="10"/>
  <c r="AZ79" i="10"/>
  <c r="AP79" i="10"/>
  <c r="AT79" i="10"/>
  <c r="AN79" i="10"/>
  <c r="AH79" i="10"/>
  <c r="AF77" i="10"/>
  <c r="V77" i="10"/>
  <c r="AD77" i="10"/>
  <c r="N77" i="10"/>
  <c r="R77" i="10"/>
  <c r="AB77" i="10"/>
  <c r="AJ77" i="10"/>
  <c r="AL77" i="10"/>
  <c r="AX77" i="10"/>
  <c r="Z77" i="10"/>
  <c r="P77" i="10"/>
  <c r="AV77" i="10"/>
  <c r="AR77" i="10"/>
  <c r="X77" i="10"/>
  <c r="L77" i="10"/>
  <c r="T77" i="10"/>
  <c r="AZ77" i="10"/>
  <c r="AP77" i="10"/>
  <c r="AT77" i="10"/>
  <c r="AN77" i="10"/>
  <c r="AH77" i="10"/>
  <c r="AF76" i="10"/>
  <c r="V76" i="10"/>
  <c r="AD76" i="10"/>
  <c r="N76" i="10"/>
  <c r="R76" i="10"/>
  <c r="AB76" i="10"/>
  <c r="AJ76" i="10"/>
  <c r="AL76" i="10"/>
  <c r="AX76" i="10"/>
  <c r="Z76" i="10"/>
  <c r="P76" i="10"/>
  <c r="AV76" i="10"/>
  <c r="AR76" i="10"/>
  <c r="X76" i="10"/>
  <c r="L76" i="10"/>
  <c r="T76" i="10"/>
  <c r="AZ76" i="10"/>
  <c r="AP76" i="10"/>
  <c r="AT76" i="10"/>
  <c r="AN76" i="10"/>
  <c r="AH76" i="10"/>
  <c r="AF74" i="10"/>
  <c r="V74" i="10"/>
  <c r="AD74" i="10"/>
  <c r="N74" i="10"/>
  <c r="R74" i="10"/>
  <c r="AB74" i="10"/>
  <c r="AJ74" i="10"/>
  <c r="AL74" i="10"/>
  <c r="AX74" i="10"/>
  <c r="Z74" i="10"/>
  <c r="P74" i="10"/>
  <c r="AV74" i="10"/>
  <c r="AR74" i="10"/>
  <c r="X74" i="10"/>
  <c r="L74" i="10"/>
  <c r="T74" i="10"/>
  <c r="AZ74" i="10"/>
  <c r="AP74" i="10"/>
  <c r="AT74" i="10"/>
  <c r="AN74" i="10"/>
  <c r="AH74" i="10"/>
  <c r="AF73" i="10"/>
  <c r="V73" i="10"/>
  <c r="AD73" i="10"/>
  <c r="N73" i="10"/>
  <c r="R73" i="10"/>
  <c r="AB73" i="10"/>
  <c r="AJ73" i="10"/>
  <c r="AL73" i="10"/>
  <c r="AX73" i="10"/>
  <c r="Z73" i="10"/>
  <c r="P73" i="10"/>
  <c r="AV73" i="10"/>
  <c r="AR73" i="10"/>
  <c r="X73" i="10"/>
  <c r="L73" i="10"/>
  <c r="T73" i="10"/>
  <c r="AZ73" i="10"/>
  <c r="AP73" i="10"/>
  <c r="AT73" i="10"/>
  <c r="AN73" i="10"/>
  <c r="AH73" i="10"/>
  <c r="AF72" i="10"/>
  <c r="V72" i="10"/>
  <c r="AD72" i="10"/>
  <c r="N72" i="10"/>
  <c r="R72" i="10"/>
  <c r="AB72" i="10"/>
  <c r="AJ72" i="10"/>
  <c r="AL72" i="10"/>
  <c r="AX72" i="10"/>
  <c r="Z72" i="10"/>
  <c r="P72" i="10"/>
  <c r="AV72" i="10"/>
  <c r="AR72" i="10"/>
  <c r="X72" i="10"/>
  <c r="L72" i="10"/>
  <c r="T72" i="10"/>
  <c r="AZ72" i="10"/>
  <c r="AP72" i="10"/>
  <c r="AT72" i="10"/>
  <c r="AN72" i="10"/>
  <c r="AH72" i="10"/>
  <c r="AF71" i="10"/>
  <c r="V71" i="10"/>
  <c r="AD71" i="10"/>
  <c r="N71" i="10"/>
  <c r="R71" i="10"/>
  <c r="AB71" i="10"/>
  <c r="AJ71" i="10"/>
  <c r="AL71" i="10"/>
  <c r="AX71" i="10"/>
  <c r="Z71" i="10"/>
  <c r="P71" i="10"/>
  <c r="AV71" i="10"/>
  <c r="AR71" i="10"/>
  <c r="X71" i="10"/>
  <c r="L71" i="10"/>
  <c r="T71" i="10"/>
  <c r="AZ71" i="10"/>
  <c r="AP71" i="10"/>
  <c r="AT71" i="10"/>
  <c r="AN71" i="10"/>
  <c r="AH71" i="10"/>
  <c r="AF66" i="10"/>
  <c r="V66" i="10"/>
  <c r="AD66" i="10"/>
  <c r="N66" i="10"/>
  <c r="R66" i="10"/>
  <c r="AB66" i="10"/>
  <c r="AJ66" i="10"/>
  <c r="AL66" i="10"/>
  <c r="AX66" i="10"/>
  <c r="Z66" i="10"/>
  <c r="P66" i="10"/>
  <c r="AV66" i="10"/>
  <c r="AR66" i="10"/>
  <c r="X66" i="10"/>
  <c r="L66" i="10"/>
  <c r="T66" i="10"/>
  <c r="AZ66" i="10"/>
  <c r="AP66" i="10"/>
  <c r="AT66" i="10"/>
  <c r="AN66" i="10"/>
  <c r="AH66" i="10"/>
  <c r="AF65" i="10"/>
  <c r="V65" i="10"/>
  <c r="AD65" i="10"/>
  <c r="N65" i="10"/>
  <c r="R65" i="10"/>
  <c r="AB65" i="10"/>
  <c r="AJ65" i="10"/>
  <c r="AL65" i="10"/>
  <c r="AX65" i="10"/>
  <c r="Z65" i="10"/>
  <c r="P65" i="10"/>
  <c r="AV65" i="10"/>
  <c r="AR65" i="10"/>
  <c r="X65" i="10"/>
  <c r="L65" i="10"/>
  <c r="T65" i="10"/>
  <c r="AZ65" i="10"/>
  <c r="AP65" i="10"/>
  <c r="AT65" i="10"/>
  <c r="AN65" i="10"/>
  <c r="AH65" i="10"/>
  <c r="AF64" i="10"/>
  <c r="V64" i="10"/>
  <c r="AD64" i="10"/>
  <c r="N64" i="10"/>
  <c r="R64" i="10"/>
  <c r="AB64" i="10"/>
  <c r="AJ64" i="10"/>
  <c r="AL64" i="10"/>
  <c r="AX64" i="10"/>
  <c r="Z64" i="10"/>
  <c r="P64" i="10"/>
  <c r="AV64" i="10"/>
  <c r="AR64" i="10"/>
  <c r="X64" i="10"/>
  <c r="L64" i="10"/>
  <c r="T64" i="10"/>
  <c r="AZ64" i="10"/>
  <c r="AP64" i="10"/>
  <c r="AT64" i="10"/>
  <c r="AN64" i="10"/>
  <c r="AH64" i="10"/>
  <c r="AF63" i="10"/>
  <c r="V63" i="10"/>
  <c r="AD63" i="10"/>
  <c r="N63" i="10"/>
  <c r="R63" i="10"/>
  <c r="AB63" i="10"/>
  <c r="AJ63" i="10"/>
  <c r="AL63" i="10"/>
  <c r="AX63" i="10"/>
  <c r="Z63" i="10"/>
  <c r="P63" i="10"/>
  <c r="AV63" i="10"/>
  <c r="AR63" i="10"/>
  <c r="X63" i="10"/>
  <c r="L63" i="10"/>
  <c r="T63" i="10"/>
  <c r="AZ63" i="10"/>
  <c r="AP63" i="10"/>
  <c r="AT63" i="10"/>
  <c r="AN63" i="10"/>
  <c r="AH63" i="10"/>
  <c r="AF62" i="10"/>
  <c r="V62" i="10"/>
  <c r="AD62" i="10"/>
  <c r="N62" i="10"/>
  <c r="R62" i="10"/>
  <c r="AB62" i="10"/>
  <c r="AJ62" i="10"/>
  <c r="AL62" i="10"/>
  <c r="AX62" i="10"/>
  <c r="Z62" i="10"/>
  <c r="P62" i="10"/>
  <c r="AV62" i="10"/>
  <c r="AR62" i="10"/>
  <c r="X62" i="10"/>
  <c r="L62" i="10"/>
  <c r="T62" i="10"/>
  <c r="AZ62" i="10"/>
  <c r="AP62" i="10"/>
  <c r="AT62" i="10"/>
  <c r="AN62" i="10"/>
  <c r="AH62" i="10"/>
  <c r="AF59" i="10"/>
  <c r="V59" i="10"/>
  <c r="AD59" i="10"/>
  <c r="N59" i="10"/>
  <c r="R59" i="10"/>
  <c r="AB59" i="10"/>
  <c r="AJ59" i="10"/>
  <c r="AL59" i="10"/>
  <c r="AX59" i="10"/>
  <c r="Z59" i="10"/>
  <c r="P59" i="10"/>
  <c r="AV59" i="10"/>
  <c r="AR59" i="10"/>
  <c r="X59" i="10"/>
  <c r="L59" i="10"/>
  <c r="T59" i="10"/>
  <c r="AZ59" i="10"/>
  <c r="AP59" i="10"/>
  <c r="AT59" i="10"/>
  <c r="AN59" i="10"/>
  <c r="AH59" i="10"/>
  <c r="AF58" i="10"/>
  <c r="V58" i="10"/>
  <c r="AD58" i="10"/>
  <c r="N58" i="10"/>
  <c r="R58" i="10"/>
  <c r="AB58" i="10"/>
  <c r="AJ58" i="10"/>
  <c r="AL58" i="10"/>
  <c r="AX58" i="10"/>
  <c r="Z58" i="10"/>
  <c r="P58" i="10"/>
  <c r="AV58" i="10"/>
  <c r="AR58" i="10"/>
  <c r="X58" i="10"/>
  <c r="L58" i="10"/>
  <c r="T58" i="10"/>
  <c r="AZ58" i="10"/>
  <c r="AP58" i="10"/>
  <c r="AT58" i="10"/>
  <c r="AN58" i="10"/>
  <c r="AH58" i="10"/>
  <c r="AF57" i="10"/>
  <c r="V57" i="10"/>
  <c r="AD57" i="10"/>
  <c r="N57" i="10"/>
  <c r="R57" i="10"/>
  <c r="AB57" i="10"/>
  <c r="AJ57" i="10"/>
  <c r="AL57" i="10"/>
  <c r="AX57" i="10"/>
  <c r="Z57" i="10"/>
  <c r="P57" i="10"/>
  <c r="AV57" i="10"/>
  <c r="AR57" i="10"/>
  <c r="X57" i="10"/>
  <c r="L57" i="10"/>
  <c r="T57" i="10"/>
  <c r="AZ57" i="10"/>
  <c r="AP57" i="10"/>
  <c r="AT57" i="10"/>
  <c r="AN57" i="10"/>
  <c r="AH57" i="10"/>
  <c r="AF56" i="10"/>
  <c r="V56" i="10"/>
  <c r="AD56" i="10"/>
  <c r="N56" i="10"/>
  <c r="R56" i="10"/>
  <c r="AB56" i="10"/>
  <c r="AJ56" i="10"/>
  <c r="AL56" i="10"/>
  <c r="AX56" i="10"/>
  <c r="Z56" i="10"/>
  <c r="P56" i="10"/>
  <c r="AV56" i="10"/>
  <c r="AR56" i="10"/>
  <c r="X56" i="10"/>
  <c r="L56" i="10"/>
  <c r="T56" i="10"/>
  <c r="AZ56" i="10"/>
  <c r="AP56" i="10"/>
  <c r="AT56" i="10"/>
  <c r="AN56" i="10"/>
  <c r="AH56" i="10"/>
  <c r="AF52" i="10"/>
  <c r="V52" i="10"/>
  <c r="AD52" i="10"/>
  <c r="N52" i="10"/>
  <c r="R52" i="10"/>
  <c r="AB52" i="10"/>
  <c r="AJ52" i="10"/>
  <c r="AL52" i="10"/>
  <c r="AX52" i="10"/>
  <c r="Z52" i="10"/>
  <c r="P52" i="10"/>
  <c r="AV52" i="10"/>
  <c r="AR52" i="10"/>
  <c r="X52" i="10"/>
  <c r="L52" i="10"/>
  <c r="T52" i="10"/>
  <c r="AZ52" i="10"/>
  <c r="AP52" i="10"/>
  <c r="AT52" i="10"/>
  <c r="AN52" i="10"/>
  <c r="AH52" i="10"/>
  <c r="AF49" i="10"/>
  <c r="V49" i="10"/>
  <c r="AD49" i="10"/>
  <c r="N49" i="10"/>
  <c r="R49" i="10"/>
  <c r="AB49" i="10"/>
  <c r="AJ49" i="10"/>
  <c r="AL49" i="10"/>
  <c r="AX49" i="10"/>
  <c r="Z49" i="10"/>
  <c r="P49" i="10"/>
  <c r="AV49" i="10"/>
  <c r="AR49" i="10"/>
  <c r="X49" i="10"/>
  <c r="L49" i="10"/>
  <c r="T49" i="10"/>
  <c r="AZ49" i="10"/>
  <c r="AP49" i="10"/>
  <c r="AT49" i="10"/>
  <c r="AN49" i="10"/>
  <c r="AH49" i="10"/>
  <c r="AF48" i="10"/>
  <c r="V48" i="10"/>
  <c r="AD48" i="10"/>
  <c r="N48" i="10"/>
  <c r="R48" i="10"/>
  <c r="AB48" i="10"/>
  <c r="AJ48" i="10"/>
  <c r="AL48" i="10"/>
  <c r="AX48" i="10"/>
  <c r="Z48" i="10"/>
  <c r="P48" i="10"/>
  <c r="AV48" i="10"/>
  <c r="AR48" i="10"/>
  <c r="X48" i="10"/>
  <c r="L48" i="10"/>
  <c r="T48" i="10"/>
  <c r="AZ48" i="10"/>
  <c r="AP48" i="10"/>
  <c r="AT48" i="10"/>
  <c r="AN48" i="10"/>
  <c r="AH48" i="10"/>
  <c r="AF43" i="10"/>
  <c r="V43" i="10"/>
  <c r="AD43" i="10"/>
  <c r="N43" i="10"/>
  <c r="R43" i="10"/>
  <c r="AB43" i="10"/>
  <c r="AJ43" i="10"/>
  <c r="AL43" i="10"/>
  <c r="AX43" i="10"/>
  <c r="Z43" i="10"/>
  <c r="P43" i="10"/>
  <c r="AV43" i="10"/>
  <c r="AR43" i="10"/>
  <c r="X43" i="10"/>
  <c r="L43" i="10"/>
  <c r="T43" i="10"/>
  <c r="AZ43" i="10"/>
  <c r="AP43" i="10"/>
  <c r="AT43" i="10"/>
  <c r="AN43" i="10"/>
  <c r="AH43" i="10"/>
  <c r="AF42" i="10"/>
  <c r="V42" i="10"/>
  <c r="AD42" i="10"/>
  <c r="N42" i="10"/>
  <c r="R42" i="10"/>
  <c r="AB42" i="10"/>
  <c r="AJ42" i="10"/>
  <c r="AL42" i="10"/>
  <c r="AX42" i="10"/>
  <c r="Z42" i="10"/>
  <c r="P42" i="10"/>
  <c r="AV42" i="10"/>
  <c r="AR42" i="10"/>
  <c r="X42" i="10"/>
  <c r="L42" i="10"/>
  <c r="T42" i="10"/>
  <c r="AZ42" i="10"/>
  <c r="AP42" i="10"/>
  <c r="AT42" i="10"/>
  <c r="AN42" i="10"/>
  <c r="AH42" i="10"/>
  <c r="AF39" i="10"/>
  <c r="V39" i="10"/>
  <c r="AD39" i="10"/>
  <c r="N39" i="10"/>
  <c r="R39" i="10"/>
  <c r="AB39" i="10"/>
  <c r="AJ39" i="10"/>
  <c r="AL39" i="10"/>
  <c r="AX39" i="10"/>
  <c r="Z39" i="10"/>
  <c r="P39" i="10"/>
  <c r="AV39" i="10"/>
  <c r="AR39" i="10"/>
  <c r="X39" i="10"/>
  <c r="L39" i="10"/>
  <c r="T39" i="10"/>
  <c r="AZ39" i="10"/>
  <c r="AP39" i="10"/>
  <c r="AT39" i="10"/>
  <c r="AN39" i="10"/>
  <c r="AH39" i="10"/>
  <c r="AF38" i="10"/>
  <c r="V38" i="10"/>
  <c r="AD38" i="10"/>
  <c r="N38" i="10"/>
  <c r="R38" i="10"/>
  <c r="AB38" i="10"/>
  <c r="AJ38" i="10"/>
  <c r="AL38" i="10"/>
  <c r="AX38" i="10"/>
  <c r="Z38" i="10"/>
  <c r="P38" i="10"/>
  <c r="AV38" i="10"/>
  <c r="AR38" i="10"/>
  <c r="X38" i="10"/>
  <c r="L38" i="10"/>
  <c r="T38" i="10"/>
  <c r="AZ38" i="10"/>
  <c r="AP38" i="10"/>
  <c r="AT38" i="10"/>
  <c r="AN38" i="10"/>
  <c r="AH38" i="10"/>
  <c r="AF32" i="10"/>
  <c r="V32" i="10"/>
  <c r="AD32" i="10"/>
  <c r="N32" i="10"/>
  <c r="R32" i="10"/>
  <c r="AB32" i="10"/>
  <c r="AJ32" i="10"/>
  <c r="AL32" i="10"/>
  <c r="AX32" i="10"/>
  <c r="Z32" i="10"/>
  <c r="P32" i="10"/>
  <c r="AV32" i="10"/>
  <c r="AR32" i="10"/>
  <c r="X32" i="10"/>
  <c r="L32" i="10"/>
  <c r="T32" i="10"/>
  <c r="AZ32" i="10"/>
  <c r="AP32" i="10"/>
  <c r="AT32" i="10"/>
  <c r="AN32" i="10"/>
  <c r="AH32" i="10"/>
  <c r="AF31" i="10"/>
  <c r="V31" i="10"/>
  <c r="AD31" i="10"/>
  <c r="N31" i="10"/>
  <c r="R31" i="10"/>
  <c r="AB31" i="10"/>
  <c r="AJ31" i="10"/>
  <c r="AL31" i="10"/>
  <c r="AX31" i="10"/>
  <c r="Z31" i="10"/>
  <c r="P31" i="10"/>
  <c r="AV31" i="10"/>
  <c r="AR31" i="10"/>
  <c r="X31" i="10"/>
  <c r="L31" i="10"/>
  <c r="T31" i="10"/>
  <c r="AZ31" i="10"/>
  <c r="AP31" i="10"/>
  <c r="AT31" i="10"/>
  <c r="AN31" i="10"/>
  <c r="AH31" i="10"/>
  <c r="AF30" i="10"/>
  <c r="V30" i="10"/>
  <c r="AD30" i="10"/>
  <c r="N30" i="10"/>
  <c r="R30" i="10"/>
  <c r="AB30" i="10"/>
  <c r="AJ30" i="10"/>
  <c r="AL30" i="10"/>
  <c r="AX30" i="10"/>
  <c r="Z30" i="10"/>
  <c r="P30" i="10"/>
  <c r="AV30" i="10"/>
  <c r="AR30" i="10"/>
  <c r="X30" i="10"/>
  <c r="L30" i="10"/>
  <c r="T30" i="10"/>
  <c r="AZ30" i="10"/>
  <c r="AP30" i="10"/>
  <c r="AT30" i="10"/>
  <c r="AN30" i="10"/>
  <c r="AH30" i="10"/>
  <c r="AF29" i="10"/>
  <c r="V29" i="10"/>
  <c r="AD29" i="10"/>
  <c r="N29" i="10"/>
  <c r="R29" i="10"/>
  <c r="AB29" i="10"/>
  <c r="AJ29" i="10"/>
  <c r="AL29" i="10"/>
  <c r="AX29" i="10"/>
  <c r="Z29" i="10"/>
  <c r="P29" i="10"/>
  <c r="AV29" i="10"/>
  <c r="AR29" i="10"/>
  <c r="X29" i="10"/>
  <c r="L29" i="10"/>
  <c r="T29" i="10"/>
  <c r="AZ29" i="10"/>
  <c r="AP29" i="10"/>
  <c r="AT29" i="10"/>
  <c r="AN29" i="10"/>
  <c r="AH29" i="10"/>
  <c r="AF28" i="10"/>
  <c r="V28" i="10"/>
  <c r="AD28" i="10"/>
  <c r="N28" i="10"/>
  <c r="R28" i="10"/>
  <c r="AB28" i="10"/>
  <c r="AJ28" i="10"/>
  <c r="AL28" i="10"/>
  <c r="AX28" i="10"/>
  <c r="Z28" i="10"/>
  <c r="P28" i="10"/>
  <c r="AV28" i="10"/>
  <c r="AR28" i="10"/>
  <c r="X28" i="10"/>
  <c r="L28" i="10"/>
  <c r="T28" i="10"/>
  <c r="AZ28" i="10"/>
  <c r="AP28" i="10"/>
  <c r="AT28" i="10"/>
  <c r="AN28" i="10"/>
  <c r="AH28" i="10"/>
  <c r="AF24" i="10"/>
  <c r="V24" i="10"/>
  <c r="AD24" i="10"/>
  <c r="N24" i="10"/>
  <c r="R24" i="10"/>
  <c r="AB24" i="10"/>
  <c r="AJ24" i="10"/>
  <c r="AL24" i="10"/>
  <c r="AX24" i="10"/>
  <c r="Z24" i="10"/>
  <c r="P24" i="10"/>
  <c r="AV24" i="10"/>
  <c r="AR24" i="10"/>
  <c r="X24" i="10"/>
  <c r="L24" i="10"/>
  <c r="T24" i="10"/>
  <c r="AZ24" i="10"/>
  <c r="AP24" i="10"/>
  <c r="AT24" i="10"/>
  <c r="AN24" i="10"/>
  <c r="AH24" i="10"/>
  <c r="AF21" i="10"/>
  <c r="V21" i="10"/>
  <c r="AD21" i="10"/>
  <c r="N21" i="10"/>
  <c r="R21" i="10"/>
  <c r="AB21" i="10"/>
  <c r="AJ21" i="10"/>
  <c r="AL21" i="10"/>
  <c r="AX21" i="10"/>
  <c r="Z21" i="10"/>
  <c r="P21" i="10"/>
  <c r="AV21" i="10"/>
  <c r="AR21" i="10"/>
  <c r="X21" i="10"/>
  <c r="L21" i="10"/>
  <c r="T21" i="10"/>
  <c r="AZ21" i="10"/>
  <c r="AP21" i="10"/>
  <c r="AT21" i="10"/>
  <c r="AN21" i="10"/>
  <c r="AH21" i="10"/>
  <c r="AF20" i="10"/>
  <c r="V20" i="10"/>
  <c r="AD20" i="10"/>
  <c r="N20" i="10"/>
  <c r="R20" i="10"/>
  <c r="AB20" i="10"/>
  <c r="AJ20" i="10"/>
  <c r="AL20" i="10"/>
  <c r="AX20" i="10"/>
  <c r="Z20" i="10"/>
  <c r="P20" i="10"/>
  <c r="AV20" i="10"/>
  <c r="AR20" i="10"/>
  <c r="X20" i="10"/>
  <c r="L20" i="10"/>
  <c r="T20" i="10"/>
  <c r="AZ20" i="10"/>
  <c r="AP20" i="10"/>
  <c r="AT20" i="10"/>
  <c r="AN20" i="10"/>
  <c r="AH20" i="10"/>
  <c r="AF17" i="10"/>
  <c r="V17" i="10"/>
  <c r="AD17" i="10"/>
  <c r="N17" i="10"/>
  <c r="R17" i="10"/>
  <c r="AB17" i="10"/>
  <c r="AJ17" i="10"/>
  <c r="AL17" i="10"/>
  <c r="AX17" i="10"/>
  <c r="Z17" i="10"/>
  <c r="P17" i="10"/>
  <c r="AV17" i="10"/>
  <c r="AR17" i="10"/>
  <c r="X17" i="10"/>
  <c r="L17" i="10"/>
  <c r="T17" i="10"/>
  <c r="AZ17" i="10"/>
  <c r="AP17" i="10"/>
  <c r="AT17" i="10"/>
  <c r="AN17" i="10"/>
  <c r="AH17" i="10"/>
  <c r="AF16" i="10"/>
  <c r="V16" i="10"/>
  <c r="AD16" i="10"/>
  <c r="N16" i="10"/>
  <c r="R16" i="10"/>
  <c r="AB16" i="10"/>
  <c r="AJ16" i="10"/>
  <c r="AL16" i="10"/>
  <c r="AX16" i="10"/>
  <c r="Z16" i="10"/>
  <c r="P16" i="10"/>
  <c r="AV16" i="10"/>
  <c r="AR16" i="10"/>
  <c r="X16" i="10"/>
  <c r="L16" i="10"/>
  <c r="T16" i="10"/>
  <c r="AZ16" i="10"/>
  <c r="AP16" i="10"/>
  <c r="AT16" i="10"/>
  <c r="AN16" i="10"/>
  <c r="AH16" i="10"/>
  <c r="AF15" i="10"/>
  <c r="V15" i="10"/>
  <c r="AD15" i="10"/>
  <c r="N15" i="10"/>
  <c r="R15" i="10"/>
  <c r="AB15" i="10"/>
  <c r="AJ15" i="10"/>
  <c r="AL15" i="10"/>
  <c r="AX15" i="10"/>
  <c r="Z15" i="10"/>
  <c r="P15" i="10"/>
  <c r="AV15" i="10"/>
  <c r="AR15" i="10"/>
  <c r="X15" i="10"/>
  <c r="L15" i="10"/>
  <c r="T15" i="10"/>
  <c r="AZ15" i="10"/>
  <c r="AP15" i="10"/>
  <c r="AT15" i="10"/>
  <c r="AN15" i="10"/>
  <c r="AH15" i="10"/>
  <c r="AF13" i="10"/>
  <c r="V13" i="10"/>
  <c r="AD13" i="10"/>
  <c r="N13" i="10"/>
  <c r="R13" i="10"/>
  <c r="AB13" i="10"/>
  <c r="AJ13" i="10"/>
  <c r="AL13" i="10"/>
  <c r="AX13" i="10"/>
  <c r="Z13" i="10"/>
  <c r="P13" i="10"/>
  <c r="AV13" i="10"/>
  <c r="AR13" i="10"/>
  <c r="X13" i="10"/>
  <c r="L13" i="10"/>
  <c r="T13" i="10"/>
  <c r="AZ13" i="10"/>
  <c r="AP13" i="10"/>
  <c r="AT13" i="10"/>
  <c r="AN13" i="10"/>
  <c r="AH13" i="10"/>
  <c r="AF12" i="10"/>
  <c r="V12" i="10"/>
  <c r="AD12" i="10"/>
  <c r="N12" i="10"/>
  <c r="R12" i="10"/>
  <c r="AB12" i="10"/>
  <c r="AJ12" i="10"/>
  <c r="AL12" i="10"/>
  <c r="AX12" i="10"/>
  <c r="Z12" i="10"/>
  <c r="P12" i="10"/>
  <c r="AV12" i="10"/>
  <c r="AR12" i="10"/>
  <c r="X12" i="10"/>
  <c r="L12" i="10"/>
  <c r="T12" i="10"/>
  <c r="AZ12" i="10"/>
  <c r="AP12" i="10"/>
  <c r="AT12" i="10"/>
  <c r="AN12" i="10"/>
  <c r="AH12" i="10"/>
  <c r="K208" i="9"/>
  <c r="K209" i="9"/>
  <c r="L209" i="9"/>
  <c r="H208" i="9"/>
  <c r="L208" i="9"/>
  <c r="O208" i="9"/>
  <c r="O209" i="9"/>
  <c r="P209" i="9"/>
  <c r="P208" i="9"/>
  <c r="Q208" i="9"/>
  <c r="Q209" i="9"/>
  <c r="R209" i="9"/>
  <c r="R208" i="9"/>
  <c r="AC208" i="9"/>
  <c r="AC209" i="9"/>
  <c r="AD209" i="9"/>
  <c r="AD208" i="9"/>
  <c r="AA208" i="9"/>
  <c r="AA209" i="9"/>
  <c r="AB209" i="9"/>
  <c r="AB208" i="9"/>
  <c r="W208" i="9"/>
  <c r="W209" i="9"/>
  <c r="X209" i="9"/>
  <c r="X208" i="9"/>
  <c r="AE208" i="9"/>
  <c r="AE209" i="9"/>
  <c r="AF208" i="9"/>
  <c r="U208" i="9"/>
  <c r="U209" i="9"/>
  <c r="V209" i="9"/>
  <c r="V208" i="9"/>
  <c r="Y208" i="9"/>
  <c r="Y209" i="9"/>
  <c r="Z209" i="9"/>
  <c r="Z208" i="9"/>
  <c r="S208" i="9"/>
  <c r="S209" i="9"/>
  <c r="T209" i="9"/>
  <c r="T208" i="9"/>
  <c r="M209" i="9"/>
  <c r="M208" i="9"/>
  <c r="AY118" i="5"/>
  <c r="AY119" i="5"/>
  <c r="AZ119" i="5"/>
  <c r="H118" i="5"/>
  <c r="AZ118" i="5"/>
  <c r="AW118" i="5"/>
  <c r="AW119" i="5"/>
  <c r="AX119" i="5"/>
  <c r="AX118" i="5"/>
  <c r="AU118" i="5"/>
  <c r="AU119" i="5"/>
  <c r="AV119" i="5"/>
  <c r="AV118" i="5"/>
  <c r="AS118" i="5"/>
  <c r="AS119" i="5"/>
  <c r="AT119" i="5"/>
  <c r="AT118" i="5"/>
  <c r="AQ118" i="5"/>
  <c r="AQ119" i="5"/>
  <c r="AR119" i="5"/>
  <c r="AR118" i="5"/>
  <c r="AO118" i="5"/>
  <c r="AO119" i="5"/>
  <c r="AP119" i="5"/>
  <c r="AP118" i="5"/>
  <c r="AM118" i="5"/>
  <c r="AM119" i="5"/>
  <c r="AN119" i="5"/>
  <c r="AN118" i="5"/>
  <c r="AK118" i="5"/>
  <c r="AK119" i="5"/>
  <c r="AL119" i="5"/>
  <c r="AL118" i="5"/>
  <c r="AI118" i="5"/>
  <c r="AI119" i="5"/>
  <c r="AJ119" i="5"/>
  <c r="AJ118" i="5"/>
  <c r="AG118" i="5"/>
  <c r="AG119" i="5"/>
  <c r="AH119" i="5"/>
  <c r="AH118" i="5"/>
  <c r="AE118" i="5"/>
  <c r="AE119" i="5"/>
  <c r="AF119" i="5"/>
  <c r="AF118" i="5"/>
  <c r="AC118" i="5"/>
  <c r="AC119" i="5"/>
  <c r="AD119" i="5"/>
  <c r="AD118" i="5"/>
  <c r="AA118" i="5"/>
  <c r="AA119" i="5"/>
  <c r="AB119" i="5"/>
  <c r="AB118" i="5"/>
  <c r="Y118" i="5"/>
  <c r="Y119" i="5"/>
  <c r="Z119" i="5"/>
  <c r="Z118" i="5"/>
  <c r="W118" i="5"/>
  <c r="W119" i="5"/>
  <c r="X119" i="5"/>
  <c r="X118" i="5"/>
  <c r="U118" i="5"/>
  <c r="U119" i="5"/>
  <c r="V119" i="5"/>
  <c r="V118" i="5"/>
  <c r="Q118" i="5"/>
  <c r="Q119" i="5"/>
  <c r="R119" i="5"/>
  <c r="O118" i="5"/>
  <c r="O119" i="5"/>
  <c r="P119" i="5"/>
  <c r="M118" i="5"/>
  <c r="M119" i="5"/>
  <c r="N119" i="5"/>
  <c r="K118" i="5"/>
  <c r="K119" i="5"/>
  <c r="L119" i="5"/>
  <c r="S118" i="5"/>
  <c r="S119" i="5"/>
  <c r="T118" i="5"/>
  <c r="R118" i="5"/>
  <c r="P118" i="5"/>
  <c r="N118" i="5"/>
  <c r="U97" i="9"/>
  <c r="U98" i="9"/>
  <c r="V98" i="9"/>
  <c r="V97" i="9"/>
  <c r="AC97" i="9"/>
  <c r="AC98" i="9"/>
  <c r="AD98" i="9"/>
  <c r="AD97" i="9"/>
  <c r="M97" i="9"/>
  <c r="M98" i="9"/>
  <c r="N98" i="9"/>
  <c r="N97" i="9"/>
  <c r="Q97" i="9"/>
  <c r="Q98" i="9"/>
  <c r="R98" i="9"/>
  <c r="R97" i="9"/>
  <c r="AA97" i="9"/>
  <c r="AA98" i="9"/>
  <c r="AB98" i="9"/>
  <c r="AB97" i="9"/>
  <c r="Y97" i="9"/>
  <c r="Y98" i="9"/>
  <c r="Z98" i="9"/>
  <c r="Z97" i="9"/>
  <c r="O97" i="9"/>
  <c r="O98" i="9"/>
  <c r="P98" i="9"/>
  <c r="P97" i="9"/>
  <c r="K97" i="9"/>
  <c r="K98" i="9"/>
  <c r="L98" i="9"/>
  <c r="L97" i="9"/>
  <c r="S97" i="9"/>
  <c r="S98" i="9"/>
  <c r="N209" i="9"/>
  <c r="N208" i="9"/>
  <c r="T98" i="9"/>
  <c r="T97" i="9"/>
  <c r="V25" i="9"/>
  <c r="AD25" i="9"/>
  <c r="N25" i="9"/>
  <c r="R25" i="9"/>
  <c r="AB25" i="9"/>
  <c r="Z25" i="9"/>
  <c r="P25" i="9"/>
  <c r="L25" i="9"/>
  <c r="T25" i="9"/>
  <c r="AE48" i="7"/>
  <c r="AE49" i="7"/>
  <c r="AF49" i="7"/>
  <c r="W48" i="7"/>
  <c r="W49" i="7"/>
  <c r="X49" i="7"/>
  <c r="AC48" i="7"/>
  <c r="AC49" i="7"/>
  <c r="AD49" i="7"/>
  <c r="M48" i="7"/>
  <c r="M49" i="7"/>
  <c r="N49" i="7"/>
  <c r="Q48" i="7"/>
  <c r="Q49" i="7"/>
  <c r="R49" i="7"/>
  <c r="AA48" i="7"/>
  <c r="AA49" i="7"/>
  <c r="AB49" i="7"/>
  <c r="AI48" i="7"/>
  <c r="AI49" i="7"/>
  <c r="AJ49" i="7"/>
  <c r="AK48" i="7"/>
  <c r="AK49" i="7"/>
  <c r="AL49" i="7"/>
  <c r="AW48" i="7"/>
  <c r="AW49" i="7"/>
  <c r="AX49" i="7"/>
  <c r="Y48" i="7"/>
  <c r="Y49" i="7"/>
  <c r="Z49" i="7"/>
  <c r="O48" i="7"/>
  <c r="O49" i="7"/>
  <c r="P49" i="7"/>
  <c r="AU48" i="7"/>
  <c r="AU49" i="7"/>
  <c r="AV49" i="7"/>
  <c r="AQ48" i="7"/>
  <c r="AQ49" i="7"/>
  <c r="AR49" i="7"/>
  <c r="U48" i="7"/>
  <c r="U49" i="7"/>
  <c r="V49" i="7"/>
  <c r="K48" i="7"/>
  <c r="K49" i="7"/>
  <c r="L49" i="7"/>
  <c r="S48" i="7"/>
  <c r="S49" i="7"/>
  <c r="T49" i="7"/>
  <c r="AY49" i="7"/>
  <c r="AO48" i="7"/>
  <c r="AO49" i="7"/>
  <c r="AP49" i="7"/>
  <c r="AS48" i="7"/>
  <c r="AS49" i="7"/>
  <c r="AT49" i="7"/>
  <c r="AM48" i="7"/>
  <c r="AM49" i="7"/>
  <c r="AN49" i="7"/>
  <c r="AG48" i="7"/>
  <c r="AG49" i="7"/>
  <c r="AH49" i="7"/>
  <c r="H48" i="7"/>
  <c r="AF48" i="7"/>
  <c r="X48" i="7"/>
  <c r="AD48" i="7"/>
  <c r="N48" i="7"/>
  <c r="R48" i="7"/>
  <c r="AB48" i="7"/>
  <c r="AJ48" i="7"/>
  <c r="AL48" i="7"/>
  <c r="AX48" i="7"/>
  <c r="Z48" i="7"/>
  <c r="P48" i="7"/>
  <c r="AV48" i="7"/>
  <c r="AR48" i="7"/>
  <c r="V48" i="7"/>
  <c r="L48" i="7"/>
  <c r="T48" i="7"/>
  <c r="AY48" i="7"/>
  <c r="AZ48" i="7"/>
  <c r="AP48" i="7"/>
  <c r="AT48" i="7"/>
  <c r="AN48" i="7"/>
  <c r="AH48" i="7"/>
  <c r="AF45" i="7"/>
  <c r="X45" i="7"/>
  <c r="AD45" i="7"/>
  <c r="N45" i="7"/>
  <c r="R45" i="7"/>
  <c r="AB45" i="7"/>
  <c r="AJ45" i="7"/>
  <c r="AL45" i="7"/>
  <c r="AX45" i="7"/>
  <c r="Z45" i="7"/>
  <c r="P45" i="7"/>
  <c r="AV45" i="7"/>
  <c r="AR45" i="7"/>
  <c r="V45" i="7"/>
  <c r="L45" i="7"/>
  <c r="T45" i="7"/>
  <c r="AZ45" i="7"/>
  <c r="AP45" i="7"/>
  <c r="AT45" i="7"/>
  <c r="AN45" i="7"/>
  <c r="AH45" i="7"/>
  <c r="AZ115" i="5"/>
  <c r="AZ83" i="5"/>
  <c r="AZ114" i="5"/>
  <c r="AZ44" i="5"/>
  <c r="AZ72" i="5"/>
  <c r="AZ15" i="5"/>
  <c r="AZ111" i="5"/>
  <c r="AZ110" i="5"/>
  <c r="AZ109" i="5"/>
  <c r="AZ70" i="5"/>
  <c r="AZ87" i="5"/>
  <c r="AZ14" i="5"/>
  <c r="AZ21" i="5"/>
  <c r="AZ12" i="5"/>
  <c r="AZ80" i="5"/>
  <c r="AZ45" i="5"/>
  <c r="AZ105" i="5"/>
  <c r="AZ84" i="5"/>
  <c r="AZ104" i="5"/>
  <c r="AZ103" i="5"/>
  <c r="AZ85" i="5"/>
  <c r="AZ35" i="5"/>
  <c r="AZ26" i="5"/>
  <c r="AZ81" i="5"/>
  <c r="AZ66" i="5"/>
  <c r="AZ40" i="5"/>
  <c r="AZ11" i="5"/>
  <c r="AZ79" i="5"/>
  <c r="AZ102" i="5"/>
  <c r="AZ101" i="5"/>
  <c r="AZ100" i="5"/>
  <c r="AZ99" i="5"/>
  <c r="AZ98" i="5"/>
  <c r="AZ97" i="5"/>
  <c r="AZ54" i="5"/>
  <c r="AZ48" i="5"/>
  <c r="AZ69" i="5"/>
  <c r="AZ96" i="5"/>
  <c r="AZ95" i="5"/>
  <c r="AZ24" i="5"/>
  <c r="AZ22" i="5"/>
  <c r="AZ74" i="5"/>
  <c r="AZ67" i="5"/>
  <c r="AZ93" i="5"/>
  <c r="AZ92" i="5"/>
  <c r="AZ36" i="5"/>
  <c r="AZ91" i="5"/>
  <c r="AZ90" i="5"/>
  <c r="AZ88" i="5"/>
  <c r="AZ82" i="5"/>
  <c r="AX115" i="5"/>
  <c r="AX83" i="5"/>
  <c r="AX114" i="5"/>
  <c r="AX44" i="5"/>
  <c r="AX72" i="5"/>
  <c r="AX15" i="5"/>
  <c r="AX111" i="5"/>
  <c r="AX110" i="5"/>
  <c r="AX109" i="5"/>
  <c r="AX70" i="5"/>
  <c r="AX87" i="5"/>
  <c r="AX14" i="5"/>
  <c r="AX21" i="5"/>
  <c r="AX12" i="5"/>
  <c r="AX80" i="5"/>
  <c r="AX45" i="5"/>
  <c r="AX105" i="5"/>
  <c r="AX84" i="5"/>
  <c r="AX104" i="5"/>
  <c r="AX103" i="5"/>
  <c r="AX85" i="5"/>
  <c r="AX35" i="5"/>
  <c r="AX26" i="5"/>
  <c r="AX81" i="5"/>
  <c r="AX66" i="5"/>
  <c r="AX40" i="5"/>
  <c r="AX11" i="5"/>
  <c r="AX79" i="5"/>
  <c r="AX102" i="5"/>
  <c r="AX101" i="5"/>
  <c r="AX100" i="5"/>
  <c r="AX99" i="5"/>
  <c r="AX98" i="5"/>
  <c r="AX97" i="5"/>
  <c r="AX54" i="5"/>
  <c r="AX48" i="5"/>
  <c r="AX69" i="5"/>
  <c r="AX96" i="5"/>
  <c r="AX95" i="5"/>
  <c r="AX24" i="5"/>
  <c r="AX22" i="5"/>
  <c r="AX74" i="5"/>
  <c r="AX67" i="5"/>
  <c r="AX93" i="5"/>
  <c r="AX92" i="5"/>
  <c r="AX36" i="5"/>
  <c r="AX91" i="5"/>
  <c r="AX90" i="5"/>
  <c r="AX88" i="5"/>
  <c r="AX82" i="5"/>
  <c r="AV115" i="5"/>
  <c r="AV83" i="5"/>
  <c r="AV114" i="5"/>
  <c r="AV44" i="5"/>
  <c r="AV72" i="5"/>
  <c r="AV15" i="5"/>
  <c r="AV111" i="5"/>
  <c r="AV110" i="5"/>
  <c r="AV109" i="5"/>
  <c r="AV70" i="5"/>
  <c r="AV87" i="5"/>
  <c r="AV14" i="5"/>
  <c r="AV21" i="5"/>
  <c r="AV12" i="5"/>
  <c r="AV80" i="5"/>
  <c r="AV45" i="5"/>
  <c r="AV105" i="5"/>
  <c r="AV84" i="5"/>
  <c r="AV104" i="5"/>
  <c r="AV103" i="5"/>
  <c r="AV85" i="5"/>
  <c r="AV35" i="5"/>
  <c r="AV26" i="5"/>
  <c r="AV81" i="5"/>
  <c r="AV66" i="5"/>
  <c r="AV40" i="5"/>
  <c r="AV11" i="5"/>
  <c r="AV79" i="5"/>
  <c r="AV102" i="5"/>
  <c r="AV101" i="5"/>
  <c r="AV100" i="5"/>
  <c r="AV99" i="5"/>
  <c r="AV98" i="5"/>
  <c r="AV97" i="5"/>
  <c r="AV54" i="5"/>
  <c r="AV48" i="5"/>
  <c r="AV69" i="5"/>
  <c r="AV96" i="5"/>
  <c r="AV95" i="5"/>
  <c r="AV24" i="5"/>
  <c r="AV22" i="5"/>
  <c r="AV74" i="5"/>
  <c r="AV67" i="5"/>
  <c r="AV93" i="5"/>
  <c r="AV92" i="5"/>
  <c r="AV36" i="5"/>
  <c r="AV91" i="5"/>
  <c r="AV90" i="5"/>
  <c r="AV88" i="5"/>
  <c r="AV82" i="5"/>
  <c r="AT115" i="5"/>
  <c r="AT83" i="5"/>
  <c r="AT114" i="5"/>
  <c r="AT44" i="5"/>
  <c r="AT72" i="5"/>
  <c r="AT15" i="5"/>
  <c r="AT111" i="5"/>
  <c r="AT110" i="5"/>
  <c r="AT109" i="5"/>
  <c r="AT70" i="5"/>
  <c r="AT87" i="5"/>
  <c r="AT14" i="5"/>
  <c r="AT21" i="5"/>
  <c r="AT12" i="5"/>
  <c r="AT80" i="5"/>
  <c r="AT45" i="5"/>
  <c r="AT105" i="5"/>
  <c r="AT84" i="5"/>
  <c r="AT104" i="5"/>
  <c r="AT103" i="5"/>
  <c r="AT85" i="5"/>
  <c r="AT35" i="5"/>
  <c r="AT26" i="5"/>
  <c r="AT81" i="5"/>
  <c r="AT66" i="5"/>
  <c r="AT40" i="5"/>
  <c r="AT11" i="5"/>
  <c r="AT79" i="5"/>
  <c r="AT102" i="5"/>
  <c r="AT101" i="5"/>
  <c r="AT100" i="5"/>
  <c r="AT99" i="5"/>
  <c r="AT98" i="5"/>
  <c r="AT97" i="5"/>
  <c r="AT54" i="5"/>
  <c r="AT48" i="5"/>
  <c r="AT69" i="5"/>
  <c r="AT96" i="5"/>
  <c r="AT95" i="5"/>
  <c r="AT24" i="5"/>
  <c r="AT22" i="5"/>
  <c r="AT74" i="5"/>
  <c r="AT67" i="5"/>
  <c r="AT93" i="5"/>
  <c r="AT92" i="5"/>
  <c r="AT36" i="5"/>
  <c r="AT91" i="5"/>
  <c r="AT90" i="5"/>
  <c r="AT88" i="5"/>
  <c r="AT82" i="5"/>
  <c r="AR115" i="5"/>
  <c r="AR83" i="5"/>
  <c r="AR114" i="5"/>
  <c r="AR44" i="5"/>
  <c r="AR72" i="5"/>
  <c r="AR15" i="5"/>
  <c r="AR111" i="5"/>
  <c r="AR110" i="5"/>
  <c r="AR109" i="5"/>
  <c r="AR70" i="5"/>
  <c r="AR87" i="5"/>
  <c r="AR14" i="5"/>
  <c r="AR21" i="5"/>
  <c r="AR12" i="5"/>
  <c r="AR80" i="5"/>
  <c r="AR45" i="5"/>
  <c r="AR105" i="5"/>
  <c r="AR84" i="5"/>
  <c r="AR104" i="5"/>
  <c r="AR103" i="5"/>
  <c r="AR85" i="5"/>
  <c r="AR35" i="5"/>
  <c r="AR26" i="5"/>
  <c r="AR81" i="5"/>
  <c r="AR66" i="5"/>
  <c r="AR40" i="5"/>
  <c r="AR11" i="5"/>
  <c r="AR79" i="5"/>
  <c r="AR102" i="5"/>
  <c r="AR101" i="5"/>
  <c r="AR100" i="5"/>
  <c r="AR99" i="5"/>
  <c r="AR98" i="5"/>
  <c r="AR97" i="5"/>
  <c r="AR54" i="5"/>
  <c r="AR48" i="5"/>
  <c r="AR69" i="5"/>
  <c r="AR96" i="5"/>
  <c r="AR95" i="5"/>
  <c r="AR24" i="5"/>
  <c r="AR22" i="5"/>
  <c r="AR74" i="5"/>
  <c r="AR67" i="5"/>
  <c r="AR93" i="5"/>
  <c r="AR92" i="5"/>
  <c r="AR36" i="5"/>
  <c r="AR91" i="5"/>
  <c r="AR90" i="5"/>
  <c r="AR88" i="5"/>
  <c r="AR82" i="5"/>
  <c r="AP115" i="5"/>
  <c r="AP83" i="5"/>
  <c r="AP114" i="5"/>
  <c r="AP44" i="5"/>
  <c r="AP72" i="5"/>
  <c r="AP15" i="5"/>
  <c r="AP111" i="5"/>
  <c r="AP110" i="5"/>
  <c r="AP109" i="5"/>
  <c r="AP70" i="5"/>
  <c r="AP87" i="5"/>
  <c r="AP14" i="5"/>
  <c r="AP21" i="5"/>
  <c r="AP12" i="5"/>
  <c r="AP80" i="5"/>
  <c r="AP45" i="5"/>
  <c r="AP105" i="5"/>
  <c r="AP84" i="5"/>
  <c r="AP104" i="5"/>
  <c r="AP103" i="5"/>
  <c r="AP85" i="5"/>
  <c r="AP35" i="5"/>
  <c r="AP26" i="5"/>
  <c r="AP81" i="5"/>
  <c r="AP66" i="5"/>
  <c r="AP40" i="5"/>
  <c r="AP11" i="5"/>
  <c r="AP79" i="5"/>
  <c r="AP102" i="5"/>
  <c r="AP101" i="5"/>
  <c r="AP100" i="5"/>
  <c r="AP99" i="5"/>
  <c r="AP98" i="5"/>
  <c r="AP97" i="5"/>
  <c r="AP54" i="5"/>
  <c r="AP48" i="5"/>
  <c r="AP69" i="5"/>
  <c r="AP96" i="5"/>
  <c r="AP95" i="5"/>
  <c r="AP24" i="5"/>
  <c r="AP22" i="5"/>
  <c r="AP74" i="5"/>
  <c r="AP67" i="5"/>
  <c r="AP93" i="5"/>
  <c r="AP92" i="5"/>
  <c r="AP36" i="5"/>
  <c r="AP91" i="5"/>
  <c r="AP90" i="5"/>
  <c r="AP88" i="5"/>
  <c r="AP82" i="5"/>
  <c r="AN115" i="5"/>
  <c r="AN83" i="5"/>
  <c r="AN114" i="5"/>
  <c r="AN44" i="5"/>
  <c r="AN72" i="5"/>
  <c r="AN15" i="5"/>
  <c r="AN111" i="5"/>
  <c r="AN110" i="5"/>
  <c r="AN109" i="5"/>
  <c r="AN70" i="5"/>
  <c r="AN87" i="5"/>
  <c r="AN14" i="5"/>
  <c r="AN21" i="5"/>
  <c r="AN12" i="5"/>
  <c r="AN80" i="5"/>
  <c r="AN45" i="5"/>
  <c r="AN105" i="5"/>
  <c r="AN84" i="5"/>
  <c r="AN104" i="5"/>
  <c r="AN103" i="5"/>
  <c r="AN85" i="5"/>
  <c r="AN35" i="5"/>
  <c r="AN26" i="5"/>
  <c r="AN81" i="5"/>
  <c r="AN66" i="5"/>
  <c r="AN40" i="5"/>
  <c r="AN11" i="5"/>
  <c r="AN79" i="5"/>
  <c r="AN102" i="5"/>
  <c r="AN101" i="5"/>
  <c r="AN100" i="5"/>
  <c r="AN99" i="5"/>
  <c r="AN98" i="5"/>
  <c r="AN97" i="5"/>
  <c r="AN54" i="5"/>
  <c r="AN48" i="5"/>
  <c r="AN69" i="5"/>
  <c r="AN96" i="5"/>
  <c r="AN95" i="5"/>
  <c r="AN24" i="5"/>
  <c r="AN22" i="5"/>
  <c r="AN74" i="5"/>
  <c r="AN67" i="5"/>
  <c r="AN93" i="5"/>
  <c r="AN92" i="5"/>
  <c r="AN36" i="5"/>
  <c r="AN91" i="5"/>
  <c r="AN90" i="5"/>
  <c r="AN88" i="5"/>
  <c r="AN82" i="5"/>
  <c r="AL115" i="5"/>
  <c r="AL83" i="5"/>
  <c r="AL114" i="5"/>
  <c r="AL44" i="5"/>
  <c r="AL72" i="5"/>
  <c r="AL15" i="5"/>
  <c r="AL111" i="5"/>
  <c r="AL110" i="5"/>
  <c r="AL109" i="5"/>
  <c r="AL70" i="5"/>
  <c r="AL87" i="5"/>
  <c r="AL14" i="5"/>
  <c r="AL21" i="5"/>
  <c r="AL12" i="5"/>
  <c r="AL80" i="5"/>
  <c r="AL45" i="5"/>
  <c r="AL105" i="5"/>
  <c r="AL84" i="5"/>
  <c r="AL104" i="5"/>
  <c r="AL103" i="5"/>
  <c r="AL85" i="5"/>
  <c r="AL35" i="5"/>
  <c r="AL26" i="5"/>
  <c r="AL81" i="5"/>
  <c r="AL66" i="5"/>
  <c r="AL40" i="5"/>
  <c r="AL11" i="5"/>
  <c r="AL79" i="5"/>
  <c r="AL102" i="5"/>
  <c r="AL101" i="5"/>
  <c r="AL100" i="5"/>
  <c r="AL99" i="5"/>
  <c r="AL98" i="5"/>
  <c r="AL97" i="5"/>
  <c r="AL54" i="5"/>
  <c r="AL48" i="5"/>
  <c r="AL69" i="5"/>
  <c r="AL96" i="5"/>
  <c r="AL95" i="5"/>
  <c r="AL24" i="5"/>
  <c r="AL22" i="5"/>
  <c r="AL74" i="5"/>
  <c r="AL67" i="5"/>
  <c r="AL93" i="5"/>
  <c r="AL92" i="5"/>
  <c r="AL36" i="5"/>
  <c r="AL91" i="5"/>
  <c r="AL90" i="5"/>
  <c r="AL88" i="5"/>
  <c r="AL82" i="5"/>
  <c r="AJ115" i="5"/>
  <c r="AJ83" i="5"/>
  <c r="AJ114" i="5"/>
  <c r="AJ44" i="5"/>
  <c r="AJ72" i="5"/>
  <c r="AJ15" i="5"/>
  <c r="AJ111" i="5"/>
  <c r="AJ110" i="5"/>
  <c r="AJ109" i="5"/>
  <c r="AJ70" i="5"/>
  <c r="AJ87" i="5"/>
  <c r="AJ14" i="5"/>
  <c r="AJ21" i="5"/>
  <c r="AJ12" i="5"/>
  <c r="AJ80" i="5"/>
  <c r="AJ45" i="5"/>
  <c r="AJ105" i="5"/>
  <c r="AJ84" i="5"/>
  <c r="AJ104" i="5"/>
  <c r="AJ103" i="5"/>
  <c r="AJ85" i="5"/>
  <c r="AJ35" i="5"/>
  <c r="AJ26" i="5"/>
  <c r="AJ81" i="5"/>
  <c r="AJ66" i="5"/>
  <c r="AJ40" i="5"/>
  <c r="AJ11" i="5"/>
  <c r="AJ79" i="5"/>
  <c r="AJ102" i="5"/>
  <c r="AJ101" i="5"/>
  <c r="AJ100" i="5"/>
  <c r="AJ99" i="5"/>
  <c r="AJ98" i="5"/>
  <c r="AJ97" i="5"/>
  <c r="AJ54" i="5"/>
  <c r="AJ48" i="5"/>
  <c r="AJ69" i="5"/>
  <c r="AJ96" i="5"/>
  <c r="AJ95" i="5"/>
  <c r="AJ24" i="5"/>
  <c r="AJ22" i="5"/>
  <c r="AJ74" i="5"/>
  <c r="AJ67" i="5"/>
  <c r="AJ93" i="5"/>
  <c r="AJ92" i="5"/>
  <c r="AJ36" i="5"/>
  <c r="AJ91" i="5"/>
  <c r="AJ90" i="5"/>
  <c r="AJ88" i="5"/>
  <c r="AJ82" i="5"/>
  <c r="AH115" i="5"/>
  <c r="AH83" i="5"/>
  <c r="AH114" i="5"/>
  <c r="AH44" i="5"/>
  <c r="AH72" i="5"/>
  <c r="AH15" i="5"/>
  <c r="AH111" i="5"/>
  <c r="AH110" i="5"/>
  <c r="AH109" i="5"/>
  <c r="AH70" i="5"/>
  <c r="AH87" i="5"/>
  <c r="AH14" i="5"/>
  <c r="AH21" i="5"/>
  <c r="AH12" i="5"/>
  <c r="AH80" i="5"/>
  <c r="AH45" i="5"/>
  <c r="AH105" i="5"/>
  <c r="AH84" i="5"/>
  <c r="AH104" i="5"/>
  <c r="AH103" i="5"/>
  <c r="AH85" i="5"/>
  <c r="AH35" i="5"/>
  <c r="AH26" i="5"/>
  <c r="AH81" i="5"/>
  <c r="AH66" i="5"/>
  <c r="AH40" i="5"/>
  <c r="AH11" i="5"/>
  <c r="AH79" i="5"/>
  <c r="AH102" i="5"/>
  <c r="AH101" i="5"/>
  <c r="AH100" i="5"/>
  <c r="AH99" i="5"/>
  <c r="AH98" i="5"/>
  <c r="AH97" i="5"/>
  <c r="AH54" i="5"/>
  <c r="AH48" i="5"/>
  <c r="AH69" i="5"/>
  <c r="AH96" i="5"/>
  <c r="AH95" i="5"/>
  <c r="AH24" i="5"/>
  <c r="AH22" i="5"/>
  <c r="AH74" i="5"/>
  <c r="AH67" i="5"/>
  <c r="AH93" i="5"/>
  <c r="AH92" i="5"/>
  <c r="AH36" i="5"/>
  <c r="AH91" i="5"/>
  <c r="AH90" i="5"/>
  <c r="AH88" i="5"/>
  <c r="AH82" i="5"/>
  <c r="AF115" i="5"/>
  <c r="AF83" i="5"/>
  <c r="AF114" i="5"/>
  <c r="AF44" i="5"/>
  <c r="AF72" i="5"/>
  <c r="AF15" i="5"/>
  <c r="AF111" i="5"/>
  <c r="AF110" i="5"/>
  <c r="AF109" i="5"/>
  <c r="AF70" i="5"/>
  <c r="AF87" i="5"/>
  <c r="AF14" i="5"/>
  <c r="AF21" i="5"/>
  <c r="AF12" i="5"/>
  <c r="AF80" i="5"/>
  <c r="AF45" i="5"/>
  <c r="AF105" i="5"/>
  <c r="AF84" i="5"/>
  <c r="AF104" i="5"/>
  <c r="AF103" i="5"/>
  <c r="AF85" i="5"/>
  <c r="AF35" i="5"/>
  <c r="AF26" i="5"/>
  <c r="AF81" i="5"/>
  <c r="AF66" i="5"/>
  <c r="AF40" i="5"/>
  <c r="AF11" i="5"/>
  <c r="AF79" i="5"/>
  <c r="AF102" i="5"/>
  <c r="AF101" i="5"/>
  <c r="AF100" i="5"/>
  <c r="AF99" i="5"/>
  <c r="AF98" i="5"/>
  <c r="AF97" i="5"/>
  <c r="AF54" i="5"/>
  <c r="AF48" i="5"/>
  <c r="AF69" i="5"/>
  <c r="AF96" i="5"/>
  <c r="AF95" i="5"/>
  <c r="AF24" i="5"/>
  <c r="AF22" i="5"/>
  <c r="AF74" i="5"/>
  <c r="AF67" i="5"/>
  <c r="AF93" i="5"/>
  <c r="AF92" i="5"/>
  <c r="AF36" i="5"/>
  <c r="AF91" i="5"/>
  <c r="AF90" i="5"/>
  <c r="AF88" i="5"/>
  <c r="AF82" i="5"/>
  <c r="AD115" i="5"/>
  <c r="AD83" i="5"/>
  <c r="AD114" i="5"/>
  <c r="AD44" i="5"/>
  <c r="AD72" i="5"/>
  <c r="AD15" i="5"/>
  <c r="AD111" i="5"/>
  <c r="AD110" i="5"/>
  <c r="AD109" i="5"/>
  <c r="AD70" i="5"/>
  <c r="AD87" i="5"/>
  <c r="AD14" i="5"/>
  <c r="AD21" i="5"/>
  <c r="AD12" i="5"/>
  <c r="AD80" i="5"/>
  <c r="AD45" i="5"/>
  <c r="AD105" i="5"/>
  <c r="AD84" i="5"/>
  <c r="AD104" i="5"/>
  <c r="AD103" i="5"/>
  <c r="AD85" i="5"/>
  <c r="AD35" i="5"/>
  <c r="AD26" i="5"/>
  <c r="AD81" i="5"/>
  <c r="AD66" i="5"/>
  <c r="AD40" i="5"/>
  <c r="AD11" i="5"/>
  <c r="AD79" i="5"/>
  <c r="AD102" i="5"/>
  <c r="AD101" i="5"/>
  <c r="AD100" i="5"/>
  <c r="AD99" i="5"/>
  <c r="AD98" i="5"/>
  <c r="AD97" i="5"/>
  <c r="AD54" i="5"/>
  <c r="AD48" i="5"/>
  <c r="AD69" i="5"/>
  <c r="AD96" i="5"/>
  <c r="AD95" i="5"/>
  <c r="AD24" i="5"/>
  <c r="AD22" i="5"/>
  <c r="AD74" i="5"/>
  <c r="AD67" i="5"/>
  <c r="AD93" i="5"/>
  <c r="AD92" i="5"/>
  <c r="AD36" i="5"/>
  <c r="AD91" i="5"/>
  <c r="AD90" i="5"/>
  <c r="AD88" i="5"/>
  <c r="AD82" i="5"/>
  <c r="AB115" i="5"/>
  <c r="AB83" i="5"/>
  <c r="AB114" i="5"/>
  <c r="AB44" i="5"/>
  <c r="AB72" i="5"/>
  <c r="AB15" i="5"/>
  <c r="AB111" i="5"/>
  <c r="AB110" i="5"/>
  <c r="AB109" i="5"/>
  <c r="AB70" i="5"/>
  <c r="AB87" i="5"/>
  <c r="AB14" i="5"/>
  <c r="AB21" i="5"/>
  <c r="AB12" i="5"/>
  <c r="AB80" i="5"/>
  <c r="AB45" i="5"/>
  <c r="AB105" i="5"/>
  <c r="AB84" i="5"/>
  <c r="AB104" i="5"/>
  <c r="AB103" i="5"/>
  <c r="AB85" i="5"/>
  <c r="AB35" i="5"/>
  <c r="AB26" i="5"/>
  <c r="AB81" i="5"/>
  <c r="AB66" i="5"/>
  <c r="AB40" i="5"/>
  <c r="AB11" i="5"/>
  <c r="AB79" i="5"/>
  <c r="AB102" i="5"/>
  <c r="AB101" i="5"/>
  <c r="AB100" i="5"/>
  <c r="AB99" i="5"/>
  <c r="AB98" i="5"/>
  <c r="AB97" i="5"/>
  <c r="AB54" i="5"/>
  <c r="AB48" i="5"/>
  <c r="AB69" i="5"/>
  <c r="AB96" i="5"/>
  <c r="AB95" i="5"/>
  <c r="AB24" i="5"/>
  <c r="AB22" i="5"/>
  <c r="AB74" i="5"/>
  <c r="AB67" i="5"/>
  <c r="AB93" i="5"/>
  <c r="AB92" i="5"/>
  <c r="AB36" i="5"/>
  <c r="AB91" i="5"/>
  <c r="AB90" i="5"/>
  <c r="AB88" i="5"/>
  <c r="AB82" i="5"/>
  <c r="Z115" i="5"/>
  <c r="Z83" i="5"/>
  <c r="Z114" i="5"/>
  <c r="Z44" i="5"/>
  <c r="Z72" i="5"/>
  <c r="Z15" i="5"/>
  <c r="Z111" i="5"/>
  <c r="Z110" i="5"/>
  <c r="Z109" i="5"/>
  <c r="Z70" i="5"/>
  <c r="Z87" i="5"/>
  <c r="Z14" i="5"/>
  <c r="Z21" i="5"/>
  <c r="Z12" i="5"/>
  <c r="Z80" i="5"/>
  <c r="Z45" i="5"/>
  <c r="Z105" i="5"/>
  <c r="Z84" i="5"/>
  <c r="Z104" i="5"/>
  <c r="Z103" i="5"/>
  <c r="Z85" i="5"/>
  <c r="Z35" i="5"/>
  <c r="Z26" i="5"/>
  <c r="Z81" i="5"/>
  <c r="Z66" i="5"/>
  <c r="Z40" i="5"/>
  <c r="Z11" i="5"/>
  <c r="Z79" i="5"/>
  <c r="Z102" i="5"/>
  <c r="Z101" i="5"/>
  <c r="Z100" i="5"/>
  <c r="Z99" i="5"/>
  <c r="Z98" i="5"/>
  <c r="Z97" i="5"/>
  <c r="Z54" i="5"/>
  <c r="Z48" i="5"/>
  <c r="Z69" i="5"/>
  <c r="Z96" i="5"/>
  <c r="Z95" i="5"/>
  <c r="Z24" i="5"/>
  <c r="Z22" i="5"/>
  <c r="Z74" i="5"/>
  <c r="Z67" i="5"/>
  <c r="Z93" i="5"/>
  <c r="Z92" i="5"/>
  <c r="Z36" i="5"/>
  <c r="Z91" i="5"/>
  <c r="Z90" i="5"/>
  <c r="Z88" i="5"/>
  <c r="Z82" i="5"/>
  <c r="X115" i="5"/>
  <c r="X83" i="5"/>
  <c r="X114" i="5"/>
  <c r="X44" i="5"/>
  <c r="X72" i="5"/>
  <c r="X15" i="5"/>
  <c r="X111" i="5"/>
  <c r="X110" i="5"/>
  <c r="X109" i="5"/>
  <c r="X70" i="5"/>
  <c r="X87" i="5"/>
  <c r="X14" i="5"/>
  <c r="X21" i="5"/>
  <c r="X12" i="5"/>
  <c r="X80" i="5"/>
  <c r="X45" i="5"/>
  <c r="X105" i="5"/>
  <c r="X84" i="5"/>
  <c r="X104" i="5"/>
  <c r="X103" i="5"/>
  <c r="X85" i="5"/>
  <c r="X35" i="5"/>
  <c r="X26" i="5"/>
  <c r="X81" i="5"/>
  <c r="X66" i="5"/>
  <c r="X40" i="5"/>
  <c r="X11" i="5"/>
  <c r="X79" i="5"/>
  <c r="X102" i="5"/>
  <c r="X101" i="5"/>
  <c r="X100" i="5"/>
  <c r="X99" i="5"/>
  <c r="X98" i="5"/>
  <c r="X97" i="5"/>
  <c r="X54" i="5"/>
  <c r="X48" i="5"/>
  <c r="X69" i="5"/>
  <c r="X96" i="5"/>
  <c r="X95" i="5"/>
  <c r="X24" i="5"/>
  <c r="X22" i="5"/>
  <c r="X74" i="5"/>
  <c r="X67" i="5"/>
  <c r="X93" i="5"/>
  <c r="X92" i="5"/>
  <c r="X36" i="5"/>
  <c r="X91" i="5"/>
  <c r="X90" i="5"/>
  <c r="X88" i="5"/>
  <c r="X82" i="5"/>
  <c r="V115" i="5"/>
  <c r="V83" i="5"/>
  <c r="V114" i="5"/>
  <c r="V44" i="5"/>
  <c r="V72" i="5"/>
  <c r="V15" i="5"/>
  <c r="V111" i="5"/>
  <c r="V110" i="5"/>
  <c r="V109" i="5"/>
  <c r="V70" i="5"/>
  <c r="V87" i="5"/>
  <c r="V14" i="5"/>
  <c r="V21" i="5"/>
  <c r="V12" i="5"/>
  <c r="V80" i="5"/>
  <c r="V45" i="5"/>
  <c r="V105" i="5"/>
  <c r="V84" i="5"/>
  <c r="V104" i="5"/>
  <c r="V103" i="5"/>
  <c r="V85" i="5"/>
  <c r="V35" i="5"/>
  <c r="V26" i="5"/>
  <c r="V81" i="5"/>
  <c r="V66" i="5"/>
  <c r="V40" i="5"/>
  <c r="V11" i="5"/>
  <c r="V79" i="5"/>
  <c r="V102" i="5"/>
  <c r="V101" i="5"/>
  <c r="V100" i="5"/>
  <c r="V99" i="5"/>
  <c r="V98" i="5"/>
  <c r="V97" i="5"/>
  <c r="V54" i="5"/>
  <c r="V48" i="5"/>
  <c r="V69" i="5"/>
  <c r="V96" i="5"/>
  <c r="V95" i="5"/>
  <c r="V24" i="5"/>
  <c r="V22" i="5"/>
  <c r="V74" i="5"/>
  <c r="V67" i="5"/>
  <c r="V93" i="5"/>
  <c r="V92" i="5"/>
  <c r="V36" i="5"/>
  <c r="V91" i="5"/>
  <c r="V90" i="5"/>
  <c r="V88" i="5"/>
  <c r="V82" i="5"/>
  <c r="T115" i="5"/>
  <c r="T83" i="5"/>
  <c r="T114" i="5"/>
  <c r="T44" i="5"/>
  <c r="T72" i="5"/>
  <c r="T15" i="5"/>
  <c r="T111" i="5"/>
  <c r="T110" i="5"/>
  <c r="T109" i="5"/>
  <c r="T70" i="5"/>
  <c r="T87" i="5"/>
  <c r="T14" i="5"/>
  <c r="T21" i="5"/>
  <c r="T12" i="5"/>
  <c r="T80" i="5"/>
  <c r="T45" i="5"/>
  <c r="T105" i="5"/>
  <c r="T84" i="5"/>
  <c r="T104" i="5"/>
  <c r="T103" i="5"/>
  <c r="T85" i="5"/>
  <c r="T35" i="5"/>
  <c r="T26" i="5"/>
  <c r="T81" i="5"/>
  <c r="T66" i="5"/>
  <c r="T40" i="5"/>
  <c r="T11" i="5"/>
  <c r="T79" i="5"/>
  <c r="T102" i="5"/>
  <c r="T101" i="5"/>
  <c r="T100" i="5"/>
  <c r="T99" i="5"/>
  <c r="T98" i="5"/>
  <c r="T97" i="5"/>
  <c r="T54" i="5"/>
  <c r="T48" i="5"/>
  <c r="T69" i="5"/>
  <c r="T96" i="5"/>
  <c r="T95" i="5"/>
  <c r="T24" i="5"/>
  <c r="T22" i="5"/>
  <c r="T74" i="5"/>
  <c r="T67" i="5"/>
  <c r="T93" i="5"/>
  <c r="T92" i="5"/>
  <c r="T36" i="5"/>
  <c r="T91" i="5"/>
  <c r="T90" i="5"/>
  <c r="T88" i="5"/>
  <c r="T82" i="5"/>
  <c r="R115" i="5"/>
  <c r="R83" i="5"/>
  <c r="R114" i="5"/>
  <c r="R44" i="5"/>
  <c r="R72" i="5"/>
  <c r="R15" i="5"/>
  <c r="R111" i="5"/>
  <c r="R110" i="5"/>
  <c r="R109" i="5"/>
  <c r="R70" i="5"/>
  <c r="R87" i="5"/>
  <c r="R14" i="5"/>
  <c r="R21" i="5"/>
  <c r="R12" i="5"/>
  <c r="R80" i="5"/>
  <c r="R45" i="5"/>
  <c r="R105" i="5"/>
  <c r="R84" i="5"/>
  <c r="R104" i="5"/>
  <c r="R103" i="5"/>
  <c r="R85" i="5"/>
  <c r="R35" i="5"/>
  <c r="R26" i="5"/>
  <c r="R81" i="5"/>
  <c r="R66" i="5"/>
  <c r="R40" i="5"/>
  <c r="R11" i="5"/>
  <c r="R79" i="5"/>
  <c r="R102" i="5"/>
  <c r="R101" i="5"/>
  <c r="R100" i="5"/>
  <c r="R99" i="5"/>
  <c r="R98" i="5"/>
  <c r="R97" i="5"/>
  <c r="R54" i="5"/>
  <c r="R48" i="5"/>
  <c r="R69" i="5"/>
  <c r="R96" i="5"/>
  <c r="R95" i="5"/>
  <c r="R24" i="5"/>
  <c r="R22" i="5"/>
  <c r="R74" i="5"/>
  <c r="R67" i="5"/>
  <c r="R93" i="5"/>
  <c r="R92" i="5"/>
  <c r="R36" i="5"/>
  <c r="R91" i="5"/>
  <c r="R90" i="5"/>
  <c r="R88" i="5"/>
  <c r="R82" i="5"/>
  <c r="P115" i="5"/>
  <c r="P83" i="5"/>
  <c r="P114" i="5"/>
  <c r="P44" i="5"/>
  <c r="P72" i="5"/>
  <c r="P15" i="5"/>
  <c r="P111" i="5"/>
  <c r="P110" i="5"/>
  <c r="P109" i="5"/>
  <c r="P70" i="5"/>
  <c r="P87" i="5"/>
  <c r="P14" i="5"/>
  <c r="P21" i="5"/>
  <c r="P12" i="5"/>
  <c r="P80" i="5"/>
  <c r="P45" i="5"/>
  <c r="P105" i="5"/>
  <c r="P84" i="5"/>
  <c r="P104" i="5"/>
  <c r="P103" i="5"/>
  <c r="P85" i="5"/>
  <c r="P35" i="5"/>
  <c r="P26" i="5"/>
  <c r="P81" i="5"/>
  <c r="P66" i="5"/>
  <c r="P40" i="5"/>
  <c r="P11" i="5"/>
  <c r="P79" i="5"/>
  <c r="P102" i="5"/>
  <c r="P101" i="5"/>
  <c r="P100" i="5"/>
  <c r="P99" i="5"/>
  <c r="P98" i="5"/>
  <c r="P97" i="5"/>
  <c r="P54" i="5"/>
  <c r="P48" i="5"/>
  <c r="P69" i="5"/>
  <c r="P96" i="5"/>
  <c r="P95" i="5"/>
  <c r="P24" i="5"/>
  <c r="P22" i="5"/>
  <c r="P74" i="5"/>
  <c r="P67" i="5"/>
  <c r="P93" i="5"/>
  <c r="P92" i="5"/>
  <c r="P36" i="5"/>
  <c r="P91" i="5"/>
  <c r="P90" i="5"/>
  <c r="P88" i="5"/>
  <c r="P82" i="5"/>
  <c r="N115" i="5"/>
  <c r="N83" i="5"/>
  <c r="N114" i="5"/>
  <c r="N44" i="5"/>
  <c r="N72" i="5"/>
  <c r="N15" i="5"/>
  <c r="N111" i="5"/>
  <c r="N110" i="5"/>
  <c r="N109" i="5"/>
  <c r="N70" i="5"/>
  <c r="N87" i="5"/>
  <c r="N14" i="5"/>
  <c r="N21" i="5"/>
  <c r="N12" i="5"/>
  <c r="N80" i="5"/>
  <c r="N45" i="5"/>
  <c r="N105" i="5"/>
  <c r="N84" i="5"/>
  <c r="N104" i="5"/>
  <c r="N103" i="5"/>
  <c r="N85" i="5"/>
  <c r="N35" i="5"/>
  <c r="N26" i="5"/>
  <c r="N81" i="5"/>
  <c r="N66" i="5"/>
  <c r="N40" i="5"/>
  <c r="N11" i="5"/>
  <c r="N79" i="5"/>
  <c r="N102" i="5"/>
  <c r="N101" i="5"/>
  <c r="N100" i="5"/>
  <c r="N99" i="5"/>
  <c r="N98" i="5"/>
  <c r="N97" i="5"/>
  <c r="N54" i="5"/>
  <c r="N48" i="5"/>
  <c r="N69" i="5"/>
  <c r="N96" i="5"/>
  <c r="N95" i="5"/>
  <c r="N24" i="5"/>
  <c r="N22" i="5"/>
  <c r="N74" i="5"/>
  <c r="N67" i="5"/>
  <c r="N93" i="5"/>
  <c r="N92" i="5"/>
  <c r="N36" i="5"/>
  <c r="N91" i="5"/>
  <c r="N90" i="5"/>
  <c r="N82" i="5"/>
  <c r="L115" i="5"/>
  <c r="L83" i="5"/>
  <c r="L114" i="5"/>
  <c r="L44" i="5"/>
  <c r="L72" i="5"/>
  <c r="L15" i="5"/>
  <c r="L111" i="5"/>
  <c r="L110" i="5"/>
  <c r="L109" i="5"/>
  <c r="L70" i="5"/>
  <c r="L87" i="5"/>
  <c r="L14" i="5"/>
  <c r="L21" i="5"/>
  <c r="L12" i="5"/>
  <c r="L80" i="5"/>
  <c r="L45" i="5"/>
  <c r="L105" i="5"/>
  <c r="L84" i="5"/>
  <c r="L104" i="5"/>
  <c r="L103" i="5"/>
  <c r="L85" i="5"/>
  <c r="L35" i="5"/>
  <c r="L26" i="5"/>
  <c r="L81" i="5"/>
  <c r="L66" i="5"/>
  <c r="L40" i="5"/>
  <c r="L11" i="5"/>
  <c r="L79" i="5"/>
  <c r="L102" i="5"/>
  <c r="L101" i="5"/>
  <c r="L100" i="5"/>
  <c r="L99" i="5"/>
  <c r="L98" i="5"/>
  <c r="L97" i="5"/>
  <c r="L54" i="5"/>
  <c r="L48" i="5"/>
  <c r="L69" i="5"/>
  <c r="L96" i="5"/>
  <c r="L95" i="5"/>
  <c r="L24" i="5"/>
  <c r="L22" i="5"/>
  <c r="L74" i="5"/>
  <c r="L67" i="5"/>
  <c r="L93" i="5"/>
  <c r="L92" i="5"/>
  <c r="L36" i="5"/>
  <c r="L91" i="5"/>
  <c r="L90" i="5"/>
  <c r="L88" i="5"/>
  <c r="L118" i="5"/>
  <c r="N88" i="5"/>
  <c r="L82" i="5"/>
</calcChain>
</file>

<file path=xl/sharedStrings.xml><?xml version="1.0" encoding="utf-8"?>
<sst xmlns="http://schemas.openxmlformats.org/spreadsheetml/2006/main" count="4927" uniqueCount="564">
  <si>
    <t>Results Viewed</t>
  </si>
  <si>
    <t>Completed Search</t>
  </si>
  <si>
    <t>Date Last Accessed</t>
  </si>
  <si>
    <t>Search Database</t>
  </si>
  <si>
    <t>URL</t>
  </si>
  <si>
    <t>Search Terms</t>
  </si>
  <si>
    <t>From Year</t>
  </si>
  <si>
    <t>To Year</t>
  </si>
  <si>
    <t>Sorted By</t>
  </si>
  <si>
    <t>No. Results</t>
  </si>
  <si>
    <t>From</t>
  </si>
  <si>
    <t>To</t>
  </si>
  <si>
    <t>Yes</t>
  </si>
  <si>
    <t>No</t>
  </si>
  <si>
    <t>Google Scholar</t>
  </si>
  <si>
    <t>https://scholar.google.com/schhp?hl=en-US</t>
  </si>
  <si>
    <t>Relevance</t>
  </si>
  <si>
    <t>Melatonin Adverse Effects Library Search</t>
  </si>
  <si>
    <t>oral melatonin "adverse effects"</t>
  </si>
  <si>
    <t>oral melatonin "side effects"</t>
  </si>
  <si>
    <t>Type</t>
  </si>
  <si>
    <t>Title</t>
  </si>
  <si>
    <t>Authors</t>
  </si>
  <si>
    <t>Year</t>
  </si>
  <si>
    <t>Citations</t>
  </si>
  <si>
    <t>Notes</t>
  </si>
  <si>
    <t>Melatonin for Insomnia in Children With Autism Spectrum Disorder</t>
  </si>
  <si>
    <t>Anderson, Ivy M; Kadzmarska, JoAnna; et al</t>
  </si>
  <si>
    <t>The Safety of Melatonin in Humans</t>
  </si>
  <si>
    <t>Anderson, Lars Peter Holst; Gögenur, Ismail; et al</t>
  </si>
  <si>
    <t>Review</t>
  </si>
  <si>
    <t>Melatonin in the treatment of Insomnia in children and adolescents</t>
  </si>
  <si>
    <t>Armour, David; Paton, Carol</t>
  </si>
  <si>
    <t>Melatonin for treatment of REM sleep behavior disorder in neurologic disorders: results in 14 patients</t>
  </si>
  <si>
    <t>Boeve, Bradley F; Silber, Michael H; Ferman, Tanis J</t>
  </si>
  <si>
    <t>Clinical Review</t>
  </si>
  <si>
    <t>Melatonin treatment in individuals with intellectual disability and chronic insomnia: a randomized placebo-controlled study</t>
  </si>
  <si>
    <t>Braam, W; Didden, R; Smits, M; Curfs, L</t>
  </si>
  <si>
    <t>The Efficacy and Safety of Exogenous Melatonin for Primary Sleep Disorders</t>
  </si>
  <si>
    <t>Buscemi, Nina; Vandermeer, Ben; Hooten, Nicola; et al</t>
  </si>
  <si>
    <t>Efficacy and safety of exogenous melatonin for secondary sleep disorders and sleep disorders accompanying sleep restriction: meta-analysis</t>
  </si>
  <si>
    <t>Melatonin Improves Sleep in Asthma</t>
  </si>
  <si>
    <t>Francineide L. Campos; Francisco P. da Silva-Júnior; et al</t>
  </si>
  <si>
    <t>Negative effects of melatonin on depression</t>
  </si>
  <si>
    <t>Carman, John S; Post, Robert M; Buswell, Richard; Goodwin, Frederick K</t>
  </si>
  <si>
    <t>Evaluating the Role of Melatonin in the Long-Term Treatment of Delayed Sleep Syndrome (DSPS)</t>
  </si>
  <si>
    <t>Dagan, Yaron; Yovel, Iftah; Hallis, Dana; et al</t>
  </si>
  <si>
    <t>Melatonin: Role in Development</t>
  </si>
  <si>
    <t>Davis, Fred C</t>
  </si>
  <si>
    <t>Context</t>
  </si>
  <si>
    <t>Melatonin and sleep in humans</t>
  </si>
  <si>
    <t>Dawson, Drew; Encel, Nicola</t>
  </si>
  <si>
    <t>Melatonin for treatment of sleep disorders in children with developmental disabilities</t>
  </si>
  <si>
    <t>Dodge, N N; Wilson, G A</t>
  </si>
  <si>
    <t>Melatonin and insomnia</t>
  </si>
  <si>
    <t>Ellis, C M; Lemmens, G; Parkes, J D</t>
  </si>
  <si>
    <t>Galley, Helen F; Lowes, Damon A; Allen, Lee; et al</t>
  </si>
  <si>
    <t>Randomized controlled trial of melatonin for children with autistic spectrum disorders and sleep problems</t>
  </si>
  <si>
    <t>Garstang, J; Wallis, M</t>
  </si>
  <si>
    <t>Effects of melatonin administration on sleep, behavioral disorders and hypnotic drug discontinuation in the elderly: a randomized, double-blind, placebo-controlled study</t>
  </si>
  <si>
    <t>Garzón, Cristina; Guerrero, Juan M; Aramburu, Oscar; et al</t>
  </si>
  <si>
    <t>An Open-Label Study of Controlled-Release Melatonin in Treatment of Sleep Disorders in Children with Autism</t>
  </si>
  <si>
    <t>Giannotti, F; Cortesi, F; Cerquiglini, A; Bernabel, P</t>
  </si>
  <si>
    <t>Melatonin for sleep problems in children with neurodevelopmental disorders: randomized double masked placebo controlled trial</t>
  </si>
  <si>
    <t>Gringras, P; Gamble, C; Jones, A P; Wiggs, L; et al</t>
  </si>
  <si>
    <t>Toxicity of Melatonin</t>
  </si>
  <si>
    <t>Béatrice Guardiola-Lemaitre</t>
  </si>
  <si>
    <t>Melatonin for disordered sleep in individuals with autism spectrum disorders: Systematic review and discussion</t>
  </si>
  <si>
    <t>Guénolé, Fabian; Godbout, Roger; Nicolas, Alain; et al</t>
  </si>
  <si>
    <t>Effects of Add-on Melatonin Administration on Antioxidant Enzymes in Children with Epilepsy Taking Carbamazepine Monotherapy. A Randomized, Double-Blind, Placebo-Controlled Study</t>
  </si>
  <si>
    <t>Gupta, Madhur; Gupta, Yogendra Kumar; et al</t>
  </si>
  <si>
    <t>A randomized, double-blind, placebo controlled trial of melatonin add-on therapy in epileptic children on valproate monotherapy: effect on glutathione peroxidase and glutathione reductase enzymes</t>
  </si>
  <si>
    <t>Hansen, Melissa V; Anderson, Lærke T; Madsen, Michael T; et al</t>
  </si>
  <si>
    <t>Paediatric Off-Label Use of Melatonin - A Register Linkage Study between the Norwegian Prescription Database and Patient Register</t>
  </si>
  <si>
    <t>Hartz, Ingeborg; Handal, Marte; Tverdal, Aage; et al</t>
  </si>
  <si>
    <t>Melatonin for the prevention and treatment of jet lag</t>
  </si>
  <si>
    <t>Herxheimer, Andrew; Petrie, Keith J</t>
  </si>
  <si>
    <t>Long-term follow-up of melatonin treatment in children with ADHD and chronic sleep onset insomnia</t>
  </si>
  <si>
    <t>Hoebert, Michel: Van Der Heijden, Kristiaan B; et al</t>
  </si>
  <si>
    <t>Melatonin improves sleep in children with epilepsy: a randomized, double-blind, crossover study</t>
  </si>
  <si>
    <t>Jain, Sejal V; Horn, Paul S; Simakajornboon, Narong; et al</t>
  </si>
  <si>
    <t>The treatment of sleep disorders with melatonin</t>
  </si>
  <si>
    <t>Jan, J E; Espezel, H; Appleton, R E</t>
  </si>
  <si>
    <t>Clinical trials of controlled-release melatonin In children with sleep-wake cycle disorders</t>
  </si>
  <si>
    <t>Jan, J E; Hamilton, D; Seward, N; Fast, D K; et al</t>
  </si>
  <si>
    <t>Clinical Trial</t>
  </si>
  <si>
    <t>Melatonin as a potential therapy for sepsis: a phase I dose escalation study and an ex vivo whole blood model under conditions of sepsis</t>
  </si>
  <si>
    <t>Use of melatonin in the treatment of paediatric sleep disorders</t>
  </si>
  <si>
    <t>Jan, J E; O'Donnell, M E</t>
  </si>
  <si>
    <t>Melatonin for the treatment of handicapped children with severe sleep disorders</t>
  </si>
  <si>
    <t>Jan, Mohammed M S</t>
  </si>
  <si>
    <t>A randomized, double-blind, placebo-controlled crossover study of the effect of exogenous melatonin on delayed sleep phase syndrome</t>
  </si>
  <si>
    <t>Kayumov, Leonid; Brown, Gregory; Jindal, Ripu; et al</t>
  </si>
  <si>
    <t>Potential safety issues in the use of the hormone melatonin in paediatrics</t>
  </si>
  <si>
    <t>Kennaway, David J</t>
  </si>
  <si>
    <t>Melatonin potentially usefull but safety, efficacy remain uncertain</t>
  </si>
  <si>
    <t>Lamberg, L</t>
  </si>
  <si>
    <t>Effect of melatonin on nocturnal blood pressure: meta-analysis of randomized controlled trials</t>
  </si>
  <si>
    <t>Laudon, Grossman E; Zisapel, Nava</t>
  </si>
  <si>
    <t>Melatonin administration alters semen quality in healthy men</t>
  </si>
  <si>
    <t>Luboshitzky, Rafael; Shen-Orr, Zilla; Nave, Rachel; et al</t>
  </si>
  <si>
    <t>Melatonin therapy for REM sleep behavior disorder: a critical review of evidence</t>
  </si>
  <si>
    <t>McGrane, Ian R; Leung, Jonathan G; St Louis, Erik K; et al</t>
  </si>
  <si>
    <t>Melatonin: a survey of suspected adverse drug reactions</t>
  </si>
  <si>
    <t>Nagtegaal, J E; Smits, M G; Van Der Meer, Y G; et al</t>
  </si>
  <si>
    <t>Influence of Subchronic intake of Melatonin at Various Times of the Day on Fatigue and Hormonal Levels: A Placebo-Controlled, Double-Blind Trial</t>
  </si>
  <si>
    <t>Nickelson, Thomas; Demisch, Lothar; Demisch, Klaus; et al</t>
  </si>
  <si>
    <t>Effect of melatonin administration on subjective sleep quality in chronic obstructive pulmonary disease</t>
  </si>
  <si>
    <t>Nunes, D M; Mota, R M S; Machedo, M O; et al</t>
  </si>
  <si>
    <t>Use of melatonin to treat sleep disorders in tuverous sclerosis</t>
  </si>
  <si>
    <t>O'Callaghan, F J; Clarke, A A; Hancock, E; Hunt, A; et al</t>
  </si>
  <si>
    <t>Effects of prolonged-release melatonin, zolpidem, and their combination in psychomotor functions, memory recall, and driving skills in healthy middle aged and elderly volunteers</t>
  </si>
  <si>
    <t>Otmani, S; Demazières, A; Staner, C; Jacob, N; Nir, T; et al</t>
  </si>
  <si>
    <t>Long-term melatonin treatment in blind children and young adults with circadian sleep-wake disturbances</t>
  </si>
  <si>
    <t>Palm, L; Blennow, G; Wetterberg, L</t>
  </si>
  <si>
    <t>Melatonin Effect on Seizures in Children with Severe Neurologic Deficit Disorders</t>
  </si>
  <si>
    <t>Peled, Nir; Shorer, Zamir; Peled, Eli; Pillar, Gloria</t>
  </si>
  <si>
    <t>Systematic review of melatonin treatment in children with neurodevelopmental disabilities and sleep impairment</t>
  </si>
  <si>
    <t>Phillips, Louise; Appleton, Richard E</t>
  </si>
  <si>
    <t>Neurobehavioural performance effects of daytime melatonin and temazepam administration</t>
  </si>
  <si>
    <t>Rogers, Naomi L; Kennaway, David J; Dawson, Drew</t>
  </si>
  <si>
    <t>Melatonin treatment for sleep disorders in children with neurodevelopmental disorders: an observational study</t>
  </si>
  <si>
    <t>Ross, C; Davies, P; Whitehouse, W</t>
  </si>
  <si>
    <t>Melatonin and sleep disorders associated with intellectual disability: a clinical review</t>
  </si>
  <si>
    <t>Sajith, S G; Clarke, D</t>
  </si>
  <si>
    <t>Therapeutic Applications of Melatonin in Pediatrics</t>
  </si>
  <si>
    <t>Sanchez-Barcelo, Emilio J; Mediavilla, Maria D; et al</t>
  </si>
  <si>
    <t>Randomized, double-blind clinical trial, controlled with placebo, of the toxicology of chronic melatonin treatment</t>
  </si>
  <si>
    <t>Seabra, Maria de Lourdes V; Bignotto, Magda; et al</t>
  </si>
  <si>
    <t>Compelmentary, holistic, and integrative medicine: melatonin</t>
  </si>
  <si>
    <t>Shamseer, Larissa: Vohra, Sunita</t>
  </si>
  <si>
    <t>Pro-convulsant effects of oral melatonin in neurologically disabled children</t>
  </si>
  <si>
    <t>Sheldon, Stephen H</t>
  </si>
  <si>
    <t>Melatonin for chronic sleep onset insomnia in children: a randomized placebo-controlled trial</t>
  </si>
  <si>
    <t>Smits, M G; Nagtegaal, E E; Van Der Heijden, J; et al</t>
  </si>
  <si>
    <t>Effect of Melatonin on Sleep, Behavior, and Cognition in ADHD and Chronic Sleep-Onset Insomnia</t>
  </si>
  <si>
    <t>Van Der Heijden, Kristiaan B; Smits, Marcel G; et al</t>
  </si>
  <si>
    <t>Evaluation of sleep, puberty and mental health in children with long-term melatonin treatment for chronic idiopathic childhood sleep onset insomnia</t>
  </si>
  <si>
    <t>Van Geijlswijk, I M; Mol, R H; Egberts, T C; Smits, M G</t>
  </si>
  <si>
    <t>Melatonin: prescribing practices and adverse events</t>
  </si>
  <si>
    <t>Waldron, D L; Bramble, D; Gringras, P</t>
  </si>
  <si>
    <t>Use of melatonin for sleep disturbance in a large intellectual disability psychiatry service</t>
  </si>
  <si>
    <t>Ward, Fran; Nanjappa, Muralidhara; Hinder, Stephen A J; Roy, Meera</t>
  </si>
  <si>
    <t>A randomized, placebo-controlled trial of controlled release melatonin treatment of delayed sleep phase syndrome and impaired sleep maintenance in children with neurodevelopmental disabilities</t>
  </si>
  <si>
    <t>Wasdell, Michael B; Jan, James E; Bomben, Melissa M; Freeman, Roger D; Rietveld, Wop J; et al</t>
  </si>
  <si>
    <t>Reproductive Safety of Melatonin: A "Wonder Drug" to Wonder About</t>
  </si>
  <si>
    <t>Weaver, David R</t>
  </si>
  <si>
    <t>Melatonin versus Placebo in Children with Autism Spectrum Conditions and Severe Sleep Problems Not Amenable to Behaviour Management Strategies: A Randomised Controlled Trial</t>
  </si>
  <si>
    <t>Wright, Barry; Sims, David; Smart, Siobhan; Alwazeer, Ahmed; Alderson-Day, Ben; Allgar, Victoria; et al</t>
  </si>
  <si>
    <t>exogenous melatonin "puberty onset"</t>
  </si>
  <si>
    <t>Tomoda, Akemi; Miike, Teruhisa; Iwatani, Noritaka; et al</t>
  </si>
  <si>
    <t>Effect of long-term melatonin administration on school-phobic children and adolescents with sleep disturbances</t>
  </si>
  <si>
    <t>Long-term effectiveness outcome of melatonin therapy in children with treatment-resistant circadian rhythm sleep disorders</t>
  </si>
  <si>
    <t>Carr, Roxanne; Wasdell, Michael B; Hamilton, Donald; et al</t>
  </si>
  <si>
    <t>oral melatonin "puberty onset"</t>
  </si>
  <si>
    <t>Safety of Melatonin in Long-Term Use</t>
  </si>
  <si>
    <t>Josephine Arendt</t>
  </si>
  <si>
    <t>Headache</t>
  </si>
  <si>
    <t>Dizziness</t>
  </si>
  <si>
    <t>Nausea</t>
  </si>
  <si>
    <t>Seizure +</t>
  </si>
  <si>
    <t>Puberty -</t>
  </si>
  <si>
    <t>Adverse effects</t>
  </si>
  <si>
    <t>Enuresis</t>
  </si>
  <si>
    <t>Sleepiness +</t>
  </si>
  <si>
    <t>Children with autistic spetrum disorders; Mild side-effects in 3 children; No increase in seizures or new-onset seizures.</t>
  </si>
  <si>
    <t>0.75 - 6</t>
  </si>
  <si>
    <t>3 - 12</t>
  </si>
  <si>
    <t xml:space="preserve">3 </t>
  </si>
  <si>
    <t>4wks</t>
  </si>
  <si>
    <t>No significant change in asthma symptoms.</t>
  </si>
  <si>
    <t>Concentration -</t>
  </si>
  <si>
    <t>Anorexia</t>
  </si>
  <si>
    <t>Fatigue +</t>
  </si>
  <si>
    <t>Appetite -</t>
  </si>
  <si>
    <t>Follow up study. Caregivers interviewed every 3 months for up to 3.8 yrs after intitial trial. No reports of adverse effects.</t>
  </si>
  <si>
    <t>5</t>
  </si>
  <si>
    <t>"Almost no side-effects" reported.</t>
  </si>
  <si>
    <t>1wk</t>
  </si>
  <si>
    <t>20 - 100</t>
  </si>
  <si>
    <t>No side-effects reported.</t>
  </si>
  <si>
    <t>No adverse effects reported.</t>
  </si>
  <si>
    <t>0.5 - 12</t>
  </si>
  <si>
    <t>Doses ranged between 150mg/day (1 patient) and 1600mg/day (1 patient). Adverse effects figures record no. patients not no. occurences.</t>
  </si>
  <si>
    <t>6 - 9</t>
  </si>
  <si>
    <t>6</t>
  </si>
  <si>
    <t>0.5 - 8</t>
  </si>
  <si>
    <t>Review of jet-lag studies found no adverse effects except drowsiness.</t>
  </si>
  <si>
    <t>6wks</t>
  </si>
  <si>
    <t>2mths</t>
  </si>
  <si>
    <t>6mths</t>
  </si>
  <si>
    <t>12wks</t>
  </si>
  <si>
    <t>2wks</t>
  </si>
  <si>
    <t>3mths</t>
  </si>
  <si>
    <t>"One subject with history of migraine had increased severity of headache".</t>
  </si>
  <si>
    <t>9</t>
  </si>
  <si>
    <t>2 - 10</t>
  </si>
  <si>
    <t>No adverse side-effects.</t>
  </si>
  <si>
    <t>2.5 - 10</t>
  </si>
  <si>
    <t>Clinical review of melatonin treatement over 5 year period found no observed side-effects or development of tolerance.</t>
  </si>
  <si>
    <t>No side effects reported.</t>
  </si>
  <si>
    <t>Decrease in "sperm concentration and motility below the normal range" in 2 out of 8 men.</t>
  </si>
  <si>
    <t>Unsteadiness</t>
  </si>
  <si>
    <t>2.5 - 5</t>
  </si>
  <si>
    <t>2 - 12mths</t>
  </si>
  <si>
    <t>Hyperkinesia</t>
  </si>
  <si>
    <t>Diplopia</t>
  </si>
  <si>
    <t>Fever</t>
  </si>
  <si>
    <t>Other</t>
  </si>
  <si>
    <t>50</t>
  </si>
  <si>
    <t>3wks</t>
  </si>
  <si>
    <t>2</t>
  </si>
  <si>
    <t>0.5 - 4</t>
  </si>
  <si>
    <t>6yrs*</t>
  </si>
  <si>
    <t>3</t>
  </si>
  <si>
    <t>Parents of 5/6 patients reported significant clinical improvement in seizure activity (mean seizure rate decreased from 3.6 +/- 3.9/day to 1.5 +/- 1.8/day during treatment. One patient "showed mild worsening in the EEG patterns, but without any clinical change."</t>
  </si>
  <si>
    <t>35*</t>
  </si>
  <si>
    <t>0.5 - 7.5</t>
  </si>
  <si>
    <t>10</t>
  </si>
  <si>
    <t>Four patients had increased (or new) seizure activity. All seizure activity returned to baseline levels after withdrawal of melatonin.</t>
  </si>
  <si>
    <t>8mths</t>
  </si>
  <si>
    <t>3 - 6</t>
  </si>
  <si>
    <r>
      <t>No "significant" adverse effects reported.</t>
    </r>
    <r>
      <rPr>
        <b/>
        <i/>
        <sz val="12"/>
        <color rgb="FF53669E"/>
        <rFont val="Calibri"/>
        <scheme val="minor"/>
      </rPr>
      <t xml:space="preserve"> Access to abstract only.</t>
    </r>
  </si>
  <si>
    <t>0.3 - 10</t>
  </si>
  <si>
    <t>1 - 4.6yrs</t>
  </si>
  <si>
    <t>^</t>
  </si>
  <si>
    <t>0.5 - 24</t>
  </si>
  <si>
    <t>Anonymous questionnaire survey of prescription practices of members of the British Association for Community Child Health (BACCH) and the British Academy of Childhood Disability (BACD). Results from 148 returned questionnaires with total 1918 children prescribed melatonin. *New onset seizure activity (2); increased seizure activity (3). ^Other adverse effects included: agitation/behavioural change (6); worsening sleep patterns (6); nightmares (2); constipation (2).</t>
  </si>
  <si>
    <r>
      <t>No "serious" adverse effects reported.</t>
    </r>
    <r>
      <rPr>
        <b/>
        <i/>
        <sz val="12"/>
        <color rgb="FF53669E"/>
        <rFont val="Calibri"/>
        <scheme val="minor"/>
      </rPr>
      <t xml:space="preserve"> Access to abstract only.</t>
    </r>
  </si>
  <si>
    <r>
      <rPr>
        <b/>
        <i/>
        <sz val="12"/>
        <color rgb="FF53669E"/>
        <rFont val="Calibri"/>
        <scheme val="minor"/>
      </rPr>
      <t>Access to abstract only.</t>
    </r>
    <r>
      <rPr>
        <sz val="12"/>
        <color rgb="FF53669E"/>
        <rFont val="Calibri"/>
        <family val="2"/>
        <scheme val="minor"/>
      </rPr>
      <t xml:space="preserve"> No adverse effects mentioned.</t>
    </r>
  </si>
  <si>
    <t>Discussion of potential long-term effect of melatonin therapy.</t>
  </si>
  <si>
    <r>
      <t>"Side-effect profile was low and not significantly different between" melatonin and placebo groups.</t>
    </r>
    <r>
      <rPr>
        <b/>
        <i/>
        <sz val="12"/>
        <color rgb="FF53669E"/>
        <rFont val="Calibri"/>
        <scheme val="minor"/>
      </rPr>
      <t xml:space="preserve"> Access to abstract only.</t>
    </r>
  </si>
  <si>
    <t>Melatonin adverse effects</t>
  </si>
  <si>
    <t>Pubmed</t>
  </si>
  <si>
    <t>http://www.ncbi.nlm.nih.gov/pmc/</t>
  </si>
  <si>
    <t>Default</t>
  </si>
  <si>
    <t>Strange taste/ 
Dry mouth</t>
  </si>
  <si>
    <t>Insomnia/
Disturbed sleep</t>
  </si>
  <si>
    <t>Delusions/
Hallucinations</t>
  </si>
  <si>
    <t>Dysphoric
 Mood</t>
  </si>
  <si>
    <t>n</t>
  </si>
  <si>
    <t>%</t>
  </si>
  <si>
    <t>&gt;&gt;</t>
  </si>
  <si>
    <r>
      <rPr>
        <b/>
        <sz val="12"/>
        <color rgb="FF92D050"/>
        <rFont val="Calibri (Body)"/>
      </rPr>
      <t>Total no. patients with adverse effect</t>
    </r>
    <r>
      <rPr>
        <b/>
        <sz val="12"/>
        <color rgb="FF53669E"/>
        <rFont val="Calibri"/>
        <family val="2"/>
        <scheme val="minor"/>
      </rPr>
      <t xml:space="preserve"> | </t>
    </r>
    <r>
      <rPr>
        <b/>
        <sz val="12"/>
        <color rgb="FF9AD8FF"/>
        <rFont val="Calibri (Body)"/>
      </rPr>
      <t xml:space="preserve">% of total no. patients from ALL studies </t>
    </r>
    <r>
      <rPr>
        <b/>
        <sz val="12"/>
        <color rgb="FF53669E"/>
        <rFont val="Calibri"/>
        <family val="2"/>
        <scheme val="minor"/>
      </rPr>
      <t xml:space="preserve">&gt;&gt;    </t>
    </r>
  </si>
  <si>
    <r>
      <rPr>
        <b/>
        <sz val="12"/>
        <color theme="9" tint="0.59999389629810485"/>
        <rFont val="Calibri (Body)"/>
      </rPr>
      <t>Total no. patients from studies where adverse effect recorded</t>
    </r>
    <r>
      <rPr>
        <b/>
        <sz val="12"/>
        <color rgb="FF53669E"/>
        <rFont val="Calibri"/>
        <family val="2"/>
        <scheme val="minor"/>
      </rPr>
      <t xml:space="preserve"> | </t>
    </r>
    <r>
      <rPr>
        <b/>
        <sz val="12"/>
        <color theme="7"/>
        <rFont val="Calibri (Body)"/>
      </rPr>
      <t>% of patients from this subset with adverse effect</t>
    </r>
    <r>
      <rPr>
        <b/>
        <sz val="12"/>
        <color rgb="FF53669E"/>
        <rFont val="Calibri"/>
        <family val="2"/>
        <scheme val="minor"/>
      </rPr>
      <t xml:space="preserve"> &gt;&gt;  </t>
    </r>
  </si>
  <si>
    <r>
      <t xml:space="preserve">Table cells coloured </t>
    </r>
    <r>
      <rPr>
        <sz val="14"/>
        <color rgb="FF9AD8FF"/>
        <rFont val="Calibri (Body)"/>
      </rPr>
      <t>solid blue</t>
    </r>
    <r>
      <rPr>
        <sz val="14"/>
        <color rgb="FF587295"/>
        <rFont val="Calibri"/>
        <scheme val="minor"/>
      </rPr>
      <t xml:space="preserve"> indicate that adverse effect was reported in patients in the study group but with no details of number of occurrences or patients experiencing the adverse effect.</t>
    </r>
  </si>
  <si>
    <t>Incomplete data indicated</t>
  </si>
  <si>
    <t>Shaded summary data indicates data missing from some or all studies. Summaries are calculated from available data, therefore true frequency of adverse effects will be understated in these cases</t>
  </si>
  <si>
    <t>Full Text Y/N</t>
  </si>
  <si>
    <t>The effect of melatonin treatment on postural stability, muscle strength, and quality of life and sleep in postmenapausal women: a randomized controlled trial</t>
  </si>
  <si>
    <t>Amstrup, Anne Kristine et al</t>
  </si>
  <si>
    <t>Pharmacokinetics of high-dose intravenous melatonin in humans</t>
  </si>
  <si>
    <t>Anderson, Lars P H et al</t>
  </si>
  <si>
    <t>Melatonin therapy to improve nocturnal sleep in critically ill patients: encouraging results from a small randomized controlled trial</t>
  </si>
  <si>
    <t>Bourne, Richard S et al</t>
  </si>
  <si>
    <t>A randomized, placebo-controlled trial of melatonin on breast cancer survivors: impact on sleep, mood, and hot flashes</t>
  </si>
  <si>
    <t>Chen, Wendy Y et al</t>
  </si>
  <si>
    <t>Melatonin: Physiological effects in humans</t>
  </si>
  <si>
    <t>Claustrat, B; Leston, J</t>
  </si>
  <si>
    <t>Controlled-release melatonin, singly and combined with cognitive behavioural therapy, for persistent insomnia in children with autism spectrum disorders: a randomized placebo-controlled trial</t>
  </si>
  <si>
    <t>Cortesi, Flavia; Giannotti, Flavia et al</t>
  </si>
  <si>
    <t>Melatonin in the Afternoons of a Gradually Advancing Sleep Schedule Enhances the Circadian Rhythm Phase Advance</t>
  </si>
  <si>
    <t>Crowley, Stephanie J et al</t>
  </si>
  <si>
    <t>Use of slow-release melatonin in treatment-resistant depression</t>
  </si>
  <si>
    <t>Dalton, E J et al</t>
  </si>
  <si>
    <t>B(1)-adrenergic antagonists and melatonin reset the clock and restore sleep in a circadian disorder, Smith-Magenis syndrome</t>
  </si>
  <si>
    <t>De Leersnyder, H et al</t>
  </si>
  <si>
    <t>Effect of inducing nocturnal serum melatonin concentrations in daytime on sleep, mood, body temperature, and performance</t>
  </si>
  <si>
    <t>Dollins, A B et al</t>
  </si>
  <si>
    <t>Melatonin's Effect on the Efficacy of Desmopressin in the Treatment of Enuresis</t>
  </si>
  <si>
    <t>Ferrara, Pietro et al</t>
  </si>
  <si>
    <t>Oxidative and inflammatory parameters in respiratory distress syndrome of preterm newborns: beneficial effects of melatonin</t>
  </si>
  <si>
    <t>Gitto, Eloisa et al</t>
  </si>
  <si>
    <t>Melatonin supplementation to treat the metabollic syndrome: a randomized controlled trial</t>
  </si>
  <si>
    <t>Goyal, Abhinav et al</t>
  </si>
  <si>
    <t>Therapeutic benefit of melatonin in refractory central serous chorioretinopathy</t>
  </si>
  <si>
    <t>Gramajo, A L et al</t>
  </si>
  <si>
    <t>Early morning melatonin administration impairs psychomotor vigilance</t>
  </si>
  <si>
    <t>Graw, P; Werth, E; Krauchi, K et al</t>
  </si>
  <si>
    <t>Dietary supplement adverse effects: Report of a one-year poison center surveillance project</t>
  </si>
  <si>
    <t>Evaluation of Exogenous Melatonin Administration in Imporvement of Sleep Quality in Patients with Chronic Obstructive Pulmonary Disease</t>
  </si>
  <si>
    <t>Halvani, Abolhasan; Mohsenpour, Fatemeh et al</t>
  </si>
  <si>
    <t>Haller, Christine A; Kearney, Tom et al</t>
  </si>
  <si>
    <t>Effect of Melatonin on Cognitive Function and Sleep in Relation to Breast Cancer Surgery: A Randomized, Double-Blind, Placebo-Controlled Trial</t>
  </si>
  <si>
    <t>Hansen, Melissa V; Madsen, Michael et al</t>
  </si>
  <si>
    <t>A Novel Therapy for REM Sleep Behaviour Disorder (RBD)</t>
  </si>
  <si>
    <t>Howell, Michael J et al</t>
  </si>
  <si>
    <t>Effect of oral melatonin and wearing earplugs and eye masks on nocturnal sleep in healthy subjects in a simulated intensive care unit environment: which might be a more promising strategy for ICU sleep deprivation?</t>
  </si>
  <si>
    <t>Huang, Hua-Wei; Zheng, Bo-Lu et al</t>
  </si>
  <si>
    <t>Melatonin and epilepsy</t>
  </si>
  <si>
    <t>Jones, C; Huyton, M; Hindley, D</t>
  </si>
  <si>
    <t>The effects of melatonin on sleep-wake rhythm of daytime haemodialysis patients: a randomized, placebo-controlled, cross-over study</t>
  </si>
  <si>
    <t>Koch, Birgit C et al</t>
  </si>
  <si>
    <t>Melatonin effects on luteinizing hormone in postmenapausal women: a pilot clinical trial</t>
  </si>
  <si>
    <t>Kripke, Daniel F; Kline, Lawrence E et al</t>
  </si>
  <si>
    <t>Prolonged-release melatonin for insomnia - an open-label long-term study of efficacy, safety, and withdrawal</t>
  </si>
  <si>
    <t>Lemoine, Patrick et al</t>
  </si>
  <si>
    <t>The Efficacy of Oral Melatonin in Improving Sleep in Cancer Patients with Insomnia: A Randomized Double-Bline Placebo-Controlled Study</t>
  </si>
  <si>
    <t>Kurdi, Madhuri S et al</t>
  </si>
  <si>
    <t>Pharmacokinetics of melatonin in preterm infants</t>
  </si>
  <si>
    <t>Merchant, Nasakat M; Azzopardi, Denis et al</t>
  </si>
  <si>
    <t>Melatonin reduces the need for sedation in ICU patients. A randomized controlled trial</t>
  </si>
  <si>
    <t>Mistraletti, G; Umbrello, M; Sabbatini, G et al</t>
  </si>
  <si>
    <t>Treatment of central and sensorineural tinnitus with orally administered Melatonin and Sulodexide: personal experience from a random-controlled study</t>
  </si>
  <si>
    <t>Neri, G; De Stefano, A et al</t>
  </si>
  <si>
    <t>The use of high-dose melatonin in liver resection is safe: first clinical experience</t>
  </si>
  <si>
    <t>Nickkholgh, Arash; Schneider, Heinz et al</t>
  </si>
  <si>
    <t>The Effect of Oral Melatonin on Skin Color and on the Release of Pituitary Hormones</t>
  </si>
  <si>
    <t>Nordlund, James J; Lerner, Aaron B</t>
  </si>
  <si>
    <t>Prolonged release melatonin for improving sleep in totally blind subjects: a pilot placebo-controlled multicenter trial</t>
  </si>
  <si>
    <t>Roth, Thomas; Nir, Tali; Zisapel, Nava</t>
  </si>
  <si>
    <t>Efficacy and hypnotic effects of melatonin in shift-work nurses: double-blind, placebo-controlled crossover trial</t>
  </si>
  <si>
    <t>Sadeghnilat-Haghihgi, Khosro et al</t>
  </si>
  <si>
    <t>Repeated Melatonin Supplementation Improves Sleep in Hypertensive Patients Treated with Beta-Blockers: A Randomized Controlled Trial</t>
  </si>
  <si>
    <t>Scheer, Frank A J; Morris, Christopher J et al</t>
  </si>
  <si>
    <t>Dose finding of melatonin for chronic idiopathic childhood sleep onset insomnia: an RCT</t>
  </si>
  <si>
    <t>Van Geijlswijk, Ingeborg M; van der Heijden, Kristiaan et al</t>
  </si>
  <si>
    <t>Add-on prolonged-release melatonin for coginitive function and sleep in mild to moderate Alzheimer's disease: a 6-month randomized, placebo-controlled trial</t>
  </si>
  <si>
    <t>Wade, Alan G; Farmer, Mildred; Harari, Gli et al</t>
  </si>
  <si>
    <t>Nightly treatment of primary insomnia with prolonged release melatonin for 6-months: a randomized placebo-controlled trial on age and and endogenous melatonin as predictors of efficacy and safety</t>
  </si>
  <si>
    <t>Wade, Alan G; Ford, Ian; Crawford, Gordon et al</t>
  </si>
  <si>
    <t>The Use of Melatonin by Children: Parents' Perspectives</t>
  </si>
  <si>
    <t>Waldron, Amy; Spark, M Joy; Dennis, Christina M</t>
  </si>
  <si>
    <t>The Efficacy of Melatonin for Sleep Problems in Children with Autism, Fragile X Syndrome, or Autism and Fragile X Syndrome</t>
  </si>
  <si>
    <t>Wirojanan, Juthamas, Jacquemont, Sebastien et al</t>
  </si>
  <si>
    <t>Max Dose (mg/day)</t>
  </si>
  <si>
    <t>Duration of Trial</t>
  </si>
  <si>
    <t>No. Patients (n)</t>
  </si>
  <si>
    <t>1 - 3</t>
  </si>
  <si>
    <t>12mths</t>
  </si>
  <si>
    <t>36 adverse effects and 12 serious adverse events were recorded over 12 months. Adverse event frequency was the same in melatonin and placebo groups.</t>
  </si>
  <si>
    <t>Side effects
Repoted Y/N/Uncertain</t>
  </si>
  <si>
    <t>100</t>
  </si>
  <si>
    <t>Intravenous melatonin. During 3 sessions, 10mg, 100mg and placebo were administered intrevenously. Sedation and other adverse effects were assessed. No adverse effects were reported. High-dose intravenous melatonin did not induce sedation.</t>
  </si>
  <si>
    <t>Adverse effects resolved with decreased dosage.</t>
  </si>
  <si>
    <t>4d</t>
  </si>
  <si>
    <t>150 - 1600</t>
  </si>
  <si>
    <t>4mths</t>
  </si>
  <si>
    <t>3d</t>
  </si>
  <si>
    <t>1 patient excluded after 1 week after development of mixed affective state. Increase in agitation reported in one other patient.</t>
  </si>
  <si>
    <t>0.1 - 10</t>
  </si>
  <si>
    <t>Melatonin and Bright-Light Treatment for Rest-Activity Disruption in Institutionalized Patients with Alzheimer's Disease</t>
  </si>
  <si>
    <t>Dowling, Glenna A et al</t>
  </si>
  <si>
    <t>10wks</t>
  </si>
  <si>
    <t>"muzziness"</t>
  </si>
  <si>
    <t>1</t>
  </si>
  <si>
    <t>49 out of 153 patients were treated with desmopressin (dDAVP), dietary recommendations and melatonin. (51 patients had dDAVP only and 53 patients had dDAVP and dietary recommendations).</t>
  </si>
  <si>
    <t>Mild transitory sleepiness was reported.</t>
  </si>
  <si>
    <t>7 of 11 patients completed study</t>
  </si>
  <si>
    <t>No difference in reported incidence of side effects between melatonin and placebo</t>
  </si>
  <si>
    <t>1mth</t>
  </si>
  <si>
    <t>2d</t>
  </si>
  <si>
    <t>"Clear decrement in neurobehavioural functions as measured by the Psychomotor Vigilance Test lasted for 6h after melatonin administration (particularly in the lapse domain and median reaction time)…"</t>
  </si>
  <si>
    <t>1yr</t>
  </si>
  <si>
    <t>Effect of melatonin on depressive symptoms and anxiety in patients undergoing breast cancer surgery: a randomized, double-blind, placebo-controlled trial</t>
  </si>
  <si>
    <t>Other adverse effect was paresthesia in mouth region, arms or legs. In melatonin group 56% (15/27) experienced at least one side effect (50% (12/24) in placebo group).</t>
  </si>
  <si>
    <t>8d</t>
  </si>
  <si>
    <t>2 - 12</t>
  </si>
  <si>
    <t>2 - 6</t>
  </si>
  <si>
    <t>Retrospective before-and-after study. Worsening behaviour experienced in 1 patient. Three patients on melatonin had increased seizure frequency, 7 had decreased seizure frequency and one had no change.</t>
  </si>
  <si>
    <t>"No significant side effects of melatonin were reported"</t>
  </si>
  <si>
    <t>0.5</t>
  </si>
  <si>
    <t>"No clinically significant or severe adverse effects reported during randomized treatment with melatonin or placebo. Some women felt that the medication caused mild sleepiness". No significant contrasts between randomized groups.</t>
  </si>
  <si>
    <t>2 h infusion of 0.1μ kg-1 h-1 melatonin was administered to preterm infants.</t>
  </si>
  <si>
    <t>"No clinically relevant side effects attributable to the melatonin treatment were observed"</t>
  </si>
  <si>
    <t>80d</t>
  </si>
  <si>
    <t>"No serious adverse event in patients after melatonin treatment"</t>
  </si>
  <si>
    <t>1000</t>
  </si>
  <si>
    <t>"Melatonin appeared to depress the level of luteinizing hormone (LH) in serum and may have inhibited in some patients the release of growth hormone from the pituitary gland after stimulation by stress or l-dopa. The subjects all noted increased drowsiness but thorough studies on the eyes, liver, kidneys, and bone marrow revealed no other evidence of toxicity"</t>
  </si>
  <si>
    <t>No adverse effects</t>
  </si>
  <si>
    <t>2.5</t>
  </si>
  <si>
    <t>0.15 - 6.3</t>
  </si>
  <si>
    <t>Red eyes (15)</t>
  </si>
  <si>
    <t>24wks</t>
  </si>
  <si>
    <t>"Most adverse events were mild in severity with no clinically relevant differences between PRM and placebo for any safety outcome"</t>
  </si>
  <si>
    <t>3 - 29wks</t>
  </si>
  <si>
    <t>Unspecified</t>
  </si>
  <si>
    <t>0.1 - 12</t>
  </si>
  <si>
    <t>1mth - 5yrs</t>
  </si>
  <si>
    <t>Parental Interview</t>
  </si>
  <si>
    <t>No parent-reported side-effects of treatment.</t>
  </si>
  <si>
    <t>Prescribers Survey</t>
  </si>
  <si>
    <t>REVIEW of randomized control trials. No evidence of adverse effects.</t>
  </si>
  <si>
    <t>REVIEW of randomized and non-randomized control trials. Occurrence of reported adverse effects was similar for melatonin and placebo.</t>
  </si>
  <si>
    <t>REVIEW of 12 studies found "only few and minor side effects".</t>
  </si>
  <si>
    <t>REVIEW - Meta-analysis of 7 trials with 221 participants. "No safety concerns raised".</t>
  </si>
  <si>
    <t>REVIEW of 6 studies. 4 studies reported no adverse effects or adverse effects not recorded.</t>
  </si>
  <si>
    <t>Other adverse effects included: Gastro-intestinal disorders (3); Menorrhagia (3); Pigmentation (3); Ankle oedema (2); Flushing (2); Hepatic pain (1); Hyperglycaemia (1); Thrombosis (1)</t>
  </si>
  <si>
    <t>"Compared to placebo, PR-M alone did not impair performances on any cognitive tasks. Zolpidem significantly impaired psychomotor and driving performance 1h and 4h post-dosing, and early memory recall; these impairment were exacerbated with PR-M co-administration."</t>
  </si>
  <si>
    <t>Long-term therapy of between 1 to 6 years. One male patient 14y/o with extensive cerebral abnormalities "has developed an eunuchoid body habitus without any sign of continuing pubertal development…also...undescended testicles. Gonadotrophic hormone analyses have shown normal prepubertal levels." ^ Reflux oesophagitis.</t>
  </si>
  <si>
    <t>REVIEW - 35 patients from 3 studies reviewed. One study had no comments on adverse effects. In the second study a range of haematological and biochemical measurements showed no abnormality after 4 wks. No adverse effects reported. One parent described ^'sever mood swings' while child was taking melatonin. The third trial used a parental questionnaire to gather info on adverse effects. No clinical side effects reported. Observations of increased 'moody'-ness or 'hyper(active)' -ity occurred equally in placebo and melatonin groups. No reported change in seizure frequency in any study.</t>
  </si>
  <si>
    <r>
      <t xml:space="preserve">REVIEW of evidence of melatonin efficacy, adverse effects and drug interactions. Abstract mentions discussion of possible effects on puberty, epilepsy, asthma and depressive conditions. Concludes melatonin safe for short-term use with unclear long-term safety. </t>
    </r>
    <r>
      <rPr>
        <b/>
        <i/>
        <sz val="12"/>
        <color rgb="FF53669E"/>
        <rFont val="Calibri"/>
        <scheme val="minor"/>
      </rPr>
      <t>Access to abstract only.</t>
    </r>
  </si>
  <si>
    <t>One child reported to have developed epilepsy 4 months after start of trial.</t>
  </si>
  <si>
    <t>No adverse effects reported. Study specifically mentions no effect on skin pigmentation, melanin metabolism of melanocytes and onset or puberty. 3 of 15 female patients reported irregular (shorter) periods. All 3 had reported irregular periods before start of melatonin therapy.</t>
  </si>
  <si>
    <t>Follow-up study. Adverse events recorded as no. patients with adverse-effect, not occurences. Other effects recorded as: apathy combined with weight-gain (1); weight gain (1); nocturnal diuresis (3); short-temper (1). Tanner questionnaire results indicated undisturbed puberty development (response rate: boys(62%); girls(91%)).</t>
  </si>
  <si>
    <t>Adverse effects &gt;= 10%</t>
  </si>
  <si>
    <t>Melatonin adverse effects &gt;= 10%</t>
  </si>
  <si>
    <t>Melatonin adverse effects &lt; 10%</t>
  </si>
  <si>
    <t>Adverse effects &lt; 10%</t>
  </si>
  <si>
    <t>n (placebo)</t>
  </si>
  <si>
    <r>
      <t xml:space="preserve">"No significant adverse effects". </t>
    </r>
    <r>
      <rPr>
        <b/>
        <sz val="12"/>
        <color rgb="FF53669E"/>
        <rFont val="Calibri"/>
        <family val="2"/>
        <scheme val="minor"/>
      </rPr>
      <t>Toxicology report might be available in separate paper by same authors.</t>
    </r>
  </si>
  <si>
    <t>Other side effect was decreased reaction time (RT) performance in hours between melatonin administration and sleep</t>
  </si>
  <si>
    <t>Effects of Melatonin on Appetite and Other Symptoms in Patients With Advanced Cancer and Cachexia: A Double-Blind Placebo-Controlled Trial</t>
  </si>
  <si>
    <t>Del Fabbro, Egidio et al</t>
  </si>
  <si>
    <t>20</t>
  </si>
  <si>
    <t>Decrease in subjective feelings of "vigor" and performance in Wilkinson auditory vigilance task relative to placebo are reported</t>
  </si>
  <si>
    <t>No definitive adverse effects.</t>
  </si>
  <si>
    <t>8</t>
  </si>
  <si>
    <t>No significant side effects were observed at ~1yr follow-up. Drowsiness reported in 2 patients which resolved after 2 days.</t>
  </si>
  <si>
    <t>3 day study of effects of melatonin on neurobehavioural performance compared to temazepam and placebo. Melatonin found to have less effect than temazepam on neurobehavioural performance. An increase in self-reported sleepiness levels was evident following administration of either melatonin or temazepam. The melatonin condition showed a steady increase in self-reported sleepiness levels, which remained elevated above temazepam and placebo for duration of study. Decrease in performance in cognitive tasks (unpredctable tracking and spatial memory) relative to placebo exhibited in melatonin group (but less effect than for temazepam)</t>
  </si>
  <si>
    <t>33mths</t>
  </si>
  <si>
    <t>8 patients experienced drug-related adverse events. Total no. adverse events in melatonin group was 32.</t>
  </si>
  <si>
    <t>No. patients in ML and PL groups after random assignment were 38 and 35 respectively. "Number of patients experiencing adverse events by maximum grade was similar in the melatonin (n = 37) and placebo (n = 34) groups"</t>
  </si>
  <si>
    <t>50 patients: 16 melatonin + morning outdoor light exposure; 17 placebo + morning light exposure; 17 control (no treatment, indoor light). No adverse effects reported.</t>
  </si>
  <si>
    <t>Patient group split: ML 70; PL 76. 1 serious adverse effect (not specified) considered related to melatonin was reported. Also one SSE considered related to study drug reported in placebo group. No increase in, or new onset of, epileptic seizures. In addition to Treatment Emergent Signs and Symptoms (TESS) recorded by authors as "other" there were reported (no. patients ML | no. patients PL): Coughing (22|28); Mood swings (16|17); Vomiting (15|18); Increased excitability (13|16); Rash (11|8); Hypothermia (6|4); Increased activity (6|9); Breathlessness (1|1); Hung-over feeling (1|0).</t>
  </si>
  <si>
    <t>Patient group (31) split: ML 16 (1 drop out not included in analysis); PL 15 (13 included in analysis). "No adverse event warranting discontinuation of therapy observed". Parents of 13/15 patients in melatonin group and 4/13 in placebo group reported increase in appetite.</t>
  </si>
  <si>
    <r>
      <t xml:space="preserve">ML 15; PL 14. No adverse effects reported. Increase in appetite as above </t>
    </r>
    <r>
      <rPr>
        <b/>
        <sz val="12"/>
        <color rgb="FF53669E"/>
        <rFont val="Calibri"/>
        <family val="2"/>
        <scheme val="minor"/>
      </rPr>
      <t>(nb this is a second report on the same study)</t>
    </r>
  </si>
  <si>
    <t>23 ML group and 25 PL group completed trial. "No major side effects" were reported in patients taking melotonin or placebo.</t>
  </si>
  <si>
    <t>PL group n=26. No differences in side effects were found between melatonin and placebo group.</t>
  </si>
  <si>
    <t>102 patients. 34 melatonin and sulodexide; 34 melatonin only; 34 no treatment</t>
  </si>
  <si>
    <t>25 patients: 12 ML; 13 PL</t>
  </si>
  <si>
    <t>1d</t>
  </si>
  <si>
    <t>13 patients: 5 ML; 8 PL</t>
  </si>
  <si>
    <r>
      <t xml:space="preserve">40 patients randomized: 30 ML; 10 PL. Volunteers specifically asked about possible side-effects. Abstract notes no "toxicological effect that might compromise the use of melatonin" at tested dose and duration. </t>
    </r>
    <r>
      <rPr>
        <b/>
        <i/>
        <sz val="12"/>
        <color rgb="FF53669E"/>
        <rFont val="Calibri"/>
        <scheme val="minor"/>
      </rPr>
      <t>Access to abstract only</t>
    </r>
  </si>
  <si>
    <t>Tomoda et al</t>
  </si>
  <si>
    <t>1 - 10</t>
  </si>
  <si>
    <t>melatonin ("adverse effects" OR "side effects" OR "adverse events" OR safety) (oral OR exogenous)</t>
  </si>
  <si>
    <t>melatonin (pubert*) (oral OR exogenous)</t>
  </si>
  <si>
    <t>Melatonin efficacy</t>
  </si>
  <si>
    <t>Efficacy</t>
  </si>
  <si>
    <t>Subjective Sleep Scores</t>
  </si>
  <si>
    <t>Post</t>
  </si>
  <si>
    <t>Δ</t>
  </si>
  <si>
    <t>Melatonin</t>
  </si>
  <si>
    <t>Placebo</t>
  </si>
  <si>
    <t>Interquartile range: MLT PRE (3.0;5.0) Δ (-41.11;28.79); PLB PRE (2.0;8.5) Δ (-32.14;38.33)</t>
  </si>
  <si>
    <t>Sleep Onset Latency (SOL)</t>
  </si>
  <si>
    <t>Total Sleep Time (TST)</t>
  </si>
  <si>
    <t>Pittsburgh Sleep Quality Index (PSQI)</t>
  </si>
  <si>
    <t>Epsworth Sleepiness Scale (ESS)</t>
  </si>
  <si>
    <t>SD: MLT PSQI PRE (±3.1) POST (±3.4) ESS PRE (±4.4) POST (±3.2); PLB PSQI PRE (±3.2) POST (±1.8) ESS PRE(±5.6) POST(±5.1)</t>
  </si>
  <si>
    <t xml:space="preserve">SD: MLT PSQI PRE (±4.2) Δ (±2.4); PLB PSQI PRE (±3.3) Δ (±2.0) </t>
  </si>
  <si>
    <t>Children's Sleep Habit Questionnaire (CSHQ)</t>
  </si>
  <si>
    <t>Stanford Sleep Scale (SSS)</t>
  </si>
  <si>
    <t>Baseline</t>
  </si>
  <si>
    <t>Northside Hospital Sleep Medicine Inst. (NHSMI)</t>
  </si>
  <si>
    <t>Sleep Diary</t>
  </si>
  <si>
    <t>Sleep Onset Period (SOP)</t>
  </si>
  <si>
    <t>Pittsburg Sleep Quality Index (PSQI)</t>
  </si>
  <si>
    <t>Sleep Behaviour Questionnaire (SBQ)</t>
  </si>
  <si>
    <t>median SOL values</t>
  </si>
  <si>
    <t>Δ stated in minutes NOT % difference</t>
  </si>
  <si>
    <t>n(ae)</t>
  </si>
  <si>
    <t>N(T)</t>
  </si>
  <si>
    <t>Δ (n(m) - n(p))</t>
  </si>
  <si>
    <r>
      <rPr>
        <b/>
        <sz val="12"/>
        <color rgb="FF87D4F1"/>
        <rFont val="Calibri (Body)"/>
      </rPr>
      <t>Shaded</t>
    </r>
    <r>
      <rPr>
        <b/>
        <sz val="12"/>
        <color rgb="FF53669E"/>
        <rFont val="Calibri"/>
        <family val="2"/>
        <scheme val="minor"/>
      </rPr>
      <t xml:space="preserve"> summary data indicates data missing from some or all studies. Summaries are calculated from available data, therefore true frequency of adverse effects will be understated in these cases</t>
    </r>
  </si>
  <si>
    <t>n(ae) = number of subjects experiencing adverse effect in all trials; N(T) = total number of subjects in all trials in which adverse effect was reported; N(ALL) = total number of subjects in all trials</t>
  </si>
  <si>
    <t>Δ(n(m) - n(p)) = number of subjects experiencing adverse effect in melatonin group minus number of subjects experiencing adverse effect in placebo group</t>
  </si>
  <si>
    <t>%(T)</t>
  </si>
  <si>
    <t>N(AE)</t>
  </si>
  <si>
    <t>%(AE)</t>
  </si>
  <si>
    <t>n(ae) = number of subjects experiencing adverse effect in all trials; N(AE) = total number of subjects in all trials in which adverse effect was reported; N(T) = total number of subjects in all trials; %(T) = % of subjects experiencing adverse effect over number of subjects in all trials; %(AE) = % of subjects experiencing adverse effect over number of subjects in trials where adverse effect was reported</t>
  </si>
  <si>
    <t>%(AE) = % of subjects experiencing adverse effect over number of subjects in trials where adverse effect was reported</t>
  </si>
  <si>
    <t>N(T) = total number of subjects in all trials; %(T) = % of subjects experiencing adverse effect over number of subjects in all trials</t>
  </si>
  <si>
    <t>n(ae) = number of subjects experiencing adverse effect in all trials; N(AE) = total number of subjects in all trials in which adverse effect was reported</t>
  </si>
  <si>
    <t>Adverse Effect</t>
  </si>
  <si>
    <t>%
all studies</t>
  </si>
  <si>
    <t>Dysphoric mood</t>
  </si>
  <si>
    <t>Insomnia/Disturbed sleep</t>
  </si>
  <si>
    <t xml:space="preserve">Fatigue </t>
  </si>
  <si>
    <t>Sleepiness</t>
  </si>
  <si>
    <t xml:space="preserve">Headache </t>
  </si>
  <si>
    <t>Strange taste/Dry mouth</t>
  </si>
  <si>
    <t>Delusions/Hallucinations</t>
  </si>
  <si>
    <t>%
studies with adverse effect only</t>
  </si>
  <si>
    <t>Incidence of adverse effects (MLT group minus PLB group)</t>
  </si>
  <si>
    <t>Incidence in placebo group equal or greater than incidence in melatonin group</t>
  </si>
  <si>
    <r>
      <t xml:space="preserve">Incidence of adverse effects (MLT group minus PLB group)
</t>
    </r>
    <r>
      <rPr>
        <b/>
        <sz val="14"/>
        <color rgb="FF4B5879"/>
        <rFont val="Calibri"/>
        <scheme val="minor"/>
      </rPr>
      <t>Melatonin AE+ Only</t>
    </r>
  </si>
  <si>
    <r>
      <t xml:space="preserve">Incidence of adverse effects (MLT group minus PLB group)
</t>
    </r>
    <r>
      <rPr>
        <b/>
        <sz val="14"/>
        <color rgb="FF4B5879"/>
        <rFont val="Calibri"/>
        <scheme val="minor"/>
      </rPr>
      <t>Melatonin AE- Only</t>
    </r>
  </si>
  <si>
    <t>TODO - waiting on remainder of AE data</t>
  </si>
  <si>
    <t>Few minor and/or temporary adverse effects recorded. No change in seizure frequency reported except 50% reduction in one patient. Adverse effects in five patients were: increase in daytime crying; restlessness; burping</t>
  </si>
  <si>
    <t>No reporting of adverse effects. 7 of 11 patients completed study</t>
  </si>
  <si>
    <t>0.5 - 10</t>
  </si>
  <si>
    <t>1 - 57mths</t>
  </si>
  <si>
    <t>Follow-up</t>
  </si>
  <si>
    <t>3.7 yr follow-up study. Other Aes: Skin pigment change (2); Nightmares (2); Constipation (1); Profuse perspiration (1); Decreased mood (1); Change in behaviour (1). No "serious adverse effect or treatment related co-morbidities were reported". In two patients, physician discontinued treatment during follow-up period because of concerns regarding the effects of long term treatment on pubertal development.</t>
  </si>
  <si>
    <t>Treatment discontinued in one patient due to excessive sedation.</t>
  </si>
  <si>
    <t>Side effects
Y/N/Unreported</t>
  </si>
  <si>
    <t>Awakenings</t>
  </si>
  <si>
    <t>Δ (mins)</t>
  </si>
  <si>
    <t>Δ (%)</t>
  </si>
  <si>
    <t>Δ (MLT- PLB)</t>
  </si>
  <si>
    <t>mins</t>
  </si>
  <si>
    <t>Δ (s)</t>
  </si>
  <si>
    <t>score</t>
  </si>
  <si>
    <t>Δ (MLT - PLB)</t>
  </si>
  <si>
    <t>The use of melatonin in children with neurodevelopmental disorders and impaired sleep: a randomized, double-blind, placebo-controlled parallel study (MENDS)</t>
  </si>
  <si>
    <t>Appleton, R E et al</t>
  </si>
  <si>
    <t>Bispectral Index (BSI)</t>
  </si>
  <si>
    <t>Richards Campbell Sleep Questionnaire (RCSQ)</t>
  </si>
  <si>
    <t>Duration of awakenings</t>
  </si>
  <si>
    <t>Dim Light Melatonin Onset</t>
  </si>
  <si>
    <t>Baseline (mins)</t>
  </si>
  <si>
    <t>Post (mins)</t>
  </si>
  <si>
    <t>Dim Light Melotinin Onset</t>
  </si>
  <si>
    <t>Baseline (h : min)</t>
  </si>
  <si>
    <t>Post (h : min)</t>
  </si>
  <si>
    <t>21:19</t>
  </si>
  <si>
    <t>19:03</t>
  </si>
  <si>
    <t>21:47</t>
  </si>
  <si>
    <t>21:32</t>
  </si>
  <si>
    <t>TST (h) MLT PRE (MEAN: 6.9; RANGE: 6.5 - 8.0) DURING (MEAN: 4.9; RANGE: 1.5 - 7.0) POST (MEAN: 6.1; RANGE: 4.5 - 8.0)</t>
  </si>
  <si>
    <t>21:22</t>
  </si>
  <si>
    <t>20:02</t>
  </si>
  <si>
    <t>21:24</t>
  </si>
  <si>
    <t>20:42</t>
  </si>
  <si>
    <t>Nurse Assessment</t>
  </si>
  <si>
    <t>Study compared three groups: 1: contol; 2: light therapy and placebo; 3: light therapy and melatonin. Control group taken as light therapy and placebo</t>
  </si>
  <si>
    <t>Sleep Efficiency</t>
  </si>
  <si>
    <t>Baseline (%)</t>
  </si>
  <si>
    <t>Post (%)</t>
  </si>
  <si>
    <t>Improvement of sleep quality in elderly people by controlled-release melatonin</t>
  </si>
  <si>
    <t>Garfinkel, D et al</t>
  </si>
  <si>
    <t>Efficacy and safety of prolonged release melatonin in insomnia patients with diabetes: a randomized, double-blind, crossover study</t>
  </si>
  <si>
    <t>Garfinkel, Doron et al</t>
  </si>
  <si>
    <t>Melatonin pharmacokinetics following two different oral surge-sustained release doses in older adults</t>
  </si>
  <si>
    <t>Gooneratne, N S et al</t>
  </si>
  <si>
    <t>0.4 - 4</t>
  </si>
  <si>
    <t>Actigraphy/polysomnography</t>
  </si>
  <si>
    <t>Actigraphy/polysomnology</t>
  </si>
  <si>
    <t>results for high dose (4mg) melatonin group given. Low dose (0.4mg) results: SOL: 44.1; Sleep efficiency: 67.1%</t>
  </si>
  <si>
    <t>results for high dose (4mg) melatonin group given. Low dose (0.4mg) results: PQSI: 11.6</t>
  </si>
  <si>
    <t>Δ (n)</t>
  </si>
  <si>
    <t>Wakefulness After Sleep Onset (WASO)</t>
  </si>
  <si>
    <t>Can melatonin improve adaptation to night shift?</t>
  </si>
  <si>
    <t>James, Mark et al</t>
  </si>
  <si>
    <t>Effect of Exogenous Melatonin on Mood and Sleep Efficiency in Emergency Medicine Residents Working Night Shifts</t>
  </si>
  <si>
    <t>Jockovich, Milan et al</t>
  </si>
  <si>
    <t>Effect of Exogenous Melatonin on Mood and Sleep Efficency in Emergency in Emergency Medicine Residents Working Night Shifts</t>
  </si>
  <si>
    <t>A two-part, double-blind, placebo-controlled trial of exogenous melatonin in REM sleep behaviour disorder</t>
  </si>
  <si>
    <t>Kunz, Dieter et al</t>
  </si>
  <si>
    <t>Sleep dysfunction in Rett syndrome: a trial of exogenous melatonin treatment</t>
  </si>
  <si>
    <t>McArthur, Angela et al</t>
  </si>
  <si>
    <t>2.5 - 7.5</t>
  </si>
  <si>
    <t>Figures for polysomnograph. Actigraphy used in home-monitored part of trial. Actigraphy mean figures: Total Sleep Time (mins): MLT: 390; PLB: 377; Sleep Efficiency: MLT: 81%; PLB: 78%. Actigraphy-estimated Sleep Onset Latency was not significantly improved.</t>
  </si>
  <si>
    <t>A randomized double-blind placebo-controlled trial of treatment as usual plus exogenous slow-release melatonin (6mg) or placebo for sleep disturbance and depressed mood</t>
  </si>
  <si>
    <t>Serfaty, Marc Antony et al</t>
  </si>
  <si>
    <t>Figures for full analysis set (FAS) of 60 patients (31 MLT, 29 PLB). Sleep latency as measured by PQSI was, baseline (mins): MLT: 27.39; PLB: 19.66; change at 24 weeks (mins): MLT: -9.28; PLB: 0.69. Total Sleep Time: baseline (h): MLT: 7.91; PLB: 8.69; change at 24 weeks (h): MLT: 0.73; PLB: 0.06. Also reported subset of patients with insomnia comorbidity (11 patients: 6 MLT, 5 PLB) with mean baseline PSQI: MLT: 9.86; PLB: 10.00; and 24 week mean change: MLT: -5.50 and PLB: -3.80. Sleep latency: baseline (mins): MLT: 55.71; PLB: 47.50; change at 24 weeks (mins): MLT: -35; PLB: -35.6; Total Sleep Time: baseline (h): MLT: 5.64; PLB: 5.42; change at 24 weeks (h): MLT: 1.63; PLB: 1.20.</t>
  </si>
  <si>
    <t>Δ (P - B) (mins)</t>
  </si>
  <si>
    <t>Baseline (n)</t>
  </si>
  <si>
    <t>Post (n)</t>
  </si>
  <si>
    <t>Baseline (s)</t>
  </si>
  <si>
    <t>Post (s)</t>
  </si>
  <si>
    <t>s</t>
  </si>
  <si>
    <t>1: Actiography and/or polysomnography</t>
  </si>
  <si>
    <t>2: Sleep questionnaires</t>
  </si>
  <si>
    <t>3: Sleep diaries</t>
  </si>
  <si>
    <t>n(t) = total number of subjects in studies</t>
  </si>
  <si>
    <t>n(p)/n(t)
studies with adverse effect only</t>
  </si>
  <si>
    <t>n(p)/n(t)
all studies</t>
  </si>
  <si>
    <t>n(p) = number of patients reporting adverse effect</t>
  </si>
  <si>
    <t>n(t) = total number of patients in studies</t>
  </si>
  <si>
    <t>Children with autistic spectrum disorders; Mild side-effects in 3 children; No increase in seizures or new-onset seizures. Other AE was "fogginess".</t>
  </si>
  <si>
    <t>The use of melatonin in children with neurodevelopmental disorders and impaired sleep: a randomised, double-blind, placebo-controlled, parallel study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</si>
</sst>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3" x14ac:knownFonts="1">
    <font>
      <sz val="12"/>
      <color theme="1"/>
      <name val="Calibri"/>
      <family val="2"/>
      <scheme val="minor"/>
    </font>
    <font>
      <sz val="12"/>
      <color rgb="FF587295"/>
      <name val="Calibri"/>
      <family val="2"/>
      <scheme val="minor"/>
    </font>
    <font>
      <b/>
      <sz val="20"/>
      <color rgb="FF2D571B"/>
      <name val="Calibri"/>
      <scheme val="minor"/>
    </font>
    <font>
      <sz val="12"/>
      <color rgb="FF2D571B"/>
      <name val="Calibri"/>
      <scheme val="minor"/>
    </font>
    <font>
      <b/>
      <sz val="12"/>
      <color rgb="FF2D571B"/>
      <name val="Calibri"/>
      <scheme val="minor"/>
    </font>
    <font>
      <b/>
      <sz val="12"/>
      <color rgb="FF53669E"/>
      <name val="Calibri"/>
      <family val="2"/>
      <scheme val="minor"/>
    </font>
    <font>
      <sz val="12"/>
      <color rgb="FF53669E"/>
      <name val="Calibri"/>
      <family val="2"/>
      <scheme val="minor"/>
    </font>
    <font>
      <u/>
      <sz val="12"/>
      <color theme="10"/>
      <name val="Calibri"/>
      <family val="2"/>
      <scheme val="minor"/>
    </font>
    <font>
      <u/>
      <sz val="12"/>
      <color theme="11"/>
      <name val="Calibri"/>
      <family val="2"/>
      <scheme val="minor"/>
    </font>
    <font>
      <b/>
      <i/>
      <sz val="12"/>
      <color rgb="FF53669E"/>
      <name val="Calibri"/>
      <scheme val="minor"/>
    </font>
    <font>
      <b/>
      <sz val="14"/>
      <color rgb="FF587295"/>
      <name val="Calibri"/>
      <family val="2"/>
      <scheme val="minor"/>
    </font>
    <font>
      <sz val="14"/>
      <color rgb="FF587295"/>
      <name val="Calibri"/>
      <scheme val="minor"/>
    </font>
    <font>
      <b/>
      <sz val="16"/>
      <color rgb="FF53669E"/>
      <name val="Calibri"/>
      <family val="2"/>
      <scheme val="minor"/>
    </font>
    <font>
      <b/>
      <sz val="14"/>
      <color rgb="FF53669E"/>
      <name val="Calibri"/>
      <family val="2"/>
      <scheme val="minor"/>
    </font>
    <font>
      <b/>
      <sz val="12"/>
      <color rgb="FF92D050"/>
      <name val="Calibri (Body)"/>
    </font>
    <font>
      <b/>
      <sz val="12"/>
      <color rgb="FF9AD8FF"/>
      <name val="Calibri (Body)"/>
    </font>
    <font>
      <b/>
      <sz val="12"/>
      <color theme="7"/>
      <name val="Calibri (Body)"/>
    </font>
    <font>
      <b/>
      <sz val="12"/>
      <color theme="4" tint="-0.499984740745262"/>
      <name val="Calibri"/>
      <family val="2"/>
      <scheme val="minor"/>
    </font>
    <font>
      <b/>
      <sz val="12"/>
      <color theme="9" tint="0.59999389629810485"/>
      <name val="Calibri (Body)"/>
    </font>
    <font>
      <sz val="14"/>
      <color rgb="FF9AD8FF"/>
      <name val="Calibri (Body)"/>
    </font>
    <font>
      <b/>
      <sz val="12"/>
      <color theme="4" tint="-0.249977111117893"/>
      <name val="Calibri"/>
      <family val="2"/>
      <scheme val="minor"/>
    </font>
    <font>
      <b/>
      <sz val="12"/>
      <color theme="9" tint="-0.499984740745262"/>
      <name val="Calibri"/>
      <family val="2"/>
      <scheme val="minor"/>
    </font>
    <font>
      <sz val="12"/>
      <color theme="9" tint="-0.499984740745262"/>
      <name val="Calibri"/>
      <family val="2"/>
      <scheme val="minor"/>
    </font>
    <font>
      <b/>
      <sz val="14"/>
      <color theme="9" tint="-0.499984740745262"/>
      <name val="Calibri"/>
      <family val="2"/>
      <scheme val="minor"/>
    </font>
    <font>
      <b/>
      <sz val="12"/>
      <color rgb="FF87D4F1"/>
      <name val="Calibri (Body)"/>
    </font>
    <font>
      <sz val="14"/>
      <color rgb="FF344E89"/>
      <name val="Calibri"/>
      <family val="2"/>
      <scheme val="minor"/>
    </font>
    <font>
      <sz val="14"/>
      <color theme="9" tint="-0.249977111117893"/>
      <name val="Calibri"/>
      <family val="2"/>
      <scheme val="minor"/>
    </font>
    <font>
      <sz val="14"/>
      <color rgb="FF4B5879"/>
      <name val="Calibri"/>
      <family val="2"/>
      <scheme val="minor"/>
    </font>
    <font>
      <b/>
      <sz val="14"/>
      <color rgb="FF4B5879"/>
      <name val="Calibri"/>
      <scheme val="minor"/>
    </font>
    <font>
      <b/>
      <sz val="14"/>
      <color rgb="FF344E89"/>
      <name val="Calibri"/>
      <scheme val="minor"/>
    </font>
    <font>
      <b/>
      <sz val="14"/>
      <color rgb="FFCB3F92"/>
      <name val="Calibri"/>
      <family val="2"/>
      <scheme val="minor"/>
    </font>
    <font>
      <b/>
      <sz val="12"/>
      <color rgb="FFCB3F92"/>
      <name val="Calibri"/>
      <family val="2"/>
      <scheme val="minor"/>
    </font>
    <font>
      <sz val="12"/>
      <color rgb="FFCB3F92"/>
      <name val="Calibri"/>
      <family val="2"/>
      <scheme val="minor"/>
    </font>
  </fonts>
  <fills count="31">
    <fill>
      <patternFill patternType="none"/>
    </fill>
    <fill>
      <patternFill patternType="gray125"/>
    </fill>
    <fill>
      <patternFill patternType="solid">
        <fgColor rgb="FFEDF3FD"/>
        <bgColor indexed="64"/>
      </patternFill>
    </fill>
    <fill>
      <patternFill patternType="solid">
        <fgColor rgb="FFF2ECFF"/>
        <bgColor indexed="64"/>
      </patternFill>
    </fill>
    <fill>
      <patternFill patternType="solid">
        <fgColor rgb="FFD5EAFF"/>
        <bgColor indexed="64"/>
      </patternFill>
    </fill>
    <fill>
      <patternFill patternType="solid">
        <fgColor theme="9" tint="0.79998168889431442"/>
        <bgColor indexed="64"/>
      </patternFill>
    </fill>
    <fill>
      <patternFill patternType="solid">
        <fgColor rgb="FF9AD8FF"/>
        <bgColor indexed="64"/>
      </patternFill>
    </fill>
    <fill>
      <patternFill patternType="solid">
        <fgColor rgb="FF92D050"/>
        <bgColor indexed="64"/>
      </patternFill>
    </fill>
    <fill>
      <patternFill patternType="solid">
        <fgColor theme="7"/>
        <bgColor indexed="64"/>
      </patternFill>
    </fill>
    <fill>
      <patternFill patternType="solid">
        <fgColor theme="9" tint="0.59999389629810485"/>
        <bgColor indexed="64"/>
      </patternFill>
    </fill>
    <fill>
      <patternFill patternType="solid">
        <fgColor rgb="FF53669E"/>
        <bgColor indexed="64"/>
      </patternFill>
    </fill>
    <fill>
      <patternFill patternType="solid">
        <fgColor rgb="FFF65AA7"/>
        <bgColor indexed="64"/>
      </patternFill>
    </fill>
    <fill>
      <patternFill patternType="solid">
        <fgColor rgb="FFA1E258"/>
        <bgColor indexed="64"/>
      </patternFill>
    </fill>
    <fill>
      <patternFill patternType="solid">
        <fgColor rgb="FF8BABE6"/>
        <bgColor indexed="64"/>
      </patternFill>
    </fill>
    <fill>
      <patternFill patternType="solid">
        <fgColor rgb="FFC1D2F1"/>
        <bgColor indexed="64"/>
      </patternFill>
    </fill>
    <fill>
      <patternFill patternType="solid">
        <fgColor rgb="FFBAFA97"/>
        <bgColor indexed="64"/>
      </patternFill>
    </fill>
    <fill>
      <patternFill patternType="solid">
        <fgColor rgb="FFDCEDFF"/>
        <bgColor indexed="64"/>
      </patternFill>
    </fill>
    <fill>
      <patternFill patternType="solid">
        <fgColor rgb="FFB9FCAA"/>
        <bgColor indexed="64"/>
      </patternFill>
    </fill>
    <fill>
      <patternFill patternType="solid">
        <fgColor rgb="FFD0E1FF"/>
        <bgColor indexed="64"/>
      </patternFill>
    </fill>
    <fill>
      <patternFill patternType="solid">
        <fgColor rgb="FF99B4E0"/>
        <bgColor indexed="64"/>
      </patternFill>
    </fill>
    <fill>
      <patternFill patternType="solid">
        <fgColor rgb="FFD7F3FE"/>
        <bgColor indexed="64"/>
      </patternFill>
    </fill>
    <fill>
      <patternFill patternType="solid">
        <fgColor rgb="FFA9E489"/>
        <bgColor indexed="64"/>
      </patternFill>
    </fill>
    <fill>
      <patternFill patternType="solid">
        <fgColor rgb="FF9EE245"/>
        <bgColor indexed="64"/>
      </patternFill>
    </fill>
    <fill>
      <patternFill patternType="solid">
        <fgColor rgb="FFFFBADA"/>
        <bgColor indexed="64"/>
      </patternFill>
    </fill>
    <fill>
      <patternFill patternType="solid">
        <fgColor rgb="FFEE96CC"/>
        <bgColor indexed="64"/>
      </patternFill>
    </fill>
    <fill>
      <patternFill patternType="solid">
        <fgColor rgb="FFF39FD0"/>
        <bgColor indexed="64"/>
      </patternFill>
    </fill>
    <fill>
      <patternFill patternType="solid">
        <fgColor rgb="FFFFABE3"/>
        <bgColor indexed="64"/>
      </patternFill>
    </fill>
    <fill>
      <patternFill patternType="solid">
        <fgColor rgb="FFD5EAFF"/>
        <bgColor rgb="FF000000"/>
      </patternFill>
    </fill>
    <fill>
      <patternFill patternType="solid">
        <fgColor rgb="FFA1E258"/>
        <bgColor rgb="FF000000"/>
      </patternFill>
    </fill>
    <fill>
      <patternFill patternType="solid">
        <fgColor rgb="FFF2ECFF"/>
        <bgColor rgb="FF000000"/>
      </patternFill>
    </fill>
    <fill>
      <patternFill patternType="solid">
        <fgColor rgb="FFEEF3FD"/>
        <bgColor indexed="64"/>
      </patternFill>
    </fill>
  </fills>
  <borders count="359">
    <border>
      <left/>
      <right/>
      <top/>
      <bottom/>
      <diagonal/>
    </border>
    <border>
      <left/>
      <right/>
      <top/>
      <bottom style="thin">
        <color rgb="FF587295"/>
      </bottom>
      <diagonal/>
    </border>
    <border>
      <left/>
      <right/>
      <top style="thin">
        <color rgb="FF587295"/>
      </top>
      <bottom/>
      <diagonal/>
    </border>
    <border>
      <left/>
      <right/>
      <top/>
      <bottom style="medium">
        <color theme="4" tint="-0.24994659260841701"/>
      </bottom>
      <diagonal/>
    </border>
    <border>
      <left/>
      <right/>
      <top/>
      <bottom style="thin">
        <color rgb="FF95B6EC"/>
      </bottom>
      <diagonal/>
    </border>
    <border>
      <left/>
      <right style="thin">
        <color rgb="FF95B6EC"/>
      </right>
      <top style="thin">
        <color rgb="FF95B6EC"/>
      </top>
      <bottom style="thin">
        <color rgb="FF95B6EC"/>
      </bottom>
      <diagonal/>
    </border>
    <border>
      <left/>
      <right style="thin">
        <color rgb="FF95B6EC"/>
      </right>
      <top style="thin">
        <color rgb="FF95B6EC"/>
      </top>
      <bottom/>
      <diagonal/>
    </border>
    <border>
      <left/>
      <right style="thin">
        <color rgb="FF95B6EC"/>
      </right>
      <top/>
      <bottom style="thin">
        <color rgb="FF95B6EC"/>
      </bottom>
      <diagonal/>
    </border>
    <border>
      <left/>
      <right/>
      <top style="thin">
        <color rgb="FF95B6EC"/>
      </top>
      <bottom style="thin">
        <color rgb="FF95B6EC"/>
      </bottom>
      <diagonal/>
    </border>
    <border>
      <left style="thin">
        <color rgb="FF839FDE"/>
      </left>
      <right/>
      <top/>
      <bottom/>
      <diagonal/>
    </border>
    <border>
      <left style="thin">
        <color rgb="FF839FDE"/>
      </left>
      <right/>
      <top/>
      <bottom style="medium">
        <color theme="4" tint="-0.24994659260841701"/>
      </bottom>
      <diagonal/>
    </border>
    <border>
      <left style="thin">
        <color rgb="FF839FDE"/>
      </left>
      <right/>
      <top style="thin">
        <color rgb="FF839FDE"/>
      </top>
      <bottom style="thin">
        <color rgb="FF839FDE"/>
      </bottom>
      <diagonal/>
    </border>
    <border>
      <left/>
      <right style="medium">
        <color rgb="FF95B6EC"/>
      </right>
      <top style="medium">
        <color rgb="FF95B6EC"/>
      </top>
      <bottom/>
      <diagonal/>
    </border>
    <border>
      <left style="medium">
        <color rgb="FF95B6EC"/>
      </left>
      <right/>
      <top/>
      <bottom/>
      <diagonal/>
    </border>
    <border>
      <left/>
      <right style="medium">
        <color rgb="FF95B6EC"/>
      </right>
      <top/>
      <bottom/>
      <diagonal/>
    </border>
    <border>
      <left style="medium">
        <color rgb="FF95B6EC"/>
      </left>
      <right style="thin">
        <color rgb="FF95B6EC"/>
      </right>
      <top style="thin">
        <color rgb="FF95B6EC"/>
      </top>
      <bottom style="thin">
        <color rgb="FF95B6EC"/>
      </bottom>
      <diagonal/>
    </border>
    <border>
      <left style="medium">
        <color rgb="FF95B6EC"/>
      </left>
      <right style="thin">
        <color rgb="FF95B6EC"/>
      </right>
      <top style="thin">
        <color rgb="FF95B6EC"/>
      </top>
      <bottom style="medium">
        <color theme="4" tint="-0.24994659260841701"/>
      </bottom>
      <diagonal/>
    </border>
    <border>
      <left style="medium">
        <color rgb="FF95B6EC"/>
      </left>
      <right style="thin">
        <color rgb="FF95B6EC"/>
      </right>
      <top style="thin">
        <color rgb="FF95B6EC"/>
      </top>
      <bottom style="medium">
        <color rgb="FF95B6EC"/>
      </bottom>
      <diagonal/>
    </border>
    <border>
      <left/>
      <right style="medium">
        <color rgb="FF95B6EC"/>
      </right>
      <top/>
      <bottom style="medium">
        <color rgb="FF95B6EC"/>
      </bottom>
      <diagonal/>
    </border>
    <border>
      <left/>
      <right/>
      <top/>
      <bottom style="medium">
        <color rgb="FF95B6EC"/>
      </bottom>
      <diagonal/>
    </border>
    <border>
      <left style="medium">
        <color rgb="FF95B6EC"/>
      </left>
      <right/>
      <top/>
      <bottom style="thin">
        <color rgb="FF95B6EC"/>
      </bottom>
      <diagonal/>
    </border>
    <border>
      <left style="medium">
        <color rgb="FF95B6EC"/>
      </left>
      <right/>
      <top style="medium">
        <color rgb="FF95B6EC"/>
      </top>
      <bottom/>
      <diagonal/>
    </border>
    <border>
      <left/>
      <right/>
      <top style="medium">
        <color rgb="FF95B6EC"/>
      </top>
      <bottom/>
      <diagonal/>
    </border>
    <border>
      <left style="medium">
        <color rgb="FF95B6EC"/>
      </left>
      <right/>
      <top style="thin">
        <color rgb="FF95B6EC"/>
      </top>
      <bottom/>
      <diagonal/>
    </border>
    <border>
      <left/>
      <right/>
      <top style="thin">
        <color rgb="FF95B6EC"/>
      </top>
      <bottom/>
      <diagonal/>
    </border>
    <border>
      <left/>
      <right style="medium">
        <color rgb="FF95B6EC"/>
      </right>
      <top style="thin">
        <color rgb="FF95B6EC"/>
      </top>
      <bottom/>
      <diagonal/>
    </border>
    <border>
      <left style="thin">
        <color rgb="FF95B6EC"/>
      </left>
      <right style="medium">
        <color rgb="FF95B6EC"/>
      </right>
      <top style="thin">
        <color rgb="FF95B6EC"/>
      </top>
      <bottom style="medium">
        <color theme="4" tint="-0.24994659260841701"/>
      </bottom>
      <diagonal/>
    </border>
    <border>
      <left style="thin">
        <color rgb="FF95B6EC"/>
      </left>
      <right style="medium">
        <color rgb="FF95B6EC"/>
      </right>
      <top style="thin">
        <color rgb="FF95B6EC"/>
      </top>
      <bottom style="thin">
        <color rgb="FF95B6EC"/>
      </bottom>
      <diagonal/>
    </border>
    <border>
      <left style="thin">
        <color rgb="FF95B6EC"/>
      </left>
      <right style="medium">
        <color rgb="FF95B6EC"/>
      </right>
      <top style="thin">
        <color rgb="FF95B6EC"/>
      </top>
      <bottom style="medium">
        <color rgb="FF95B6EC"/>
      </bottom>
      <diagonal/>
    </border>
    <border>
      <left/>
      <right style="thin">
        <color rgb="FF95B6EC"/>
      </right>
      <top style="thin">
        <color rgb="FF95B6EC"/>
      </top>
      <bottom style="medium">
        <color rgb="FF95B6EC"/>
      </bottom>
      <diagonal/>
    </border>
    <border>
      <left/>
      <right style="medium">
        <color rgb="FF95B6EC"/>
      </right>
      <top/>
      <bottom style="thin">
        <color rgb="FF95B6EC"/>
      </bottom>
      <diagonal/>
    </border>
    <border>
      <left style="medium">
        <color rgb="FF95B6EC"/>
      </left>
      <right style="thin">
        <color rgb="FF95B6EC"/>
      </right>
      <top style="thin">
        <color rgb="FF95B6EC"/>
      </top>
      <bottom/>
      <diagonal/>
    </border>
    <border>
      <left style="medium">
        <color rgb="FF95B6EC"/>
      </left>
      <right style="thin">
        <color rgb="FF95B6EC"/>
      </right>
      <top/>
      <bottom/>
      <diagonal/>
    </border>
    <border>
      <left style="medium">
        <color rgb="FF95B6EC"/>
      </left>
      <right style="thin">
        <color rgb="FF95B6EC"/>
      </right>
      <top/>
      <bottom style="medium">
        <color theme="4" tint="-0.24994659260841701"/>
      </bottom>
      <diagonal/>
    </border>
    <border>
      <left/>
      <right/>
      <top style="thin">
        <color rgb="FF95B6EC"/>
      </top>
      <bottom style="medium">
        <color theme="4" tint="-0.24994659260841701"/>
      </bottom>
      <diagonal/>
    </border>
    <border>
      <left style="thin">
        <color rgb="FF95B6EC"/>
      </left>
      <right style="medium">
        <color rgb="FF95B6EC"/>
      </right>
      <top style="thin">
        <color rgb="FF95B6EC"/>
      </top>
      <bottom/>
      <diagonal/>
    </border>
    <border>
      <left style="medium">
        <color rgb="FF95B6EC"/>
      </left>
      <right/>
      <top/>
      <bottom style="medium">
        <color rgb="FF95B6EC"/>
      </bottom>
      <diagonal/>
    </border>
    <border>
      <left/>
      <right/>
      <top style="thin">
        <color rgb="FFB0B0FF"/>
      </top>
      <bottom/>
      <diagonal/>
    </border>
    <border>
      <left/>
      <right/>
      <top/>
      <bottom style="medium">
        <color rgb="FFB0B0FF"/>
      </bottom>
      <diagonal/>
    </border>
    <border>
      <left style="medium">
        <color rgb="FF839FDE"/>
      </left>
      <right/>
      <top/>
      <bottom/>
      <diagonal/>
    </border>
    <border>
      <left style="medium">
        <color rgb="FF839FDE"/>
      </left>
      <right style="thin">
        <color rgb="FF95B6EC"/>
      </right>
      <top style="thin">
        <color rgb="FF95B6EC"/>
      </top>
      <bottom style="thin">
        <color rgb="FF95B6EC"/>
      </bottom>
      <diagonal/>
    </border>
    <border>
      <left style="medium">
        <color rgb="FF839FDE"/>
      </left>
      <right style="thin">
        <color rgb="FF95B6EC"/>
      </right>
      <top style="thin">
        <color rgb="FF95B6EC"/>
      </top>
      <bottom/>
      <diagonal/>
    </border>
    <border>
      <left/>
      <right style="medium">
        <color rgb="FF839FDE"/>
      </right>
      <top/>
      <bottom/>
      <diagonal/>
    </border>
    <border>
      <left style="thin">
        <color rgb="FF95B6EC"/>
      </left>
      <right style="medium">
        <color rgb="FF839FDE"/>
      </right>
      <top style="thin">
        <color rgb="FF95B6EC"/>
      </top>
      <bottom/>
      <diagonal/>
    </border>
    <border>
      <left style="thin">
        <color rgb="FF95B6EC"/>
      </left>
      <right style="medium">
        <color rgb="FF839FDE"/>
      </right>
      <top/>
      <bottom/>
      <diagonal/>
    </border>
    <border>
      <left style="medium">
        <color rgb="FF839FDE"/>
      </left>
      <right/>
      <top/>
      <bottom style="medium">
        <color rgb="FF839FDE"/>
      </bottom>
      <diagonal/>
    </border>
    <border>
      <left/>
      <right style="medium">
        <color rgb="FF839FDE"/>
      </right>
      <top/>
      <bottom style="medium">
        <color rgb="FF839FDE"/>
      </bottom>
      <diagonal/>
    </border>
    <border>
      <left style="medium">
        <color rgb="FF95B6EC"/>
      </left>
      <right style="thin">
        <color rgb="FF95B6EC"/>
      </right>
      <top style="medium">
        <color rgb="FF95B6EC"/>
      </top>
      <bottom style="thin">
        <color rgb="FF95B6EC"/>
      </bottom>
      <diagonal/>
    </border>
    <border>
      <left style="thin">
        <color rgb="FF95B6EC"/>
      </left>
      <right style="medium">
        <color rgb="FF839FDE"/>
      </right>
      <top style="medium">
        <color rgb="FF95B6EC"/>
      </top>
      <bottom style="thin">
        <color rgb="FF95B6EC"/>
      </bottom>
      <diagonal/>
    </border>
    <border>
      <left style="medium">
        <color rgb="FF839FDE"/>
      </left>
      <right style="thin">
        <color rgb="FF95B6EC"/>
      </right>
      <top/>
      <bottom style="thin">
        <color rgb="FF95B6EC"/>
      </bottom>
      <diagonal/>
    </border>
    <border>
      <left style="thin">
        <color rgb="FF95B6EC"/>
      </left>
      <right style="medium">
        <color rgb="FF839FDE"/>
      </right>
      <top style="thin">
        <color rgb="FF95B6EC"/>
      </top>
      <bottom style="thin">
        <color rgb="FF95B6EC"/>
      </bottom>
      <diagonal/>
    </border>
    <border>
      <left style="thin">
        <color rgb="FF95B6EC"/>
      </left>
      <right style="medium">
        <color rgb="FF95B6EC"/>
      </right>
      <top/>
      <bottom/>
      <diagonal/>
    </border>
    <border>
      <left style="thin">
        <color rgb="FF95B6EC"/>
      </left>
      <right style="medium">
        <color rgb="FF95B6EC"/>
      </right>
      <top/>
      <bottom style="medium">
        <color theme="4" tint="-0.24994659260841701"/>
      </bottom>
      <diagonal/>
    </border>
    <border>
      <left style="medium">
        <color rgb="FFB0B0FF"/>
      </left>
      <right/>
      <top style="thin">
        <color rgb="FFB0B0FF"/>
      </top>
      <bottom style="thin">
        <color rgb="FFB0B0FF"/>
      </bottom>
      <diagonal/>
    </border>
    <border>
      <left style="medium">
        <color rgb="FFB0B0FF"/>
      </left>
      <right/>
      <top style="thin">
        <color rgb="FFB0B0FF"/>
      </top>
      <bottom/>
      <diagonal/>
    </border>
    <border>
      <left style="medium">
        <color rgb="FFB0B0FF"/>
      </left>
      <right/>
      <top/>
      <bottom/>
      <diagonal/>
    </border>
    <border>
      <left style="medium">
        <color rgb="FFB0B0FF"/>
      </left>
      <right/>
      <top/>
      <bottom style="medium">
        <color rgb="FFB0B0FF"/>
      </bottom>
      <diagonal/>
    </border>
    <border>
      <left style="medium">
        <color rgb="FF95B6EC"/>
      </left>
      <right/>
      <top style="thin">
        <color rgb="FFB0B0FF"/>
      </top>
      <bottom/>
      <diagonal/>
    </border>
    <border>
      <left style="medium">
        <color rgb="FF95B6EC"/>
      </left>
      <right/>
      <top/>
      <bottom style="medium">
        <color rgb="FFB0B0FF"/>
      </bottom>
      <diagonal/>
    </border>
    <border>
      <left style="medium">
        <color rgb="FFB0B0FF"/>
      </left>
      <right/>
      <top style="medium">
        <color rgb="FFB0B0FF"/>
      </top>
      <bottom style="thin">
        <color rgb="FFB0B0FF"/>
      </bottom>
      <diagonal/>
    </border>
    <border>
      <left style="medium">
        <color rgb="FF839FDE"/>
      </left>
      <right/>
      <top style="medium">
        <color rgb="FF839FDE"/>
      </top>
      <bottom/>
      <diagonal/>
    </border>
    <border>
      <left style="medium">
        <color rgb="FF839FDE"/>
      </left>
      <right style="thin">
        <color rgb="FF839FDE"/>
      </right>
      <top style="medium">
        <color rgb="FF839FDE"/>
      </top>
      <bottom style="thin">
        <color rgb="FF839FDE"/>
      </bottom>
      <diagonal/>
    </border>
    <border>
      <left style="thin">
        <color rgb="FF839FDE"/>
      </left>
      <right style="medium">
        <color rgb="FF95B6EC"/>
      </right>
      <top style="medium">
        <color rgb="FF839FDE"/>
      </top>
      <bottom style="thin">
        <color rgb="FF839FDE"/>
      </bottom>
      <diagonal/>
    </border>
    <border>
      <left style="medium">
        <color rgb="FF839FDE"/>
      </left>
      <right style="thin">
        <color rgb="FF839FDE"/>
      </right>
      <top style="thin">
        <color rgb="FF839FDE"/>
      </top>
      <bottom style="thin">
        <color rgb="FFB0B0FF"/>
      </bottom>
      <diagonal/>
    </border>
    <border>
      <left style="thin">
        <color rgb="FF839FDE"/>
      </left>
      <right style="medium">
        <color rgb="FF95B6EC"/>
      </right>
      <top style="thin">
        <color rgb="FF839FDE"/>
      </top>
      <bottom style="thin">
        <color rgb="FFB0B0FF"/>
      </bottom>
      <diagonal/>
    </border>
    <border>
      <left/>
      <right style="medium">
        <color rgb="FF839FDE"/>
      </right>
      <top style="medium">
        <color rgb="FF839FDE"/>
      </top>
      <bottom/>
      <diagonal/>
    </border>
    <border>
      <left/>
      <right/>
      <top/>
      <bottom style="medium">
        <color theme="4" tint="-0.499984740745262"/>
      </bottom>
      <diagonal/>
    </border>
    <border>
      <left style="thin">
        <color rgb="FF839FDE"/>
      </left>
      <right/>
      <top/>
      <bottom style="thin">
        <color rgb="FF839FDE"/>
      </bottom>
      <diagonal/>
    </border>
    <border>
      <left style="medium">
        <color rgb="FF95B6EC"/>
      </left>
      <right style="thin">
        <color rgb="FF95B6EC"/>
      </right>
      <top/>
      <bottom style="thin">
        <color rgb="FF95B6EC"/>
      </bottom>
      <diagonal/>
    </border>
    <border>
      <left style="thin">
        <color rgb="FF95B6EC"/>
      </left>
      <right style="medium">
        <color rgb="FF95B6EC"/>
      </right>
      <top/>
      <bottom style="thin">
        <color rgb="FF95B6EC"/>
      </bottom>
      <diagonal/>
    </border>
    <border>
      <left style="medium">
        <color rgb="FF95B6EC"/>
      </left>
      <right style="thin">
        <color rgb="FF95B6EC"/>
      </right>
      <top style="medium">
        <color theme="4" tint="-0.24994659260841701"/>
      </top>
      <bottom style="thin">
        <color rgb="FF9BBAFF"/>
      </bottom>
      <diagonal/>
    </border>
    <border>
      <left style="thin">
        <color rgb="FF95B6EC"/>
      </left>
      <right style="medium">
        <color rgb="FF95B6EC"/>
      </right>
      <top style="medium">
        <color theme="4" tint="-0.24994659260841701"/>
      </top>
      <bottom style="thin">
        <color rgb="FF9BBAFF"/>
      </bottom>
      <diagonal/>
    </border>
    <border>
      <left/>
      <right style="thin">
        <color rgb="FF95B6EC"/>
      </right>
      <top style="medium">
        <color theme="4" tint="-0.24994659260841701"/>
      </top>
      <bottom style="thin">
        <color rgb="FF9BBAFF"/>
      </bottom>
      <diagonal/>
    </border>
    <border>
      <left style="medium">
        <color rgb="FF95B6EC"/>
      </left>
      <right/>
      <top style="medium">
        <color rgb="FF95B6EC"/>
      </top>
      <bottom style="medium">
        <color rgb="FF95B6EC"/>
      </bottom>
      <diagonal/>
    </border>
    <border>
      <left/>
      <right/>
      <top style="medium">
        <color rgb="FF95B6EC"/>
      </top>
      <bottom style="medium">
        <color rgb="FF95B6EC"/>
      </bottom>
      <diagonal/>
    </border>
    <border>
      <left/>
      <right style="medium">
        <color rgb="FF95B6EC"/>
      </right>
      <top style="medium">
        <color rgb="FF95B6EC"/>
      </top>
      <bottom style="medium">
        <color rgb="FF95B6EC"/>
      </bottom>
      <diagonal/>
    </border>
    <border>
      <left style="medium">
        <color rgb="FF839FDE"/>
      </left>
      <right/>
      <top style="medium">
        <color rgb="FF95B6EC"/>
      </top>
      <bottom style="medium">
        <color rgb="FF839FDE"/>
      </bottom>
      <diagonal/>
    </border>
    <border>
      <left/>
      <right/>
      <top style="medium">
        <color rgb="FF95B6EC"/>
      </top>
      <bottom style="medium">
        <color rgb="FF839FDE"/>
      </bottom>
      <diagonal/>
    </border>
    <border>
      <left/>
      <right style="medium">
        <color rgb="FF839FDE"/>
      </right>
      <top style="medium">
        <color rgb="FF95B6EC"/>
      </top>
      <bottom style="medium">
        <color rgb="FF839FDE"/>
      </bottom>
      <diagonal/>
    </border>
    <border>
      <left style="medium">
        <color rgb="FF839FDE"/>
      </left>
      <right style="medium">
        <color rgb="FF839FDE"/>
      </right>
      <top style="medium">
        <color rgb="FF839FDE"/>
      </top>
      <bottom style="thin">
        <color rgb="FF839FDE"/>
      </bottom>
      <diagonal/>
    </border>
    <border>
      <left style="medium">
        <color rgb="FF839FDE"/>
      </left>
      <right style="medium">
        <color rgb="FF839FDE"/>
      </right>
      <top style="thin">
        <color rgb="FF839FDE"/>
      </top>
      <bottom style="thin">
        <color rgb="FF839FDE"/>
      </bottom>
      <diagonal/>
    </border>
    <border>
      <left style="medium">
        <color rgb="FF839FDE"/>
      </left>
      <right style="medium">
        <color rgb="FF839FDE"/>
      </right>
      <top style="thin">
        <color rgb="FF839FDE"/>
      </top>
      <bottom style="medium">
        <color rgb="FF839FDE"/>
      </bottom>
      <diagonal/>
    </border>
    <border>
      <left style="thin">
        <color rgb="FF839FDE"/>
      </left>
      <right style="medium">
        <color rgb="FF95B6EC"/>
      </right>
      <top style="medium">
        <color rgb="FF839FDE"/>
      </top>
      <bottom/>
      <diagonal/>
    </border>
    <border>
      <left style="medium">
        <color rgb="FF839FDE"/>
      </left>
      <right style="thin">
        <color rgb="FF95B6EC"/>
      </right>
      <top/>
      <bottom/>
      <diagonal/>
    </border>
    <border>
      <left style="thin">
        <color rgb="FF839FDE"/>
      </left>
      <right style="medium">
        <color rgb="FF95B6EC"/>
      </right>
      <top/>
      <bottom/>
      <diagonal/>
    </border>
    <border>
      <left style="thin">
        <color rgb="FF839FDE"/>
      </left>
      <right style="medium">
        <color rgb="FF95B6EC"/>
      </right>
      <top/>
      <bottom style="medium">
        <color theme="4" tint="-0.24994659260841701"/>
      </bottom>
      <diagonal/>
    </border>
    <border>
      <left style="medium">
        <color rgb="FF839FDE"/>
      </left>
      <right style="thin">
        <color rgb="FF95B6EC"/>
      </right>
      <top style="thin">
        <color rgb="FF839FDE"/>
      </top>
      <bottom style="thin">
        <color rgb="FF839FDE"/>
      </bottom>
      <diagonal/>
    </border>
    <border>
      <left style="thin">
        <color rgb="FF839FDE"/>
      </left>
      <right style="medium">
        <color rgb="FF95B6EC"/>
      </right>
      <top style="thin">
        <color rgb="FF839FDE"/>
      </top>
      <bottom style="thin">
        <color rgb="FF839FDE"/>
      </bottom>
      <diagonal/>
    </border>
    <border>
      <left style="medium">
        <color rgb="FF839FDE"/>
      </left>
      <right style="thin">
        <color rgb="FF95B6EC"/>
      </right>
      <top style="thin">
        <color rgb="FF839FDE"/>
      </top>
      <bottom style="medium">
        <color rgb="FF839FDE"/>
      </bottom>
      <diagonal/>
    </border>
    <border>
      <left style="thin">
        <color rgb="FF839FDE"/>
      </left>
      <right style="medium">
        <color rgb="FF95B6EC"/>
      </right>
      <top style="thin">
        <color rgb="FF839FDE"/>
      </top>
      <bottom style="medium">
        <color rgb="FF839FDE"/>
      </bottom>
      <diagonal/>
    </border>
    <border>
      <left style="medium">
        <color rgb="FFB0B0FF"/>
      </left>
      <right style="medium">
        <color rgb="FF839FDE"/>
      </right>
      <top style="medium">
        <color rgb="FFB0B0FF"/>
      </top>
      <bottom/>
      <diagonal/>
    </border>
    <border>
      <left style="medium">
        <color rgb="FFB0B0FF"/>
      </left>
      <right style="medium">
        <color rgb="FF839FDE"/>
      </right>
      <top/>
      <bottom/>
      <diagonal/>
    </border>
    <border>
      <left style="medium">
        <color rgb="FFB0B0FF"/>
      </left>
      <right style="medium">
        <color rgb="FF839FDE"/>
      </right>
      <top/>
      <bottom style="medium">
        <color theme="4" tint="-0.24994659260841701"/>
      </bottom>
      <diagonal/>
    </border>
    <border>
      <left style="medium">
        <color rgb="FFB0B0FF"/>
      </left>
      <right style="medium">
        <color rgb="FF839FDE"/>
      </right>
      <top style="thin">
        <color rgb="FFB0B0FF"/>
      </top>
      <bottom style="thin">
        <color rgb="FFB0B0FF"/>
      </bottom>
      <diagonal/>
    </border>
    <border>
      <left style="medium">
        <color rgb="FFB0B0FF"/>
      </left>
      <right style="medium">
        <color rgb="FF839FDE"/>
      </right>
      <top style="thin">
        <color rgb="FFB0B0FF"/>
      </top>
      <bottom style="medium">
        <color rgb="FFB0B0FF"/>
      </bottom>
      <diagonal/>
    </border>
    <border>
      <left style="medium">
        <color rgb="FF95B6EC"/>
      </left>
      <right/>
      <top/>
      <bottom style="medium">
        <color theme="4" tint="-0.499984740745262"/>
      </bottom>
      <diagonal/>
    </border>
    <border>
      <left style="medium">
        <color rgb="FF839FDE"/>
      </left>
      <right/>
      <top style="medium">
        <color rgb="FF839FDE"/>
      </top>
      <bottom style="medium">
        <color rgb="FF839FDE"/>
      </bottom>
      <diagonal/>
    </border>
    <border>
      <left/>
      <right/>
      <top style="medium">
        <color rgb="FF839FDE"/>
      </top>
      <bottom style="medium">
        <color rgb="FF839FDE"/>
      </bottom>
      <diagonal/>
    </border>
    <border>
      <left/>
      <right style="medium">
        <color rgb="FF839FDE"/>
      </right>
      <top style="medium">
        <color rgb="FF839FDE"/>
      </top>
      <bottom style="medium">
        <color rgb="FF839FDE"/>
      </bottom>
      <diagonal/>
    </border>
    <border>
      <left style="medium">
        <color rgb="FF95B6EC"/>
      </left>
      <right/>
      <top/>
      <bottom style="medium">
        <color rgb="FF839FDE"/>
      </bottom>
      <diagonal/>
    </border>
    <border>
      <left/>
      <right style="medium">
        <color rgb="FF95B6EC"/>
      </right>
      <top/>
      <bottom style="medium">
        <color rgb="FF839FDE"/>
      </bottom>
      <diagonal/>
    </border>
    <border>
      <left/>
      <right/>
      <top/>
      <bottom style="medium">
        <color rgb="FF839FDE"/>
      </bottom>
      <diagonal/>
    </border>
    <border>
      <left style="medium">
        <color rgb="FF839FDE"/>
      </left>
      <right style="thin">
        <color rgb="FF95B6EC"/>
      </right>
      <top/>
      <bottom style="thin">
        <color rgb="FF839FDE"/>
      </bottom>
      <diagonal/>
    </border>
    <border>
      <left style="thin">
        <color rgb="FF95B6EC"/>
      </left>
      <right style="medium">
        <color rgb="FF839FDE"/>
      </right>
      <top/>
      <bottom style="thin">
        <color rgb="FF839FDE"/>
      </bottom>
      <diagonal/>
    </border>
    <border>
      <left style="thin">
        <color rgb="FF95B6EC"/>
      </left>
      <right style="medium">
        <color rgb="FF839FDE"/>
      </right>
      <top/>
      <bottom style="thin">
        <color rgb="FF95B6EC"/>
      </bottom>
      <diagonal/>
    </border>
    <border>
      <left style="thin">
        <color auto="1"/>
      </left>
      <right/>
      <top/>
      <bottom/>
      <diagonal/>
    </border>
    <border>
      <left style="medium">
        <color rgb="FF8BABE6"/>
      </left>
      <right style="thin">
        <color rgb="FF95B6EC"/>
      </right>
      <top style="medium">
        <color theme="4" tint="-0.24994659260841701"/>
      </top>
      <bottom style="thin">
        <color rgb="FF9BBAFF"/>
      </bottom>
      <diagonal/>
    </border>
    <border>
      <left style="medium">
        <color rgb="FF8BABE6"/>
      </left>
      <right style="thin">
        <color rgb="FF95B6EC"/>
      </right>
      <top/>
      <bottom style="thin">
        <color rgb="FF95B6EC"/>
      </bottom>
      <diagonal/>
    </border>
    <border>
      <left style="medium">
        <color rgb="FF8BABE6"/>
      </left>
      <right style="thin">
        <color rgb="FF95B6EC"/>
      </right>
      <top style="thin">
        <color rgb="FF95B6EC"/>
      </top>
      <bottom style="thin">
        <color rgb="FF95B6EC"/>
      </bottom>
      <diagonal/>
    </border>
    <border>
      <left style="medium">
        <color rgb="FF8BABE6"/>
      </left>
      <right style="thin">
        <color rgb="FF95B6EC"/>
      </right>
      <top style="thin">
        <color rgb="FF95B6EC"/>
      </top>
      <bottom/>
      <diagonal/>
    </border>
    <border>
      <left style="medium">
        <color rgb="FF8BABE6"/>
      </left>
      <right style="thin">
        <color rgb="FF95B6EC"/>
      </right>
      <top style="thin">
        <color rgb="FF95B6EC"/>
      </top>
      <bottom style="medium">
        <color rgb="FF95B6EC"/>
      </bottom>
      <diagonal/>
    </border>
    <border>
      <left style="medium">
        <color rgb="FF839FDE"/>
      </left>
      <right style="thin">
        <color rgb="FF839FDE"/>
      </right>
      <top style="medium">
        <color rgb="FF839FDE"/>
      </top>
      <bottom/>
      <diagonal/>
    </border>
    <border>
      <left style="medium">
        <color rgb="FF839FDE"/>
      </left>
      <right style="thin">
        <color rgb="FF839FDE"/>
      </right>
      <top/>
      <bottom/>
      <diagonal/>
    </border>
    <border>
      <left style="medium">
        <color rgb="FF839FDE"/>
      </left>
      <right style="thin">
        <color rgb="FF839FDE"/>
      </right>
      <top/>
      <bottom style="medium">
        <color theme="4" tint="-0.24994659260841701"/>
      </bottom>
      <diagonal/>
    </border>
    <border>
      <left style="thin">
        <color rgb="FF839FDE"/>
      </left>
      <right style="medium">
        <color rgb="FF95B6EC"/>
      </right>
      <top/>
      <bottom style="thin">
        <color rgb="FF839FDE"/>
      </bottom>
      <diagonal/>
    </border>
    <border>
      <left style="thin">
        <color rgb="FF839FDE"/>
      </left>
      <right/>
      <top style="medium">
        <color rgb="FF839FDE"/>
      </top>
      <bottom/>
      <diagonal/>
    </border>
    <border>
      <left style="thin">
        <color rgb="FF839FDE"/>
      </left>
      <right/>
      <top style="thin">
        <color rgb="FF839FDE"/>
      </top>
      <bottom style="medium">
        <color rgb="FF839FDE"/>
      </bottom>
      <diagonal/>
    </border>
    <border>
      <left style="medium">
        <color rgb="FFB0B0FF"/>
      </left>
      <right style="medium">
        <color rgb="FF839FDE"/>
      </right>
      <top/>
      <bottom style="thin">
        <color rgb="FFB0B0FF"/>
      </bottom>
      <diagonal/>
    </border>
    <border>
      <left/>
      <right style="thin">
        <color rgb="FF95B6EC"/>
      </right>
      <top style="thin">
        <color rgb="FF95B6EC"/>
      </top>
      <bottom style="medium">
        <color rgb="FF839FDE"/>
      </bottom>
      <diagonal/>
    </border>
    <border>
      <left style="thin">
        <color rgb="FF839FDE"/>
      </left>
      <right style="medium">
        <color rgb="FF839FDE"/>
      </right>
      <top style="medium">
        <color rgb="FF839FDE"/>
      </top>
      <bottom/>
      <diagonal/>
    </border>
    <border>
      <left style="thin">
        <color rgb="FF839FDE"/>
      </left>
      <right style="medium">
        <color rgb="FF839FDE"/>
      </right>
      <top/>
      <bottom/>
      <diagonal/>
    </border>
    <border>
      <left style="thin">
        <color rgb="FF839FDE"/>
      </left>
      <right style="medium">
        <color rgb="FF839FDE"/>
      </right>
      <top/>
      <bottom style="thin">
        <color rgb="FF839FDE"/>
      </bottom>
      <diagonal/>
    </border>
    <border>
      <left style="thin">
        <color rgb="FF839FDE"/>
      </left>
      <right style="medium">
        <color rgb="FF839FDE"/>
      </right>
      <top style="thin">
        <color rgb="FF839FDE"/>
      </top>
      <bottom style="thin">
        <color rgb="FF839FDE"/>
      </bottom>
      <diagonal/>
    </border>
    <border>
      <left style="thin">
        <color rgb="FF839FDE"/>
      </left>
      <right style="medium">
        <color rgb="FF839FDE"/>
      </right>
      <top style="thin">
        <color rgb="FF839FDE"/>
      </top>
      <bottom style="medium">
        <color rgb="FF839FDE"/>
      </bottom>
      <diagonal/>
    </border>
    <border>
      <left/>
      <right style="medium">
        <color rgb="FF95B6EC"/>
      </right>
      <top style="thin">
        <color rgb="FF95B6EC"/>
      </top>
      <bottom style="medium">
        <color rgb="FF839FDE"/>
      </bottom>
      <diagonal/>
    </border>
    <border>
      <left/>
      <right style="medium">
        <color rgb="FF95B6EC"/>
      </right>
      <top style="medium">
        <color rgb="FF839FDE"/>
      </top>
      <bottom style="medium">
        <color rgb="FF839FDE"/>
      </bottom>
      <diagonal/>
    </border>
    <border>
      <left style="medium">
        <color rgb="FF95B6EC"/>
      </left>
      <right/>
      <top style="medium">
        <color rgb="FF95B6EC"/>
      </top>
      <bottom style="thin">
        <color rgb="FF95B6EC"/>
      </bottom>
      <diagonal/>
    </border>
    <border>
      <left/>
      <right/>
      <top style="medium">
        <color rgb="FF95B6EC"/>
      </top>
      <bottom style="thin">
        <color rgb="FF95B6EC"/>
      </bottom>
      <diagonal/>
    </border>
    <border>
      <left/>
      <right style="medium">
        <color rgb="FF95B6EC"/>
      </right>
      <top style="medium">
        <color rgb="FF95B6EC"/>
      </top>
      <bottom style="thin">
        <color rgb="FF95B6EC"/>
      </bottom>
      <diagonal/>
    </border>
    <border>
      <left style="thin">
        <color rgb="FF95B6EC"/>
      </left>
      <right style="thin">
        <color rgb="FF95B6EC"/>
      </right>
      <top style="thin">
        <color rgb="FF95B6EC"/>
      </top>
      <bottom style="thin">
        <color rgb="FF95B6EC"/>
      </bottom>
      <diagonal/>
    </border>
    <border>
      <left style="medium">
        <color rgb="FF95B6EC"/>
      </left>
      <right style="thin">
        <color rgb="FF80B345"/>
      </right>
      <top style="thin">
        <color rgb="FF80B345"/>
      </top>
      <bottom style="thin">
        <color rgb="FF80B345"/>
      </bottom>
      <diagonal/>
    </border>
    <border>
      <left style="thin">
        <color rgb="FF80B345"/>
      </left>
      <right style="thin">
        <color rgb="FF80B345"/>
      </right>
      <top style="thin">
        <color rgb="FF80B345"/>
      </top>
      <bottom style="thin">
        <color rgb="FF80B345"/>
      </bottom>
      <diagonal/>
    </border>
    <border>
      <left style="medium">
        <color rgb="FF95B6EC"/>
      </left>
      <right style="thin">
        <color rgb="FF80B345"/>
      </right>
      <top/>
      <bottom style="thin">
        <color rgb="FF80B345"/>
      </bottom>
      <diagonal/>
    </border>
    <border>
      <left style="thin">
        <color rgb="FF80B345"/>
      </left>
      <right style="thin">
        <color rgb="FF80B345"/>
      </right>
      <top/>
      <bottom style="thin">
        <color rgb="FF80B345"/>
      </bottom>
      <diagonal/>
    </border>
    <border>
      <left style="medium">
        <color rgb="FF839FDE"/>
      </left>
      <right/>
      <top style="thin">
        <color rgb="FF95B6EC"/>
      </top>
      <bottom style="thin">
        <color rgb="FF95B6EC"/>
      </bottom>
      <diagonal/>
    </border>
    <border>
      <left/>
      <right/>
      <top/>
      <bottom style="medium">
        <color rgb="FF9DB4DC"/>
      </bottom>
      <diagonal/>
    </border>
    <border>
      <left style="medium">
        <color rgb="FFB0B0FF"/>
      </left>
      <right style="medium">
        <color rgb="FF839FDE"/>
      </right>
      <top/>
      <bottom style="medium">
        <color rgb="FF9DB4DC"/>
      </bottom>
      <diagonal/>
    </border>
    <border>
      <left style="medium">
        <color rgb="FF839FDE"/>
      </left>
      <right style="thin">
        <color rgb="FF839FDE"/>
      </right>
      <top/>
      <bottom style="medium">
        <color rgb="FF9DB4DC"/>
      </bottom>
      <diagonal/>
    </border>
    <border>
      <left style="thin">
        <color rgb="FF839FDE"/>
      </left>
      <right style="medium">
        <color rgb="FF839FDE"/>
      </right>
      <top/>
      <bottom style="medium">
        <color rgb="FF9DB4DC"/>
      </bottom>
      <diagonal/>
    </border>
    <border>
      <left style="medium">
        <color rgb="FF839FDE"/>
      </left>
      <right/>
      <top style="thin">
        <color rgb="FF95B6EC"/>
      </top>
      <bottom style="medium">
        <color rgb="FF9DB4DC"/>
      </bottom>
      <diagonal/>
    </border>
    <border>
      <left style="medium">
        <color rgb="FF839FDE"/>
      </left>
      <right style="thin">
        <color rgb="FF80B345"/>
      </right>
      <top style="thin">
        <color rgb="FF80B345"/>
      </top>
      <bottom style="thin">
        <color rgb="FF80B345"/>
      </bottom>
      <diagonal/>
    </border>
    <border>
      <left/>
      <right/>
      <top style="thin">
        <color rgb="FF80B345"/>
      </top>
      <bottom style="thin">
        <color rgb="FF80B345"/>
      </bottom>
      <diagonal/>
    </border>
    <border>
      <left style="thin">
        <color rgb="FF839FDE"/>
      </left>
      <right style="thin">
        <color rgb="FF95B6EC"/>
      </right>
      <top style="thin">
        <color rgb="FF95B6EC"/>
      </top>
      <bottom style="medium">
        <color rgb="FF9DB4DC"/>
      </bottom>
      <diagonal/>
    </border>
    <border>
      <left style="thin">
        <color rgb="FF95B6EC"/>
      </left>
      <right/>
      <top style="thin">
        <color rgb="FF95B6EC"/>
      </top>
      <bottom/>
      <diagonal/>
    </border>
    <border>
      <left style="thin">
        <color rgb="FF95B6EC"/>
      </left>
      <right/>
      <top/>
      <bottom/>
      <diagonal/>
    </border>
    <border>
      <left style="thin">
        <color rgb="FF95B6EC"/>
      </left>
      <right/>
      <top/>
      <bottom style="medium">
        <color rgb="FF9DB4DC"/>
      </bottom>
      <diagonal/>
    </border>
    <border>
      <left style="thin">
        <color rgb="FF839FDE"/>
      </left>
      <right style="thin">
        <color rgb="FF95B6EC"/>
      </right>
      <top style="thin">
        <color rgb="FF95B6EC"/>
      </top>
      <bottom style="thin">
        <color rgb="FF95B6EC"/>
      </bottom>
      <diagonal/>
    </border>
    <border>
      <left style="thin">
        <color rgb="FF95B6EC"/>
      </left>
      <right style="thin">
        <color rgb="FF95B6EC"/>
      </right>
      <top style="thin">
        <color rgb="FF95B6EC"/>
      </top>
      <bottom style="medium">
        <color rgb="FF9DB4DC"/>
      </bottom>
      <diagonal/>
    </border>
    <border>
      <left/>
      <right style="medium">
        <color rgb="FF95B6EC"/>
      </right>
      <top style="thin">
        <color rgb="FF95B6EC"/>
      </top>
      <bottom style="thin">
        <color rgb="FF95B6EC"/>
      </bottom>
      <diagonal/>
    </border>
    <border>
      <left/>
      <right style="thin">
        <color rgb="FF80B345"/>
      </right>
      <top style="thin">
        <color rgb="FF80B345"/>
      </top>
      <bottom style="thin">
        <color rgb="FF80B345"/>
      </bottom>
      <diagonal/>
    </border>
    <border>
      <left/>
      <right style="thin">
        <color rgb="FF80B345"/>
      </right>
      <top/>
      <bottom style="thin">
        <color rgb="FF80B345"/>
      </bottom>
      <diagonal/>
    </border>
    <border>
      <left style="thin">
        <color rgb="FF80B345"/>
      </left>
      <right style="thin">
        <color rgb="FF80B345"/>
      </right>
      <top style="thin">
        <color rgb="FF80B345"/>
      </top>
      <bottom/>
      <diagonal/>
    </border>
    <border>
      <left style="thin">
        <color rgb="FF80B345"/>
      </left>
      <right style="thin">
        <color rgb="FF80B345"/>
      </right>
      <top/>
      <bottom/>
      <diagonal/>
    </border>
    <border>
      <left/>
      <right/>
      <top/>
      <bottom style="thin">
        <color rgb="FF80B345"/>
      </bottom>
      <diagonal/>
    </border>
    <border>
      <left style="thin">
        <color rgb="FF80B345"/>
      </left>
      <right/>
      <top/>
      <bottom style="thin">
        <color rgb="FF80B345"/>
      </bottom>
      <diagonal/>
    </border>
    <border>
      <left style="medium">
        <color rgb="FF95B6EC"/>
      </left>
      <right style="thin">
        <color rgb="FF80B345"/>
      </right>
      <top style="thin">
        <color rgb="FF80B345"/>
      </top>
      <bottom style="medium">
        <color rgb="FF80B345"/>
      </bottom>
      <diagonal/>
    </border>
    <border>
      <left style="thin">
        <color rgb="FF80B345"/>
      </left>
      <right style="thin">
        <color rgb="FF80B345"/>
      </right>
      <top/>
      <bottom style="medium">
        <color rgb="FF80B345"/>
      </bottom>
      <diagonal/>
    </border>
    <border>
      <left style="thin">
        <color rgb="FF80B345"/>
      </left>
      <right style="thin">
        <color rgb="FF80B345"/>
      </right>
      <top style="thin">
        <color rgb="FF80B345"/>
      </top>
      <bottom style="medium">
        <color rgb="FF80B345"/>
      </bottom>
      <diagonal/>
    </border>
    <border>
      <left style="thin">
        <color rgb="FF80B345"/>
      </left>
      <right/>
      <top style="thin">
        <color rgb="FF80B345"/>
      </top>
      <bottom/>
      <diagonal/>
    </border>
    <border>
      <left style="thin">
        <color rgb="FF80B345"/>
      </left>
      <right/>
      <top style="thin">
        <color rgb="FF80B345"/>
      </top>
      <bottom style="thin">
        <color rgb="FF80B345"/>
      </bottom>
      <diagonal/>
    </border>
    <border>
      <left style="thin">
        <color rgb="FF95B6EC"/>
      </left>
      <right/>
      <top style="thin">
        <color rgb="FF95B6EC"/>
      </top>
      <bottom style="thin">
        <color rgb="FF95B6EC"/>
      </bottom>
      <diagonal/>
    </border>
    <border>
      <left style="thin">
        <color rgb="FF80B345"/>
      </left>
      <right/>
      <top/>
      <bottom/>
      <diagonal/>
    </border>
    <border>
      <left/>
      <right/>
      <top style="medium">
        <color rgb="FF80B345"/>
      </top>
      <bottom style="thin">
        <color rgb="FF80B345"/>
      </bottom>
      <diagonal/>
    </border>
    <border>
      <left style="thin">
        <color rgb="FF839FDE"/>
      </left>
      <right style="medium">
        <color rgb="FF95B6EC"/>
      </right>
      <top style="thin">
        <color rgb="FF95B6EC"/>
      </top>
      <bottom style="thin">
        <color rgb="FF95B6EC"/>
      </bottom>
      <diagonal/>
    </border>
    <border>
      <left style="thin">
        <color rgb="FF839FDE"/>
      </left>
      <right style="medium">
        <color rgb="FF95B6EC"/>
      </right>
      <top style="thin">
        <color rgb="FF95B6EC"/>
      </top>
      <bottom style="medium">
        <color rgb="FF9DB4DC"/>
      </bottom>
      <diagonal/>
    </border>
    <border>
      <left style="thin">
        <color rgb="FF80B345"/>
      </left>
      <right/>
      <top/>
      <bottom style="medium">
        <color rgb="FF80B345"/>
      </bottom>
      <diagonal/>
    </border>
    <border>
      <left style="medium">
        <color rgb="FF80B345"/>
      </left>
      <right style="thin">
        <color rgb="FF80B345"/>
      </right>
      <top style="thin">
        <color rgb="FF80B345"/>
      </top>
      <bottom style="thin">
        <color rgb="FF80B345"/>
      </bottom>
      <diagonal/>
    </border>
    <border>
      <left style="medium">
        <color rgb="FF80B345"/>
      </left>
      <right style="thin">
        <color rgb="FF80B345"/>
      </right>
      <top style="thin">
        <color rgb="FF80B345"/>
      </top>
      <bottom style="medium">
        <color rgb="FF80B345"/>
      </bottom>
      <diagonal/>
    </border>
    <border>
      <left style="medium">
        <color rgb="FF80B345"/>
      </left>
      <right style="thin">
        <color rgb="FF80B345"/>
      </right>
      <top/>
      <bottom style="thin">
        <color rgb="FF80B345"/>
      </bottom>
      <diagonal/>
    </border>
    <border>
      <left style="medium">
        <color rgb="FF80B345"/>
      </left>
      <right/>
      <top style="medium">
        <color rgb="FF80B345"/>
      </top>
      <bottom style="thin">
        <color rgb="FF80B345"/>
      </bottom>
      <diagonal/>
    </border>
    <border>
      <left style="medium">
        <color rgb="FF80B345"/>
      </left>
      <right/>
      <top/>
      <bottom style="thin">
        <color rgb="FF80B345"/>
      </bottom>
      <diagonal/>
    </border>
    <border>
      <left style="medium">
        <color rgb="FF80B345"/>
      </left>
      <right/>
      <top style="thin">
        <color rgb="FF80B345"/>
      </top>
      <bottom style="thin">
        <color rgb="FF80B345"/>
      </bottom>
      <diagonal/>
    </border>
    <border>
      <left/>
      <right style="medium">
        <color rgb="FF80B345"/>
      </right>
      <top style="medium">
        <color rgb="FF80B345"/>
      </top>
      <bottom style="thin">
        <color rgb="FF80B345"/>
      </bottom>
      <diagonal/>
    </border>
    <border>
      <left style="thin">
        <color rgb="FF80B345"/>
      </left>
      <right style="medium">
        <color rgb="FF80B345"/>
      </right>
      <top/>
      <bottom style="thin">
        <color rgb="FF80B345"/>
      </bottom>
      <diagonal/>
    </border>
    <border>
      <left style="thin">
        <color rgb="FF80B345"/>
      </left>
      <right style="medium">
        <color rgb="FF80B345"/>
      </right>
      <top style="thin">
        <color rgb="FF80B345"/>
      </top>
      <bottom style="thin">
        <color rgb="FF80B345"/>
      </bottom>
      <diagonal/>
    </border>
    <border>
      <left/>
      <right/>
      <top style="thin">
        <color rgb="FF95B6EC"/>
      </top>
      <bottom style="medium">
        <color rgb="FF839FDE"/>
      </bottom>
      <diagonal/>
    </border>
    <border>
      <left style="thin">
        <color rgb="FF95B6EC"/>
      </left>
      <right style="medium">
        <color rgb="FF95B6EC"/>
      </right>
      <top style="thin">
        <color rgb="FF95B6EC"/>
      </top>
      <bottom style="medium">
        <color rgb="FF839FDE"/>
      </bottom>
      <diagonal/>
    </border>
    <border>
      <left style="medium">
        <color rgb="FF95B6EC"/>
      </left>
      <right style="thin">
        <color rgb="FF95B6EC"/>
      </right>
      <top style="thin">
        <color rgb="FF95B6EC"/>
      </top>
      <bottom style="medium">
        <color rgb="FF839FDE"/>
      </bottom>
      <diagonal/>
    </border>
    <border>
      <left style="medium">
        <color rgb="FF80B345"/>
      </left>
      <right style="thin">
        <color rgb="FF80B345"/>
      </right>
      <top style="medium">
        <color rgb="FF80B345"/>
      </top>
      <bottom style="thin">
        <color rgb="FF80B345"/>
      </bottom>
      <diagonal/>
    </border>
    <border>
      <left style="thin">
        <color rgb="FF80B345"/>
      </left>
      <right style="medium">
        <color rgb="FF80B345"/>
      </right>
      <top style="thin">
        <color rgb="FF80B345"/>
      </top>
      <bottom/>
      <diagonal/>
    </border>
    <border>
      <left style="thin">
        <color rgb="FF80B345"/>
      </left>
      <right style="medium">
        <color rgb="FF80B345"/>
      </right>
      <top/>
      <bottom/>
      <diagonal/>
    </border>
    <border>
      <left style="thin">
        <color rgb="FF80B345"/>
      </left>
      <right style="medium">
        <color rgb="FF80B345"/>
      </right>
      <top/>
      <bottom style="medium">
        <color rgb="FF80B345"/>
      </bottom>
      <diagonal/>
    </border>
    <border>
      <left/>
      <right/>
      <top style="medium">
        <color rgb="FF9DB4DC"/>
      </top>
      <bottom style="medium">
        <color rgb="FF95B6EC"/>
      </bottom>
      <diagonal/>
    </border>
    <border>
      <left/>
      <right style="medium">
        <color rgb="FF9DB4DC"/>
      </right>
      <top style="medium">
        <color rgb="FF9DB4DC"/>
      </top>
      <bottom style="medium">
        <color rgb="FF95B6EC"/>
      </bottom>
      <diagonal/>
    </border>
    <border>
      <left style="medium">
        <color rgb="FF95B6EC"/>
      </left>
      <right/>
      <top style="medium">
        <color rgb="FF9DB4DC"/>
      </top>
      <bottom style="medium">
        <color rgb="FF95B6EC"/>
      </bottom>
      <diagonal/>
    </border>
    <border>
      <left style="medium">
        <color rgb="FF9DB4DC"/>
      </left>
      <right/>
      <top style="medium">
        <color rgb="FF9DB4DC"/>
      </top>
      <bottom style="medium">
        <color rgb="FF95B6EC"/>
      </bottom>
      <diagonal/>
    </border>
    <border>
      <left/>
      <right/>
      <top style="medium">
        <color rgb="FF80B345"/>
      </top>
      <bottom style="medium">
        <color rgb="FF80B345"/>
      </bottom>
      <diagonal/>
    </border>
    <border>
      <left/>
      <right style="medium">
        <color rgb="FF80B345"/>
      </right>
      <top style="medium">
        <color rgb="FF80B345"/>
      </top>
      <bottom style="medium">
        <color rgb="FF80B345"/>
      </bottom>
      <diagonal/>
    </border>
    <border>
      <left style="medium">
        <color rgb="FF80B345"/>
      </left>
      <right/>
      <top style="medium">
        <color rgb="FF80B345"/>
      </top>
      <bottom style="medium">
        <color rgb="FF80B345"/>
      </bottom>
      <diagonal/>
    </border>
    <border>
      <left style="medium">
        <color theme="9" tint="-0.24994659260841701"/>
      </left>
      <right style="thin">
        <color theme="9" tint="-0.24994659260841701"/>
      </right>
      <top style="thin">
        <color theme="9" tint="-0.24994659260841701"/>
      </top>
      <bottom style="thin">
        <color theme="9" tint="-0.24994659260841701"/>
      </bottom>
      <diagonal/>
    </border>
    <border>
      <left style="thin">
        <color theme="9" tint="-0.24994659260841701"/>
      </left>
      <right style="medium">
        <color theme="9" tint="-0.24994659260841701"/>
      </right>
      <top style="thin">
        <color theme="9" tint="-0.24994659260841701"/>
      </top>
      <bottom style="thin">
        <color theme="9" tint="-0.24994659260841701"/>
      </bottom>
      <diagonal/>
    </border>
    <border>
      <left style="medium">
        <color theme="9" tint="-0.24994659260841701"/>
      </left>
      <right style="thin">
        <color theme="9" tint="-0.24994659260841701"/>
      </right>
      <top style="thin">
        <color theme="9" tint="-0.24994659260841701"/>
      </top>
      <bottom style="medium">
        <color theme="9" tint="-0.24994659260841701"/>
      </bottom>
      <diagonal/>
    </border>
    <border>
      <left style="thin">
        <color theme="9" tint="-0.24994659260841701"/>
      </left>
      <right style="medium">
        <color theme="9" tint="-0.24994659260841701"/>
      </right>
      <top style="thin">
        <color theme="9" tint="-0.24994659260841701"/>
      </top>
      <bottom style="medium">
        <color theme="9" tint="-0.24994659260841701"/>
      </bottom>
      <diagonal/>
    </border>
    <border>
      <left style="medium">
        <color theme="9" tint="-0.24994659260841701"/>
      </left>
      <right style="thin">
        <color theme="9" tint="-0.24994659260841701"/>
      </right>
      <top/>
      <bottom style="thin">
        <color theme="9" tint="-0.24994659260841701"/>
      </bottom>
      <diagonal/>
    </border>
    <border>
      <left style="thin">
        <color theme="9" tint="-0.24994659260841701"/>
      </left>
      <right style="medium">
        <color theme="9" tint="-0.24994659260841701"/>
      </right>
      <top/>
      <bottom style="thin">
        <color theme="9" tint="-0.24994659260841701"/>
      </bottom>
      <diagonal/>
    </border>
    <border>
      <left style="medium">
        <color theme="9" tint="-0.24994659260841701"/>
      </left>
      <right style="thin">
        <color theme="9" tint="-0.24994659260841701"/>
      </right>
      <top style="medium">
        <color theme="9" tint="-0.24994659260841701"/>
      </top>
      <bottom style="medium">
        <color theme="9" tint="-0.24994659260841701"/>
      </bottom>
      <diagonal/>
    </border>
    <border>
      <left style="thin">
        <color theme="9" tint="-0.24994659260841701"/>
      </left>
      <right style="medium">
        <color theme="9" tint="-0.24994659260841701"/>
      </right>
      <top style="medium">
        <color theme="9" tint="-0.24994659260841701"/>
      </top>
      <bottom style="medium">
        <color theme="9" tint="-0.24994659260841701"/>
      </bottom>
      <diagonal/>
    </border>
    <border>
      <left/>
      <right/>
      <top style="thin">
        <color rgb="FFAFCFFF"/>
      </top>
      <bottom style="thin">
        <color rgb="FFAFCFFF"/>
      </bottom>
      <diagonal/>
    </border>
    <border>
      <left/>
      <right/>
      <top/>
      <bottom style="thin">
        <color rgb="FFAFCFFF"/>
      </bottom>
      <diagonal/>
    </border>
    <border>
      <left/>
      <right style="medium">
        <color theme="9" tint="-0.24994659260841701"/>
      </right>
      <top style="thin">
        <color rgb="FFAFCFFF"/>
      </top>
      <bottom style="thin">
        <color rgb="FFAFCFFF"/>
      </bottom>
      <diagonal/>
    </border>
    <border>
      <left/>
      <right style="medium">
        <color theme="9" tint="-0.24994659260841701"/>
      </right>
      <top style="thin">
        <color rgb="FFAFCFFF"/>
      </top>
      <bottom/>
      <diagonal/>
    </border>
    <border>
      <left/>
      <right/>
      <top style="thin">
        <color rgb="FFAFCFFF"/>
      </top>
      <bottom/>
      <diagonal/>
    </border>
    <border>
      <left style="medium">
        <color rgb="FF99B4E0"/>
      </left>
      <right style="medium">
        <color theme="9" tint="-0.24994659260841701"/>
      </right>
      <top style="medium">
        <color rgb="FF99B4E0"/>
      </top>
      <bottom style="medium">
        <color rgb="FF99B4E0"/>
      </bottom>
      <diagonal/>
    </border>
    <border>
      <left/>
      <right style="medium">
        <color theme="9" tint="-0.24994659260841701"/>
      </right>
      <top/>
      <bottom style="thin">
        <color rgb="FFAFCFFF"/>
      </bottom>
      <diagonal/>
    </border>
    <border>
      <left/>
      <right/>
      <top style="medium">
        <color rgb="FF99B4E0"/>
      </top>
      <bottom style="medium">
        <color rgb="FF99B4E0"/>
      </bottom>
      <diagonal/>
    </border>
    <border>
      <left/>
      <right style="medium">
        <color rgb="FF99B4E0"/>
      </right>
      <top style="medium">
        <color rgb="FF99B4E0"/>
      </top>
      <bottom style="medium">
        <color rgb="FF99B4E0"/>
      </bottom>
      <diagonal/>
    </border>
    <border>
      <left/>
      <right/>
      <top/>
      <bottom style="medium">
        <color rgb="FF99B4E0"/>
      </bottom>
      <diagonal/>
    </border>
    <border>
      <left style="medium">
        <color rgb="FF99B4E0"/>
      </left>
      <right/>
      <top style="medium">
        <color rgb="FF99B4E0"/>
      </top>
      <bottom/>
      <diagonal/>
    </border>
    <border>
      <left/>
      <right/>
      <top style="medium">
        <color rgb="FF99B4E0"/>
      </top>
      <bottom/>
      <diagonal/>
    </border>
    <border>
      <left/>
      <right style="medium">
        <color rgb="FF99B4E0"/>
      </right>
      <top style="medium">
        <color rgb="FF99B4E0"/>
      </top>
      <bottom/>
      <diagonal/>
    </border>
    <border>
      <left style="medium">
        <color rgb="FF99B4E0"/>
      </left>
      <right/>
      <top/>
      <bottom style="medium">
        <color rgb="FF99B4E0"/>
      </bottom>
      <diagonal/>
    </border>
    <border>
      <left/>
      <right style="medium">
        <color rgb="FF99B4E0"/>
      </right>
      <top/>
      <bottom style="medium">
        <color rgb="FF99B4E0"/>
      </bottom>
      <diagonal/>
    </border>
    <border>
      <left style="medium">
        <color theme="9" tint="-0.24994659260841701"/>
      </left>
      <right style="thin">
        <color rgb="FF4C72BF"/>
      </right>
      <top style="thin">
        <color rgb="FF4C72BF"/>
      </top>
      <bottom style="thin">
        <color rgb="FF4C72BF"/>
      </bottom>
      <diagonal/>
    </border>
    <border>
      <left style="thin">
        <color rgb="FF4C72BF"/>
      </left>
      <right style="medium">
        <color rgb="FF4C72BF"/>
      </right>
      <top style="thin">
        <color rgb="FF4C72BF"/>
      </top>
      <bottom style="thin">
        <color rgb="FF4C72BF"/>
      </bottom>
      <diagonal/>
    </border>
    <border>
      <left style="medium">
        <color theme="9" tint="-0.24994659260841701"/>
      </left>
      <right style="thin">
        <color rgb="FF4C72BF"/>
      </right>
      <top style="thin">
        <color rgb="FF4C72BF"/>
      </top>
      <bottom style="medium">
        <color rgb="FF4C72BF"/>
      </bottom>
      <diagonal/>
    </border>
    <border>
      <left style="thin">
        <color rgb="FF4C72BF"/>
      </left>
      <right style="medium">
        <color rgb="FF4C72BF"/>
      </right>
      <top style="thin">
        <color rgb="FF4C72BF"/>
      </top>
      <bottom style="medium">
        <color rgb="FF4C72BF"/>
      </bottom>
      <diagonal/>
    </border>
    <border>
      <left style="medium">
        <color theme="9" tint="-0.24994659260841701"/>
      </left>
      <right style="thin">
        <color rgb="FF4C72BF"/>
      </right>
      <top/>
      <bottom style="thin">
        <color rgb="FF4C72BF"/>
      </bottom>
      <diagonal/>
    </border>
    <border>
      <left style="thin">
        <color rgb="FF4C72BF"/>
      </left>
      <right style="medium">
        <color rgb="FF4C72BF"/>
      </right>
      <top/>
      <bottom style="thin">
        <color rgb="FF4C72BF"/>
      </bottom>
      <diagonal/>
    </border>
    <border>
      <left style="medium">
        <color theme="9" tint="-0.24994659260841701"/>
      </left>
      <right style="thin">
        <color rgb="FF4C72BF"/>
      </right>
      <top style="medium">
        <color rgb="FF4C72BF"/>
      </top>
      <bottom style="medium">
        <color rgb="FF4C72BF"/>
      </bottom>
      <diagonal/>
    </border>
    <border>
      <left style="thin">
        <color rgb="FF4C72BF"/>
      </left>
      <right style="medium">
        <color rgb="FF4C72BF"/>
      </right>
      <top style="medium">
        <color rgb="FF4C72BF"/>
      </top>
      <bottom style="medium">
        <color rgb="FF4C72BF"/>
      </bottom>
      <diagonal/>
    </border>
    <border>
      <left style="medium">
        <color rgb="FF99B4E0"/>
      </left>
      <right/>
      <top/>
      <bottom/>
      <diagonal/>
    </border>
    <border>
      <left/>
      <right style="medium">
        <color rgb="FF99B4E0"/>
      </right>
      <top/>
      <bottom/>
      <diagonal/>
    </border>
    <border>
      <left style="thin">
        <color rgb="FF839FDE"/>
      </left>
      <right style="medium">
        <color rgb="FF839FDE"/>
      </right>
      <top style="thin">
        <color rgb="FF95B6EC"/>
      </top>
      <bottom style="thin">
        <color rgb="FF95B6EC"/>
      </bottom>
      <diagonal/>
    </border>
    <border>
      <left style="thin">
        <color rgb="FF839FDE"/>
      </left>
      <right style="medium">
        <color rgb="FF839FDE"/>
      </right>
      <top style="thin">
        <color rgb="FF95B6EC"/>
      </top>
      <bottom style="medium">
        <color rgb="FF9DB4DC"/>
      </bottom>
      <diagonal/>
    </border>
    <border>
      <left style="medium">
        <color rgb="FF80B345"/>
      </left>
      <right style="thin">
        <color rgb="FF80B345"/>
      </right>
      <top/>
      <bottom style="medium">
        <color rgb="FF80B345"/>
      </bottom>
      <diagonal/>
    </border>
    <border>
      <left/>
      <right/>
      <top/>
      <bottom style="medium">
        <color rgb="FF80B345"/>
      </bottom>
      <diagonal/>
    </border>
    <border>
      <left style="medium">
        <color rgb="FF80B345"/>
      </left>
      <right/>
      <top/>
      <bottom style="medium">
        <color rgb="FF99B4E0"/>
      </bottom>
      <diagonal/>
    </border>
    <border>
      <left style="medium">
        <color theme="9"/>
      </left>
      <right/>
      <top/>
      <bottom style="medium">
        <color rgb="FF80B345"/>
      </bottom>
      <diagonal/>
    </border>
    <border>
      <left/>
      <right style="medium">
        <color theme="9"/>
      </right>
      <top/>
      <bottom style="medium">
        <color rgb="FF80B345"/>
      </bottom>
      <diagonal/>
    </border>
    <border>
      <left style="medium">
        <color rgb="FF839FDE"/>
      </left>
      <right style="thin">
        <color rgb="FF80B345"/>
      </right>
      <top style="thin">
        <color rgb="FF80B345"/>
      </top>
      <bottom style="medium">
        <color theme="9"/>
      </bottom>
      <diagonal/>
    </border>
    <border>
      <left/>
      <right style="thin">
        <color rgb="FF80B345"/>
      </right>
      <top style="thin">
        <color rgb="FF80B345"/>
      </top>
      <bottom style="medium">
        <color theme="9"/>
      </bottom>
      <diagonal/>
    </border>
    <border>
      <left style="thin">
        <color rgb="FF80B345"/>
      </left>
      <right style="thin">
        <color rgb="FF80B345"/>
      </right>
      <top style="thin">
        <color rgb="FF80B345"/>
      </top>
      <bottom style="medium">
        <color theme="9"/>
      </bottom>
      <diagonal/>
    </border>
    <border>
      <left style="thin">
        <color rgb="FF80B345"/>
      </left>
      <right/>
      <top style="thin">
        <color rgb="FF80B345"/>
      </top>
      <bottom style="medium">
        <color theme="9"/>
      </bottom>
      <diagonal/>
    </border>
    <border>
      <left style="medium">
        <color rgb="FF80B345"/>
      </left>
      <right style="thin">
        <color rgb="FF80B345"/>
      </right>
      <top style="thin">
        <color rgb="FF80B345"/>
      </top>
      <bottom style="medium">
        <color theme="9"/>
      </bottom>
      <diagonal/>
    </border>
    <border>
      <left style="medium">
        <color rgb="FF80B345"/>
      </left>
      <right/>
      <top style="thin">
        <color rgb="FF80B345"/>
      </top>
      <bottom style="medium">
        <color theme="9"/>
      </bottom>
      <diagonal/>
    </border>
    <border>
      <left style="thin">
        <color rgb="FF80B345"/>
      </left>
      <right style="medium">
        <color rgb="FF80B345"/>
      </right>
      <top style="thin">
        <color rgb="FF80B345"/>
      </top>
      <bottom style="medium">
        <color theme="9"/>
      </bottom>
      <diagonal/>
    </border>
    <border>
      <left/>
      <right/>
      <top style="thin">
        <color rgb="FF80B345"/>
      </top>
      <bottom style="medium">
        <color theme="9"/>
      </bottom>
      <diagonal/>
    </border>
    <border>
      <left/>
      <right style="thin">
        <color rgb="FF80B345"/>
      </right>
      <top style="medium">
        <color theme="9"/>
      </top>
      <bottom style="thin">
        <color rgb="FF80B345"/>
      </bottom>
      <diagonal/>
    </border>
    <border>
      <left style="thin">
        <color rgb="FF80B345"/>
      </left>
      <right style="thin">
        <color rgb="FF80B345"/>
      </right>
      <top style="medium">
        <color theme="9"/>
      </top>
      <bottom style="thin">
        <color rgb="FF80B345"/>
      </bottom>
      <diagonal/>
    </border>
    <border>
      <left style="thin">
        <color rgb="FF80B345"/>
      </left>
      <right/>
      <top style="medium">
        <color theme="9"/>
      </top>
      <bottom style="thin">
        <color rgb="FF80B345"/>
      </bottom>
      <diagonal/>
    </border>
    <border>
      <left/>
      <right/>
      <top style="thin">
        <color rgb="FF95B6EC"/>
      </top>
      <bottom style="medium">
        <color rgb="FF9DB4DC"/>
      </bottom>
      <diagonal/>
    </border>
    <border>
      <left style="thin">
        <color rgb="FF95B6EC"/>
      </left>
      <right style="thin">
        <color rgb="FF95B6EC"/>
      </right>
      <top style="thin">
        <color rgb="FF95B6EC"/>
      </top>
      <bottom style="medium">
        <color rgb="FF839FDE"/>
      </bottom>
      <diagonal/>
    </border>
    <border>
      <left/>
      <right/>
      <top style="medium">
        <color theme="9"/>
      </top>
      <bottom style="thin">
        <color rgb="FF80B345"/>
      </bottom>
      <diagonal/>
    </border>
    <border>
      <left/>
      <right/>
      <top style="medium">
        <color rgb="FF839FDE"/>
      </top>
      <bottom/>
      <diagonal/>
    </border>
    <border>
      <left style="thin">
        <color rgb="FF839FDE"/>
      </left>
      <right/>
      <top style="thin">
        <color rgb="FF95B6EC"/>
      </top>
      <bottom style="thin">
        <color rgb="FF95B6EC"/>
      </bottom>
      <diagonal/>
    </border>
    <border>
      <left style="thin">
        <color rgb="FF839FDE"/>
      </left>
      <right/>
      <top style="thin">
        <color rgb="FF95B6EC"/>
      </top>
      <bottom style="medium">
        <color rgb="FF9DB4DC"/>
      </bottom>
      <diagonal/>
    </border>
    <border>
      <left style="thin">
        <color rgb="FF95B6EC"/>
      </left>
      <right style="medium">
        <color rgb="FF95B6EC"/>
      </right>
      <top style="thin">
        <color rgb="FF95B6EC"/>
      </top>
      <bottom style="medium">
        <color rgb="FF9DB4DC"/>
      </bottom>
      <diagonal/>
    </border>
    <border>
      <left style="medium">
        <color rgb="FF95B6EC"/>
      </left>
      <right/>
      <top/>
      <bottom style="medium">
        <color rgb="FF9DB4DC"/>
      </bottom>
      <diagonal/>
    </border>
    <border>
      <left/>
      <right style="medium">
        <color rgb="FF839FDE"/>
      </right>
      <top style="thin">
        <color rgb="FF95B6EC"/>
      </top>
      <bottom/>
      <diagonal/>
    </border>
    <border>
      <left style="medium">
        <color rgb="FF95B6EC"/>
      </left>
      <right/>
      <top style="thin">
        <color rgb="FF95B6EC"/>
      </top>
      <bottom style="thin">
        <color rgb="FF95B6EC"/>
      </bottom>
      <diagonal/>
    </border>
    <border>
      <left style="thin">
        <color rgb="FF95B6EC"/>
      </left>
      <right style="medium">
        <color rgb="FF95B6EC"/>
      </right>
      <top/>
      <bottom style="medium">
        <color rgb="FF9DB4DC"/>
      </bottom>
      <diagonal/>
    </border>
    <border>
      <left style="thin">
        <color rgb="FF9DB4DC"/>
      </left>
      <right style="medium">
        <color rgb="FF95B6EC"/>
      </right>
      <top style="thin">
        <color rgb="FF95B6EC"/>
      </top>
      <bottom style="thin">
        <color rgb="FF95B6EC"/>
      </bottom>
      <diagonal/>
    </border>
    <border>
      <left style="thin">
        <color rgb="FF9DB4DC"/>
      </left>
      <right style="medium">
        <color rgb="FF95B6EC"/>
      </right>
      <top style="thin">
        <color rgb="FF95B6EC"/>
      </top>
      <bottom style="medium">
        <color rgb="FF839FDE"/>
      </bottom>
      <diagonal/>
    </border>
    <border>
      <left style="thin">
        <color rgb="FF95B6EC"/>
      </left>
      <right style="medium">
        <color rgb="FF839FDE"/>
      </right>
      <top style="thin">
        <color rgb="FF95B6EC"/>
      </top>
      <bottom style="medium">
        <color rgb="FF9DB4DC"/>
      </bottom>
      <diagonal/>
    </border>
    <border>
      <left/>
      <right style="thin">
        <color rgb="FF95B6EC"/>
      </right>
      <top/>
      <bottom/>
      <diagonal/>
    </border>
    <border>
      <left/>
      <right style="thin">
        <color rgb="FF95B6EC"/>
      </right>
      <top style="medium">
        <color rgb="FF95B6EC"/>
      </top>
      <bottom style="thin">
        <color rgb="FF95B6EC"/>
      </bottom>
      <diagonal/>
    </border>
    <border>
      <left style="thin">
        <color rgb="FF95B6EC"/>
      </left>
      <right/>
      <top style="medium">
        <color rgb="FF95B6EC"/>
      </top>
      <bottom style="thin">
        <color rgb="FF95B6EC"/>
      </bottom>
      <diagonal/>
    </border>
    <border>
      <left/>
      <right style="thin">
        <color rgb="FF80B345"/>
      </right>
      <top style="medium">
        <color rgb="FF80B345"/>
      </top>
      <bottom style="medium">
        <color rgb="FF80B345"/>
      </bottom>
      <diagonal/>
    </border>
    <border>
      <left style="thin">
        <color rgb="FF80B345"/>
      </left>
      <right/>
      <top style="medium">
        <color rgb="FF80B345"/>
      </top>
      <bottom style="medium">
        <color rgb="FF80B345"/>
      </bottom>
      <diagonal/>
    </border>
    <border>
      <left/>
      <right/>
      <top style="medium">
        <color rgb="FF80B345"/>
      </top>
      <bottom/>
      <diagonal/>
    </border>
    <border>
      <left style="medium">
        <color rgb="FF80B345"/>
      </left>
      <right style="thin">
        <color rgb="FF80B345"/>
      </right>
      <top style="thin">
        <color rgb="FF80B345"/>
      </top>
      <bottom/>
      <diagonal/>
    </border>
    <border>
      <left style="medium">
        <color rgb="FF80B345"/>
      </left>
      <right style="thin">
        <color rgb="FF80B345"/>
      </right>
      <top/>
      <bottom/>
      <diagonal/>
    </border>
    <border>
      <left style="medium">
        <color theme="9"/>
      </left>
      <right/>
      <top style="medium">
        <color rgb="FF80B345"/>
      </top>
      <bottom/>
      <diagonal/>
    </border>
    <border>
      <left style="medium">
        <color theme="9"/>
      </left>
      <right/>
      <top style="medium">
        <color theme="9"/>
      </top>
      <bottom style="thin">
        <color rgb="FF80B345"/>
      </bottom>
      <diagonal/>
    </border>
    <border>
      <left/>
      <right style="medium">
        <color rgb="FF80B345"/>
      </right>
      <top style="medium">
        <color theme="9"/>
      </top>
      <bottom style="thin">
        <color rgb="FF80B345"/>
      </bottom>
      <diagonal/>
    </border>
    <border>
      <left style="medium">
        <color rgb="FF80B345"/>
      </left>
      <right/>
      <top style="medium">
        <color rgb="FF80B345"/>
      </top>
      <bottom/>
      <diagonal/>
    </border>
    <border>
      <left/>
      <right style="medium">
        <color rgb="FF80B345"/>
      </right>
      <top style="medium">
        <color rgb="FF80B345"/>
      </top>
      <bottom/>
      <diagonal/>
    </border>
    <border>
      <left/>
      <right style="thin">
        <color rgb="FF80B345"/>
      </right>
      <top style="medium">
        <color rgb="FF80B345"/>
      </top>
      <bottom style="thin">
        <color rgb="FF80B345"/>
      </bottom>
      <diagonal/>
    </border>
    <border>
      <left style="thin">
        <color rgb="FF80B345"/>
      </left>
      <right/>
      <top style="medium">
        <color rgb="FF80B345"/>
      </top>
      <bottom style="thin">
        <color rgb="FF80B345"/>
      </bottom>
      <diagonal/>
    </border>
    <border>
      <left style="medium">
        <color rgb="FF80B345"/>
      </left>
      <right/>
      <top/>
      <bottom style="medium">
        <color rgb="FF80B345"/>
      </bottom>
      <diagonal/>
    </border>
    <border>
      <left/>
      <right style="medium">
        <color rgb="FF80B345"/>
      </right>
      <top/>
      <bottom style="medium">
        <color rgb="FF80B345"/>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thin">
        <color rgb="FFE149A3"/>
      </left>
      <right style="medium">
        <color rgb="FFE149A3"/>
      </right>
      <top style="medium">
        <color rgb="FFE149A3"/>
      </top>
      <bottom style="thin">
        <color rgb="FFE149A3"/>
      </bottom>
      <diagonal/>
    </border>
    <border>
      <left style="thin">
        <color rgb="FFE149A3"/>
      </left>
      <right style="thin">
        <color rgb="FFE149A3"/>
      </right>
      <top style="thin">
        <color rgb="FFE149A3"/>
      </top>
      <bottom style="thin">
        <color rgb="FFE149A3"/>
      </bottom>
      <diagonal/>
    </border>
    <border>
      <left style="thin">
        <color rgb="FFE149A3"/>
      </left>
      <right style="medium">
        <color rgb="FFE149A3"/>
      </right>
      <top style="thin">
        <color rgb="FFE149A3"/>
      </top>
      <bottom style="thin">
        <color rgb="FFE149A3"/>
      </bottom>
      <diagonal/>
    </border>
    <border>
      <left/>
      <right style="thin">
        <color rgb="FFE149A3"/>
      </right>
      <top style="thin">
        <color rgb="FFE149A3"/>
      </top>
      <bottom style="thin">
        <color rgb="FFE149A3"/>
      </bottom>
      <diagonal/>
    </border>
    <border>
      <left/>
      <right style="thin">
        <color rgb="FFE149A3"/>
      </right>
      <top style="thin">
        <color rgb="FFE149A3"/>
      </top>
      <bottom style="medium">
        <color rgb="FFE149A3"/>
      </bottom>
      <diagonal/>
    </border>
    <border>
      <left style="thin">
        <color rgb="FFE149A3"/>
      </left>
      <right style="thin">
        <color rgb="FFE149A3"/>
      </right>
      <top style="thin">
        <color rgb="FFE149A3"/>
      </top>
      <bottom style="medium">
        <color rgb="FFE149A3"/>
      </bottom>
      <diagonal/>
    </border>
    <border>
      <left style="thin">
        <color rgb="FFE149A3"/>
      </left>
      <right style="medium">
        <color rgb="FFE149A3"/>
      </right>
      <top style="thin">
        <color rgb="FFE149A3"/>
      </top>
      <bottom style="medium">
        <color rgb="FFE149A3"/>
      </bottom>
      <diagonal/>
    </border>
    <border>
      <left style="medium">
        <color rgb="FFE149A3"/>
      </left>
      <right style="thin">
        <color rgb="FFE149A3"/>
      </right>
      <top style="medium">
        <color rgb="FFE149A3"/>
      </top>
      <bottom style="thin">
        <color rgb="FFE149A3"/>
      </bottom>
      <diagonal/>
    </border>
    <border>
      <left style="medium">
        <color rgb="FFE149A3"/>
      </left>
      <right style="thin">
        <color rgb="FFE149A3"/>
      </right>
      <top style="thin">
        <color rgb="FFE149A3"/>
      </top>
      <bottom style="thin">
        <color rgb="FFE149A3"/>
      </bottom>
      <diagonal/>
    </border>
    <border>
      <left style="medium">
        <color rgb="FFE149A3"/>
      </left>
      <right style="thin">
        <color rgb="FFE149A3"/>
      </right>
      <top/>
      <bottom style="thin">
        <color rgb="FFE149A3"/>
      </bottom>
      <diagonal/>
    </border>
    <border>
      <left style="thin">
        <color rgb="FFE149A3"/>
      </left>
      <right style="thin">
        <color rgb="FFE149A3"/>
      </right>
      <top/>
      <bottom style="thin">
        <color rgb="FFE149A3"/>
      </bottom>
      <diagonal/>
    </border>
    <border>
      <left style="medium">
        <color rgb="FFE149A3"/>
      </left>
      <right style="thin">
        <color rgb="FFE149A3"/>
      </right>
      <top/>
      <bottom/>
      <diagonal/>
    </border>
    <border>
      <left style="thin">
        <color rgb="FFE149A3"/>
      </left>
      <right style="thin">
        <color rgb="FFE149A3"/>
      </right>
      <top/>
      <bottom/>
      <diagonal/>
    </border>
    <border>
      <left style="thin">
        <color rgb="FFE149A3"/>
      </left>
      <right style="medium">
        <color rgb="FFE149A3"/>
      </right>
      <top/>
      <bottom/>
      <diagonal/>
    </border>
    <border>
      <left style="medium">
        <color rgb="FFE149A3"/>
      </left>
      <right style="thin">
        <color rgb="FFE149A3"/>
      </right>
      <top style="medium">
        <color rgb="FFE149A3"/>
      </top>
      <bottom style="medium">
        <color rgb="FFE149A3"/>
      </bottom>
      <diagonal/>
    </border>
    <border>
      <left style="thin">
        <color rgb="FFE149A3"/>
      </left>
      <right style="thin">
        <color rgb="FFE149A3"/>
      </right>
      <top style="medium">
        <color rgb="FFE149A3"/>
      </top>
      <bottom style="medium">
        <color rgb="FFE149A3"/>
      </bottom>
      <diagonal/>
    </border>
    <border>
      <left style="thin">
        <color rgb="FFE149A3"/>
      </left>
      <right style="medium">
        <color rgb="FFE149A3"/>
      </right>
      <top style="medium">
        <color rgb="FFE149A3"/>
      </top>
      <bottom style="medium">
        <color rgb="FFE149A3"/>
      </bottom>
      <diagonal/>
    </border>
    <border>
      <left/>
      <right style="thin">
        <color rgb="FFCB3F92"/>
      </right>
      <top style="thin">
        <color rgb="FFCB3F92"/>
      </top>
      <bottom style="thin">
        <color rgb="FFCB3F92"/>
      </bottom>
      <diagonal/>
    </border>
    <border>
      <left style="thin">
        <color rgb="FFCB3F92"/>
      </left>
      <right style="thin">
        <color rgb="FFCB3F92"/>
      </right>
      <top style="thin">
        <color rgb="FFCB3F92"/>
      </top>
      <bottom style="thin">
        <color rgb="FFCB3F92"/>
      </bottom>
      <diagonal/>
    </border>
    <border>
      <left style="thin">
        <color rgb="FFCB3F92"/>
      </left>
      <right style="medium">
        <color rgb="FFCB3F92"/>
      </right>
      <top style="thin">
        <color rgb="FFCB3F92"/>
      </top>
      <bottom style="thin">
        <color rgb="FFCB3F92"/>
      </bottom>
      <diagonal/>
    </border>
    <border>
      <left style="thin">
        <color rgb="FFE149A3"/>
      </left>
      <right/>
      <top/>
      <bottom style="thin">
        <color rgb="FFE149A3"/>
      </bottom>
      <diagonal/>
    </border>
    <border>
      <left style="thin">
        <color rgb="FFE149A3"/>
      </left>
      <right/>
      <top style="thin">
        <color rgb="FFE149A3"/>
      </top>
      <bottom style="thin">
        <color rgb="FFE149A3"/>
      </bottom>
      <diagonal/>
    </border>
    <border>
      <left style="thin">
        <color rgb="FFE149A3"/>
      </left>
      <right/>
      <top style="thin">
        <color rgb="FFE149A3"/>
      </top>
      <bottom style="medium">
        <color rgb="FFE149A3"/>
      </bottom>
      <diagonal/>
    </border>
    <border>
      <left/>
      <right style="thin">
        <color rgb="FFE149A3"/>
      </right>
      <top/>
      <bottom style="thin">
        <color rgb="FFE149A3"/>
      </bottom>
      <diagonal/>
    </border>
    <border>
      <left style="medium">
        <color rgb="FFE149A3"/>
      </left>
      <right style="thin">
        <color rgb="FFE149A3"/>
      </right>
      <top style="thin">
        <color rgb="FFE149A3"/>
      </top>
      <bottom style="medium">
        <color rgb="FFE149A3"/>
      </bottom>
      <diagonal/>
    </border>
    <border>
      <left/>
      <right/>
      <top style="thin">
        <color rgb="FFCB3F92"/>
      </top>
      <bottom/>
      <diagonal/>
    </border>
    <border>
      <left/>
      <right style="medium">
        <color rgb="FFCB3F92"/>
      </right>
      <top style="thin">
        <color rgb="FFCB3F92"/>
      </top>
      <bottom/>
      <diagonal/>
    </border>
    <border>
      <left/>
      <right/>
      <top/>
      <bottom style="medium">
        <color rgb="FFCB3F92"/>
      </bottom>
      <diagonal/>
    </border>
    <border>
      <left/>
      <right style="medium">
        <color rgb="FFCB3F92"/>
      </right>
      <top/>
      <bottom style="medium">
        <color rgb="FFCB3F92"/>
      </bottom>
      <diagonal/>
    </border>
    <border>
      <left/>
      <right style="thin">
        <color rgb="FFCB3F92"/>
      </right>
      <top style="thin">
        <color rgb="FFCB3F92"/>
      </top>
      <bottom/>
      <diagonal/>
    </border>
    <border>
      <left style="thin">
        <color rgb="FFCB3F92"/>
      </left>
      <right style="thin">
        <color rgb="FFCB3F92"/>
      </right>
      <top style="thin">
        <color rgb="FFCB3F92"/>
      </top>
      <bottom/>
      <diagonal/>
    </border>
    <border>
      <left style="thin">
        <color rgb="FFCB3F92"/>
      </left>
      <right style="medium">
        <color rgb="FFCB3F92"/>
      </right>
      <top style="thin">
        <color rgb="FFCB3F92"/>
      </top>
      <bottom/>
      <diagonal/>
    </border>
    <border>
      <left style="thin">
        <color rgb="FFCB3F92"/>
      </left>
      <right style="thin">
        <color rgb="FFCB3F92"/>
      </right>
      <top/>
      <bottom style="thin">
        <color rgb="FFCB3F92"/>
      </bottom>
      <diagonal/>
    </border>
    <border>
      <left style="thin">
        <color rgb="FFCB3F92"/>
      </left>
      <right style="medium">
        <color rgb="FFCB3F92"/>
      </right>
      <top/>
      <bottom style="thin">
        <color rgb="FFCB3F92"/>
      </bottom>
      <diagonal/>
    </border>
    <border>
      <left/>
      <right style="thin">
        <color rgb="FFCB3F92"/>
      </right>
      <top/>
      <bottom style="thin">
        <color rgb="FFCB3F92"/>
      </bottom>
      <diagonal/>
    </border>
    <border>
      <left style="thin">
        <color rgb="FFE149A3"/>
      </left>
      <right style="medium">
        <color rgb="FFCB3F92"/>
      </right>
      <top style="thin">
        <color rgb="FFE149A3"/>
      </top>
      <bottom style="medium">
        <color rgb="FFE149A3"/>
      </bottom>
      <diagonal/>
    </border>
    <border>
      <left style="thin">
        <color rgb="FFCB3F92"/>
      </left>
      <right/>
      <top style="thin">
        <color rgb="FFCB3F92"/>
      </top>
      <bottom style="thin">
        <color rgb="FFCB3F92"/>
      </bottom>
      <diagonal/>
    </border>
    <border>
      <left style="thin">
        <color rgb="FFCB3F92"/>
      </left>
      <right/>
      <top style="thin">
        <color rgb="FFCB3F92"/>
      </top>
      <bottom/>
      <diagonal/>
    </border>
    <border>
      <left style="medium">
        <color rgb="FFCB3F92"/>
      </left>
      <right style="thin">
        <color rgb="FFCB3F92"/>
      </right>
      <top style="thin">
        <color rgb="FFCB3F92"/>
      </top>
      <bottom style="thin">
        <color rgb="FFCB3F92"/>
      </bottom>
      <diagonal/>
    </border>
    <border>
      <left style="medium">
        <color rgb="FFCB3F92"/>
      </left>
      <right style="thin">
        <color rgb="FFCB3F92"/>
      </right>
      <top style="thin">
        <color rgb="FFCB3F92"/>
      </top>
      <bottom style="thin">
        <color rgb="FFE149A3"/>
      </bottom>
      <diagonal/>
    </border>
    <border>
      <left style="thin">
        <color rgb="FFCB3F92"/>
      </left>
      <right style="medium">
        <color rgb="FFCB3F92"/>
      </right>
      <top style="thin">
        <color rgb="FFCB3F92"/>
      </top>
      <bottom style="thin">
        <color rgb="FFE149A3"/>
      </bottom>
      <diagonal/>
    </border>
    <border>
      <left style="medium">
        <color rgb="FFCB3F92"/>
      </left>
      <right style="thin">
        <color rgb="FFCB3F92"/>
      </right>
      <top style="thin">
        <color rgb="FFCB3F92"/>
      </top>
      <bottom/>
      <diagonal/>
    </border>
    <border>
      <left style="medium">
        <color rgb="FFCB3F92"/>
      </left>
      <right style="thin">
        <color rgb="FFE149A3"/>
      </right>
      <top style="thin">
        <color rgb="FFE149A3"/>
      </top>
      <bottom style="medium">
        <color rgb="FFE149A3"/>
      </bottom>
      <diagonal/>
    </border>
    <border>
      <left style="thin">
        <color rgb="FFCB3F92"/>
      </left>
      <right style="thin">
        <color rgb="FFCB3F92"/>
      </right>
      <top style="medium">
        <color rgb="FFE149A3"/>
      </top>
      <bottom style="thin">
        <color rgb="FFCB3F92"/>
      </bottom>
      <diagonal/>
    </border>
    <border>
      <left style="thin">
        <color rgb="FFCB3F92"/>
      </left>
      <right/>
      <top/>
      <bottom style="thin">
        <color rgb="FFCB3F92"/>
      </bottom>
      <diagonal/>
    </border>
    <border>
      <left style="medium">
        <color rgb="FF839FDE"/>
      </left>
      <right style="thin">
        <color rgb="FFE149A3"/>
      </right>
      <top style="thin">
        <color rgb="FFE149A3"/>
      </top>
      <bottom style="thin">
        <color rgb="FFE149A3"/>
      </bottom>
      <diagonal/>
    </border>
    <border>
      <left style="medium">
        <color rgb="FF839FDE"/>
      </left>
      <right style="thin">
        <color rgb="FFE149A3"/>
      </right>
      <top style="thin">
        <color rgb="FFE149A3"/>
      </top>
      <bottom style="medium">
        <color rgb="FFCB3F92"/>
      </bottom>
      <diagonal/>
    </border>
    <border>
      <left style="thin">
        <color rgb="FFE149A3"/>
      </left>
      <right style="thin">
        <color rgb="FFE149A3"/>
      </right>
      <top style="thin">
        <color rgb="FFE149A3"/>
      </top>
      <bottom style="medium">
        <color rgb="FFCB3F92"/>
      </bottom>
      <diagonal/>
    </border>
    <border>
      <left style="thin">
        <color rgb="FFE149A3"/>
      </left>
      <right/>
      <top style="thin">
        <color rgb="FFE149A3"/>
      </top>
      <bottom style="medium">
        <color rgb="FFCB3F92"/>
      </bottom>
      <diagonal/>
    </border>
    <border>
      <left style="medium">
        <color rgb="FFE149A3"/>
      </left>
      <right style="thin">
        <color rgb="FFE149A3"/>
      </right>
      <top style="thin">
        <color rgb="FFE149A3"/>
      </top>
      <bottom style="medium">
        <color rgb="FFCB3F92"/>
      </bottom>
      <diagonal/>
    </border>
    <border>
      <left style="thin">
        <color rgb="FFE149A3"/>
      </left>
      <right style="medium">
        <color rgb="FFE149A3"/>
      </right>
      <top style="thin">
        <color rgb="FFE149A3"/>
      </top>
      <bottom style="medium">
        <color rgb="FFCB3F92"/>
      </bottom>
      <diagonal/>
    </border>
    <border>
      <left/>
      <right style="thin">
        <color rgb="FFE149A3"/>
      </right>
      <top style="thin">
        <color rgb="FFE149A3"/>
      </top>
      <bottom style="medium">
        <color rgb="FFCB3F92"/>
      </bottom>
      <diagonal/>
    </border>
    <border>
      <left/>
      <right style="thin">
        <color rgb="FFE149A3"/>
      </right>
      <top/>
      <bottom/>
      <diagonal/>
    </border>
    <border>
      <left style="thin">
        <color rgb="FFE149A3"/>
      </left>
      <right/>
      <top/>
      <bottom/>
      <diagonal/>
    </border>
    <border>
      <left style="medium">
        <color rgb="FF95B6EC"/>
      </left>
      <right style="thin">
        <color rgb="FF95B6EC"/>
      </right>
      <top style="thin">
        <color rgb="FF95B6EC"/>
      </top>
      <bottom style="medium">
        <color rgb="FF9DB4DC"/>
      </bottom>
      <diagonal/>
    </border>
    <border>
      <left style="medium">
        <color theme="9"/>
      </left>
      <right style="thin">
        <color rgb="FF80B345"/>
      </right>
      <top style="thin">
        <color rgb="FF80B345"/>
      </top>
      <bottom style="thin">
        <color rgb="FF80B345"/>
      </bottom>
      <diagonal/>
    </border>
    <border>
      <left style="medium">
        <color theme="9"/>
      </left>
      <right style="thin">
        <color rgb="FF80B345"/>
      </right>
      <top style="thin">
        <color rgb="FF80B345"/>
      </top>
      <bottom style="medium">
        <color rgb="FF80B345"/>
      </bottom>
      <diagonal/>
    </border>
    <border>
      <left style="medium">
        <color rgb="FFE149A3"/>
      </left>
      <right/>
      <top style="medium">
        <color rgb="FFE149A3"/>
      </top>
      <bottom/>
      <diagonal/>
    </border>
    <border>
      <left/>
      <right/>
      <top style="medium">
        <color rgb="FFE149A3"/>
      </top>
      <bottom/>
      <diagonal/>
    </border>
    <border>
      <left/>
      <right style="medium">
        <color rgb="FFE149A3"/>
      </right>
      <top style="medium">
        <color rgb="FFE149A3"/>
      </top>
      <bottom/>
      <diagonal/>
    </border>
    <border>
      <left style="medium">
        <color rgb="FFE149A3"/>
      </left>
      <right/>
      <top/>
      <bottom style="medium">
        <color rgb="FFE149A3"/>
      </bottom>
      <diagonal/>
    </border>
    <border>
      <left/>
      <right/>
      <top/>
      <bottom style="medium">
        <color rgb="FFE149A3"/>
      </bottom>
      <diagonal/>
    </border>
    <border>
      <left/>
      <right style="medium">
        <color rgb="FFE149A3"/>
      </right>
      <top/>
      <bottom style="medium">
        <color rgb="FFE149A3"/>
      </bottom>
      <diagonal/>
    </border>
    <border>
      <left style="medium">
        <color rgb="FFCB3F92"/>
      </left>
      <right style="thin">
        <color rgb="FFCB3F92"/>
      </right>
      <top/>
      <bottom style="thin">
        <color rgb="FFCB3F92"/>
      </bottom>
      <diagonal/>
    </border>
    <border>
      <left style="medium">
        <color rgb="FFCB3F92"/>
      </left>
      <right/>
      <top style="thin">
        <color rgb="FFCB3F92"/>
      </top>
      <bottom/>
      <diagonal/>
    </border>
    <border>
      <left style="medium">
        <color rgb="FFCB3F92"/>
      </left>
      <right/>
      <top/>
      <bottom style="medium">
        <color rgb="FFCB3F92"/>
      </bottom>
      <diagonal/>
    </border>
    <border>
      <left/>
      <right style="thin">
        <color rgb="FF95B6EC"/>
      </right>
      <top style="thin">
        <color rgb="FF839FDE"/>
      </top>
      <bottom style="thin">
        <color rgb="FF839FDE"/>
      </bottom>
      <diagonal/>
    </border>
    <border>
      <left style="medium">
        <color theme="9"/>
      </left>
      <right style="thin">
        <color rgb="FF80B345"/>
      </right>
      <top style="medium">
        <color theme="9"/>
      </top>
      <bottom style="thin">
        <color rgb="FF80B345"/>
      </bottom>
      <diagonal/>
    </border>
    <border>
      <left style="thin">
        <color rgb="FF80B345"/>
      </left>
      <right style="thin">
        <color rgb="FF80B345"/>
      </right>
      <top style="medium">
        <color theme="9"/>
      </top>
      <bottom/>
      <diagonal/>
    </border>
    <border>
      <left style="thin">
        <color rgb="FF80B345"/>
      </left>
      <right/>
      <top style="medium">
        <color theme="9"/>
      </top>
      <bottom/>
      <diagonal/>
    </border>
    <border>
      <left style="medium">
        <color rgb="FF80B345"/>
      </left>
      <right style="thin">
        <color rgb="FF80B345"/>
      </right>
      <top style="medium">
        <color theme="9"/>
      </top>
      <bottom/>
      <diagonal/>
    </border>
    <border>
      <left style="thin">
        <color rgb="FF80B345"/>
      </left>
      <right style="medium">
        <color rgb="FF80B345"/>
      </right>
      <top style="medium">
        <color theme="9"/>
      </top>
      <bottom/>
      <diagonal/>
    </border>
    <border>
      <left style="medium">
        <color rgb="FF95B6EC"/>
      </left>
      <right style="thin">
        <color rgb="FF80B345"/>
      </right>
      <top style="medium">
        <color theme="9"/>
      </top>
      <bottom style="thin">
        <color rgb="FF80B345"/>
      </bottom>
      <diagonal/>
    </border>
    <border>
      <left style="medium">
        <color theme="9"/>
      </left>
      <right/>
      <top style="medium">
        <color rgb="FF80B345"/>
      </top>
      <bottom style="medium">
        <color rgb="FF80B345"/>
      </bottom>
      <diagonal/>
    </border>
    <border>
      <left style="medium">
        <color rgb="FF95B6EC"/>
      </left>
      <right/>
      <top style="medium">
        <color rgb="FF839FDE"/>
      </top>
      <bottom/>
      <diagonal/>
    </border>
    <border>
      <left/>
      <right style="medium">
        <color rgb="FF839FDE"/>
      </right>
      <top/>
      <bottom style="medium">
        <color rgb="FF95B6EC"/>
      </bottom>
      <diagonal/>
    </border>
    <border>
      <left/>
      <right style="medium">
        <color rgb="FF839FDE"/>
      </right>
      <top style="medium">
        <color rgb="FF95B6EC"/>
      </top>
      <bottom/>
      <diagonal/>
    </border>
    <border>
      <left/>
      <right style="medium">
        <color rgb="FF839FDE"/>
      </right>
      <top style="medium">
        <color rgb="FF95B6EC"/>
      </top>
      <bottom style="thin">
        <color rgb="FF95B6EC"/>
      </bottom>
      <diagonal/>
    </border>
    <border>
      <left style="thin">
        <color rgb="FF95B6EC"/>
      </left>
      <right style="medium">
        <color rgb="FF839FDE"/>
      </right>
      <top/>
      <bottom style="medium">
        <color rgb="FF9DB4DC"/>
      </bottom>
      <diagonal/>
    </border>
    <border>
      <left style="thin">
        <color rgb="FF95B6EC"/>
      </left>
      <right style="medium">
        <color rgb="FF839FDE"/>
      </right>
      <top style="thin">
        <color rgb="FF95B6EC"/>
      </top>
      <bottom style="medium">
        <color rgb="FF839FDE"/>
      </bottom>
      <diagonal/>
    </border>
    <border>
      <left/>
      <right style="medium">
        <color rgb="FF839FDE"/>
      </right>
      <top style="medium">
        <color rgb="FF95B6EC"/>
      </top>
      <bottom style="medium">
        <color rgb="FF95B6EC"/>
      </bottom>
      <diagonal/>
    </border>
    <border>
      <left style="medium">
        <color rgb="FF7E98D5"/>
      </left>
      <right style="medium">
        <color rgb="FF7E98D5"/>
      </right>
      <top style="medium">
        <color rgb="FF7E98D5"/>
      </top>
      <bottom style="medium">
        <color rgb="FF7E98D5"/>
      </bottom>
      <diagonal/>
    </border>
    <border>
      <left style="medium">
        <color rgb="FF7E98D5"/>
      </left>
      <right style="medium">
        <color rgb="FF7E98D5"/>
      </right>
      <top style="medium">
        <color rgb="FF7E98D5"/>
      </top>
      <bottom/>
      <diagonal/>
    </border>
    <border>
      <left style="medium">
        <color rgb="FF7E98D5"/>
      </left>
      <right style="medium">
        <color rgb="FF7E98D5"/>
      </right>
      <top/>
      <bottom/>
      <diagonal/>
    </border>
    <border>
      <left style="medium">
        <color rgb="FF7E98D5"/>
      </left>
      <right style="medium">
        <color rgb="FF7E98D5"/>
      </right>
      <top/>
      <bottom style="medium">
        <color rgb="FF7E98D5"/>
      </bottom>
      <diagonal/>
    </border>
  </borders>
  <cellStyleXfs count="23">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717">
    <xf numFmtId="0" fontId="0" fillId="0" borderId="0" xfId="0"/>
    <xf numFmtId="3" fontId="1" fillId="0" borderId="0" xfId="0" applyNumberFormat="1" applyFont="1"/>
    <xf numFmtId="0" fontId="0" fillId="0" borderId="0" xfId="0" applyAlignment="1">
      <alignment horizontal="center"/>
    </xf>
    <xf numFmtId="0" fontId="1" fillId="0" borderId="0" xfId="0" applyFont="1"/>
    <xf numFmtId="0" fontId="1" fillId="0" borderId="0" xfId="0" applyFont="1" applyAlignment="1">
      <alignment horizontal="center"/>
    </xf>
    <xf numFmtId="0" fontId="3" fillId="0" borderId="0" xfId="0" applyFont="1"/>
    <xf numFmtId="0" fontId="3" fillId="0" borderId="0" xfId="0" applyFont="1" applyAlignment="1">
      <alignment horizontal="center"/>
    </xf>
    <xf numFmtId="3" fontId="3" fillId="0" borderId="0" xfId="0" applyNumberFormat="1" applyFont="1"/>
    <xf numFmtId="0" fontId="4" fillId="0" borderId="0" xfId="0" applyFont="1" applyAlignment="1">
      <alignment horizontal="center"/>
    </xf>
    <xf numFmtId="0" fontId="4" fillId="0" borderId="0" xfId="0" applyFont="1"/>
    <xf numFmtId="0" fontId="4" fillId="0" borderId="1" xfId="0" applyFont="1" applyBorder="1" applyAlignment="1">
      <alignment horizontal="center"/>
    </xf>
    <xf numFmtId="0" fontId="4" fillId="0" borderId="1" xfId="0" applyFont="1" applyBorder="1"/>
    <xf numFmtId="3" fontId="4" fillId="0" borderId="1" xfId="0" applyNumberFormat="1" applyFont="1" applyBorder="1"/>
    <xf numFmtId="14" fontId="3" fillId="0" borderId="0" xfId="0" applyNumberFormat="1" applyFont="1" applyAlignment="1">
      <alignment horizontal="center"/>
    </xf>
    <xf numFmtId="0" fontId="3" fillId="0" borderId="2" xfId="0" applyFont="1" applyBorder="1" applyAlignment="1">
      <alignment horizontal="center"/>
    </xf>
    <xf numFmtId="0" fontId="3" fillId="0" borderId="0" xfId="0" applyFont="1" applyBorder="1" applyAlignment="1">
      <alignment horizontal="center"/>
    </xf>
    <xf numFmtId="3" fontId="3" fillId="0" borderId="0" xfId="0" applyNumberFormat="1" applyFont="1" applyFill="1"/>
    <xf numFmtId="0" fontId="3" fillId="0" borderId="0" xfId="0" applyFont="1" applyFill="1" applyAlignment="1">
      <alignment horizontal="center"/>
    </xf>
    <xf numFmtId="0" fontId="0" fillId="0" borderId="0" xfId="0" applyFill="1"/>
    <xf numFmtId="0" fontId="3" fillId="0" borderId="0" xfId="0" applyFont="1" applyFill="1" applyBorder="1" applyAlignment="1">
      <alignment horizontal="center"/>
    </xf>
    <xf numFmtId="0" fontId="5" fillId="0" borderId="3" xfId="0" applyFont="1" applyBorder="1"/>
    <xf numFmtId="0" fontId="5" fillId="0" borderId="3" xfId="0" applyFont="1" applyBorder="1" applyAlignment="1">
      <alignment horizontal="center"/>
    </xf>
    <xf numFmtId="0" fontId="5" fillId="0" borderId="0" xfId="0" applyFont="1"/>
    <xf numFmtId="0" fontId="6" fillId="0" borderId="0" xfId="0" applyFont="1"/>
    <xf numFmtId="0" fontId="6" fillId="0" borderId="0" xfId="0" applyFont="1" applyAlignment="1">
      <alignment horizontal="center"/>
    </xf>
    <xf numFmtId="49" fontId="6" fillId="0" borderId="0" xfId="0" applyNumberFormat="1" applyFont="1" applyAlignment="1">
      <alignment horizontal="center"/>
    </xf>
    <xf numFmtId="0" fontId="2" fillId="5" borderId="0" xfId="0" applyFont="1" applyFill="1" applyAlignment="1">
      <alignment horizontal="left"/>
    </xf>
    <xf numFmtId="0" fontId="3" fillId="5" borderId="0" xfId="0" applyFont="1" applyFill="1"/>
    <xf numFmtId="0" fontId="3" fillId="5" borderId="0" xfId="0" applyFont="1" applyFill="1" applyAlignment="1">
      <alignment horizontal="center"/>
    </xf>
    <xf numFmtId="3" fontId="3" fillId="5" borderId="0" xfId="0" applyNumberFormat="1" applyFont="1" applyFill="1"/>
    <xf numFmtId="0" fontId="6" fillId="2" borderId="5" xfId="0" applyFont="1" applyFill="1" applyBorder="1" applyAlignment="1">
      <alignment horizontal="center"/>
    </xf>
    <xf numFmtId="0" fontId="6" fillId="2" borderId="5" xfId="0" applyFont="1" applyFill="1" applyBorder="1" applyAlignment="1">
      <alignment horizontal="center"/>
    </xf>
    <xf numFmtId="49" fontId="6" fillId="4" borderId="11" xfId="0" applyNumberFormat="1" applyFont="1" applyFill="1" applyBorder="1" applyAlignment="1">
      <alignment horizontal="center"/>
    </xf>
    <xf numFmtId="0" fontId="6" fillId="2" borderId="15" xfId="0" applyFont="1" applyFill="1" applyBorder="1" applyAlignment="1">
      <alignment horizontal="center"/>
    </xf>
    <xf numFmtId="0" fontId="6" fillId="2" borderId="17" xfId="0" applyFont="1" applyFill="1" applyBorder="1" applyAlignment="1">
      <alignment horizontal="center"/>
    </xf>
    <xf numFmtId="0" fontId="6" fillId="2" borderId="29" xfId="0" applyFont="1" applyFill="1" applyBorder="1" applyAlignment="1">
      <alignment horizontal="center"/>
    </xf>
    <xf numFmtId="164" fontId="6" fillId="2" borderId="27" xfId="0" applyNumberFormat="1" applyFont="1" applyFill="1" applyBorder="1" applyAlignment="1">
      <alignment horizontal="center"/>
    </xf>
    <xf numFmtId="164" fontId="6" fillId="2" borderId="28" xfId="0" applyNumberFormat="1" applyFont="1" applyFill="1" applyBorder="1" applyAlignment="1">
      <alignment horizontal="center"/>
    </xf>
    <xf numFmtId="0" fontId="6" fillId="6" borderId="15" xfId="0" applyFont="1" applyFill="1" applyBorder="1" applyAlignment="1">
      <alignment horizontal="center"/>
    </xf>
    <xf numFmtId="164" fontId="6" fillId="6" borderId="27" xfId="0" applyNumberFormat="1" applyFont="1" applyFill="1" applyBorder="1" applyAlignment="1">
      <alignment horizontal="center"/>
    </xf>
    <xf numFmtId="0" fontId="6" fillId="6" borderId="5" xfId="0" applyFont="1" applyFill="1" applyBorder="1" applyAlignment="1">
      <alignment horizontal="center"/>
    </xf>
    <xf numFmtId="0" fontId="5" fillId="0" borderId="0" xfId="0" applyFont="1" applyAlignment="1">
      <alignment horizontal="center"/>
    </xf>
    <xf numFmtId="0" fontId="5" fillId="3" borderId="53" xfId="0" applyFont="1" applyFill="1" applyBorder="1" applyAlignment="1">
      <alignment horizontal="center"/>
    </xf>
    <xf numFmtId="0" fontId="5" fillId="0" borderId="0" xfId="0" applyFont="1" applyAlignment="1">
      <alignment horizontal="right"/>
    </xf>
    <xf numFmtId="0" fontId="5" fillId="3" borderId="59" xfId="0" applyFont="1" applyFill="1" applyBorder="1" applyAlignment="1">
      <alignment horizontal="center"/>
    </xf>
    <xf numFmtId="0" fontId="5" fillId="7" borderId="61" xfId="0" applyFont="1" applyFill="1" applyBorder="1" applyAlignment="1">
      <alignment horizontal="center"/>
    </xf>
    <xf numFmtId="0" fontId="5" fillId="6" borderId="62" xfId="0" applyFont="1" applyFill="1" applyBorder="1" applyAlignment="1">
      <alignment horizontal="center"/>
    </xf>
    <xf numFmtId="0" fontId="17" fillId="9" borderId="63" xfId="0" applyFont="1" applyFill="1" applyBorder="1" applyAlignment="1">
      <alignment horizontal="center"/>
    </xf>
    <xf numFmtId="0" fontId="5" fillId="8" borderId="64" xfId="0" applyFont="1" applyFill="1" applyBorder="1" applyAlignment="1">
      <alignment horizontal="center"/>
    </xf>
    <xf numFmtId="0" fontId="6" fillId="9" borderId="0" xfId="0" applyFont="1" applyFill="1"/>
    <xf numFmtId="0" fontId="6" fillId="9" borderId="0" xfId="0" applyFont="1" applyFill="1" applyAlignment="1">
      <alignment horizontal="center"/>
    </xf>
    <xf numFmtId="0" fontId="9" fillId="6" borderId="47" xfId="0" applyFont="1" applyFill="1" applyBorder="1" applyAlignment="1">
      <alignment horizontal="center"/>
    </xf>
    <xf numFmtId="164" fontId="9" fillId="6" borderId="48" xfId="0" applyNumberFormat="1" applyFont="1" applyFill="1" applyBorder="1" applyAlignment="1">
      <alignment horizontal="center"/>
    </xf>
    <xf numFmtId="0" fontId="9" fillId="6" borderId="15" xfId="0" applyFont="1" applyFill="1" applyBorder="1" applyAlignment="1">
      <alignment horizontal="center"/>
    </xf>
    <xf numFmtId="164" fontId="9" fillId="6" borderId="50" xfId="0" applyNumberFormat="1" applyFont="1" applyFill="1" applyBorder="1" applyAlignment="1">
      <alignment horizontal="center"/>
    </xf>
    <xf numFmtId="0" fontId="20" fillId="2" borderId="60" xfId="0" applyFont="1" applyFill="1" applyBorder="1" applyAlignment="1">
      <alignment horizontal="right"/>
    </xf>
    <xf numFmtId="0" fontId="6" fillId="2" borderId="39" xfId="0" applyFont="1" applyFill="1" applyBorder="1"/>
    <xf numFmtId="0" fontId="6" fillId="2" borderId="42" xfId="0" applyFont="1" applyFill="1" applyBorder="1" applyAlignment="1">
      <alignment vertical="top" wrapText="1"/>
    </xf>
    <xf numFmtId="0" fontId="9" fillId="6" borderId="65" xfId="0" applyFont="1" applyFill="1" applyBorder="1" applyAlignment="1">
      <alignment horizontal="center"/>
    </xf>
    <xf numFmtId="0" fontId="6" fillId="2" borderId="5" xfId="0" applyFont="1" applyFill="1" applyBorder="1" applyAlignment="1">
      <alignment horizontal="center"/>
    </xf>
    <xf numFmtId="0" fontId="6" fillId="10" borderId="0" xfId="0" applyFont="1" applyFill="1"/>
    <xf numFmtId="0" fontId="6" fillId="4" borderId="0" xfId="0" applyFont="1" applyFill="1"/>
    <xf numFmtId="0" fontId="6" fillId="0" borderId="0" xfId="0" applyFont="1" applyBorder="1"/>
    <xf numFmtId="0" fontId="6" fillId="0" borderId="0" xfId="0" applyFont="1" applyBorder="1" applyAlignment="1">
      <alignment horizontal="center"/>
    </xf>
    <xf numFmtId="49" fontId="6" fillId="4" borderId="67" xfId="0" applyNumberFormat="1" applyFont="1" applyFill="1" applyBorder="1" applyAlignment="1">
      <alignment horizontal="center"/>
    </xf>
    <xf numFmtId="0" fontId="6" fillId="6" borderId="68" xfId="0" applyFont="1" applyFill="1" applyBorder="1" applyAlignment="1">
      <alignment horizontal="center"/>
    </xf>
    <xf numFmtId="164" fontId="6" fillId="6" borderId="69" xfId="0" applyNumberFormat="1" applyFont="1" applyFill="1" applyBorder="1" applyAlignment="1">
      <alignment horizontal="center"/>
    </xf>
    <xf numFmtId="0" fontId="6" fillId="2" borderId="68" xfId="0" applyFont="1" applyFill="1" applyBorder="1" applyAlignment="1">
      <alignment horizontal="center"/>
    </xf>
    <xf numFmtId="164" fontId="6" fillId="2" borderId="69" xfId="0" applyNumberFormat="1" applyFont="1" applyFill="1" applyBorder="1" applyAlignment="1">
      <alignment horizontal="center"/>
    </xf>
    <xf numFmtId="0" fontId="6" fillId="2" borderId="7" xfId="0" applyFont="1" applyFill="1" applyBorder="1" applyAlignment="1">
      <alignment horizontal="center"/>
    </xf>
    <xf numFmtId="0" fontId="12" fillId="2" borderId="70" xfId="0" applyFont="1" applyFill="1" applyBorder="1" applyAlignment="1">
      <alignment horizontal="center" vertical="center" textRotation="90"/>
    </xf>
    <xf numFmtId="0" fontId="12" fillId="2" borderId="70" xfId="0" applyFont="1" applyFill="1" applyBorder="1" applyAlignment="1">
      <alignment horizontal="center" vertical="center" textRotation="90" wrapText="1"/>
    </xf>
    <xf numFmtId="0" fontId="12" fillId="2" borderId="72" xfId="0" applyFont="1" applyFill="1" applyBorder="1" applyAlignment="1">
      <alignment horizontal="center" vertical="center" textRotation="90"/>
    </xf>
    <xf numFmtId="0" fontId="6" fillId="2" borderId="31" xfId="0" applyFont="1" applyFill="1" applyBorder="1" applyAlignment="1">
      <alignment horizontal="center"/>
    </xf>
    <xf numFmtId="164" fontId="6" fillId="2" borderId="35" xfId="0" applyNumberFormat="1" applyFont="1" applyFill="1" applyBorder="1" applyAlignment="1">
      <alignment horizontal="center"/>
    </xf>
    <xf numFmtId="0" fontId="6" fillId="2" borderId="6" xfId="0" applyFont="1" applyFill="1" applyBorder="1" applyAlignment="1">
      <alignment horizontal="center"/>
    </xf>
    <xf numFmtId="0" fontId="6" fillId="2" borderId="5" xfId="0" applyFont="1" applyFill="1" applyBorder="1" applyAlignment="1">
      <alignment horizontal="center"/>
    </xf>
    <xf numFmtId="164" fontId="12" fillId="2" borderId="71" xfId="0" applyNumberFormat="1" applyFont="1" applyFill="1" applyBorder="1" applyAlignment="1">
      <alignment horizontal="center" vertical="center" textRotation="90"/>
    </xf>
    <xf numFmtId="164" fontId="12" fillId="2" borderId="35" xfId="0" applyNumberFormat="1" applyFont="1" applyFill="1" applyBorder="1" applyAlignment="1">
      <alignment horizontal="center" vertical="center" textRotation="90"/>
    </xf>
    <xf numFmtId="49" fontId="6" fillId="4" borderId="11" xfId="0" applyNumberFormat="1" applyFont="1" applyFill="1" applyBorder="1" applyAlignment="1">
      <alignment horizontal="center" shrinkToFit="1"/>
    </xf>
    <xf numFmtId="0" fontId="6" fillId="0" borderId="0" xfId="0" applyFont="1" applyAlignment="1">
      <alignment horizontal="center" shrinkToFit="1"/>
    </xf>
    <xf numFmtId="0" fontId="6" fillId="9" borderId="0" xfId="0" applyFont="1" applyFill="1" applyAlignment="1">
      <alignment horizontal="center" shrinkToFit="1"/>
    </xf>
    <xf numFmtId="0" fontId="6" fillId="11" borderId="0" xfId="0" applyFont="1" applyFill="1"/>
    <xf numFmtId="0" fontId="6" fillId="12" borderId="0" xfId="0" applyFont="1" applyFill="1"/>
    <xf numFmtId="0" fontId="6" fillId="13" borderId="0" xfId="0" applyFont="1" applyFill="1"/>
    <xf numFmtId="49" fontId="6" fillId="4" borderId="86" xfId="0" applyNumberFormat="1" applyFont="1" applyFill="1" applyBorder="1" applyAlignment="1">
      <alignment horizontal="center"/>
    </xf>
    <xf numFmtId="49" fontId="6" fillId="4" borderId="87" xfId="0" applyNumberFormat="1" applyFont="1" applyFill="1" applyBorder="1" applyAlignment="1">
      <alignment horizontal="center"/>
    </xf>
    <xf numFmtId="49" fontId="6" fillId="4" borderId="88" xfId="0" applyNumberFormat="1" applyFont="1" applyFill="1" applyBorder="1" applyAlignment="1">
      <alignment horizontal="center"/>
    </xf>
    <xf numFmtId="49" fontId="6" fillId="4" borderId="89" xfId="0" applyNumberFormat="1" applyFont="1" applyFill="1" applyBorder="1" applyAlignment="1">
      <alignment horizontal="center"/>
    </xf>
    <xf numFmtId="0" fontId="6" fillId="3" borderId="93" xfId="0" applyFont="1" applyFill="1" applyBorder="1" applyAlignment="1">
      <alignment horizontal="center"/>
    </xf>
    <xf numFmtId="0" fontId="6" fillId="3" borderId="94" xfId="0" applyFont="1" applyFill="1" applyBorder="1" applyAlignment="1">
      <alignment horizontal="center"/>
    </xf>
    <xf numFmtId="0" fontId="5" fillId="0" borderId="95" xfId="0" applyFont="1" applyBorder="1"/>
    <xf numFmtId="0" fontId="5" fillId="0" borderId="66" xfId="0" applyFont="1" applyBorder="1"/>
    <xf numFmtId="0" fontId="6" fillId="0" borderId="66" xfId="0" applyFont="1" applyBorder="1"/>
    <xf numFmtId="0" fontId="12" fillId="14" borderId="70" xfId="0" applyFont="1" applyFill="1" applyBorder="1" applyAlignment="1">
      <alignment horizontal="center" vertical="center" textRotation="90"/>
    </xf>
    <xf numFmtId="0" fontId="6" fillId="14" borderId="15" xfId="0" applyFont="1" applyFill="1" applyBorder="1" applyAlignment="1">
      <alignment horizontal="center"/>
    </xf>
    <xf numFmtId="0" fontId="6" fillId="14" borderId="31" xfId="0" applyFont="1" applyFill="1" applyBorder="1" applyAlignment="1">
      <alignment horizontal="center"/>
    </xf>
    <xf numFmtId="0" fontId="6" fillId="14" borderId="17" xfId="0" applyFont="1" applyFill="1" applyBorder="1" applyAlignment="1">
      <alignment horizontal="center"/>
    </xf>
    <xf numFmtId="0" fontId="12" fillId="14" borderId="71" xfId="0" applyFont="1" applyFill="1" applyBorder="1" applyAlignment="1">
      <alignment horizontal="center" vertical="center" textRotation="90"/>
    </xf>
    <xf numFmtId="0" fontId="6" fillId="14" borderId="27" xfId="0" applyFont="1" applyFill="1" applyBorder="1" applyAlignment="1">
      <alignment horizontal="center"/>
    </xf>
    <xf numFmtId="0" fontId="6" fillId="14" borderId="35" xfId="0" applyFont="1" applyFill="1" applyBorder="1" applyAlignment="1">
      <alignment horizontal="center"/>
    </xf>
    <xf numFmtId="0" fontId="6" fillId="14" borderId="28" xfId="0" applyFont="1" applyFill="1" applyBorder="1" applyAlignment="1">
      <alignment horizontal="center"/>
    </xf>
    <xf numFmtId="1" fontId="6" fillId="14" borderId="27" xfId="0" applyNumberFormat="1" applyFont="1" applyFill="1" applyBorder="1" applyAlignment="1">
      <alignment horizontal="center"/>
    </xf>
    <xf numFmtId="0" fontId="6" fillId="0" borderId="105" xfId="0" applyFont="1" applyBorder="1"/>
    <xf numFmtId="0" fontId="12" fillId="2" borderId="106" xfId="0" applyFont="1" applyFill="1" applyBorder="1" applyAlignment="1">
      <alignment horizontal="center" vertical="center" textRotation="90"/>
    </xf>
    <xf numFmtId="0" fontId="6" fillId="2" borderId="107" xfId="0" applyFont="1" applyFill="1" applyBorder="1" applyAlignment="1">
      <alignment horizontal="center"/>
    </xf>
    <xf numFmtId="0" fontId="6" fillId="2" borderId="108" xfId="0" applyFont="1" applyFill="1" applyBorder="1" applyAlignment="1">
      <alignment horizontal="center"/>
    </xf>
    <xf numFmtId="0" fontId="6" fillId="2" borderId="109" xfId="0" applyFont="1" applyFill="1" applyBorder="1" applyAlignment="1">
      <alignment horizontal="center"/>
    </xf>
    <xf numFmtId="0" fontId="6" fillId="2" borderId="110" xfId="0" applyFont="1" applyFill="1" applyBorder="1" applyAlignment="1">
      <alignment horizontal="center"/>
    </xf>
    <xf numFmtId="49" fontId="6" fillId="4" borderId="102" xfId="0" applyNumberFormat="1" applyFont="1" applyFill="1" applyBorder="1" applyAlignment="1">
      <alignment horizontal="center"/>
    </xf>
    <xf numFmtId="49" fontId="6" fillId="4" borderId="114" xfId="0" applyNumberFormat="1" applyFont="1" applyFill="1" applyBorder="1" applyAlignment="1">
      <alignment horizontal="center"/>
    </xf>
    <xf numFmtId="49" fontId="6" fillId="4" borderId="86" xfId="0" applyNumberFormat="1" applyFont="1" applyFill="1" applyBorder="1" applyAlignment="1">
      <alignment horizontal="center" shrinkToFit="1"/>
    </xf>
    <xf numFmtId="49" fontId="6" fillId="4" borderId="87" xfId="0" applyNumberFormat="1" applyFont="1" applyFill="1" applyBorder="1" applyAlignment="1">
      <alignment horizontal="center" shrinkToFit="1"/>
    </xf>
    <xf numFmtId="49" fontId="6" fillId="4" borderId="116" xfId="0" applyNumberFormat="1" applyFont="1" applyFill="1" applyBorder="1" applyAlignment="1">
      <alignment horizontal="center"/>
    </xf>
    <xf numFmtId="0" fontId="6" fillId="3" borderId="117" xfId="0" applyFont="1" applyFill="1" applyBorder="1" applyAlignment="1">
      <alignment horizontal="center"/>
    </xf>
    <xf numFmtId="49" fontId="6" fillId="4" borderId="121" xfId="0" applyNumberFormat="1" applyFont="1" applyFill="1" applyBorder="1" applyAlignment="1">
      <alignment horizontal="center"/>
    </xf>
    <xf numFmtId="49" fontId="6" fillId="4" borderId="122" xfId="0" applyNumberFormat="1" applyFont="1" applyFill="1" applyBorder="1" applyAlignment="1">
      <alignment horizontal="center"/>
    </xf>
    <xf numFmtId="49" fontId="6" fillId="4" borderId="123" xfId="0" applyNumberFormat="1" applyFont="1" applyFill="1" applyBorder="1" applyAlignment="1">
      <alignment horizontal="center"/>
    </xf>
    <xf numFmtId="0" fontId="6" fillId="13" borderId="15" xfId="0" applyFont="1" applyFill="1" applyBorder="1" applyAlignment="1">
      <alignment horizontal="center"/>
    </xf>
    <xf numFmtId="0" fontId="6" fillId="13" borderId="27" xfId="0" applyFont="1" applyFill="1" applyBorder="1" applyAlignment="1">
      <alignment horizontal="center"/>
    </xf>
    <xf numFmtId="0" fontId="6" fillId="4" borderId="0" xfId="0" applyFont="1" applyFill="1" applyBorder="1"/>
    <xf numFmtId="0" fontId="6" fillId="12" borderId="0" xfId="0" applyFont="1" applyFill="1" applyBorder="1"/>
    <xf numFmtId="0" fontId="6" fillId="10" borderId="0" xfId="0" applyFont="1" applyFill="1" applyBorder="1"/>
    <xf numFmtId="0" fontId="6" fillId="11" borderId="0" xfId="0" applyFont="1" applyFill="1" applyBorder="1"/>
    <xf numFmtId="0" fontId="5" fillId="0" borderId="135" xfId="0" applyFont="1" applyBorder="1" applyAlignment="1">
      <alignment horizontal="center"/>
    </xf>
    <xf numFmtId="0" fontId="5" fillId="0" borderId="135" xfId="0" applyFont="1" applyBorder="1"/>
    <xf numFmtId="164" fontId="22" fillId="15" borderId="132" xfId="0" applyNumberFormat="1" applyFont="1" applyFill="1" applyBorder="1" applyAlignment="1">
      <alignment horizontal="center"/>
    </xf>
    <xf numFmtId="164" fontId="22" fillId="15" borderId="150" xfId="0" applyNumberFormat="1" applyFont="1" applyFill="1" applyBorder="1" applyAlignment="1">
      <alignment horizontal="center"/>
    </xf>
    <xf numFmtId="164" fontId="22" fillId="15" borderId="133" xfId="0" applyNumberFormat="1" applyFont="1" applyFill="1" applyBorder="1" applyAlignment="1">
      <alignment horizontal="center"/>
    </xf>
    <xf numFmtId="164" fontId="22" fillId="15" borderId="154" xfId="0" applyNumberFormat="1" applyFont="1" applyFill="1" applyBorder="1" applyAlignment="1">
      <alignment horizontal="center"/>
    </xf>
    <xf numFmtId="164" fontId="22" fillId="15" borderId="168" xfId="0" applyNumberFormat="1" applyFont="1" applyFill="1" applyBorder="1" applyAlignment="1">
      <alignment horizontal="center"/>
    </xf>
    <xf numFmtId="164" fontId="6" fillId="2" borderId="5" xfId="0" applyNumberFormat="1" applyFont="1" applyFill="1" applyBorder="1" applyAlignment="1">
      <alignment horizontal="center"/>
    </xf>
    <xf numFmtId="164" fontId="22" fillId="15" borderId="130" xfId="0" applyNumberFormat="1" applyFont="1" applyFill="1" applyBorder="1" applyAlignment="1">
      <alignment horizontal="center"/>
    </xf>
    <xf numFmtId="164" fontId="22" fillId="15" borderId="149" xfId="0" applyNumberFormat="1" applyFont="1" applyFill="1" applyBorder="1" applyAlignment="1">
      <alignment horizontal="center"/>
    </xf>
    <xf numFmtId="164" fontId="22" fillId="15" borderId="131" xfId="0" applyNumberFormat="1" applyFont="1" applyFill="1" applyBorder="1" applyAlignment="1">
      <alignment horizontal="center"/>
    </xf>
    <xf numFmtId="164" fontId="22" fillId="15" borderId="159" xfId="0" applyNumberFormat="1" applyFont="1" applyFill="1" applyBorder="1" applyAlignment="1">
      <alignment horizontal="center"/>
    </xf>
    <xf numFmtId="164" fontId="22" fillId="15" borderId="166" xfId="0" applyNumberFormat="1" applyFont="1" applyFill="1" applyBorder="1" applyAlignment="1">
      <alignment horizontal="center"/>
    </xf>
    <xf numFmtId="164" fontId="6" fillId="2" borderId="118" xfId="0" applyNumberFormat="1" applyFont="1" applyFill="1" applyBorder="1" applyAlignment="1">
      <alignment horizontal="center"/>
    </xf>
    <xf numFmtId="164" fontId="22" fillId="15" borderId="170" xfId="0" applyNumberFormat="1" applyFont="1" applyFill="1" applyBorder="1" applyAlignment="1">
      <alignment horizontal="center"/>
    </xf>
    <xf numFmtId="164" fontId="22" fillId="15" borderId="171" xfId="0" applyNumberFormat="1" applyFont="1" applyFill="1" applyBorder="1" applyAlignment="1">
      <alignment horizontal="center"/>
    </xf>
    <xf numFmtId="164" fontId="22" fillId="15" borderId="153" xfId="0" applyNumberFormat="1" applyFont="1" applyFill="1" applyBorder="1" applyAlignment="1">
      <alignment horizontal="center"/>
    </xf>
    <xf numFmtId="164" fontId="22" fillId="15" borderId="141" xfId="0" applyNumberFormat="1" applyFont="1" applyFill="1" applyBorder="1" applyAlignment="1">
      <alignment horizontal="center"/>
    </xf>
    <xf numFmtId="164" fontId="6" fillId="2" borderId="15" xfId="0" applyNumberFormat="1" applyFont="1" applyFill="1" applyBorder="1" applyAlignment="1">
      <alignment horizontal="center"/>
    </xf>
    <xf numFmtId="164" fontId="6" fillId="2" borderId="177" xfId="0" applyNumberFormat="1" applyFont="1" applyFill="1" applyBorder="1" applyAlignment="1">
      <alignment horizontal="center"/>
    </xf>
    <xf numFmtId="164" fontId="22" fillId="15" borderId="178" xfId="0" applyNumberFormat="1" applyFont="1" applyFill="1" applyBorder="1" applyAlignment="1">
      <alignment horizontal="center"/>
    </xf>
    <xf numFmtId="0" fontId="17" fillId="3" borderId="59" xfId="0" applyFont="1" applyFill="1" applyBorder="1" applyAlignment="1">
      <alignment horizontal="center"/>
    </xf>
    <xf numFmtId="0" fontId="17" fillId="7" borderId="61" xfId="0" applyFont="1" applyFill="1" applyBorder="1" applyAlignment="1">
      <alignment horizontal="center"/>
    </xf>
    <xf numFmtId="0" fontId="17" fillId="6" borderId="62" xfId="0" applyFont="1" applyFill="1" applyBorder="1" applyAlignment="1">
      <alignment horizontal="center"/>
    </xf>
    <xf numFmtId="1" fontId="17" fillId="7" borderId="61" xfId="0" applyNumberFormat="1" applyFont="1" applyFill="1" applyBorder="1" applyAlignment="1">
      <alignment horizontal="center"/>
    </xf>
    <xf numFmtId="2" fontId="17" fillId="6" borderId="62" xfId="0" applyNumberFormat="1" applyFont="1" applyFill="1" applyBorder="1" applyAlignment="1">
      <alignment horizontal="center"/>
    </xf>
    <xf numFmtId="0" fontId="17" fillId="3" borderId="53" xfId="0" applyFont="1" applyFill="1" applyBorder="1" applyAlignment="1">
      <alignment horizontal="center"/>
    </xf>
    <xf numFmtId="0" fontId="17" fillId="8" borderId="64" xfId="0" applyFont="1" applyFill="1" applyBorder="1" applyAlignment="1">
      <alignment horizontal="center"/>
    </xf>
    <xf numFmtId="1" fontId="17" fillId="9" borderId="63" xfId="0" applyNumberFormat="1" applyFont="1" applyFill="1" applyBorder="1" applyAlignment="1">
      <alignment horizontal="center"/>
    </xf>
    <xf numFmtId="0" fontId="17" fillId="8" borderId="64" xfId="0" applyNumberFormat="1" applyFont="1" applyFill="1" applyBorder="1" applyAlignment="1">
      <alignment horizontal="center"/>
    </xf>
    <xf numFmtId="164" fontId="17" fillId="8" borderId="64" xfId="0" applyNumberFormat="1" applyFont="1" applyFill="1" applyBorder="1" applyAlignment="1">
      <alignment horizontal="center"/>
    </xf>
    <xf numFmtId="49" fontId="6" fillId="0" borderId="0" xfId="0" applyNumberFormat="1" applyFont="1" applyAlignment="1">
      <alignment horizontal="left"/>
    </xf>
    <xf numFmtId="0" fontId="6" fillId="0" borderId="0" xfId="0" applyFont="1" applyAlignment="1">
      <alignment horizontal="left"/>
    </xf>
    <xf numFmtId="0" fontId="25" fillId="0" borderId="0" xfId="0" applyFont="1"/>
    <xf numFmtId="0" fontId="25" fillId="0" borderId="0" xfId="0" applyFont="1" applyAlignment="1">
      <alignment horizontal="center"/>
    </xf>
    <xf numFmtId="2" fontId="25" fillId="0" borderId="0" xfId="0" applyNumberFormat="1" applyFont="1" applyAlignment="1">
      <alignment horizontal="center"/>
    </xf>
    <xf numFmtId="164" fontId="25" fillId="0" borderId="0" xfId="0" applyNumberFormat="1" applyFont="1" applyAlignment="1">
      <alignment horizontal="center"/>
    </xf>
    <xf numFmtId="164" fontId="25" fillId="0" borderId="0" xfId="0" applyNumberFormat="1" applyFont="1" applyAlignment="1">
      <alignment horizontal="left"/>
    </xf>
    <xf numFmtId="0" fontId="25" fillId="0" borderId="0" xfId="0" applyFont="1" applyAlignment="1">
      <alignment horizontal="center" vertical="center"/>
    </xf>
    <xf numFmtId="0" fontId="27" fillId="0" borderId="199" xfId="0" applyFont="1" applyBorder="1" applyAlignment="1">
      <alignment horizontal="center" vertical="center"/>
    </xf>
    <xf numFmtId="0" fontId="27" fillId="0" borderId="200" xfId="0" applyFont="1" applyBorder="1" applyAlignment="1">
      <alignment horizontal="center" vertical="center"/>
    </xf>
    <xf numFmtId="0" fontId="27" fillId="0" borderId="203" xfId="0" applyFont="1" applyBorder="1" applyAlignment="1">
      <alignment horizontal="center" vertical="center"/>
    </xf>
    <xf numFmtId="0" fontId="27" fillId="16" borderId="202" xfId="0" applyFont="1" applyFill="1" applyBorder="1" applyAlignment="1">
      <alignment horizontal="center" vertical="center"/>
    </xf>
    <xf numFmtId="164" fontId="26" fillId="17" borderId="195" xfId="0" applyNumberFormat="1" applyFont="1" applyFill="1" applyBorder="1" applyAlignment="1">
      <alignment horizontal="center" vertical="center" wrapText="1"/>
    </xf>
    <xf numFmtId="0" fontId="26" fillId="17" borderId="196" xfId="0" applyFont="1" applyFill="1" applyBorder="1" applyAlignment="1">
      <alignment horizontal="center" vertical="center" wrapText="1"/>
    </xf>
    <xf numFmtId="164" fontId="26" fillId="17" borderId="193" xfId="0" applyNumberFormat="1" applyFont="1" applyFill="1" applyBorder="1" applyAlignment="1">
      <alignment horizontal="center"/>
    </xf>
    <xf numFmtId="164" fontId="26" fillId="17" borderId="189" xfId="0" applyNumberFormat="1" applyFont="1" applyFill="1" applyBorder="1" applyAlignment="1">
      <alignment horizontal="center"/>
    </xf>
    <xf numFmtId="0" fontId="26" fillId="17" borderId="190" xfId="0" applyFont="1" applyFill="1" applyBorder="1" applyAlignment="1">
      <alignment horizontal="center"/>
    </xf>
    <xf numFmtId="164" fontId="26" fillId="17" borderId="191" xfId="0" applyNumberFormat="1" applyFont="1" applyFill="1" applyBorder="1" applyAlignment="1">
      <alignment horizontal="center"/>
    </xf>
    <xf numFmtId="0" fontId="26" fillId="17" borderId="192" xfId="0" applyFont="1" applyFill="1" applyBorder="1" applyAlignment="1">
      <alignment horizontal="center"/>
    </xf>
    <xf numFmtId="2" fontId="25" fillId="18" borderId="212" xfId="0" applyNumberFormat="1" applyFont="1" applyFill="1" applyBorder="1" applyAlignment="1">
      <alignment horizontal="center"/>
    </xf>
    <xf numFmtId="0" fontId="25" fillId="18" borderId="213" xfId="0" applyFont="1" applyFill="1" applyBorder="1" applyAlignment="1">
      <alignment horizontal="center"/>
    </xf>
    <xf numFmtId="2" fontId="25" fillId="18" borderId="214" xfId="0" applyNumberFormat="1" applyFont="1" applyFill="1" applyBorder="1" applyAlignment="1">
      <alignment horizontal="center"/>
    </xf>
    <xf numFmtId="0" fontId="25" fillId="18" borderId="215" xfId="0" applyFont="1" applyFill="1" applyBorder="1" applyAlignment="1">
      <alignment horizontal="center"/>
    </xf>
    <xf numFmtId="2" fontId="25" fillId="18" borderId="216" xfId="0" applyNumberFormat="1" applyFont="1" applyFill="1" applyBorder="1" applyAlignment="1">
      <alignment horizontal="center"/>
    </xf>
    <xf numFmtId="0" fontId="25" fillId="18" borderId="217" xfId="0" applyFont="1" applyFill="1" applyBorder="1" applyAlignment="1">
      <alignment horizontal="center"/>
    </xf>
    <xf numFmtId="2" fontId="25" fillId="18" borderId="218" xfId="0" applyNumberFormat="1" applyFont="1" applyFill="1" applyBorder="1" applyAlignment="1">
      <alignment horizontal="center" vertical="center" wrapText="1"/>
    </xf>
    <xf numFmtId="0" fontId="25" fillId="18" borderId="219" xfId="0" applyFont="1" applyFill="1" applyBorder="1" applyAlignment="1">
      <alignment horizontal="center" vertical="center" wrapText="1"/>
    </xf>
    <xf numFmtId="0" fontId="26" fillId="17" borderId="194" xfId="0" applyFont="1" applyFill="1" applyBorder="1" applyAlignment="1">
      <alignment horizontal="center"/>
    </xf>
    <xf numFmtId="0" fontId="29" fillId="0" borderId="0" xfId="0" applyFont="1" applyAlignment="1">
      <alignment horizontal="left" vertical="center"/>
    </xf>
    <xf numFmtId="0" fontId="5" fillId="0" borderId="36" xfId="0" applyFont="1" applyBorder="1"/>
    <xf numFmtId="0" fontId="5" fillId="0" borderId="19" xfId="0" applyFont="1" applyBorder="1"/>
    <xf numFmtId="0" fontId="5" fillId="0" borderId="226" xfId="0" applyFont="1" applyBorder="1"/>
    <xf numFmtId="0" fontId="6" fillId="0" borderId="206" xfId="0" applyFont="1" applyBorder="1"/>
    <xf numFmtId="0" fontId="6" fillId="0" borderId="135" xfId="0" applyFont="1" applyBorder="1"/>
    <xf numFmtId="164" fontId="22" fillId="15" borderId="140" xfId="0" applyNumberFormat="1" applyFont="1" applyFill="1" applyBorder="1" applyAlignment="1">
      <alignment horizontal="center"/>
    </xf>
    <xf numFmtId="164" fontId="22" fillId="15" borderId="229" xfId="0" applyNumberFormat="1" applyFont="1" applyFill="1" applyBorder="1" applyAlignment="1">
      <alignment horizontal="center"/>
    </xf>
    <xf numFmtId="164" fontId="22" fillId="15" borderId="230" xfId="0" applyNumberFormat="1" applyFont="1" applyFill="1" applyBorder="1" applyAlignment="1">
      <alignment horizontal="center"/>
    </xf>
    <xf numFmtId="164" fontId="22" fillId="15" borderId="231" xfId="0" applyNumberFormat="1" applyFont="1" applyFill="1" applyBorder="1" applyAlignment="1">
      <alignment horizontal="center"/>
    </xf>
    <xf numFmtId="164" fontId="22" fillId="15" borderId="232" xfId="0" applyNumberFormat="1" applyFont="1" applyFill="1" applyBorder="1" applyAlignment="1">
      <alignment horizontal="center"/>
    </xf>
    <xf numFmtId="164" fontId="22" fillId="15" borderId="233" xfId="0" applyNumberFormat="1" applyFont="1" applyFill="1" applyBorder="1" applyAlignment="1">
      <alignment horizontal="center"/>
    </xf>
    <xf numFmtId="164" fontId="22" fillId="15" borderId="234" xfId="0" applyNumberFormat="1" applyFont="1" applyFill="1" applyBorder="1" applyAlignment="1">
      <alignment horizontal="center"/>
    </xf>
    <xf numFmtId="164" fontId="22" fillId="15" borderId="236" xfId="0" applyNumberFormat="1" applyFont="1" applyFill="1" applyBorder="1" applyAlignment="1">
      <alignment horizontal="center"/>
    </xf>
    <xf numFmtId="164" fontId="6" fillId="18" borderId="8" xfId="0" applyNumberFormat="1" applyFont="1" applyFill="1" applyBorder="1" applyAlignment="1">
      <alignment horizontal="center"/>
    </xf>
    <xf numFmtId="164" fontId="6" fillId="18" borderId="27" xfId="0" applyNumberFormat="1" applyFont="1" applyFill="1" applyBorder="1" applyAlignment="1">
      <alignment horizontal="center"/>
    </xf>
    <xf numFmtId="164" fontId="6" fillId="18" borderId="175" xfId="0" applyNumberFormat="1" applyFont="1" applyFill="1" applyBorder="1" applyAlignment="1">
      <alignment horizontal="center"/>
    </xf>
    <xf numFmtId="164" fontId="6" fillId="18" borderId="176" xfId="0" applyNumberFormat="1" applyFont="1" applyFill="1" applyBorder="1" applyAlignment="1">
      <alignment horizontal="center"/>
    </xf>
    <xf numFmtId="164" fontId="6" fillId="20" borderId="5" xfId="0" applyNumberFormat="1" applyFont="1" applyFill="1" applyBorder="1" applyAlignment="1">
      <alignment horizontal="center"/>
    </xf>
    <xf numFmtId="164" fontId="6" fillId="20" borderId="8" xfId="0" applyNumberFormat="1" applyFont="1" applyFill="1" applyBorder="1" applyAlignment="1">
      <alignment horizontal="center"/>
    </xf>
    <xf numFmtId="164" fontId="6" fillId="20" borderId="129" xfId="0" applyNumberFormat="1" applyFont="1" applyFill="1" applyBorder="1" applyAlignment="1">
      <alignment horizontal="center"/>
    </xf>
    <xf numFmtId="164" fontId="6" fillId="20" borderId="148" xfId="0" applyNumberFormat="1" applyFont="1" applyFill="1" applyBorder="1" applyAlignment="1">
      <alignment horizontal="center"/>
    </xf>
    <xf numFmtId="164" fontId="6" fillId="20" borderId="118" xfId="0" applyNumberFormat="1" applyFont="1" applyFill="1" applyBorder="1" applyAlignment="1">
      <alignment horizontal="center"/>
    </xf>
    <xf numFmtId="164" fontId="6" fillId="20" borderId="175" xfId="0" applyNumberFormat="1" applyFont="1" applyFill="1" applyBorder="1" applyAlignment="1">
      <alignment horizontal="center"/>
    </xf>
    <xf numFmtId="164" fontId="6" fillId="20" borderId="241" xfId="0" applyNumberFormat="1" applyFont="1" applyFill="1" applyBorder="1" applyAlignment="1">
      <alignment horizontal="center"/>
    </xf>
    <xf numFmtId="164" fontId="6" fillId="20" borderId="124" xfId="0" applyNumberFormat="1" applyFont="1" applyFill="1" applyBorder="1" applyAlignment="1">
      <alignment horizontal="center"/>
    </xf>
    <xf numFmtId="164" fontId="6" fillId="20" borderId="251" xfId="0" applyNumberFormat="1" applyFont="1" applyFill="1" applyBorder="1" applyAlignment="1">
      <alignment horizontal="center"/>
    </xf>
    <xf numFmtId="164" fontId="6" fillId="20" borderId="252" xfId="0" applyNumberFormat="1" applyFont="1" applyFill="1" applyBorder="1" applyAlignment="1">
      <alignment horizontal="center"/>
    </xf>
    <xf numFmtId="164" fontId="6" fillId="20" borderId="27" xfId="0" applyNumberFormat="1" applyFont="1" applyFill="1" applyBorder="1" applyAlignment="1">
      <alignment horizontal="center"/>
    </xf>
    <xf numFmtId="164" fontId="6" fillId="20" borderId="176" xfId="0" applyNumberFormat="1" applyFont="1" applyFill="1" applyBorder="1" applyAlignment="1">
      <alignment horizontal="center"/>
    </xf>
    <xf numFmtId="0" fontId="21" fillId="15" borderId="259" xfId="0" applyFont="1" applyFill="1" applyBorder="1" applyAlignment="1">
      <alignment horizontal="center" vertical="center" wrapText="1"/>
    </xf>
    <xf numFmtId="164" fontId="22" fillId="21" borderId="133" xfId="0" applyNumberFormat="1" applyFont="1" applyFill="1" applyBorder="1" applyAlignment="1">
      <alignment horizontal="center"/>
    </xf>
    <xf numFmtId="164" fontId="22" fillId="21" borderId="154" xfId="0" applyNumberFormat="1" applyFont="1" applyFill="1" applyBorder="1" applyAlignment="1">
      <alignment horizontal="center"/>
    </xf>
    <xf numFmtId="164" fontId="22" fillId="21" borderId="131" xfId="0" applyNumberFormat="1" applyFont="1" applyFill="1" applyBorder="1" applyAlignment="1">
      <alignment horizontal="center"/>
    </xf>
    <xf numFmtId="164" fontId="22" fillId="21" borderId="159" xfId="0" applyNumberFormat="1" applyFont="1" applyFill="1" applyBorder="1" applyAlignment="1">
      <alignment horizontal="center"/>
    </xf>
    <xf numFmtId="164" fontId="22" fillId="21" borderId="231" xfId="0" applyNumberFormat="1" applyFont="1" applyFill="1" applyBorder="1" applyAlignment="1">
      <alignment horizontal="center"/>
    </xf>
    <xf numFmtId="164" fontId="22" fillId="21" borderId="232" xfId="0" applyNumberFormat="1" applyFont="1" applyFill="1" applyBorder="1" applyAlignment="1">
      <alignment horizontal="center"/>
    </xf>
    <xf numFmtId="164" fontId="22" fillId="21" borderId="173" xfId="0" applyNumberFormat="1" applyFont="1" applyFill="1" applyBorder="1" applyAlignment="1">
      <alignment horizontal="center"/>
    </xf>
    <xf numFmtId="164" fontId="22" fillId="21" borderId="174" xfId="0" applyNumberFormat="1" applyFont="1" applyFill="1" applyBorder="1" applyAlignment="1">
      <alignment horizontal="center"/>
    </xf>
    <xf numFmtId="164" fontId="22" fillId="21" borderId="235" xfId="0" applyNumberFormat="1" applyFont="1" applyFill="1" applyBorder="1" applyAlignment="1">
      <alignment horizontal="center"/>
    </xf>
    <xf numFmtId="164" fontId="22" fillId="22" borderId="168" xfId="0" applyNumberFormat="1" applyFont="1" applyFill="1" applyBorder="1" applyAlignment="1">
      <alignment horizontal="center"/>
    </xf>
    <xf numFmtId="164" fontId="22" fillId="22" borderId="173" xfId="0" applyNumberFormat="1" applyFont="1" applyFill="1" applyBorder="1" applyAlignment="1">
      <alignment horizontal="center"/>
    </xf>
    <xf numFmtId="164" fontId="22" fillId="22" borderId="166" xfId="0" applyNumberFormat="1" applyFont="1" applyFill="1" applyBorder="1" applyAlignment="1">
      <alignment horizontal="center"/>
    </xf>
    <xf numFmtId="164" fontId="22" fillId="22" borderId="174" xfId="0" applyNumberFormat="1" applyFont="1" applyFill="1" applyBorder="1" applyAlignment="1">
      <alignment horizontal="center"/>
    </xf>
    <xf numFmtId="164" fontId="22" fillId="22" borderId="233" xfId="0" applyNumberFormat="1" applyFont="1" applyFill="1" applyBorder="1" applyAlignment="1">
      <alignment horizontal="center"/>
    </xf>
    <xf numFmtId="164" fontId="22" fillId="22" borderId="235" xfId="0" applyNumberFormat="1" applyFont="1" applyFill="1" applyBorder="1" applyAlignment="1">
      <alignment horizontal="center"/>
    </xf>
    <xf numFmtId="164" fontId="32" fillId="23" borderId="277" xfId="0" applyNumberFormat="1" applyFont="1" applyFill="1" applyBorder="1" applyAlignment="1">
      <alignment horizontal="center"/>
    </xf>
    <xf numFmtId="164" fontId="32" fillId="23" borderId="275" xfId="0" applyNumberFormat="1" applyFont="1" applyFill="1" applyBorder="1" applyAlignment="1">
      <alignment horizontal="center"/>
    </xf>
    <xf numFmtId="164" fontId="32" fillId="25" borderId="275" xfId="0" applyNumberFormat="1" applyFont="1" applyFill="1" applyBorder="1" applyAlignment="1">
      <alignment horizontal="center"/>
    </xf>
    <xf numFmtId="164" fontId="32" fillId="26" borderId="276" xfId="0" applyNumberFormat="1" applyFont="1" applyFill="1" applyBorder="1" applyAlignment="1">
      <alignment horizontal="center"/>
    </xf>
    <xf numFmtId="164" fontId="32" fillId="23" borderId="278" xfId="0" applyNumberFormat="1" applyFont="1" applyFill="1" applyBorder="1" applyAlignment="1">
      <alignment horizontal="center"/>
    </xf>
    <xf numFmtId="164" fontId="32" fillId="23" borderId="279" xfId="0" applyNumberFormat="1" applyFont="1" applyFill="1" applyBorder="1" applyAlignment="1">
      <alignment horizontal="center"/>
    </xf>
    <xf numFmtId="164" fontId="32" fillId="25" borderId="279" xfId="0" applyNumberFormat="1" applyFont="1" applyFill="1" applyBorder="1" applyAlignment="1">
      <alignment horizontal="center"/>
    </xf>
    <xf numFmtId="164" fontId="32" fillId="26" borderId="280" xfId="0" applyNumberFormat="1" applyFont="1" applyFill="1" applyBorder="1" applyAlignment="1">
      <alignment horizontal="center"/>
    </xf>
    <xf numFmtId="164" fontId="32" fillId="25" borderId="295" xfId="0" applyNumberFormat="1" applyFont="1" applyFill="1" applyBorder="1" applyAlignment="1">
      <alignment horizontal="center"/>
    </xf>
    <xf numFmtId="164" fontId="32" fillId="25" borderId="296" xfId="0" applyNumberFormat="1" applyFont="1" applyFill="1" applyBorder="1" applyAlignment="1">
      <alignment horizontal="center"/>
    </xf>
    <xf numFmtId="164" fontId="32" fillId="26" borderId="282" xfId="0" applyNumberFormat="1" applyFont="1" applyFill="1" applyBorder="1" applyAlignment="1">
      <alignment horizontal="center"/>
    </xf>
    <xf numFmtId="164" fontId="32" fillId="26" borderId="298" xfId="0" applyNumberFormat="1" applyFont="1" applyFill="1" applyBorder="1" applyAlignment="1">
      <alignment horizontal="center"/>
    </xf>
    <xf numFmtId="0" fontId="5" fillId="0" borderId="0" xfId="0" applyFont="1" applyBorder="1"/>
    <xf numFmtId="0" fontId="6" fillId="0" borderId="0" xfId="0" applyFont="1" applyBorder="1" applyAlignment="1">
      <alignment horizontal="center" textRotation="90" wrapText="1"/>
    </xf>
    <xf numFmtId="0" fontId="6" fillId="0" borderId="0" xfId="0" applyFont="1" applyBorder="1" applyAlignment="1">
      <alignment horizontal="center" textRotation="90"/>
    </xf>
    <xf numFmtId="0" fontId="6" fillId="3" borderId="91" xfId="0" applyFont="1" applyFill="1" applyBorder="1" applyAlignment="1">
      <alignment horizontal="center" textRotation="90"/>
    </xf>
    <xf numFmtId="49" fontId="6" fillId="4" borderId="39" xfId="0" applyNumberFormat="1" applyFont="1" applyFill="1" applyBorder="1" applyAlignment="1">
      <alignment horizontal="center" shrinkToFit="1"/>
    </xf>
    <xf numFmtId="49" fontId="6" fillId="4" borderId="120" xfId="0" applyNumberFormat="1" applyFont="1" applyFill="1" applyBorder="1" applyAlignment="1">
      <alignment horizontal="center"/>
    </xf>
    <xf numFmtId="0" fontId="32" fillId="23" borderId="326" xfId="0" applyFont="1" applyFill="1" applyBorder="1" applyAlignment="1">
      <alignment horizontal="center" vertical="center"/>
    </xf>
    <xf numFmtId="0" fontId="32" fillId="23" borderId="286" xfId="0" applyFont="1" applyFill="1" applyBorder="1" applyAlignment="1">
      <alignment horizontal="center" vertical="center" wrapText="1"/>
    </xf>
    <xf numFmtId="0" fontId="32" fillId="23" borderId="286" xfId="0" applyFont="1" applyFill="1" applyBorder="1" applyAlignment="1">
      <alignment horizontal="center" vertical="center"/>
    </xf>
    <xf numFmtId="0" fontId="32" fillId="25" borderId="286" xfId="0" applyFont="1" applyFill="1" applyBorder="1" applyAlignment="1">
      <alignment horizontal="center" vertical="center"/>
    </xf>
    <xf numFmtId="0" fontId="32" fillId="25" borderId="327" xfId="0" applyFont="1" applyFill="1" applyBorder="1" applyAlignment="1">
      <alignment horizontal="center" vertical="center"/>
    </xf>
    <xf numFmtId="0" fontId="32" fillId="26" borderId="285" xfId="0" applyFont="1" applyFill="1" applyBorder="1" applyAlignment="1">
      <alignment horizontal="center" vertical="center"/>
    </xf>
    <xf numFmtId="0" fontId="32" fillId="26" borderId="287" xfId="0" applyFont="1" applyFill="1" applyBorder="1" applyAlignment="1">
      <alignment horizontal="center" vertical="center"/>
    </xf>
    <xf numFmtId="2" fontId="6" fillId="2" borderId="15" xfId="0" applyNumberFormat="1" applyFont="1" applyFill="1" applyBorder="1" applyAlignment="1">
      <alignment horizontal="center"/>
    </xf>
    <xf numFmtId="2" fontId="6" fillId="2" borderId="5" xfId="0" applyNumberFormat="1" applyFont="1" applyFill="1" applyBorder="1" applyAlignment="1">
      <alignment horizontal="center"/>
    </xf>
    <xf numFmtId="2" fontId="6" fillId="20" borderId="5" xfId="0" applyNumberFormat="1" applyFont="1" applyFill="1" applyBorder="1" applyAlignment="1">
      <alignment horizontal="center"/>
    </xf>
    <xf numFmtId="2" fontId="6" fillId="20" borderId="8" xfId="0" applyNumberFormat="1" applyFont="1" applyFill="1" applyBorder="1" applyAlignment="1">
      <alignment horizontal="center"/>
    </xf>
    <xf numFmtId="2" fontId="6" fillId="20" borderId="129" xfId="0" applyNumberFormat="1" applyFont="1" applyFill="1" applyBorder="1" applyAlignment="1">
      <alignment horizontal="center"/>
    </xf>
    <xf numFmtId="2" fontId="6" fillId="20" borderId="148" xfId="0" applyNumberFormat="1" applyFont="1" applyFill="1" applyBorder="1" applyAlignment="1">
      <alignment horizontal="center"/>
    </xf>
    <xf numFmtId="2" fontId="6" fillId="18" borderId="8" xfId="0" applyNumberFormat="1" applyFont="1" applyFill="1" applyBorder="1" applyAlignment="1">
      <alignment horizontal="center"/>
    </xf>
    <xf numFmtId="2" fontId="6" fillId="18" borderId="27" xfId="0" applyNumberFormat="1" applyFont="1" applyFill="1" applyBorder="1" applyAlignment="1">
      <alignment horizontal="center"/>
    </xf>
    <xf numFmtId="2" fontId="22" fillId="15" borderId="171" xfId="0" applyNumberFormat="1" applyFont="1" applyFill="1" applyBorder="1" applyAlignment="1">
      <alignment horizontal="center"/>
    </xf>
    <xf numFmtId="2" fontId="22" fillId="15" borderId="159" xfId="0" applyNumberFormat="1" applyFont="1" applyFill="1" applyBorder="1" applyAlignment="1">
      <alignment horizontal="center"/>
    </xf>
    <xf numFmtId="2" fontId="22" fillId="22" borderId="166" xfId="0" applyNumberFormat="1" applyFont="1" applyFill="1" applyBorder="1" applyAlignment="1">
      <alignment horizontal="center"/>
    </xf>
    <xf numFmtId="2" fontId="22" fillId="22" borderId="174" xfId="0" applyNumberFormat="1" applyFont="1" applyFill="1" applyBorder="1" applyAlignment="1">
      <alignment horizontal="center"/>
    </xf>
    <xf numFmtId="1" fontId="32" fillId="23" borderId="277" xfId="0" applyNumberFormat="1" applyFont="1" applyFill="1" applyBorder="1" applyAlignment="1">
      <alignment horizontal="center"/>
    </xf>
    <xf numFmtId="1" fontId="32" fillId="23" borderId="275" xfId="0" applyNumberFormat="1" applyFont="1" applyFill="1" applyBorder="1" applyAlignment="1">
      <alignment horizontal="center"/>
    </xf>
    <xf numFmtId="1" fontId="32" fillId="25" borderId="275" xfId="0" applyNumberFormat="1" applyFont="1" applyFill="1" applyBorder="1" applyAlignment="1">
      <alignment horizontal="center"/>
    </xf>
    <xf numFmtId="2" fontId="32" fillId="23" borderId="277" xfId="0" applyNumberFormat="1" applyFont="1" applyFill="1" applyBorder="1" applyAlignment="1">
      <alignment horizontal="center"/>
    </xf>
    <xf numFmtId="2" fontId="32" fillId="23" borderId="275" xfId="0" applyNumberFormat="1" applyFont="1" applyFill="1" applyBorder="1" applyAlignment="1">
      <alignment horizontal="center"/>
    </xf>
    <xf numFmtId="2" fontId="32" fillId="25" borderId="275" xfId="0" applyNumberFormat="1" applyFont="1" applyFill="1" applyBorder="1" applyAlignment="1">
      <alignment horizontal="center"/>
    </xf>
    <xf numFmtId="2" fontId="32" fillId="25" borderId="295" xfId="0" applyNumberFormat="1" applyFont="1" applyFill="1" applyBorder="1" applyAlignment="1">
      <alignment horizontal="center"/>
    </xf>
    <xf numFmtId="2" fontId="32" fillId="26" borderId="282" xfId="0" applyNumberFormat="1" applyFont="1" applyFill="1" applyBorder="1" applyAlignment="1">
      <alignment horizontal="center"/>
    </xf>
    <xf numFmtId="2" fontId="32" fillId="26" borderId="276" xfId="0" applyNumberFormat="1" applyFont="1" applyFill="1" applyBorder="1" applyAlignment="1">
      <alignment horizontal="center"/>
    </xf>
    <xf numFmtId="49" fontId="6" fillId="2" borderId="15" xfId="0" applyNumberFormat="1" applyFont="1" applyFill="1" applyBorder="1" applyAlignment="1">
      <alignment horizontal="center"/>
    </xf>
    <xf numFmtId="49" fontId="6" fillId="2" borderId="5" xfId="0" applyNumberFormat="1" applyFont="1" applyFill="1" applyBorder="1" applyAlignment="1">
      <alignment horizontal="center"/>
    </xf>
    <xf numFmtId="49" fontId="6" fillId="20" borderId="5" xfId="0" applyNumberFormat="1" applyFont="1" applyFill="1" applyBorder="1" applyAlignment="1">
      <alignment horizontal="center"/>
    </xf>
    <xf numFmtId="49" fontId="6" fillId="20" borderId="8" xfId="0" applyNumberFormat="1" applyFont="1" applyFill="1" applyBorder="1" applyAlignment="1">
      <alignment horizontal="center"/>
    </xf>
    <xf numFmtId="49" fontId="6" fillId="2" borderId="17" xfId="0" applyNumberFormat="1" applyFont="1" applyFill="1" applyBorder="1" applyAlignment="1">
      <alignment horizontal="center"/>
    </xf>
    <xf numFmtId="49" fontId="6" fillId="2" borderId="29" xfId="0" applyNumberFormat="1" applyFont="1" applyFill="1" applyBorder="1" applyAlignment="1">
      <alignment horizontal="center"/>
    </xf>
    <xf numFmtId="0" fontId="6" fillId="2" borderId="15" xfId="0" applyNumberFormat="1" applyFont="1" applyFill="1" applyBorder="1" applyAlignment="1">
      <alignment horizontal="center"/>
    </xf>
    <xf numFmtId="0" fontId="6" fillId="2" borderId="5" xfId="0" applyNumberFormat="1" applyFont="1" applyFill="1" applyBorder="1" applyAlignment="1">
      <alignment horizontal="center"/>
    </xf>
    <xf numFmtId="0" fontId="6" fillId="20" borderId="5" xfId="0" applyNumberFormat="1" applyFont="1" applyFill="1" applyBorder="1" applyAlignment="1">
      <alignment horizontal="center"/>
    </xf>
    <xf numFmtId="0" fontId="6" fillId="20" borderId="8" xfId="0" applyNumberFormat="1" applyFont="1" applyFill="1" applyBorder="1" applyAlignment="1">
      <alignment horizontal="center"/>
    </xf>
    <xf numFmtId="0" fontId="6" fillId="20" borderId="129" xfId="0" applyNumberFormat="1" applyFont="1" applyFill="1" applyBorder="1" applyAlignment="1">
      <alignment horizontal="center"/>
    </xf>
    <xf numFmtId="0" fontId="6" fillId="20" borderId="148" xfId="0" applyNumberFormat="1" applyFont="1" applyFill="1" applyBorder="1" applyAlignment="1">
      <alignment horizontal="center"/>
    </xf>
    <xf numFmtId="0" fontId="6" fillId="18" borderId="8" xfId="0" applyNumberFormat="1" applyFont="1" applyFill="1" applyBorder="1" applyAlignment="1">
      <alignment horizontal="center"/>
    </xf>
    <xf numFmtId="0" fontId="32" fillId="23" borderId="285" xfId="0" applyFont="1" applyFill="1" applyBorder="1" applyAlignment="1">
      <alignment horizontal="center" vertical="center"/>
    </xf>
    <xf numFmtId="164" fontId="32" fillId="23" borderId="282" xfId="0" applyNumberFormat="1" applyFont="1" applyFill="1" applyBorder="1" applyAlignment="1">
      <alignment horizontal="center"/>
    </xf>
    <xf numFmtId="2" fontId="32" fillId="23" borderId="282" xfId="0" applyNumberFormat="1" applyFont="1" applyFill="1" applyBorder="1" applyAlignment="1">
      <alignment horizontal="center"/>
    </xf>
    <xf numFmtId="164" fontId="32" fillId="23" borderId="298" xfId="0" applyNumberFormat="1" applyFont="1" applyFill="1" applyBorder="1" applyAlignment="1">
      <alignment horizontal="center"/>
    </xf>
    <xf numFmtId="2" fontId="22" fillId="15" borderId="141" xfId="0" applyNumberFormat="1" applyFont="1" applyFill="1" applyBorder="1" applyAlignment="1">
      <alignment horizontal="center"/>
    </xf>
    <xf numFmtId="2" fontId="22" fillId="21" borderId="159" xfId="0" applyNumberFormat="1" applyFont="1" applyFill="1" applyBorder="1" applyAlignment="1">
      <alignment horizontal="center"/>
    </xf>
    <xf numFmtId="2" fontId="22" fillId="15" borderId="130" xfId="0" applyNumberFormat="1" applyFont="1" applyFill="1" applyBorder="1" applyAlignment="1">
      <alignment horizontal="center"/>
    </xf>
    <xf numFmtId="2" fontId="22" fillId="15" borderId="149" xfId="0" applyNumberFormat="1" applyFont="1" applyFill="1" applyBorder="1" applyAlignment="1">
      <alignment horizontal="center"/>
    </xf>
    <xf numFmtId="2" fontId="22" fillId="21" borderId="131" xfId="0" applyNumberFormat="1" applyFont="1" applyFill="1" applyBorder="1" applyAlignment="1">
      <alignment horizontal="center"/>
    </xf>
    <xf numFmtId="2" fontId="22" fillId="15" borderId="166" xfId="0" applyNumberFormat="1" applyFont="1" applyFill="1" applyBorder="1" applyAlignment="1">
      <alignment horizontal="center"/>
    </xf>
    <xf numFmtId="0" fontId="6" fillId="27" borderId="0" xfId="0" applyFont="1" applyFill="1"/>
    <xf numFmtId="0" fontId="6" fillId="28" borderId="0" xfId="0" applyFont="1" applyFill="1"/>
    <xf numFmtId="0" fontId="6" fillId="29" borderId="93" xfId="0" applyFont="1" applyFill="1" applyBorder="1" applyAlignment="1">
      <alignment horizontal="center"/>
    </xf>
    <xf numFmtId="49" fontId="6" fillId="27" borderId="340" xfId="0" applyNumberFormat="1" applyFont="1" applyFill="1" applyBorder="1" applyAlignment="1">
      <alignment horizontal="center"/>
    </xf>
    <xf numFmtId="49" fontId="6" fillId="27" borderId="122" xfId="0" applyNumberFormat="1" applyFont="1" applyFill="1" applyBorder="1" applyAlignment="1">
      <alignment horizontal="center"/>
    </xf>
    <xf numFmtId="2" fontId="6" fillId="2" borderId="177" xfId="0" applyNumberFormat="1" applyFont="1" applyFill="1" applyBorder="1" applyAlignment="1">
      <alignment horizontal="center"/>
    </xf>
    <xf numFmtId="2" fontId="6" fillId="2" borderId="118" xfId="0" applyNumberFormat="1" applyFont="1" applyFill="1" applyBorder="1" applyAlignment="1">
      <alignment horizontal="center"/>
    </xf>
    <xf numFmtId="2" fontId="6" fillId="20" borderId="118" xfId="0" applyNumberFormat="1" applyFont="1" applyFill="1" applyBorder="1" applyAlignment="1">
      <alignment horizontal="center"/>
    </xf>
    <xf numFmtId="2" fontId="6" fillId="20" borderId="175" xfId="0" applyNumberFormat="1" applyFont="1" applyFill="1" applyBorder="1" applyAlignment="1">
      <alignment horizontal="center"/>
    </xf>
    <xf numFmtId="2" fontId="6" fillId="20" borderId="241" xfId="0" applyNumberFormat="1" applyFont="1" applyFill="1" applyBorder="1" applyAlignment="1">
      <alignment horizontal="center"/>
    </xf>
    <xf numFmtId="2" fontId="6" fillId="20" borderId="124" xfId="0" applyNumberFormat="1" applyFont="1" applyFill="1" applyBorder="1" applyAlignment="1">
      <alignment horizontal="center"/>
    </xf>
    <xf numFmtId="2" fontId="6" fillId="18" borderId="175" xfId="0" applyNumberFormat="1" applyFont="1" applyFill="1" applyBorder="1" applyAlignment="1">
      <alignment horizontal="center"/>
    </xf>
    <xf numFmtId="2" fontId="6" fillId="18" borderId="176" xfId="0" applyNumberFormat="1" applyFont="1" applyFill="1" applyBorder="1" applyAlignment="1">
      <alignment horizontal="center"/>
    </xf>
    <xf numFmtId="164" fontId="6" fillId="18" borderId="50" xfId="0" applyNumberFormat="1" applyFont="1" applyFill="1" applyBorder="1" applyAlignment="1">
      <alignment horizontal="center"/>
    </xf>
    <xf numFmtId="0" fontId="6" fillId="18" borderId="50" xfId="0" applyNumberFormat="1" applyFont="1" applyFill="1" applyBorder="1" applyAlignment="1">
      <alignment horizontal="center"/>
    </xf>
    <xf numFmtId="164" fontId="6" fillId="18" borderId="353" xfId="0" applyNumberFormat="1" applyFont="1" applyFill="1" applyBorder="1" applyAlignment="1">
      <alignment horizontal="center"/>
    </xf>
    <xf numFmtId="0" fontId="13" fillId="30" borderId="355" xfId="0" applyFont="1" applyFill="1" applyBorder="1" applyAlignment="1">
      <alignment horizontal="center" vertical="center"/>
    </xf>
    <xf numFmtId="0" fontId="5" fillId="30" borderId="356" xfId="0" applyFont="1" applyFill="1" applyBorder="1" applyAlignment="1">
      <alignment horizontal="center" vertical="center"/>
    </xf>
    <xf numFmtId="0" fontId="5" fillId="30" borderId="357" xfId="0" applyFont="1" applyFill="1" applyBorder="1" applyAlignment="1">
      <alignment horizontal="center" vertical="center"/>
    </xf>
    <xf numFmtId="0" fontId="5" fillId="30" borderId="358" xfId="0" applyFont="1" applyFill="1" applyBorder="1" applyAlignment="1">
      <alignment horizontal="center" vertical="center"/>
    </xf>
    <xf numFmtId="164" fontId="32" fillId="23" borderId="286" xfId="0" applyNumberFormat="1" applyFont="1" applyFill="1" applyBorder="1" applyAlignment="1">
      <alignment horizontal="center" vertical="center"/>
    </xf>
    <xf numFmtId="164" fontId="32" fillId="25" borderId="286" xfId="0" applyNumberFormat="1" applyFont="1" applyFill="1" applyBorder="1" applyAlignment="1">
      <alignment horizontal="center" vertical="center"/>
    </xf>
    <xf numFmtId="164" fontId="32" fillId="25" borderId="327" xfId="0" applyNumberFormat="1" applyFont="1" applyFill="1" applyBorder="1" applyAlignment="1">
      <alignment horizontal="center" vertical="center"/>
    </xf>
    <xf numFmtId="164" fontId="32" fillId="26" borderId="285" xfId="0" applyNumberFormat="1" applyFont="1" applyFill="1" applyBorder="1" applyAlignment="1">
      <alignment horizontal="center" vertical="center"/>
    </xf>
    <xf numFmtId="2" fontId="32" fillId="23" borderId="286" xfId="0" applyNumberFormat="1" applyFont="1" applyFill="1" applyBorder="1" applyAlignment="1">
      <alignment horizontal="center" vertical="center"/>
    </xf>
    <xf numFmtId="2" fontId="32" fillId="23" borderId="279" xfId="0" applyNumberFormat="1" applyFont="1" applyFill="1" applyBorder="1" applyAlignment="1">
      <alignment horizontal="center"/>
    </xf>
    <xf numFmtId="2" fontId="32" fillId="25" borderId="286" xfId="0" applyNumberFormat="1" applyFont="1" applyFill="1" applyBorder="1" applyAlignment="1">
      <alignment horizontal="center" vertical="center"/>
    </xf>
    <xf numFmtId="2" fontId="32" fillId="25" borderId="279" xfId="0" applyNumberFormat="1" applyFont="1" applyFill="1" applyBorder="1" applyAlignment="1">
      <alignment horizontal="center"/>
    </xf>
    <xf numFmtId="0" fontId="12" fillId="2" borderId="15" xfId="0" applyFont="1" applyFill="1" applyBorder="1" applyAlignment="1">
      <alignment horizontal="center" vertical="center" textRotation="90"/>
    </xf>
    <xf numFmtId="0" fontId="12" fillId="2" borderId="15" xfId="0" applyFont="1" applyFill="1" applyBorder="1" applyAlignment="1">
      <alignment horizontal="center" vertical="center" textRotation="90" wrapText="1"/>
    </xf>
    <xf numFmtId="0" fontId="5" fillId="0" borderId="0" xfId="0" applyFont="1" applyBorder="1" applyAlignment="1">
      <alignment horizontal="center" textRotation="90"/>
    </xf>
    <xf numFmtId="0" fontId="5" fillId="0" borderId="66" xfId="0" applyFont="1" applyBorder="1" applyAlignment="1">
      <alignment horizontal="center" textRotation="90"/>
    </xf>
    <xf numFmtId="0" fontId="5" fillId="0" borderId="0" xfId="0" applyFont="1" applyBorder="1" applyAlignment="1">
      <alignment horizontal="center" textRotation="90" wrapText="1"/>
    </xf>
    <xf numFmtId="0" fontId="5" fillId="0" borderId="66" xfId="0" applyFont="1" applyBorder="1" applyAlignment="1">
      <alignment horizontal="center" textRotation="90" wrapText="1"/>
    </xf>
    <xf numFmtId="0" fontId="11" fillId="2" borderId="80" xfId="0" applyFont="1" applyFill="1" applyBorder="1" applyAlignment="1">
      <alignment horizontal="center" vertical="center" wrapText="1"/>
    </xf>
    <xf numFmtId="0" fontId="11" fillId="2" borderId="81" xfId="0" applyFont="1" applyFill="1" applyBorder="1" applyAlignment="1">
      <alignment horizontal="center" vertical="center" wrapText="1"/>
    </xf>
    <xf numFmtId="0" fontId="10" fillId="2" borderId="79" xfId="0" applyFont="1" applyFill="1" applyBorder="1" applyAlignment="1">
      <alignment horizontal="center" vertical="center"/>
    </xf>
    <xf numFmtId="0" fontId="10" fillId="2" borderId="80" xfId="0" applyFont="1" applyFill="1" applyBorder="1" applyAlignment="1">
      <alignment horizontal="center" vertical="center"/>
    </xf>
    <xf numFmtId="0" fontId="12" fillId="2" borderId="15" xfId="0" applyFont="1" applyFill="1" applyBorder="1" applyAlignment="1">
      <alignment horizontal="center" vertical="center" textRotation="90"/>
    </xf>
    <xf numFmtId="0" fontId="12" fillId="2" borderId="16" xfId="0" applyFont="1" applyFill="1" applyBorder="1" applyAlignment="1">
      <alignment horizontal="center" vertical="center" textRotation="90"/>
    </xf>
    <xf numFmtId="0" fontId="5" fillId="0" borderId="3" xfId="0" applyFont="1" applyBorder="1" applyAlignment="1">
      <alignment horizontal="center" textRotation="90"/>
    </xf>
    <xf numFmtId="0" fontId="5" fillId="3" borderId="90" xfId="0" applyFont="1" applyFill="1" applyBorder="1" applyAlignment="1">
      <alignment horizontal="center" textRotation="90"/>
    </xf>
    <xf numFmtId="0" fontId="5" fillId="3" borderId="91" xfId="0" applyFont="1" applyFill="1" applyBorder="1" applyAlignment="1">
      <alignment horizontal="center" textRotation="90"/>
    </xf>
    <xf numFmtId="0" fontId="5" fillId="3" borderId="92" xfId="0" applyFont="1" applyFill="1" applyBorder="1" applyAlignment="1">
      <alignment horizontal="center" textRotation="90"/>
    </xf>
    <xf numFmtId="49" fontId="5" fillId="4" borderId="111" xfId="0" applyNumberFormat="1" applyFont="1" applyFill="1" applyBorder="1" applyAlignment="1">
      <alignment horizontal="center" textRotation="90" shrinkToFit="1"/>
    </xf>
    <xf numFmtId="49" fontId="5" fillId="4" borderId="112" xfId="0" applyNumberFormat="1" applyFont="1" applyFill="1" applyBorder="1" applyAlignment="1">
      <alignment horizontal="center" textRotation="90" shrinkToFit="1"/>
    </xf>
    <xf numFmtId="49" fontId="5" fillId="4" borderId="113" xfId="0" applyNumberFormat="1" applyFont="1" applyFill="1" applyBorder="1" applyAlignment="1">
      <alignment horizontal="center" textRotation="90" shrinkToFit="1"/>
    </xf>
    <xf numFmtId="49" fontId="5" fillId="4" borderId="82" xfId="0" applyNumberFormat="1" applyFont="1" applyFill="1" applyBorder="1" applyAlignment="1">
      <alignment horizontal="center" textRotation="90"/>
    </xf>
    <xf numFmtId="49" fontId="5" fillId="4" borderId="84" xfId="0" applyNumberFormat="1" applyFont="1" applyFill="1" applyBorder="1" applyAlignment="1">
      <alignment horizontal="center" textRotation="90"/>
    </xf>
    <xf numFmtId="49" fontId="5" fillId="4" borderId="85" xfId="0" applyNumberFormat="1" applyFont="1" applyFill="1" applyBorder="1" applyAlignment="1">
      <alignment horizontal="center" textRotation="90"/>
    </xf>
    <xf numFmtId="0" fontId="12" fillId="2" borderId="31" xfId="0" applyFont="1" applyFill="1" applyBorder="1" applyAlignment="1">
      <alignment horizontal="center" vertical="center" textRotation="90"/>
    </xf>
    <xf numFmtId="0" fontId="12" fillId="2" borderId="32" xfId="0" applyFont="1" applyFill="1" applyBorder="1" applyAlignment="1">
      <alignment horizontal="center" vertical="center" textRotation="90"/>
    </xf>
    <xf numFmtId="0" fontId="12" fillId="2" borderId="33" xfId="0" applyFont="1" applyFill="1" applyBorder="1" applyAlignment="1">
      <alignment horizontal="center" vertical="center" textRotation="90"/>
    </xf>
    <xf numFmtId="0" fontId="12" fillId="2" borderId="40" xfId="0" applyFont="1" applyFill="1" applyBorder="1" applyAlignment="1">
      <alignment horizontal="center" vertical="center" textRotation="90"/>
    </xf>
    <xf numFmtId="0" fontId="12" fillId="2" borderId="41" xfId="0" applyFont="1" applyFill="1" applyBorder="1" applyAlignment="1">
      <alignment horizontal="center" vertical="center" textRotation="90"/>
    </xf>
    <xf numFmtId="0" fontId="12" fillId="2" borderId="43" xfId="0" applyFont="1" applyFill="1" applyBorder="1" applyAlignment="1">
      <alignment horizontal="center" vertical="center" textRotation="90"/>
    </xf>
    <xf numFmtId="0" fontId="12" fillId="2" borderId="44" xfId="0" applyFont="1" applyFill="1" applyBorder="1" applyAlignment="1">
      <alignment horizontal="center" vertical="center" textRotation="90"/>
    </xf>
    <xf numFmtId="0" fontId="12" fillId="2" borderId="49" xfId="0" applyFont="1" applyFill="1" applyBorder="1" applyAlignment="1">
      <alignment horizontal="center" vertical="center" textRotation="90"/>
    </xf>
    <xf numFmtId="0" fontId="5" fillId="2" borderId="21" xfId="0" applyFont="1" applyFill="1" applyBorder="1" applyAlignment="1">
      <alignment horizontal="center" vertical="center"/>
    </xf>
    <xf numFmtId="0" fontId="5" fillId="2" borderId="12" xfId="0" applyFont="1" applyFill="1" applyBorder="1" applyAlignment="1">
      <alignment horizontal="center" vertical="center"/>
    </xf>
    <xf numFmtId="0" fontId="5" fillId="2" borderId="13" xfId="0" applyFont="1" applyFill="1" applyBorder="1" applyAlignment="1">
      <alignment horizontal="center" vertical="center"/>
    </xf>
    <xf numFmtId="0" fontId="5" fillId="2" borderId="14" xfId="0" applyFont="1" applyFill="1" applyBorder="1" applyAlignment="1">
      <alignment horizontal="center" vertical="center"/>
    </xf>
    <xf numFmtId="0" fontId="5" fillId="2" borderId="20" xfId="0" applyFont="1" applyFill="1" applyBorder="1" applyAlignment="1">
      <alignment horizontal="center" vertical="center"/>
    </xf>
    <xf numFmtId="0" fontId="5" fillId="2" borderId="30" xfId="0" applyFont="1" applyFill="1" applyBorder="1" applyAlignment="1">
      <alignment horizontal="center" vertical="center"/>
    </xf>
    <xf numFmtId="0" fontId="5" fillId="2" borderId="21" xfId="0" applyFont="1" applyFill="1" applyBorder="1" applyAlignment="1">
      <alignment horizontal="center" vertical="center" wrapText="1"/>
    </xf>
    <xf numFmtId="0" fontId="12" fillId="2" borderId="15" xfId="0" applyFont="1" applyFill="1" applyBorder="1" applyAlignment="1">
      <alignment horizontal="center" vertical="center" textRotation="90" wrapText="1"/>
    </xf>
    <xf numFmtId="0" fontId="12" fillId="2" borderId="27" xfId="0" applyFont="1" applyFill="1" applyBorder="1" applyAlignment="1">
      <alignment horizontal="center" vertical="center" textRotation="90"/>
    </xf>
    <xf numFmtId="0" fontId="12" fillId="2" borderId="26" xfId="0" applyFont="1" applyFill="1" applyBorder="1" applyAlignment="1">
      <alignment horizontal="center" vertical="center" textRotation="90"/>
    </xf>
    <xf numFmtId="0" fontId="12" fillId="2" borderId="8" xfId="0" applyFont="1" applyFill="1" applyBorder="1" applyAlignment="1">
      <alignment horizontal="center" vertical="center" textRotation="90"/>
    </xf>
    <xf numFmtId="0" fontId="12" fillId="2" borderId="34" xfId="0" applyFont="1" applyFill="1" applyBorder="1" applyAlignment="1">
      <alignment horizontal="center" vertical="center" textRotation="90"/>
    </xf>
    <xf numFmtId="0" fontId="12" fillId="2" borderId="16" xfId="0" applyFont="1" applyFill="1" applyBorder="1" applyAlignment="1">
      <alignment horizontal="center" vertical="center" textRotation="90" wrapText="1"/>
    </xf>
    <xf numFmtId="0" fontId="12" fillId="2" borderId="31" xfId="0" applyFont="1" applyFill="1" applyBorder="1" applyAlignment="1">
      <alignment horizontal="center" vertical="center" textRotation="90" wrapText="1"/>
    </xf>
    <xf numFmtId="0" fontId="12" fillId="2" borderId="32" xfId="0" applyFont="1" applyFill="1" applyBorder="1" applyAlignment="1">
      <alignment horizontal="center" vertical="center" textRotation="90" wrapText="1"/>
    </xf>
    <xf numFmtId="0" fontId="12" fillId="2" borderId="33" xfId="0" applyFont="1" applyFill="1" applyBorder="1" applyAlignment="1">
      <alignment horizontal="center" vertical="center" textRotation="90" wrapText="1"/>
    </xf>
    <xf numFmtId="0" fontId="12" fillId="3" borderId="54" xfId="0" applyFont="1" applyFill="1" applyBorder="1" applyAlignment="1">
      <alignment horizontal="center" vertical="center" textRotation="90"/>
    </xf>
    <xf numFmtId="0" fontId="12" fillId="3" borderId="55" xfId="0" applyFont="1" applyFill="1" applyBorder="1" applyAlignment="1">
      <alignment horizontal="center" vertical="center" textRotation="90"/>
    </xf>
    <xf numFmtId="0" fontId="12" fillId="3" borderId="56" xfId="0" applyFont="1" applyFill="1" applyBorder="1" applyAlignment="1">
      <alignment horizontal="center" vertical="center" textRotation="90"/>
    </xf>
    <xf numFmtId="0" fontId="6" fillId="2" borderId="57" xfId="0" applyFont="1" applyFill="1" applyBorder="1" applyAlignment="1">
      <alignment horizontal="center"/>
    </xf>
    <xf numFmtId="0" fontId="6" fillId="2" borderId="37" xfId="0" applyFont="1" applyFill="1" applyBorder="1" applyAlignment="1">
      <alignment horizontal="center"/>
    </xf>
    <xf numFmtId="0" fontId="6" fillId="2" borderId="13" xfId="0" applyFont="1" applyFill="1" applyBorder="1" applyAlignment="1">
      <alignment horizontal="center"/>
    </xf>
    <xf numFmtId="0" fontId="6" fillId="2" borderId="0" xfId="0" applyFont="1" applyFill="1" applyBorder="1" applyAlignment="1">
      <alignment horizontal="center"/>
    </xf>
    <xf numFmtId="0" fontId="6" fillId="2" borderId="58" xfId="0" applyFont="1" applyFill="1" applyBorder="1" applyAlignment="1">
      <alignment horizontal="center"/>
    </xf>
    <xf numFmtId="0" fontId="6" fillId="2" borderId="38" xfId="0" applyFont="1" applyFill="1" applyBorder="1" applyAlignment="1">
      <alignment horizontal="center"/>
    </xf>
    <xf numFmtId="0" fontId="5" fillId="2" borderId="23" xfId="0" applyFont="1" applyFill="1" applyBorder="1" applyAlignment="1">
      <alignment horizontal="center" vertical="center"/>
    </xf>
    <xf numFmtId="0" fontId="5" fillId="2" borderId="25" xfId="0" applyFont="1" applyFill="1" applyBorder="1" applyAlignment="1">
      <alignment horizontal="center" vertical="center"/>
    </xf>
    <xf numFmtId="0" fontId="5" fillId="2" borderId="36" xfId="0" applyFont="1" applyFill="1" applyBorder="1" applyAlignment="1">
      <alignment horizontal="center" vertical="center"/>
    </xf>
    <xf numFmtId="0" fontId="5" fillId="2" borderId="18" xfId="0" applyFont="1" applyFill="1" applyBorder="1" applyAlignment="1">
      <alignment horizontal="center" vertical="center"/>
    </xf>
    <xf numFmtId="0" fontId="5" fillId="2" borderId="23" xfId="0" applyFont="1" applyFill="1" applyBorder="1" applyAlignment="1">
      <alignment horizontal="center" vertical="center" wrapText="1"/>
    </xf>
    <xf numFmtId="0" fontId="5" fillId="2" borderId="39" xfId="0" applyFont="1" applyFill="1" applyBorder="1" applyAlignment="1">
      <alignment horizontal="left" vertical="top" wrapText="1"/>
    </xf>
    <xf numFmtId="0" fontId="5" fillId="2" borderId="42" xfId="0" applyFont="1" applyFill="1" applyBorder="1" applyAlignment="1">
      <alignment horizontal="left" vertical="top" wrapText="1"/>
    </xf>
    <xf numFmtId="0" fontId="5" fillId="2" borderId="45" xfId="0" applyFont="1" applyFill="1" applyBorder="1" applyAlignment="1">
      <alignment horizontal="left" vertical="top" wrapText="1"/>
    </xf>
    <xf numFmtId="0" fontId="5" fillId="2" borderId="46" xfId="0" applyFont="1" applyFill="1" applyBorder="1" applyAlignment="1">
      <alignment horizontal="left" vertical="top" wrapText="1"/>
    </xf>
    <xf numFmtId="0" fontId="13" fillId="2" borderId="73" xfId="0" applyFont="1" applyFill="1" applyBorder="1" applyAlignment="1">
      <alignment horizontal="center"/>
    </xf>
    <xf numFmtId="0" fontId="13" fillId="2" borderId="74" xfId="0" applyFont="1" applyFill="1" applyBorder="1" applyAlignment="1">
      <alignment horizontal="center"/>
    </xf>
    <xf numFmtId="0" fontId="13" fillId="2" borderId="75" xfId="0" applyFont="1" applyFill="1" applyBorder="1" applyAlignment="1">
      <alignment horizontal="center"/>
    </xf>
    <xf numFmtId="0" fontId="13" fillId="2" borderId="76" xfId="0" applyFont="1" applyFill="1" applyBorder="1" applyAlignment="1">
      <alignment horizontal="center"/>
    </xf>
    <xf numFmtId="0" fontId="13" fillId="2" borderId="77" xfId="0" applyFont="1" applyFill="1" applyBorder="1" applyAlignment="1">
      <alignment horizontal="center"/>
    </xf>
    <xf numFmtId="0" fontId="13" fillId="2" borderId="78" xfId="0" applyFont="1" applyFill="1" applyBorder="1" applyAlignment="1">
      <alignment horizontal="center"/>
    </xf>
    <xf numFmtId="0" fontId="5" fillId="2" borderId="12" xfId="0" applyFont="1" applyFill="1" applyBorder="1" applyAlignment="1">
      <alignment horizontal="center" vertical="center" wrapText="1"/>
    </xf>
    <xf numFmtId="0" fontId="5" fillId="2" borderId="13" xfId="0" applyFont="1" applyFill="1" applyBorder="1" applyAlignment="1">
      <alignment horizontal="center" vertical="center" wrapText="1"/>
    </xf>
    <xf numFmtId="0" fontId="5" fillId="2" borderId="14" xfId="0" applyFont="1" applyFill="1" applyBorder="1" applyAlignment="1">
      <alignment horizontal="center" vertical="center" wrapText="1"/>
    </xf>
    <xf numFmtId="0" fontId="5" fillId="2" borderId="20" xfId="0" applyFont="1" applyFill="1" applyBorder="1" applyAlignment="1">
      <alignment horizontal="center" vertical="center" wrapText="1"/>
    </xf>
    <xf numFmtId="0" fontId="5" fillId="2" borderId="30" xfId="0" applyFont="1" applyFill="1" applyBorder="1" applyAlignment="1">
      <alignment horizontal="center" vertical="center" wrapText="1"/>
    </xf>
    <xf numFmtId="0" fontId="5" fillId="2" borderId="24" xfId="0" applyFont="1" applyFill="1" applyBorder="1" applyAlignment="1">
      <alignment horizontal="center" vertical="center"/>
    </xf>
    <xf numFmtId="0" fontId="5" fillId="2" borderId="0" xfId="0" applyFont="1" applyFill="1" applyBorder="1" applyAlignment="1">
      <alignment horizontal="center" vertical="center"/>
    </xf>
    <xf numFmtId="0" fontId="5" fillId="2" borderId="19" xfId="0" applyFont="1" applyFill="1" applyBorder="1" applyAlignment="1">
      <alignment horizontal="center" vertical="center"/>
    </xf>
    <xf numFmtId="0" fontId="5" fillId="2" borderId="22" xfId="0" applyFont="1" applyFill="1" applyBorder="1" applyAlignment="1">
      <alignment horizontal="center" vertical="center"/>
    </xf>
    <xf numFmtId="0" fontId="5" fillId="2" borderId="4" xfId="0" applyFont="1" applyFill="1" applyBorder="1" applyAlignment="1">
      <alignment horizontal="center" vertical="center"/>
    </xf>
    <xf numFmtId="0" fontId="12" fillId="2" borderId="35" xfId="0" applyFont="1" applyFill="1" applyBorder="1" applyAlignment="1">
      <alignment horizontal="center" vertical="center" textRotation="90"/>
    </xf>
    <xf numFmtId="0" fontId="12" fillId="2" borderId="51" xfId="0" applyFont="1" applyFill="1" applyBorder="1" applyAlignment="1">
      <alignment horizontal="center" vertical="center" textRotation="90"/>
    </xf>
    <xf numFmtId="0" fontId="12" fillId="2" borderId="52" xfId="0" applyFont="1" applyFill="1" applyBorder="1" applyAlignment="1">
      <alignment horizontal="center" vertical="center" textRotation="90"/>
    </xf>
    <xf numFmtId="0" fontId="5" fillId="2" borderId="99" xfId="0" applyFont="1" applyFill="1" applyBorder="1" applyAlignment="1">
      <alignment horizontal="center" vertical="center"/>
    </xf>
    <xf numFmtId="0" fontId="5" fillId="2" borderId="100" xfId="0" applyFont="1" applyFill="1" applyBorder="1" applyAlignment="1">
      <alignment horizontal="center" vertical="center"/>
    </xf>
    <xf numFmtId="0" fontId="5" fillId="2" borderId="101" xfId="0" applyFont="1" applyFill="1" applyBorder="1" applyAlignment="1">
      <alignment horizontal="center" vertical="center"/>
    </xf>
    <xf numFmtId="0" fontId="13" fillId="2" borderId="96" xfId="0" applyFont="1" applyFill="1" applyBorder="1" applyAlignment="1">
      <alignment horizontal="center"/>
    </xf>
    <xf numFmtId="0" fontId="13" fillId="2" borderId="97" xfId="0" applyFont="1" applyFill="1" applyBorder="1" applyAlignment="1">
      <alignment horizontal="center"/>
    </xf>
    <xf numFmtId="0" fontId="13" fillId="2" borderId="125" xfId="0" applyFont="1" applyFill="1" applyBorder="1" applyAlignment="1">
      <alignment horizontal="center"/>
    </xf>
    <xf numFmtId="0" fontId="5" fillId="2" borderId="24"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5" fillId="2" borderId="99" xfId="0" applyFont="1" applyFill="1" applyBorder="1" applyAlignment="1">
      <alignment horizontal="center" vertical="center" wrapText="1"/>
    </xf>
    <xf numFmtId="0" fontId="5" fillId="2" borderId="101" xfId="0" applyFont="1" applyFill="1" applyBorder="1" applyAlignment="1">
      <alignment horizontal="center" vertical="center" wrapText="1"/>
    </xf>
    <xf numFmtId="0" fontId="12" fillId="2" borderId="83" xfId="0" applyFont="1" applyFill="1" applyBorder="1" applyAlignment="1">
      <alignment horizontal="center" vertical="center" textRotation="90"/>
    </xf>
    <xf numFmtId="0" fontId="12" fillId="2" borderId="104" xfId="0" applyFont="1" applyFill="1" applyBorder="1" applyAlignment="1">
      <alignment horizontal="center" vertical="center" textRotation="90"/>
    </xf>
    <xf numFmtId="0" fontId="5" fillId="2" borderId="22"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31" fillId="23" borderId="316" xfId="0" applyFont="1" applyFill="1" applyBorder="1" applyAlignment="1">
      <alignment horizontal="center" vertical="center" wrapText="1"/>
    </xf>
    <xf numFmtId="0" fontId="31" fillId="23" borderId="279" xfId="0" applyFont="1" applyFill="1" applyBorder="1" applyAlignment="1">
      <alignment horizontal="center" vertical="center" wrapText="1"/>
    </xf>
    <xf numFmtId="0" fontId="31" fillId="25" borderId="279" xfId="0" applyFont="1" applyFill="1" applyBorder="1" applyAlignment="1">
      <alignment horizontal="center" vertical="center" wrapText="1"/>
    </xf>
    <xf numFmtId="0" fontId="31" fillId="25" borderId="296" xfId="0" applyFont="1" applyFill="1" applyBorder="1" applyAlignment="1">
      <alignment horizontal="center" vertical="center" wrapText="1"/>
    </xf>
    <xf numFmtId="0" fontId="31" fillId="26" borderId="316" xfId="0" applyFont="1" applyFill="1" applyBorder="1" applyAlignment="1">
      <alignment horizontal="center" vertical="center" wrapText="1"/>
    </xf>
    <xf numFmtId="0" fontId="31" fillId="26" borderId="309" xfId="0" applyFont="1" applyFill="1" applyBorder="1" applyAlignment="1">
      <alignment horizontal="center" vertical="center" wrapText="1"/>
    </xf>
    <xf numFmtId="0" fontId="30" fillId="23" borderId="292" xfId="0" applyFont="1" applyFill="1" applyBorder="1" applyAlignment="1">
      <alignment horizontal="center" vertical="center" textRotation="90"/>
    </xf>
    <xf numFmtId="0" fontId="30" fillId="23" borderId="304" xfId="0" applyFont="1" applyFill="1" applyBorder="1" applyAlignment="1">
      <alignment horizontal="center" vertical="center" textRotation="90"/>
    </xf>
    <xf numFmtId="0" fontId="30" fillId="24" borderId="331" xfId="0" applyFont="1" applyFill="1" applyBorder="1" applyAlignment="1">
      <alignment horizontal="center" vertical="center" wrapText="1"/>
    </xf>
    <xf numFmtId="0" fontId="30" fillId="24" borderId="332" xfId="0" applyFont="1" applyFill="1" applyBorder="1" applyAlignment="1">
      <alignment horizontal="center" vertical="center" wrapText="1"/>
    </xf>
    <xf numFmtId="0" fontId="30" fillId="24" borderId="333" xfId="0" applyFont="1" applyFill="1" applyBorder="1" applyAlignment="1">
      <alignment horizontal="center" vertical="center" wrapText="1"/>
    </xf>
    <xf numFmtId="0" fontId="31" fillId="23" borderId="334" xfId="0" applyFont="1" applyFill="1" applyBorder="1" applyAlignment="1">
      <alignment horizontal="center" vertical="center" wrapText="1"/>
    </xf>
    <xf numFmtId="0" fontId="31" fillId="23" borderId="335" xfId="0" applyFont="1" applyFill="1" applyBorder="1" applyAlignment="1">
      <alignment horizontal="center" vertical="center" wrapText="1"/>
    </xf>
    <xf numFmtId="0" fontId="31" fillId="23" borderId="336" xfId="0" applyFont="1" applyFill="1" applyBorder="1" applyAlignment="1">
      <alignment horizontal="center" vertical="center" wrapText="1"/>
    </xf>
    <xf numFmtId="0" fontId="21" fillId="15" borderId="188" xfId="0" applyFont="1" applyFill="1" applyBorder="1" applyAlignment="1">
      <alignment horizontal="center" vertical="center" wrapText="1"/>
    </xf>
    <xf numFmtId="0" fontId="21" fillId="15" borderId="186" xfId="0" applyFont="1" applyFill="1" applyBorder="1" applyAlignment="1">
      <alignment horizontal="center" vertical="center" wrapText="1"/>
    </xf>
    <xf numFmtId="0" fontId="21" fillId="15" borderId="257" xfId="0" applyFont="1" applyFill="1" applyBorder="1" applyAlignment="1">
      <alignment horizontal="center" vertical="center" wrapText="1"/>
    </xf>
    <xf numFmtId="0" fontId="23" fillId="15" borderId="346" xfId="0" applyFont="1" applyFill="1" applyBorder="1" applyAlignment="1">
      <alignment horizontal="center" vertical="center" textRotation="90" wrapText="1"/>
    </xf>
    <xf numFmtId="0" fontId="23" fillId="15" borderId="130" xfId="0" applyFont="1" applyFill="1" applyBorder="1" applyAlignment="1">
      <alignment horizontal="center" vertical="center" textRotation="90"/>
    </xf>
    <xf numFmtId="0" fontId="23" fillId="15" borderId="155" xfId="0" applyFont="1" applyFill="1" applyBorder="1" applyAlignment="1">
      <alignment horizontal="center" vertical="center" textRotation="90"/>
    </xf>
    <xf numFmtId="0" fontId="23" fillId="15" borderId="342" xfId="0" applyFont="1" applyFill="1" applyBorder="1" applyAlignment="1">
      <alignment horizontal="center" vertical="center" textRotation="90" wrapText="1"/>
    </xf>
    <xf numFmtId="0" fontId="23" fillId="15" borderId="152" xfId="0" applyFont="1" applyFill="1" applyBorder="1" applyAlignment="1">
      <alignment horizontal="center" vertical="center" textRotation="90" wrapText="1"/>
    </xf>
    <xf numFmtId="0" fontId="23" fillId="15" borderId="156" xfId="0" applyFont="1" applyFill="1" applyBorder="1" applyAlignment="1">
      <alignment horizontal="center" vertical="center" textRotation="90" wrapText="1"/>
    </xf>
    <xf numFmtId="0" fontId="23" fillId="15" borderId="342" xfId="0" applyFont="1" applyFill="1" applyBorder="1" applyAlignment="1">
      <alignment horizontal="center" vertical="center" textRotation="90"/>
    </xf>
    <xf numFmtId="0" fontId="23" fillId="15" borderId="152" xfId="0" applyFont="1" applyFill="1" applyBorder="1" applyAlignment="1">
      <alignment horizontal="center" vertical="center" textRotation="90"/>
    </xf>
    <xf numFmtId="0" fontId="23" fillId="15" borderId="156" xfId="0" applyFont="1" applyFill="1" applyBorder="1" applyAlignment="1">
      <alignment horizontal="center" vertical="center" textRotation="90"/>
    </xf>
    <xf numFmtId="0" fontId="30" fillId="25" borderId="292" xfId="0" applyFont="1" applyFill="1" applyBorder="1" applyAlignment="1">
      <alignment horizontal="center" vertical="center" textRotation="90"/>
    </xf>
    <xf numFmtId="0" fontId="30" fillId="25" borderId="304" xfId="0" applyFont="1" applyFill="1" applyBorder="1" applyAlignment="1">
      <alignment horizontal="center" vertical="center" textRotation="90"/>
    </xf>
    <xf numFmtId="0" fontId="30" fillId="25" borderId="310" xfId="0" applyFont="1" applyFill="1" applyBorder="1" applyAlignment="1">
      <alignment horizontal="center" vertical="center" textRotation="90"/>
    </xf>
    <xf numFmtId="0" fontId="30" fillId="25" borderId="311" xfId="0" applyFont="1" applyFill="1" applyBorder="1" applyAlignment="1">
      <alignment horizontal="center" vertical="center" textRotation="90"/>
    </xf>
    <xf numFmtId="0" fontId="30" fillId="26" borderId="312" xfId="0" applyFont="1" applyFill="1" applyBorder="1" applyAlignment="1">
      <alignment horizontal="center" vertical="center" textRotation="90"/>
    </xf>
    <xf numFmtId="0" fontId="30" fillId="26" borderId="315" xfId="0" applyFont="1" applyFill="1" applyBorder="1" applyAlignment="1">
      <alignment horizontal="center" vertical="center" textRotation="90"/>
    </xf>
    <xf numFmtId="0" fontId="30" fillId="26" borderId="293" xfId="0" applyFont="1" applyFill="1" applyBorder="1" applyAlignment="1">
      <alignment horizontal="center" vertical="center" textRotation="90"/>
    </xf>
    <xf numFmtId="0" fontId="30" fillId="26" borderId="305" xfId="0" applyFont="1" applyFill="1" applyBorder="1" applyAlignment="1">
      <alignment horizontal="center" vertical="center" textRotation="90"/>
    </xf>
    <xf numFmtId="0" fontId="31" fillId="23" borderId="288" xfId="0" applyFont="1" applyFill="1" applyBorder="1" applyAlignment="1">
      <alignment horizontal="center" vertical="center" wrapText="1"/>
    </xf>
    <xf numFmtId="0" fontId="31" fillId="23" borderId="289" xfId="0" applyFont="1" applyFill="1" applyBorder="1" applyAlignment="1">
      <alignment horizontal="center" vertical="center" wrapText="1"/>
    </xf>
    <xf numFmtId="0" fontId="31" fillId="23" borderId="290" xfId="0" applyFont="1" applyFill="1" applyBorder="1" applyAlignment="1">
      <alignment horizontal="center" vertical="center" wrapText="1"/>
    </xf>
    <xf numFmtId="0" fontId="31" fillId="23" borderId="283" xfId="0" applyFont="1" applyFill="1" applyBorder="1" applyAlignment="1">
      <alignment horizontal="center" vertical="center" wrapText="1"/>
    </xf>
    <xf numFmtId="0" fontId="31" fillId="23" borderId="284" xfId="0" applyFont="1" applyFill="1" applyBorder="1" applyAlignment="1">
      <alignment horizontal="center" vertical="center" wrapText="1"/>
    </xf>
    <xf numFmtId="0" fontId="31" fillId="25" borderId="284" xfId="0" applyFont="1" applyFill="1" applyBorder="1" applyAlignment="1">
      <alignment horizontal="center" vertical="center" wrapText="1"/>
    </xf>
    <xf numFmtId="0" fontId="31" fillId="25" borderId="294" xfId="0" applyFont="1" applyFill="1" applyBorder="1" applyAlignment="1">
      <alignment horizontal="center" vertical="center" wrapText="1"/>
    </xf>
    <xf numFmtId="0" fontId="31" fillId="26" borderId="281" xfId="0" applyFont="1" applyFill="1" applyBorder="1" applyAlignment="1">
      <alignment horizontal="center" vertical="center" wrapText="1"/>
    </xf>
    <xf numFmtId="0" fontId="31" fillId="26" borderId="274" xfId="0" applyFont="1" applyFill="1" applyBorder="1" applyAlignment="1">
      <alignment horizontal="center" vertical="center" wrapText="1"/>
    </xf>
    <xf numFmtId="0" fontId="30" fillId="23" borderId="282" xfId="0" applyFont="1" applyFill="1" applyBorder="1" applyAlignment="1">
      <alignment horizontal="center" vertical="center" textRotation="90" wrapText="1"/>
    </xf>
    <xf numFmtId="0" fontId="30" fillId="23" borderId="282" xfId="0" applyFont="1" applyFill="1" applyBorder="1" applyAlignment="1">
      <alignment horizontal="center" vertical="center" textRotation="90"/>
    </xf>
    <xf numFmtId="0" fontId="30" fillId="23" borderId="323" xfId="0" applyFont="1" applyFill="1" applyBorder="1" applyAlignment="1">
      <alignment horizontal="center" vertical="center" textRotation="90"/>
    </xf>
    <xf numFmtId="0" fontId="30" fillId="23" borderId="275" xfId="0" applyFont="1" applyFill="1" applyBorder="1" applyAlignment="1">
      <alignment horizontal="center" vertical="center" textRotation="90" wrapText="1"/>
    </xf>
    <xf numFmtId="0" fontId="30" fillId="23" borderId="321" xfId="0" applyFont="1" applyFill="1" applyBorder="1" applyAlignment="1">
      <alignment horizontal="center" vertical="center" textRotation="90" wrapText="1"/>
    </xf>
    <xf numFmtId="0" fontId="30" fillId="23" borderId="275" xfId="0" applyFont="1" applyFill="1" applyBorder="1" applyAlignment="1">
      <alignment horizontal="center" vertical="center" textRotation="90"/>
    </xf>
    <xf numFmtId="0" fontId="30" fillId="23" borderId="321" xfId="0" applyFont="1" applyFill="1" applyBorder="1" applyAlignment="1">
      <alignment horizontal="center" vertical="center" textRotation="90"/>
    </xf>
    <xf numFmtId="0" fontId="30" fillId="25" borderId="275" xfId="0" applyFont="1" applyFill="1" applyBorder="1" applyAlignment="1">
      <alignment horizontal="center" vertical="center" textRotation="90"/>
    </xf>
    <xf numFmtId="0" fontId="30" fillId="25" borderId="321" xfId="0" applyFont="1" applyFill="1" applyBorder="1" applyAlignment="1">
      <alignment horizontal="center" vertical="center" textRotation="90"/>
    </xf>
    <xf numFmtId="0" fontId="30" fillId="25" borderId="295" xfId="0" applyFont="1" applyFill="1" applyBorder="1" applyAlignment="1">
      <alignment horizontal="center" vertical="center" textRotation="90"/>
    </xf>
    <xf numFmtId="0" fontId="30" fillId="25" borderId="322" xfId="0" applyFont="1" applyFill="1" applyBorder="1" applyAlignment="1">
      <alignment horizontal="center" vertical="center" textRotation="90"/>
    </xf>
    <xf numFmtId="0" fontId="30" fillId="26" borderId="282" xfId="0" applyFont="1" applyFill="1" applyBorder="1" applyAlignment="1">
      <alignment horizontal="center" vertical="center" textRotation="90"/>
    </xf>
    <xf numFmtId="0" fontId="30" fillId="26" borderId="323" xfId="0" applyFont="1" applyFill="1" applyBorder="1" applyAlignment="1">
      <alignment horizontal="center" vertical="center" textRotation="90"/>
    </xf>
    <xf numFmtId="0" fontId="30" fillId="26" borderId="276" xfId="0" applyFont="1" applyFill="1" applyBorder="1" applyAlignment="1">
      <alignment horizontal="center" vertical="center" textRotation="90"/>
    </xf>
    <xf numFmtId="0" fontId="30" fillId="26" borderId="324" xfId="0" applyFont="1" applyFill="1" applyBorder="1" applyAlignment="1">
      <alignment horizontal="center" vertical="center" textRotation="90"/>
    </xf>
    <xf numFmtId="0" fontId="31" fillId="23" borderId="338" xfId="0" applyFont="1" applyFill="1" applyBorder="1" applyAlignment="1">
      <alignment horizontal="center" vertical="center" wrapText="1"/>
    </xf>
    <xf numFmtId="0" fontId="31" fillId="23" borderId="299" xfId="0" applyFont="1" applyFill="1" applyBorder="1" applyAlignment="1">
      <alignment horizontal="center" vertical="center" wrapText="1"/>
    </xf>
    <xf numFmtId="0" fontId="31" fillId="23" borderId="300" xfId="0" applyFont="1" applyFill="1" applyBorder="1" applyAlignment="1">
      <alignment horizontal="center" vertical="center" wrapText="1"/>
    </xf>
    <xf numFmtId="0" fontId="31" fillId="23" borderId="337" xfId="0" applyFont="1" applyFill="1" applyBorder="1" applyAlignment="1">
      <alignment horizontal="center" vertical="center" wrapText="1"/>
    </xf>
    <xf numFmtId="0" fontId="31" fillId="23" borderId="306" xfId="0" applyFont="1" applyFill="1" applyBorder="1" applyAlignment="1">
      <alignment horizontal="center" vertical="center" wrapText="1"/>
    </xf>
    <xf numFmtId="0" fontId="31" fillId="23" borderId="318" xfId="0" applyFont="1" applyFill="1" applyBorder="1" applyAlignment="1">
      <alignment horizontal="center" vertical="center" wrapText="1"/>
    </xf>
    <xf numFmtId="0" fontId="31" fillId="23" borderId="317" xfId="0" applyFont="1" applyFill="1" applyBorder="1" applyAlignment="1">
      <alignment horizontal="center" vertical="center" wrapText="1"/>
    </xf>
    <xf numFmtId="0" fontId="31" fillId="23" borderId="308" xfId="0" applyFont="1" applyFill="1" applyBorder="1" applyAlignment="1">
      <alignment horizontal="center" vertical="center" wrapText="1"/>
    </xf>
    <xf numFmtId="0" fontId="31" fillId="23" borderId="307" xfId="0" applyFont="1" applyFill="1" applyBorder="1" applyAlignment="1">
      <alignment horizontal="center" vertical="center" wrapText="1"/>
    </xf>
    <xf numFmtId="0" fontId="31" fillId="26" borderId="298" xfId="0" applyFont="1" applyFill="1" applyBorder="1" applyAlignment="1">
      <alignment horizontal="center" vertical="center" wrapText="1"/>
    </xf>
    <xf numFmtId="0" fontId="31" fillId="23" borderId="278" xfId="0" applyFont="1" applyFill="1" applyBorder="1" applyAlignment="1">
      <alignment horizontal="center" vertical="center" wrapText="1"/>
    </xf>
    <xf numFmtId="0" fontId="30" fillId="23" borderId="291" xfId="0" applyFont="1" applyFill="1" applyBorder="1" applyAlignment="1">
      <alignment horizontal="center" vertical="center" textRotation="90" wrapText="1"/>
    </xf>
    <xf numFmtId="0" fontId="30" fillId="23" borderId="291" xfId="0" applyFont="1" applyFill="1" applyBorder="1" applyAlignment="1">
      <alignment horizontal="center" vertical="center" textRotation="90"/>
    </xf>
    <xf numFmtId="0" fontId="30" fillId="23" borderId="303" xfId="0" applyFont="1" applyFill="1" applyBorder="1" applyAlignment="1">
      <alignment horizontal="center" vertical="center" textRotation="90"/>
    </xf>
    <xf numFmtId="0" fontId="30" fillId="23" borderId="292" xfId="0" applyFont="1" applyFill="1" applyBorder="1" applyAlignment="1">
      <alignment horizontal="center" vertical="center" textRotation="90" wrapText="1"/>
    </xf>
    <xf numFmtId="0" fontId="30" fillId="23" borderId="304" xfId="0" applyFont="1" applyFill="1" applyBorder="1" applyAlignment="1">
      <alignment horizontal="center" vertical="center" textRotation="90" wrapText="1"/>
    </xf>
    <xf numFmtId="0" fontId="30" fillId="25" borderId="339" xfId="0" applyFont="1" applyFill="1" applyBorder="1" applyAlignment="1">
      <alignment horizontal="center" vertical="center" wrapText="1"/>
    </xf>
    <xf numFmtId="0" fontId="30" fillId="25" borderId="301" xfId="0" applyFont="1" applyFill="1" applyBorder="1" applyAlignment="1">
      <alignment horizontal="center" vertical="center" wrapText="1"/>
    </xf>
    <xf numFmtId="0" fontId="30" fillId="25" borderId="302" xfId="0" applyFont="1" applyFill="1" applyBorder="1" applyAlignment="1">
      <alignment horizontal="center" vertical="center" wrapText="1"/>
    </xf>
    <xf numFmtId="0" fontId="13" fillId="19" borderId="21" xfId="0" applyFont="1" applyFill="1" applyBorder="1" applyAlignment="1">
      <alignment horizontal="center" vertical="center" wrapText="1"/>
    </xf>
    <xf numFmtId="0" fontId="13" fillId="19" borderId="22" xfId="0" applyFont="1" applyFill="1" applyBorder="1" applyAlignment="1">
      <alignment horizontal="center" vertical="center" wrapText="1"/>
    </xf>
    <xf numFmtId="0" fontId="13" fillId="19" borderId="12" xfId="0" applyFont="1" applyFill="1" applyBorder="1" applyAlignment="1">
      <alignment horizontal="center" vertical="center" wrapText="1"/>
    </xf>
    <xf numFmtId="0" fontId="5" fillId="2" borderId="36" xfId="0" applyFont="1" applyFill="1" applyBorder="1" applyAlignment="1">
      <alignment horizontal="center" vertical="center" wrapText="1"/>
    </xf>
    <xf numFmtId="0" fontId="5" fillId="2" borderId="19" xfId="0" applyFont="1" applyFill="1" applyBorder="1" applyAlignment="1">
      <alignment horizontal="center" vertical="center" wrapText="1"/>
    </xf>
    <xf numFmtId="0" fontId="5" fillId="2" borderId="18" xfId="0" applyFont="1" applyFill="1" applyBorder="1" applyAlignment="1">
      <alignment horizontal="center" vertical="center" wrapText="1"/>
    </xf>
    <xf numFmtId="0" fontId="5" fillId="2" borderId="126" xfId="0" applyFont="1" applyFill="1" applyBorder="1" applyAlignment="1">
      <alignment horizontal="center" vertical="center" wrapText="1"/>
    </xf>
    <xf numFmtId="0" fontId="5" fillId="2" borderId="127" xfId="0" applyFont="1" applyFill="1" applyBorder="1" applyAlignment="1">
      <alignment horizontal="center" vertical="center" wrapText="1"/>
    </xf>
    <xf numFmtId="0" fontId="5" fillId="2" borderId="255" xfId="0" applyFont="1" applyFill="1" applyBorder="1" applyAlignment="1">
      <alignment horizontal="center" vertical="center" wrapText="1"/>
    </xf>
    <xf numFmtId="0" fontId="5" fillId="20" borderId="256" xfId="0" applyFont="1" applyFill="1" applyBorder="1" applyAlignment="1">
      <alignment horizontal="center" vertical="center" wrapText="1"/>
    </xf>
    <xf numFmtId="0" fontId="5" fillId="20" borderId="127" xfId="0" applyFont="1" applyFill="1" applyBorder="1" applyAlignment="1">
      <alignment horizontal="center" vertical="center" wrapText="1"/>
    </xf>
    <xf numFmtId="0" fontId="5" fillId="20" borderId="128" xfId="0" applyFont="1" applyFill="1" applyBorder="1" applyAlignment="1">
      <alignment horizontal="center" vertical="center" wrapText="1"/>
    </xf>
    <xf numFmtId="0" fontId="5" fillId="18" borderId="126" xfId="0" applyFont="1" applyFill="1" applyBorder="1" applyAlignment="1">
      <alignment horizontal="center" vertical="center" wrapText="1"/>
    </xf>
    <xf numFmtId="0" fontId="5" fillId="18" borderId="128" xfId="0" applyFont="1" applyFill="1" applyBorder="1" applyAlignment="1">
      <alignment horizontal="center" vertical="center" wrapText="1"/>
    </xf>
    <xf numFmtId="0" fontId="13" fillId="2" borderId="146" xfId="0" applyFont="1" applyFill="1" applyBorder="1" applyAlignment="1">
      <alignment horizontal="center" vertical="center" textRotation="90"/>
    </xf>
    <xf numFmtId="0" fontId="13" fillId="2" borderId="142" xfId="0" applyFont="1" applyFill="1" applyBorder="1" applyAlignment="1">
      <alignment horizontal="center" vertical="center" textRotation="90"/>
    </xf>
    <xf numFmtId="0" fontId="13" fillId="2" borderId="15" xfId="0" applyFont="1" applyFill="1" applyBorder="1" applyAlignment="1">
      <alignment horizontal="center" vertical="center" textRotation="90"/>
    </xf>
    <xf numFmtId="0" fontId="13" fillId="2" borderId="328" xfId="0" applyFont="1" applyFill="1" applyBorder="1" applyAlignment="1">
      <alignment horizontal="center" vertical="center" textRotation="90"/>
    </xf>
    <xf numFmtId="0" fontId="13" fillId="2" borderId="143" xfId="0" applyFont="1" applyFill="1" applyBorder="1" applyAlignment="1">
      <alignment horizontal="center" vertical="center" textRotation="90"/>
    </xf>
    <xf numFmtId="0" fontId="13" fillId="2" borderId="144" xfId="0" applyFont="1" applyFill="1" applyBorder="1" applyAlignment="1">
      <alignment horizontal="center" vertical="center" textRotation="90"/>
    </xf>
    <xf numFmtId="0" fontId="13" fillId="2" borderId="145" xfId="0" applyFont="1" applyFill="1" applyBorder="1" applyAlignment="1">
      <alignment horizontal="center" vertical="center" textRotation="90"/>
    </xf>
    <xf numFmtId="0" fontId="13" fillId="20" borderId="143" xfId="0" applyFont="1" applyFill="1" applyBorder="1" applyAlignment="1">
      <alignment horizontal="center" vertical="center" textRotation="90"/>
    </xf>
    <xf numFmtId="0" fontId="13" fillId="20" borderId="144" xfId="0" applyFont="1" applyFill="1" applyBorder="1" applyAlignment="1">
      <alignment horizontal="center" vertical="center" textRotation="90"/>
    </xf>
    <xf numFmtId="0" fontId="13" fillId="20" borderId="145" xfId="0" applyFont="1" applyFill="1" applyBorder="1" applyAlignment="1">
      <alignment horizontal="center" vertical="center" textRotation="90"/>
    </xf>
    <xf numFmtId="0" fontId="13" fillId="20" borderId="129" xfId="0" applyFont="1" applyFill="1" applyBorder="1" applyAlignment="1">
      <alignment horizontal="center" vertical="center" textRotation="90"/>
    </xf>
    <xf numFmtId="0" fontId="13" fillId="20" borderId="147" xfId="0" applyFont="1" applyFill="1" applyBorder="1" applyAlignment="1">
      <alignment horizontal="center" vertical="center" textRotation="90"/>
    </xf>
    <xf numFmtId="0" fontId="13" fillId="20" borderId="244" xfId="0" applyFont="1" applyFill="1" applyBorder="1" applyAlignment="1">
      <alignment horizontal="center" vertical="center" textRotation="90"/>
    </xf>
    <xf numFmtId="0" fontId="13" fillId="20" borderId="245" xfId="0" applyFont="1" applyFill="1" applyBorder="1" applyAlignment="1">
      <alignment horizontal="center" vertical="center" textRotation="90"/>
    </xf>
    <xf numFmtId="0" fontId="13" fillId="20" borderId="50" xfId="0" applyFont="1" applyFill="1" applyBorder="1" applyAlignment="1">
      <alignment horizontal="center" vertical="center" textRotation="90"/>
    </xf>
    <xf numFmtId="0" fontId="13" fillId="20" borderId="253" xfId="0" applyFont="1" applyFill="1" applyBorder="1" applyAlignment="1">
      <alignment horizontal="center" vertical="center" textRotation="90"/>
    </xf>
    <xf numFmtId="0" fontId="13" fillId="18" borderId="23" xfId="0" applyFont="1" applyFill="1" applyBorder="1" applyAlignment="1">
      <alignment horizontal="center" vertical="center" textRotation="90"/>
    </xf>
    <xf numFmtId="0" fontId="13" fillId="18" borderId="13" xfId="0" applyFont="1" applyFill="1" applyBorder="1" applyAlignment="1">
      <alignment horizontal="center" vertical="center" textRotation="90"/>
    </xf>
    <xf numFmtId="0" fontId="13" fillId="18" borderId="247" xfId="0" applyFont="1" applyFill="1" applyBorder="1" applyAlignment="1">
      <alignment horizontal="center" vertical="center" textRotation="90"/>
    </xf>
    <xf numFmtId="0" fontId="13" fillId="18" borderId="35" xfId="0" applyFont="1" applyFill="1" applyBorder="1" applyAlignment="1">
      <alignment horizontal="center" vertical="center" textRotation="90"/>
    </xf>
    <xf numFmtId="0" fontId="13" fillId="18" borderId="51" xfId="0" applyFont="1" applyFill="1" applyBorder="1" applyAlignment="1">
      <alignment horizontal="center" vertical="center" textRotation="90"/>
    </xf>
    <xf numFmtId="0" fontId="13" fillId="18" borderId="250" xfId="0" applyFont="1" applyFill="1" applyBorder="1" applyAlignment="1">
      <alignment horizontal="center" vertical="center" textRotation="90"/>
    </xf>
    <xf numFmtId="0" fontId="5" fillId="2" borderId="254" xfId="0" applyFont="1" applyFill="1" applyBorder="1" applyAlignment="1">
      <alignment horizontal="center" vertical="center" wrapText="1"/>
    </xf>
    <xf numFmtId="0" fontId="5" fillId="20" borderId="143" xfId="0" applyFont="1" applyFill="1" applyBorder="1" applyAlignment="1">
      <alignment horizontal="center" vertical="center" wrapText="1"/>
    </xf>
    <xf numFmtId="0" fontId="5" fillId="20" borderId="24" xfId="0" applyFont="1" applyFill="1" applyBorder="1" applyAlignment="1">
      <alignment horizontal="center" vertical="center" wrapText="1"/>
    </xf>
    <xf numFmtId="0" fontId="5" fillId="20" borderId="248" xfId="0" applyFont="1" applyFill="1" applyBorder="1" applyAlignment="1">
      <alignment horizontal="center" vertical="center" wrapText="1"/>
    </xf>
    <xf numFmtId="0" fontId="5" fillId="18" borderId="23" xfId="0" applyFont="1" applyFill="1" applyBorder="1" applyAlignment="1">
      <alignment horizontal="center" vertical="center" wrapText="1"/>
    </xf>
    <xf numFmtId="0" fontId="5" fillId="18" borderId="25" xfId="0" applyFont="1" applyFill="1" applyBorder="1" applyAlignment="1">
      <alignment horizontal="center" vertical="center" wrapText="1"/>
    </xf>
    <xf numFmtId="0" fontId="13" fillId="19" borderId="45" xfId="0" applyFont="1" applyFill="1" applyBorder="1" applyAlignment="1">
      <alignment horizontal="center"/>
    </xf>
    <xf numFmtId="0" fontId="13" fillId="19" borderId="101" xfId="0" applyFont="1" applyFill="1" applyBorder="1" applyAlignment="1">
      <alignment horizontal="center"/>
    </xf>
    <xf numFmtId="0" fontId="13" fillId="19" borderId="100" xfId="0" applyFont="1" applyFill="1" applyBorder="1" applyAlignment="1">
      <alignment horizontal="center"/>
    </xf>
    <xf numFmtId="0" fontId="23" fillId="15" borderId="130" xfId="0" applyFont="1" applyFill="1" applyBorder="1" applyAlignment="1">
      <alignment horizontal="center" vertical="center" textRotation="90" wrapText="1"/>
    </xf>
    <xf numFmtId="0" fontId="23" fillId="15" borderId="329" xfId="0" applyFont="1" applyFill="1" applyBorder="1" applyAlignment="1">
      <alignment horizontal="center" vertical="center" textRotation="90" wrapText="1"/>
    </xf>
    <xf numFmtId="0" fontId="23" fillId="15" borderId="329" xfId="0" applyFont="1" applyFill="1" applyBorder="1" applyAlignment="1">
      <alignment horizontal="center" vertical="center" textRotation="90"/>
    </xf>
    <xf numFmtId="0" fontId="23" fillId="15" borderId="330" xfId="0" applyFont="1" applyFill="1" applyBorder="1" applyAlignment="1">
      <alignment horizontal="center" vertical="center" textRotation="90"/>
    </xf>
    <xf numFmtId="0" fontId="23" fillId="15" borderId="151" xfId="0" applyFont="1" applyFill="1" applyBorder="1" applyAlignment="1">
      <alignment horizontal="center" vertical="center" textRotation="90" wrapText="1"/>
    </xf>
    <xf numFmtId="0" fontId="23" fillId="22" borderId="179" xfId="0" applyFont="1" applyFill="1" applyBorder="1" applyAlignment="1">
      <alignment horizontal="center" vertical="center" textRotation="90"/>
    </xf>
    <xf numFmtId="0" fontId="23" fillId="22" borderId="180" xfId="0" applyFont="1" applyFill="1" applyBorder="1" applyAlignment="1">
      <alignment horizontal="center" vertical="center" textRotation="90"/>
    </xf>
    <xf numFmtId="0" fontId="23" fillId="22" borderId="181" xfId="0" applyFont="1" applyFill="1" applyBorder="1" applyAlignment="1">
      <alignment horizontal="center" vertical="center" textRotation="90"/>
    </xf>
    <xf numFmtId="0" fontId="21" fillId="15" borderId="187" xfId="0" applyFont="1" applyFill="1" applyBorder="1" applyAlignment="1">
      <alignment horizontal="center" vertical="center" wrapText="1"/>
    </xf>
    <xf numFmtId="0" fontId="23" fillId="22" borderId="271" xfId="0" applyFont="1" applyFill="1" applyBorder="1" applyAlignment="1">
      <alignment horizontal="center" vertical="center" wrapText="1"/>
    </xf>
    <xf numFmtId="0" fontId="23" fillId="22" borderId="272" xfId="0" applyFont="1" applyFill="1" applyBorder="1" applyAlignment="1">
      <alignment horizontal="center" vertical="center" wrapText="1"/>
    </xf>
    <xf numFmtId="0" fontId="23" fillId="22" borderId="273" xfId="0" applyFont="1" applyFill="1" applyBorder="1" applyAlignment="1">
      <alignment horizontal="center" vertical="center" wrapText="1"/>
    </xf>
    <xf numFmtId="0" fontId="21" fillId="15" borderId="227" xfId="0" applyFont="1" applyFill="1" applyBorder="1" applyAlignment="1">
      <alignment horizontal="center" vertical="center" wrapText="1"/>
    </xf>
    <xf numFmtId="0" fontId="21" fillId="15" borderId="225" xfId="0" applyFont="1" applyFill="1" applyBorder="1" applyAlignment="1">
      <alignment horizontal="center" vertical="center" wrapText="1"/>
    </xf>
    <xf numFmtId="0" fontId="21" fillId="15" borderId="228" xfId="0" applyFont="1" applyFill="1" applyBorder="1" applyAlignment="1">
      <alignment horizontal="center" vertical="center" wrapText="1"/>
    </xf>
    <xf numFmtId="0" fontId="21" fillId="15" borderId="265" xfId="0" applyFont="1" applyFill="1" applyBorder="1" applyAlignment="1">
      <alignment horizontal="center" vertical="center" wrapText="1"/>
    </xf>
    <xf numFmtId="0" fontId="21" fillId="15" borderId="259" xfId="0" applyFont="1" applyFill="1" applyBorder="1" applyAlignment="1">
      <alignment horizontal="center" vertical="center" wrapText="1"/>
    </xf>
    <xf numFmtId="0" fontId="21" fillId="15" borderId="266" xfId="0" applyFont="1" applyFill="1" applyBorder="1" applyAlignment="1">
      <alignment horizontal="center" vertical="center" wrapText="1"/>
    </xf>
    <xf numFmtId="0" fontId="23" fillId="22" borderId="269" xfId="0" applyFont="1" applyFill="1" applyBorder="1" applyAlignment="1">
      <alignment horizontal="center" vertical="center" wrapText="1"/>
    </xf>
    <xf numFmtId="0" fontId="23" fillId="22" borderId="225" xfId="0" applyFont="1" applyFill="1" applyBorder="1" applyAlignment="1">
      <alignment horizontal="center" vertical="center" wrapText="1"/>
    </xf>
    <xf numFmtId="0" fontId="23" fillId="22" borderId="270" xfId="0" applyFont="1" applyFill="1" applyBorder="1" applyAlignment="1">
      <alignment horizontal="center" vertical="center" wrapText="1"/>
    </xf>
    <xf numFmtId="0" fontId="23" fillId="15" borderId="151" xfId="0" applyFont="1" applyFill="1" applyBorder="1" applyAlignment="1">
      <alignment horizontal="center" vertical="center" textRotation="90"/>
    </xf>
    <xf numFmtId="0" fontId="23" fillId="21" borderId="151" xfId="0" applyFont="1" applyFill="1" applyBorder="1" applyAlignment="1">
      <alignment horizontal="center" vertical="center" textRotation="90"/>
    </xf>
    <xf numFmtId="0" fontId="23" fillId="21" borderId="152" xfId="0" applyFont="1" applyFill="1" applyBorder="1" applyAlignment="1">
      <alignment horizontal="center" vertical="center" textRotation="90"/>
    </xf>
    <xf numFmtId="0" fontId="23" fillId="21" borderId="156" xfId="0" applyFont="1" applyFill="1" applyBorder="1" applyAlignment="1">
      <alignment horizontal="center" vertical="center" textRotation="90"/>
    </xf>
    <xf numFmtId="0" fontId="23" fillId="21" borderId="131" xfId="0" applyFont="1" applyFill="1" applyBorder="1" applyAlignment="1">
      <alignment horizontal="center" vertical="center" textRotation="90"/>
    </xf>
    <xf numFmtId="0" fontId="23" fillId="21" borderId="157" xfId="0" applyFont="1" applyFill="1" applyBorder="1" applyAlignment="1">
      <alignment horizontal="center" vertical="center" textRotation="90"/>
    </xf>
    <xf numFmtId="0" fontId="23" fillId="21" borderId="158" xfId="0" applyFont="1" applyFill="1" applyBorder="1" applyAlignment="1">
      <alignment horizontal="center" vertical="center" textRotation="90"/>
    </xf>
    <xf numFmtId="0" fontId="23" fillId="21" borderId="161" xfId="0" applyFont="1" applyFill="1" applyBorder="1" applyAlignment="1">
      <alignment horizontal="center" vertical="center" textRotation="90"/>
    </xf>
    <xf numFmtId="0" fontId="23" fillId="21" borderId="165" xfId="0" applyFont="1" applyFill="1" applyBorder="1" applyAlignment="1">
      <alignment horizontal="center" vertical="center" textRotation="90"/>
    </xf>
    <xf numFmtId="0" fontId="23" fillId="22" borderId="260" xfId="0" applyFont="1" applyFill="1" applyBorder="1" applyAlignment="1">
      <alignment horizontal="center" vertical="center" textRotation="90"/>
    </xf>
    <xf numFmtId="0" fontId="23" fillId="22" borderId="261" xfId="0" applyFont="1" applyFill="1" applyBorder="1" applyAlignment="1">
      <alignment horizontal="center" vertical="center" textRotation="90"/>
    </xf>
    <xf numFmtId="0" fontId="23" fillId="22" borderId="224" xfId="0" applyFont="1" applyFill="1" applyBorder="1" applyAlignment="1">
      <alignment horizontal="center" vertical="center" textRotation="90"/>
    </xf>
    <xf numFmtId="0" fontId="21" fillId="21" borderId="258" xfId="0" applyFont="1" applyFill="1" applyBorder="1" applyAlignment="1">
      <alignment horizontal="center" vertical="center" wrapText="1"/>
    </xf>
    <xf numFmtId="0" fontId="21" fillId="21" borderId="186" xfId="0" applyFont="1" applyFill="1" applyBorder="1" applyAlignment="1">
      <alignment horizontal="center" vertical="center" wrapText="1"/>
    </xf>
    <xf numFmtId="0" fontId="21" fillId="21" borderId="187" xfId="0" applyFont="1" applyFill="1" applyBorder="1" applyAlignment="1">
      <alignment horizontal="center" vertical="center" wrapText="1"/>
    </xf>
    <xf numFmtId="0" fontId="21" fillId="22" borderId="169" xfId="0" applyFont="1" applyFill="1" applyBorder="1" applyAlignment="1">
      <alignment horizontal="center" vertical="center" wrapText="1"/>
    </xf>
    <xf numFmtId="0" fontId="21" fillId="22" borderId="172" xfId="0" applyFont="1" applyFill="1" applyBorder="1" applyAlignment="1">
      <alignment horizontal="center" vertical="center" wrapText="1"/>
    </xf>
    <xf numFmtId="0" fontId="21" fillId="15" borderId="169" xfId="0" applyFont="1" applyFill="1" applyBorder="1" applyAlignment="1">
      <alignment horizontal="center" vertical="center" wrapText="1"/>
    </xf>
    <xf numFmtId="0" fontId="21" fillId="15" borderId="162" xfId="0" applyFont="1" applyFill="1" applyBorder="1" applyAlignment="1">
      <alignment horizontal="center" vertical="center" wrapText="1"/>
    </xf>
    <xf numFmtId="0" fontId="21" fillId="15" borderId="267" xfId="0" applyFont="1" applyFill="1" applyBorder="1" applyAlignment="1">
      <alignment horizontal="center" vertical="center" wrapText="1"/>
    </xf>
    <xf numFmtId="0" fontId="21" fillId="21" borderId="268" xfId="0" applyFont="1" applyFill="1" applyBorder="1" applyAlignment="1">
      <alignment horizontal="center" vertical="center" wrapText="1"/>
    </xf>
    <xf numFmtId="0" fontId="21" fillId="21" borderId="162" xfId="0" applyFont="1" applyFill="1" applyBorder="1" applyAlignment="1">
      <alignment horizontal="center" vertical="center" wrapText="1"/>
    </xf>
    <xf numFmtId="0" fontId="21" fillId="21" borderId="172" xfId="0" applyFont="1" applyFill="1" applyBorder="1" applyAlignment="1">
      <alignment horizontal="center" vertical="center" wrapText="1"/>
    </xf>
    <xf numFmtId="0" fontId="23" fillId="15" borderId="166" xfId="0" applyFont="1" applyFill="1" applyBorder="1" applyAlignment="1">
      <alignment horizontal="center" vertical="center" textRotation="90" wrapText="1"/>
    </xf>
    <xf numFmtId="0" fontId="23" fillId="15" borderId="166" xfId="0" applyFont="1" applyFill="1" applyBorder="1" applyAlignment="1">
      <alignment horizontal="center" vertical="center" textRotation="90"/>
    </xf>
    <xf numFmtId="0" fontId="23" fillId="15" borderId="167" xfId="0" applyFont="1" applyFill="1" applyBorder="1" applyAlignment="1">
      <alignment horizontal="center" vertical="center" textRotation="90"/>
    </xf>
    <xf numFmtId="0" fontId="21" fillId="15" borderId="262" xfId="0" applyFont="1" applyFill="1" applyBorder="1" applyAlignment="1">
      <alignment horizontal="center" vertical="center" wrapText="1"/>
    </xf>
    <xf numFmtId="0" fontId="23" fillId="22" borderId="227" xfId="0" applyFont="1" applyFill="1" applyBorder="1" applyAlignment="1">
      <alignment horizontal="center" vertical="center" wrapText="1"/>
    </xf>
    <xf numFmtId="0" fontId="23" fillId="21" borderId="342" xfId="0" applyFont="1" applyFill="1" applyBorder="1" applyAlignment="1">
      <alignment horizontal="center" vertical="center" textRotation="90"/>
    </xf>
    <xf numFmtId="0" fontId="23" fillId="21" borderId="238" xfId="0" applyFont="1" applyFill="1" applyBorder="1" applyAlignment="1">
      <alignment horizontal="center" vertical="center" textRotation="90"/>
    </xf>
    <xf numFmtId="0" fontId="23" fillId="21" borderId="343" xfId="0" applyFont="1" applyFill="1" applyBorder="1" applyAlignment="1">
      <alignment horizontal="center" vertical="center" textRotation="90"/>
    </xf>
    <xf numFmtId="0" fontId="23" fillId="22" borderId="344" xfId="0" applyFont="1" applyFill="1" applyBorder="1" applyAlignment="1">
      <alignment horizontal="center" vertical="center" textRotation="90"/>
    </xf>
    <xf numFmtId="0" fontId="23" fillId="22" borderId="345" xfId="0" applyFont="1" applyFill="1" applyBorder="1" applyAlignment="1">
      <alignment horizontal="center" vertical="center" textRotation="90"/>
    </xf>
    <xf numFmtId="0" fontId="5" fillId="2" borderId="73" xfId="0" applyFont="1" applyFill="1" applyBorder="1" applyAlignment="1">
      <alignment horizontal="center" vertical="center"/>
    </xf>
    <xf numFmtId="0" fontId="5" fillId="2" borderId="74" xfId="0" applyFont="1" applyFill="1" applyBorder="1" applyAlignment="1">
      <alignment horizontal="center" vertical="center"/>
    </xf>
    <xf numFmtId="0" fontId="5" fillId="2" borderId="75" xfId="0" applyFont="1" applyFill="1" applyBorder="1" applyAlignment="1">
      <alignment horizontal="center" vertical="center"/>
    </xf>
    <xf numFmtId="0" fontId="13" fillId="20" borderId="222" xfId="0" applyFont="1" applyFill="1" applyBorder="1" applyAlignment="1">
      <alignment horizontal="center" vertical="center" textRotation="90"/>
    </xf>
    <xf numFmtId="0" fontId="13" fillId="20" borderId="223" xfId="0" applyFont="1" applyFill="1" applyBorder="1" applyAlignment="1">
      <alignment horizontal="center" vertical="center" textRotation="90"/>
    </xf>
    <xf numFmtId="0" fontId="13" fillId="2" borderId="134" xfId="0" applyFont="1" applyFill="1" applyBorder="1" applyAlignment="1">
      <alignment horizontal="center" vertical="center" textRotation="90"/>
    </xf>
    <xf numFmtId="0" fontId="13" fillId="2" borderId="139" xfId="0" applyFont="1" applyFill="1" applyBorder="1" applyAlignment="1">
      <alignment horizontal="center" vertical="center" textRotation="90"/>
    </xf>
    <xf numFmtId="0" fontId="21" fillId="21" borderId="159" xfId="0" applyFont="1" applyFill="1" applyBorder="1" applyAlignment="1">
      <alignment horizontal="center" vertical="center" wrapText="1"/>
    </xf>
    <xf numFmtId="0" fontId="21" fillId="21" borderId="141" xfId="0" applyFont="1" applyFill="1" applyBorder="1" applyAlignment="1">
      <alignment horizontal="center" vertical="center" wrapText="1"/>
    </xf>
    <xf numFmtId="0" fontId="21" fillId="15" borderId="188" xfId="0" applyFont="1" applyFill="1" applyBorder="1" applyAlignment="1">
      <alignment horizontal="center" vertical="center"/>
    </xf>
    <xf numFmtId="0" fontId="21" fillId="15" borderId="186" xfId="0" applyFont="1" applyFill="1" applyBorder="1" applyAlignment="1">
      <alignment horizontal="center" vertical="center"/>
    </xf>
    <xf numFmtId="0" fontId="21" fillId="15" borderId="187" xfId="0" applyFont="1" applyFill="1" applyBorder="1" applyAlignment="1">
      <alignment horizontal="center" vertical="center"/>
    </xf>
    <xf numFmtId="0" fontId="31" fillId="26" borderId="280" xfId="0" applyFont="1" applyFill="1" applyBorder="1" applyAlignment="1">
      <alignment horizontal="center" vertical="center" wrapText="1"/>
    </xf>
    <xf numFmtId="0" fontId="5" fillId="2" borderId="185" xfId="0" applyFont="1" applyFill="1" applyBorder="1" applyAlignment="1">
      <alignment horizontal="center" vertical="center"/>
    </xf>
    <xf numFmtId="0" fontId="5" fillId="2" borderId="182" xfId="0" applyFont="1" applyFill="1" applyBorder="1" applyAlignment="1">
      <alignment horizontal="center" vertical="center"/>
    </xf>
    <xf numFmtId="0" fontId="5" fillId="2" borderId="184" xfId="0" applyFont="1" applyFill="1" applyBorder="1" applyAlignment="1">
      <alignment horizontal="center" vertical="center"/>
    </xf>
    <xf numFmtId="0" fontId="5" fillId="2" borderId="183" xfId="0" applyFont="1" applyFill="1" applyBorder="1" applyAlignment="1">
      <alignment horizontal="center" vertical="center"/>
    </xf>
    <xf numFmtId="0" fontId="21" fillId="15" borderId="263" xfId="0" applyFont="1" applyFill="1" applyBorder="1" applyAlignment="1">
      <alignment horizontal="center" vertical="center" wrapText="1"/>
    </xf>
    <xf numFmtId="0" fontId="21" fillId="15" borderId="242" xfId="0" applyFont="1" applyFill="1" applyBorder="1" applyAlignment="1">
      <alignment horizontal="center" vertical="center" wrapText="1"/>
    </xf>
    <xf numFmtId="0" fontId="21" fillId="15" borderId="237" xfId="0" applyFont="1" applyFill="1" applyBorder="1" applyAlignment="1">
      <alignment horizontal="center" vertical="center" wrapText="1"/>
    </xf>
    <xf numFmtId="0" fontId="30" fillId="23" borderId="312" xfId="0" applyFont="1" applyFill="1" applyBorder="1" applyAlignment="1">
      <alignment horizontal="center" vertical="center" textRotation="90" wrapText="1"/>
    </xf>
    <xf numFmtId="0" fontId="30" fillId="23" borderId="312" xfId="0" applyFont="1" applyFill="1" applyBorder="1" applyAlignment="1">
      <alignment horizontal="center" vertical="center" textRotation="90"/>
    </xf>
    <xf numFmtId="0" fontId="30" fillId="23" borderId="315" xfId="0" applyFont="1" applyFill="1" applyBorder="1" applyAlignment="1">
      <alignment horizontal="center" vertical="center" textRotation="90"/>
    </xf>
    <xf numFmtId="0" fontId="5" fillId="0" borderId="135" xfId="0" applyFont="1" applyBorder="1" applyAlignment="1">
      <alignment horizontal="center" textRotation="90"/>
    </xf>
    <xf numFmtId="0" fontId="5" fillId="0" borderId="135" xfId="0" applyFont="1" applyBorder="1" applyAlignment="1">
      <alignment horizontal="center" textRotation="90" wrapText="1"/>
    </xf>
    <xf numFmtId="0" fontId="30" fillId="26" borderId="313" xfId="0" applyFont="1" applyFill="1" applyBorder="1" applyAlignment="1">
      <alignment horizontal="center" vertical="center" textRotation="90"/>
    </xf>
    <xf numFmtId="0" fontId="30" fillId="26" borderId="314" xfId="0" applyFont="1" applyFill="1" applyBorder="1" applyAlignment="1">
      <alignment horizontal="center" vertical="center" textRotation="90"/>
    </xf>
    <xf numFmtId="0" fontId="30" fillId="23" borderId="277" xfId="0" applyFont="1" applyFill="1" applyBorder="1" applyAlignment="1">
      <alignment horizontal="center" vertical="center" textRotation="90" wrapText="1"/>
    </xf>
    <xf numFmtId="0" fontId="30" fillId="23" borderId="277" xfId="0" applyFont="1" applyFill="1" applyBorder="1" applyAlignment="1">
      <alignment horizontal="center" vertical="center" textRotation="90"/>
    </xf>
    <xf numFmtId="0" fontId="30" fillId="23" borderId="325" xfId="0" applyFont="1" applyFill="1" applyBorder="1" applyAlignment="1">
      <alignment horizontal="center" vertical="center" textRotation="90"/>
    </xf>
    <xf numFmtId="0" fontId="31" fillId="23" borderId="297" xfId="0" applyFont="1" applyFill="1" applyBorder="1" applyAlignment="1">
      <alignment horizontal="center" vertical="center" wrapText="1"/>
    </xf>
    <xf numFmtId="0" fontId="5" fillId="3" borderId="136" xfId="0" applyFont="1" applyFill="1" applyBorder="1" applyAlignment="1">
      <alignment horizontal="center" textRotation="90"/>
    </xf>
    <xf numFmtId="49" fontId="5" fillId="4" borderId="137" xfId="0" applyNumberFormat="1" applyFont="1" applyFill="1" applyBorder="1" applyAlignment="1">
      <alignment horizontal="center" textRotation="90" shrinkToFit="1"/>
    </xf>
    <xf numFmtId="49" fontId="5" fillId="4" borderId="119" xfId="0" applyNumberFormat="1" applyFont="1" applyFill="1" applyBorder="1" applyAlignment="1">
      <alignment horizontal="center" textRotation="90"/>
    </xf>
    <xf numFmtId="49" fontId="5" fillId="4" borderId="120" xfId="0" applyNumberFormat="1" applyFont="1" applyFill="1" applyBorder="1" applyAlignment="1">
      <alignment horizontal="center" textRotation="90"/>
    </xf>
    <xf numFmtId="49" fontId="5" fillId="4" borderId="138" xfId="0" applyNumberFormat="1" applyFont="1" applyFill="1" applyBorder="1" applyAlignment="1">
      <alignment horizontal="center" textRotation="90"/>
    </xf>
    <xf numFmtId="0" fontId="30" fillId="23" borderId="319" xfId="0" applyFont="1" applyFill="1" applyBorder="1" applyAlignment="1">
      <alignment horizontal="center" vertical="center" textRotation="90" wrapText="1"/>
    </xf>
    <xf numFmtId="0" fontId="30" fillId="23" borderId="319" xfId="0" applyFont="1" applyFill="1" applyBorder="1" applyAlignment="1">
      <alignment horizontal="center" vertical="center" textRotation="90"/>
    </xf>
    <xf numFmtId="0" fontId="30" fillId="23" borderId="320" xfId="0" applyFont="1" applyFill="1" applyBorder="1" applyAlignment="1">
      <alignment horizontal="center" vertical="center" textRotation="90"/>
    </xf>
    <xf numFmtId="0" fontId="21" fillId="15" borderId="347" xfId="0" applyFont="1" applyFill="1" applyBorder="1" applyAlignment="1">
      <alignment horizontal="center" vertical="center"/>
    </xf>
    <xf numFmtId="0" fontId="21" fillId="15" borderId="347" xfId="0" applyFont="1" applyFill="1" applyBorder="1" applyAlignment="1">
      <alignment horizontal="center" vertical="center" wrapText="1"/>
    </xf>
    <xf numFmtId="0" fontId="23" fillId="15" borderId="341" xfId="0" applyFont="1" applyFill="1" applyBorder="1" applyAlignment="1">
      <alignment horizontal="center" vertical="center" textRotation="90" wrapText="1"/>
    </xf>
    <xf numFmtId="0" fontId="21" fillId="21" borderId="239" xfId="0" applyFont="1" applyFill="1" applyBorder="1" applyAlignment="1">
      <alignment horizontal="center" vertical="center" wrapText="1"/>
    </xf>
    <xf numFmtId="0" fontId="21" fillId="21" borderId="242" xfId="0" applyFont="1" applyFill="1" applyBorder="1" applyAlignment="1">
      <alignment horizontal="center" vertical="center" wrapText="1"/>
    </xf>
    <xf numFmtId="0" fontId="21" fillId="21" borderId="264" xfId="0" applyFont="1" applyFill="1" applyBorder="1" applyAlignment="1">
      <alignment horizontal="center" vertical="center" wrapText="1"/>
    </xf>
    <xf numFmtId="0" fontId="13" fillId="20" borderId="146" xfId="0" applyFont="1" applyFill="1" applyBorder="1" applyAlignment="1">
      <alignment horizontal="center" vertical="center" textRotation="90"/>
    </xf>
    <xf numFmtId="0" fontId="13" fillId="20" borderId="142" xfId="0" applyFont="1" applyFill="1" applyBorder="1" applyAlignment="1">
      <alignment horizontal="center" vertical="center" textRotation="90"/>
    </xf>
    <xf numFmtId="0" fontId="13" fillId="2" borderId="8" xfId="0" applyFont="1" applyFill="1" applyBorder="1" applyAlignment="1">
      <alignment horizontal="center" vertical="center" textRotation="90"/>
    </xf>
    <xf numFmtId="0" fontId="13" fillId="2" borderId="240" xfId="0" applyFont="1" applyFill="1" applyBorder="1" applyAlignment="1">
      <alignment horizontal="center" vertical="center" textRotation="90"/>
    </xf>
    <xf numFmtId="0" fontId="13" fillId="20" borderId="27" xfId="0" applyFont="1" applyFill="1" applyBorder="1" applyAlignment="1">
      <alignment horizontal="center" vertical="center" textRotation="90"/>
    </xf>
    <xf numFmtId="0" fontId="13" fillId="20" borderId="246" xfId="0" applyFont="1" applyFill="1" applyBorder="1" applyAlignment="1">
      <alignment horizontal="center" vertical="center" textRotation="90"/>
    </xf>
    <xf numFmtId="0" fontId="5" fillId="2" borderId="7" xfId="0" applyFont="1" applyFill="1" applyBorder="1" applyAlignment="1">
      <alignment horizontal="center" vertical="center" wrapText="1"/>
    </xf>
    <xf numFmtId="0" fontId="10" fillId="2" borderId="81" xfId="0" applyFont="1" applyFill="1" applyBorder="1" applyAlignment="1">
      <alignment horizontal="center" vertical="center"/>
    </xf>
    <xf numFmtId="0" fontId="5" fillId="18" borderId="249" xfId="0" applyFont="1" applyFill="1" applyBorder="1" applyAlignment="1">
      <alignment horizontal="center" vertical="center" wrapText="1"/>
    </xf>
    <xf numFmtId="0" fontId="5" fillId="18" borderId="148" xfId="0" applyFont="1" applyFill="1" applyBorder="1" applyAlignment="1">
      <alignment horizontal="center" vertical="center" wrapText="1"/>
    </xf>
    <xf numFmtId="0" fontId="5" fillId="20" borderId="160" xfId="0" applyFont="1" applyFill="1" applyBorder="1" applyAlignment="1">
      <alignment horizontal="center" vertical="center" wrapText="1"/>
    </xf>
    <xf numFmtId="0" fontId="5" fillId="20" borderId="8" xfId="0" applyFont="1" applyFill="1" applyBorder="1" applyAlignment="1">
      <alignment horizontal="center" vertical="center" wrapText="1"/>
    </xf>
    <xf numFmtId="0" fontId="5" fillId="20" borderId="148" xfId="0" applyFont="1" applyFill="1" applyBorder="1" applyAlignment="1">
      <alignment horizontal="center" vertical="center" wrapText="1"/>
    </xf>
    <xf numFmtId="0" fontId="13" fillId="20" borderId="163" xfId="0" applyFont="1" applyFill="1" applyBorder="1" applyAlignment="1">
      <alignment horizontal="center" vertical="center" textRotation="90"/>
    </xf>
    <xf numFmtId="0" fontId="13" fillId="20" borderId="164" xfId="0" applyFont="1" applyFill="1" applyBorder="1" applyAlignment="1">
      <alignment horizontal="center" vertical="center" textRotation="90"/>
    </xf>
    <xf numFmtId="0" fontId="5" fillId="2" borderId="350" xfId="0" applyFont="1" applyFill="1" applyBorder="1" applyAlignment="1">
      <alignment horizontal="center" vertical="center" wrapText="1"/>
    </xf>
    <xf numFmtId="0" fontId="5" fillId="18" borderId="351" xfId="0" applyFont="1" applyFill="1" applyBorder="1" applyAlignment="1">
      <alignment horizontal="center" vertical="center" wrapText="1"/>
    </xf>
    <xf numFmtId="0" fontId="13" fillId="18" borderId="43" xfId="0" applyFont="1" applyFill="1" applyBorder="1" applyAlignment="1">
      <alignment horizontal="center" vertical="center" textRotation="90"/>
    </xf>
    <xf numFmtId="0" fontId="13" fillId="18" borderId="44" xfId="0" applyFont="1" applyFill="1" applyBorder="1" applyAlignment="1">
      <alignment horizontal="center" vertical="center" textRotation="90"/>
    </xf>
    <xf numFmtId="0" fontId="13" fillId="18" borderId="352" xfId="0" applyFont="1" applyFill="1" applyBorder="1" applyAlignment="1">
      <alignment horizontal="center" vertical="center" textRotation="90"/>
    </xf>
    <xf numFmtId="0" fontId="5" fillId="2" borderId="354" xfId="0" applyFont="1" applyFill="1" applyBorder="1" applyAlignment="1">
      <alignment horizontal="center" vertical="center"/>
    </xf>
    <xf numFmtId="0" fontId="13" fillId="19" borderId="46" xfId="0" applyFont="1" applyFill="1" applyBorder="1" applyAlignment="1">
      <alignment horizontal="center"/>
    </xf>
    <xf numFmtId="0" fontId="13" fillId="19" borderId="348" xfId="0" applyFont="1" applyFill="1" applyBorder="1" applyAlignment="1">
      <alignment horizontal="center" vertical="center" wrapText="1"/>
    </xf>
    <xf numFmtId="0" fontId="13" fillId="19" borderId="243" xfId="0" applyFont="1" applyFill="1" applyBorder="1" applyAlignment="1">
      <alignment horizontal="center" vertical="center" wrapText="1"/>
    </xf>
    <xf numFmtId="0" fontId="13" fillId="19" borderId="65" xfId="0" applyFont="1" applyFill="1" applyBorder="1" applyAlignment="1">
      <alignment horizontal="center" vertical="center" wrapText="1"/>
    </xf>
    <xf numFmtId="0" fontId="5" fillId="2" borderId="349" xfId="0" applyFont="1" applyFill="1" applyBorder="1" applyAlignment="1">
      <alignment horizontal="center" vertical="center" wrapText="1"/>
    </xf>
    <xf numFmtId="0" fontId="5" fillId="18" borderId="248" xfId="0" applyFont="1" applyFill="1" applyBorder="1" applyAlignment="1">
      <alignment horizontal="center" vertical="center" wrapText="1"/>
    </xf>
    <xf numFmtId="0" fontId="5" fillId="2" borderId="39" xfId="0" applyFont="1" applyFill="1" applyBorder="1" applyAlignment="1">
      <alignment horizontal="left" vertical="center" wrapText="1"/>
    </xf>
    <xf numFmtId="0" fontId="5" fillId="2" borderId="42" xfId="0" applyFont="1" applyFill="1" applyBorder="1" applyAlignment="1">
      <alignment horizontal="left" vertical="center" wrapText="1"/>
    </xf>
    <xf numFmtId="0" fontId="5" fillId="2" borderId="45" xfId="0" applyFont="1" applyFill="1" applyBorder="1" applyAlignment="1">
      <alignment horizontal="left" vertical="center" wrapText="1"/>
    </xf>
    <xf numFmtId="0" fontId="5" fillId="2" borderId="46" xfId="0" applyFont="1" applyFill="1" applyBorder="1" applyAlignment="1">
      <alignment horizontal="left" vertical="center" wrapText="1"/>
    </xf>
    <xf numFmtId="0" fontId="12" fillId="14" borderId="31" xfId="0" applyFont="1" applyFill="1" applyBorder="1" applyAlignment="1">
      <alignment horizontal="center" vertical="center" textRotation="90"/>
    </xf>
    <xf numFmtId="0" fontId="12" fillId="14" borderId="32" xfId="0" applyFont="1" applyFill="1" applyBorder="1" applyAlignment="1">
      <alignment horizontal="center" vertical="center" textRotation="90"/>
    </xf>
    <xf numFmtId="0" fontId="12" fillId="14" borderId="33" xfId="0" applyFont="1" applyFill="1" applyBorder="1" applyAlignment="1">
      <alignment horizontal="center" vertical="center" textRotation="90"/>
    </xf>
    <xf numFmtId="0" fontId="12" fillId="14" borderId="35" xfId="0" applyFont="1" applyFill="1" applyBorder="1" applyAlignment="1">
      <alignment horizontal="center" vertical="center" textRotation="90"/>
    </xf>
    <xf numFmtId="0" fontId="12" fillId="14" borderId="51" xfId="0" applyFont="1" applyFill="1" applyBorder="1" applyAlignment="1">
      <alignment horizontal="center" vertical="center" textRotation="90"/>
    </xf>
    <xf numFmtId="0" fontId="12" fillId="14" borderId="52" xfId="0" applyFont="1" applyFill="1" applyBorder="1" applyAlignment="1">
      <alignment horizontal="center" vertical="center" textRotation="90"/>
    </xf>
    <xf numFmtId="0" fontId="5" fillId="2" borderId="100" xfId="0" applyFont="1" applyFill="1" applyBorder="1" applyAlignment="1">
      <alignment horizontal="center" vertical="center" wrapText="1"/>
    </xf>
    <xf numFmtId="0" fontId="12" fillId="14" borderId="43" xfId="0" applyFont="1" applyFill="1" applyBorder="1" applyAlignment="1">
      <alignment horizontal="center" vertical="center" textRotation="90"/>
    </xf>
    <xf numFmtId="0" fontId="12" fillId="14" borderId="44" xfId="0" applyFont="1" applyFill="1" applyBorder="1" applyAlignment="1">
      <alignment horizontal="center" vertical="center" textRotation="90"/>
    </xf>
    <xf numFmtId="0" fontId="12" fillId="14" borderId="103" xfId="0" applyFont="1" applyFill="1" applyBorder="1" applyAlignment="1">
      <alignment horizontal="center" vertical="center" textRotation="90"/>
    </xf>
    <xf numFmtId="0" fontId="5" fillId="14" borderId="41" xfId="0" applyFont="1" applyFill="1" applyBorder="1" applyAlignment="1">
      <alignment horizontal="center" vertical="center" textRotation="90" shrinkToFit="1"/>
    </xf>
    <xf numFmtId="0" fontId="5" fillId="14" borderId="83" xfId="0" applyFont="1" applyFill="1" applyBorder="1" applyAlignment="1">
      <alignment horizontal="center" vertical="center" textRotation="90" shrinkToFit="1"/>
    </xf>
    <xf numFmtId="0" fontId="5" fillId="14" borderId="102" xfId="0" applyFont="1" applyFill="1" applyBorder="1" applyAlignment="1">
      <alignment horizontal="center" vertical="center" textRotation="90" shrinkToFit="1"/>
    </xf>
    <xf numFmtId="0" fontId="13" fillId="2" borderId="98" xfId="0" applyFont="1" applyFill="1" applyBorder="1" applyAlignment="1">
      <alignment horizontal="center"/>
    </xf>
    <xf numFmtId="0" fontId="27" fillId="0" borderId="197" xfId="0" applyFont="1" applyBorder="1"/>
    <xf numFmtId="0" fontId="27" fillId="0" borderId="201" xfId="0" applyFont="1" applyBorder="1"/>
    <xf numFmtId="0" fontId="27" fillId="16" borderId="207" xfId="0" applyFont="1" applyFill="1" applyBorder="1" applyAlignment="1">
      <alignment horizontal="center" vertical="center"/>
    </xf>
    <xf numFmtId="0" fontId="27" fillId="16" borderId="208" xfId="0" applyFont="1" applyFill="1" applyBorder="1" applyAlignment="1">
      <alignment horizontal="center" vertical="center"/>
    </xf>
    <xf numFmtId="0" fontId="27" fillId="16" borderId="209" xfId="0" applyFont="1" applyFill="1" applyBorder="1" applyAlignment="1">
      <alignment horizontal="center" vertical="center"/>
    </xf>
    <xf numFmtId="0" fontId="27" fillId="16" borderId="210" xfId="0" applyFont="1" applyFill="1" applyBorder="1" applyAlignment="1">
      <alignment horizontal="center" vertical="center"/>
    </xf>
    <xf numFmtId="0" fontId="27" fillId="16" borderId="206" xfId="0" applyFont="1" applyFill="1" applyBorder="1" applyAlignment="1">
      <alignment horizontal="center" vertical="center"/>
    </xf>
    <xf numFmtId="0" fontId="27" fillId="16" borderId="211" xfId="0" applyFont="1" applyFill="1" applyBorder="1" applyAlignment="1">
      <alignment horizontal="center" vertical="center"/>
    </xf>
    <xf numFmtId="0" fontId="27" fillId="16" borderId="207" xfId="0" applyFont="1" applyFill="1" applyBorder="1" applyAlignment="1">
      <alignment horizontal="center" vertical="center" wrapText="1"/>
    </xf>
    <xf numFmtId="0" fontId="27" fillId="16" borderId="220" xfId="0" applyFont="1" applyFill="1" applyBorder="1" applyAlignment="1">
      <alignment horizontal="center" vertical="center"/>
    </xf>
    <xf numFmtId="0" fontId="27" fillId="16" borderId="0" xfId="0" applyFont="1" applyFill="1" applyBorder="1" applyAlignment="1">
      <alignment horizontal="center" vertical="center"/>
    </xf>
    <xf numFmtId="0" fontId="27" fillId="16" borderId="221" xfId="0" applyFont="1" applyFill="1" applyBorder="1" applyAlignment="1">
      <alignment horizontal="center" vertical="center"/>
    </xf>
    <xf numFmtId="0" fontId="27" fillId="16" borderId="204" xfId="0" applyFont="1" applyFill="1" applyBorder="1" applyAlignment="1">
      <alignment horizontal="center" vertical="center" wrapText="1"/>
    </xf>
    <xf numFmtId="0" fontId="27" fillId="16" borderId="205" xfId="0" applyFont="1" applyFill="1" applyBorder="1" applyAlignment="1">
      <alignment horizontal="center" vertical="center" wrapText="1"/>
    </xf>
    <xf numFmtId="0" fontId="27" fillId="0" borderId="198" xfId="0" applyFont="1" applyBorder="1"/>
    <xf numFmtId="49" fontId="5" fillId="4" borderId="115" xfId="0" applyNumberFormat="1" applyFont="1" applyFill="1" applyBorder="1" applyAlignment="1">
      <alignment horizontal="center" textRotation="90"/>
    </xf>
    <xf numFmtId="49" fontId="5" fillId="4" borderId="9" xfId="0" applyNumberFormat="1" applyFont="1" applyFill="1" applyBorder="1" applyAlignment="1">
      <alignment horizontal="center" textRotation="90"/>
    </xf>
    <xf numFmtId="49" fontId="5" fillId="4" borderId="10" xfId="0" applyNumberFormat="1" applyFont="1" applyFill="1" applyBorder="1" applyAlignment="1">
      <alignment horizontal="center" textRotation="90"/>
    </xf>
    <xf numFmtId="0" fontId="4" fillId="0" borderId="0" xfId="0" applyFont="1" applyAlignment="1">
      <alignment horizontal="center"/>
    </xf>
    <xf numFmtId="0" fontId="6" fillId="2" borderId="70" xfId="0" applyFont="1" applyFill="1" applyBorder="1" applyAlignment="1">
      <alignment horizontal="center"/>
    </xf>
    <xf numFmtId="164" fontId="6" fillId="2" borderId="71" xfId="0" applyNumberFormat="1" applyFont="1" applyFill="1" applyBorder="1" applyAlignment="1">
      <alignment horizontal="center"/>
    </xf>
    <xf numFmtId="0" fontId="6" fillId="6" borderId="27" xfId="0" applyFont="1" applyFill="1" applyBorder="1" applyAlignment="1">
      <alignment horizontal="center"/>
    </xf>
    <xf numFmtId="164" fontId="12" fillId="2" borderId="27" xfId="0" applyNumberFormat="1" applyFont="1" applyFill="1" applyBorder="1" applyAlignment="1">
      <alignment horizontal="center" vertical="center" textRotation="90"/>
    </xf>
    <xf numFmtId="0" fontId="6" fillId="6" borderId="31" xfId="0" applyFont="1" applyFill="1" applyBorder="1" applyAlignment="1">
      <alignment horizontal="center"/>
    </xf>
    <xf numFmtId="164" fontId="6" fillId="6" borderId="35" xfId="0" applyNumberFormat="1" applyFont="1" applyFill="1" applyBorder="1" applyAlignment="1">
      <alignment horizontal="center"/>
    </xf>
    <xf numFmtId="0" fontId="6" fillId="2" borderId="72" xfId="0" applyFont="1" applyFill="1" applyBorder="1" applyAlignment="1">
      <alignment horizontal="center"/>
    </xf>
    <xf numFmtId="0" fontId="6" fillId="6" borderId="6" xfId="0" applyFont="1" applyFill="1" applyBorder="1" applyAlignment="1">
      <alignment horizontal="center"/>
    </xf>
    <xf numFmtId="0" fontId="12" fillId="2" borderId="5" xfId="0" applyFont="1" applyFill="1" applyBorder="1" applyAlignment="1">
      <alignment horizontal="center" vertical="center" textRotation="90"/>
    </xf>
  </cellXfs>
  <cellStyles count="2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Normal" xfId="0" builtinId="0"/>
  </cellStyles>
  <dxfs count="4">
    <dxf>
      <font>
        <color rgb="FFBCCEFF"/>
      </font>
      <fill>
        <patternFill patternType="none">
          <bgColor auto="1"/>
        </patternFill>
      </fill>
    </dxf>
    <dxf>
      <font>
        <color rgb="FFC2CFF6"/>
      </font>
      <fill>
        <patternFill patternType="none">
          <bgColor auto="1"/>
        </patternFill>
      </fill>
    </dxf>
    <dxf>
      <font>
        <color rgb="FFBCCEFF"/>
      </font>
      <fill>
        <patternFill patternType="none">
          <bgColor auto="1"/>
        </patternFill>
      </fill>
    </dxf>
    <dxf>
      <font>
        <color rgb="FFC2CFF6"/>
      </font>
      <fill>
        <patternFill patternType="none">
          <bgColor auto="1"/>
        </patternFill>
      </fill>
    </dxf>
  </dxfs>
  <tableStyles count="0" defaultTableStyle="TableStyleMedium9" defaultPivotStyle="PivotStyleMedium7"/>
  <colors>
    <mruColors>
      <color rgb="FF7E98D5"/>
      <color rgb="FFEEF3FD"/>
      <color rgb="FFCB3F92"/>
      <color rgb="FFF39FD0"/>
      <color rgb="FFF578C4"/>
      <color rgb="FFFFABE3"/>
      <color rgb="FFF54FB1"/>
      <color rgb="FFE149A3"/>
      <color rgb="FFFF92E0"/>
      <color rgb="FFFF92DE"/>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tyles" Target="styles.xml"/><Relationship Id="rId12" Type="http://schemas.openxmlformats.org/officeDocument/2006/relationships/sharedStrings" Target="sharedStrings.xml"/><Relationship Id="rId13" Type="http://schemas.openxmlformats.org/officeDocument/2006/relationships/calcChain" Target="calcChain.xml"/><Relationship Id="rId14"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130"/>
  <sheetViews>
    <sheetView tabSelected="1" showRuler="0" topLeftCell="D16" workbookViewId="0">
      <selection activeCell="D17" sqref="D17"/>
    </sheetView>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390" t="s">
        <v>162</v>
      </c>
      <c r="L2" s="391"/>
      <c r="M2" s="391"/>
      <c r="N2" s="391"/>
      <c r="O2" s="391"/>
      <c r="P2" s="391"/>
      <c r="Q2" s="391"/>
      <c r="R2" s="391"/>
      <c r="S2" s="391"/>
      <c r="T2" s="391"/>
      <c r="U2" s="391"/>
      <c r="V2" s="391"/>
      <c r="W2" s="391"/>
      <c r="X2" s="391"/>
      <c r="Y2" s="391"/>
      <c r="Z2" s="391"/>
      <c r="AA2" s="391"/>
      <c r="AB2" s="391"/>
      <c r="AC2" s="391"/>
      <c r="AD2" s="391"/>
      <c r="AE2" s="391"/>
      <c r="AF2" s="391"/>
      <c r="AG2" s="391"/>
      <c r="AH2" s="391"/>
      <c r="AI2" s="391"/>
      <c r="AJ2" s="391"/>
      <c r="AK2" s="391"/>
      <c r="AL2" s="391"/>
      <c r="AM2" s="391"/>
      <c r="AN2" s="391"/>
      <c r="AO2" s="391"/>
      <c r="AP2" s="391"/>
      <c r="AQ2" s="391"/>
      <c r="AR2" s="391"/>
      <c r="AS2" s="391"/>
      <c r="AT2" s="391"/>
      <c r="AU2" s="391"/>
      <c r="AV2" s="391"/>
      <c r="AW2" s="391"/>
      <c r="AX2" s="391"/>
      <c r="AY2" s="391"/>
      <c r="AZ2" s="392"/>
    </row>
    <row r="3" spans="1:53" ht="16" customHeight="1" x14ac:dyDescent="0.2">
      <c r="D3" s="334" t="s">
        <v>232</v>
      </c>
      <c r="K3" s="356" t="s">
        <v>157</v>
      </c>
      <c r="L3" s="357"/>
      <c r="M3" s="356" t="s">
        <v>207</v>
      </c>
      <c r="N3" s="357"/>
      <c r="O3" s="356" t="s">
        <v>159</v>
      </c>
      <c r="P3" s="357"/>
      <c r="Q3" s="356" t="s">
        <v>158</v>
      </c>
      <c r="R3" s="357"/>
      <c r="S3" s="356" t="s">
        <v>202</v>
      </c>
      <c r="T3" s="357"/>
      <c r="U3" s="356" t="s">
        <v>164</v>
      </c>
      <c r="V3" s="357"/>
      <c r="W3" s="362" t="s">
        <v>237</v>
      </c>
      <c r="X3" s="357"/>
      <c r="Y3" s="356" t="s">
        <v>173</v>
      </c>
      <c r="Z3" s="357"/>
      <c r="AA3" s="362" t="s">
        <v>238</v>
      </c>
      <c r="AB3" s="357"/>
      <c r="AC3" s="356" t="s">
        <v>206</v>
      </c>
      <c r="AD3" s="357"/>
      <c r="AE3" s="362" t="s">
        <v>239</v>
      </c>
      <c r="AF3" s="357"/>
      <c r="AG3" s="356" t="s">
        <v>171</v>
      </c>
      <c r="AH3" s="357"/>
      <c r="AI3" s="356" t="s">
        <v>205</v>
      </c>
      <c r="AJ3" s="357"/>
      <c r="AK3" s="356" t="s">
        <v>163</v>
      </c>
      <c r="AL3" s="357"/>
      <c r="AM3" s="362" t="s">
        <v>236</v>
      </c>
      <c r="AN3" s="357"/>
      <c r="AO3" s="356" t="s">
        <v>174</v>
      </c>
      <c r="AP3" s="357"/>
      <c r="AQ3" s="356" t="s">
        <v>172</v>
      </c>
      <c r="AR3" s="357"/>
      <c r="AS3" s="356" t="s">
        <v>160</v>
      </c>
      <c r="AT3" s="357"/>
      <c r="AU3" s="356" t="s">
        <v>161</v>
      </c>
      <c r="AV3" s="357"/>
      <c r="AW3" s="404" t="s">
        <v>208</v>
      </c>
      <c r="AX3" s="357"/>
      <c r="AY3" s="362" t="s">
        <v>376</v>
      </c>
      <c r="AZ3" s="396"/>
    </row>
    <row r="4" spans="1:53" ht="20" customHeight="1" x14ac:dyDescent="0.2">
      <c r="B4" s="84"/>
      <c r="D4" s="335"/>
      <c r="K4" s="358"/>
      <c r="L4" s="359"/>
      <c r="M4" s="358"/>
      <c r="N4" s="359"/>
      <c r="O4" s="358"/>
      <c r="P4" s="359"/>
      <c r="Q4" s="358"/>
      <c r="R4" s="359"/>
      <c r="S4" s="358"/>
      <c r="T4" s="359"/>
      <c r="U4" s="358"/>
      <c r="V4" s="359"/>
      <c r="W4" s="358"/>
      <c r="X4" s="359"/>
      <c r="Y4" s="358"/>
      <c r="Z4" s="359"/>
      <c r="AA4" s="358"/>
      <c r="AB4" s="359"/>
      <c r="AC4" s="358"/>
      <c r="AD4" s="359"/>
      <c r="AE4" s="358"/>
      <c r="AF4" s="359"/>
      <c r="AG4" s="358"/>
      <c r="AH4" s="359"/>
      <c r="AI4" s="358"/>
      <c r="AJ4" s="359"/>
      <c r="AK4" s="358"/>
      <c r="AL4" s="359"/>
      <c r="AM4" s="358"/>
      <c r="AN4" s="359"/>
      <c r="AO4" s="358"/>
      <c r="AP4" s="359"/>
      <c r="AQ4" s="358"/>
      <c r="AR4" s="359"/>
      <c r="AS4" s="358"/>
      <c r="AT4" s="359"/>
      <c r="AU4" s="358"/>
      <c r="AV4" s="359"/>
      <c r="AW4" s="402"/>
      <c r="AX4" s="359"/>
      <c r="AY4" s="397"/>
      <c r="AZ4" s="398"/>
    </row>
    <row r="5" spans="1:53" ht="20" customHeight="1" thickBot="1" x14ac:dyDescent="0.25">
      <c r="A5" s="61"/>
      <c r="B5" s="83"/>
      <c r="D5" s="332" t="s">
        <v>245</v>
      </c>
      <c r="I5" s="24"/>
      <c r="J5" s="24"/>
      <c r="K5" s="360"/>
      <c r="L5" s="361"/>
      <c r="M5" s="360"/>
      <c r="N5" s="361"/>
      <c r="O5" s="360"/>
      <c r="P5" s="361"/>
      <c r="Q5" s="360"/>
      <c r="R5" s="361"/>
      <c r="S5" s="360"/>
      <c r="T5" s="361"/>
      <c r="U5" s="360"/>
      <c r="V5" s="361"/>
      <c r="W5" s="360"/>
      <c r="X5" s="361"/>
      <c r="Y5" s="360"/>
      <c r="Z5" s="361"/>
      <c r="AA5" s="360"/>
      <c r="AB5" s="361"/>
      <c r="AC5" s="360"/>
      <c r="AD5" s="361"/>
      <c r="AE5" s="360"/>
      <c r="AF5" s="361"/>
      <c r="AG5" s="360"/>
      <c r="AH5" s="361"/>
      <c r="AI5" s="360"/>
      <c r="AJ5" s="361"/>
      <c r="AK5" s="360"/>
      <c r="AL5" s="361"/>
      <c r="AM5" s="360"/>
      <c r="AN5" s="361"/>
      <c r="AO5" s="360"/>
      <c r="AP5" s="361"/>
      <c r="AQ5" s="360"/>
      <c r="AR5" s="361"/>
      <c r="AS5" s="360"/>
      <c r="AT5" s="361"/>
      <c r="AU5" s="360"/>
      <c r="AV5" s="361"/>
      <c r="AW5" s="405"/>
      <c r="AX5" s="361"/>
      <c r="AY5" s="399"/>
      <c r="AZ5" s="400"/>
    </row>
    <row r="6" spans="1:53" ht="20" customHeight="1" x14ac:dyDescent="0.2">
      <c r="A6" s="60"/>
      <c r="B6" s="82"/>
      <c r="D6" s="332"/>
      <c r="G6" s="328" t="s">
        <v>24</v>
      </c>
      <c r="H6" s="339" t="s">
        <v>327</v>
      </c>
      <c r="I6" s="342" t="s">
        <v>325</v>
      </c>
      <c r="J6" s="345" t="s">
        <v>326</v>
      </c>
      <c r="K6" s="348" t="s">
        <v>240</v>
      </c>
      <c r="L6" s="406" t="s">
        <v>241</v>
      </c>
      <c r="M6" s="336" t="s">
        <v>240</v>
      </c>
      <c r="N6" s="364" t="s">
        <v>241</v>
      </c>
      <c r="O6" s="336" t="s">
        <v>240</v>
      </c>
      <c r="P6" s="364" t="s">
        <v>241</v>
      </c>
      <c r="Q6" s="336" t="s">
        <v>240</v>
      </c>
      <c r="R6" s="364" t="s">
        <v>241</v>
      </c>
      <c r="S6" s="336" t="s">
        <v>240</v>
      </c>
      <c r="T6" s="364" t="s">
        <v>241</v>
      </c>
      <c r="U6" s="336" t="s">
        <v>240</v>
      </c>
      <c r="V6" s="364" t="s">
        <v>241</v>
      </c>
      <c r="W6" s="363" t="s">
        <v>240</v>
      </c>
      <c r="X6" s="364" t="s">
        <v>241</v>
      </c>
      <c r="Y6" s="369" t="s">
        <v>240</v>
      </c>
      <c r="Z6" s="364" t="s">
        <v>241</v>
      </c>
      <c r="AA6" s="363" t="s">
        <v>240</v>
      </c>
      <c r="AB6" s="364" t="s">
        <v>241</v>
      </c>
      <c r="AC6" s="336" t="s">
        <v>240</v>
      </c>
      <c r="AD6" s="364" t="s">
        <v>241</v>
      </c>
      <c r="AE6" s="336" t="s">
        <v>240</v>
      </c>
      <c r="AF6" s="364" t="s">
        <v>241</v>
      </c>
      <c r="AG6" s="336" t="s">
        <v>240</v>
      </c>
      <c r="AH6" s="364" t="s">
        <v>241</v>
      </c>
      <c r="AI6" s="336" t="s">
        <v>240</v>
      </c>
      <c r="AJ6" s="364" t="s">
        <v>241</v>
      </c>
      <c r="AK6" s="336" t="s">
        <v>240</v>
      </c>
      <c r="AL6" s="364" t="s">
        <v>241</v>
      </c>
      <c r="AM6" s="363" t="s">
        <v>240</v>
      </c>
      <c r="AN6" s="364" t="s">
        <v>241</v>
      </c>
      <c r="AO6" s="336" t="s">
        <v>240</v>
      </c>
      <c r="AP6" s="364" t="s">
        <v>241</v>
      </c>
      <c r="AQ6" s="336" t="s">
        <v>240</v>
      </c>
      <c r="AR6" s="364" t="s">
        <v>241</v>
      </c>
      <c r="AS6" s="336" t="s">
        <v>240</v>
      </c>
      <c r="AT6" s="364" t="s">
        <v>241</v>
      </c>
      <c r="AU6" s="348" t="s">
        <v>240</v>
      </c>
      <c r="AV6" s="364" t="s">
        <v>241</v>
      </c>
      <c r="AW6" s="366" t="s">
        <v>240</v>
      </c>
      <c r="AX6" s="364" t="s">
        <v>241</v>
      </c>
      <c r="AY6" s="366" t="s">
        <v>240</v>
      </c>
      <c r="AZ6" s="364" t="s">
        <v>241</v>
      </c>
    </row>
    <row r="7" spans="1:53" ht="23" customHeight="1" thickBot="1" x14ac:dyDescent="0.25">
      <c r="A7" s="328" t="s">
        <v>248</v>
      </c>
      <c r="B7" s="330" t="s">
        <v>487</v>
      </c>
      <c r="D7" s="333"/>
      <c r="G7" s="328"/>
      <c r="H7" s="340"/>
      <c r="I7" s="343"/>
      <c r="J7" s="346"/>
      <c r="K7" s="349"/>
      <c r="L7" s="407"/>
      <c r="M7" s="336"/>
      <c r="N7" s="364"/>
      <c r="O7" s="336"/>
      <c r="P7" s="364"/>
      <c r="Q7" s="336"/>
      <c r="R7" s="364"/>
      <c r="S7" s="336"/>
      <c r="T7" s="364"/>
      <c r="U7" s="336"/>
      <c r="V7" s="364"/>
      <c r="W7" s="363"/>
      <c r="X7" s="364"/>
      <c r="Y7" s="370"/>
      <c r="Z7" s="364"/>
      <c r="AA7" s="363"/>
      <c r="AB7" s="364"/>
      <c r="AC7" s="336"/>
      <c r="AD7" s="364"/>
      <c r="AE7" s="336"/>
      <c r="AF7" s="364"/>
      <c r="AG7" s="336"/>
      <c r="AH7" s="364"/>
      <c r="AI7" s="336"/>
      <c r="AJ7" s="364"/>
      <c r="AK7" s="336"/>
      <c r="AL7" s="364"/>
      <c r="AM7" s="336"/>
      <c r="AN7" s="364"/>
      <c r="AO7" s="336"/>
      <c r="AP7" s="364"/>
      <c r="AQ7" s="336"/>
      <c r="AR7" s="364"/>
      <c r="AS7" s="336"/>
      <c r="AT7" s="364"/>
      <c r="AU7" s="349"/>
      <c r="AV7" s="364"/>
      <c r="AW7" s="366"/>
      <c r="AX7" s="364"/>
      <c r="AY7" s="366"/>
      <c r="AZ7" s="364"/>
    </row>
    <row r="8" spans="1:53" ht="23" customHeight="1" x14ac:dyDescent="0.2">
      <c r="A8" s="328"/>
      <c r="B8" s="330"/>
      <c r="G8" s="328"/>
      <c r="H8" s="340"/>
      <c r="I8" s="343"/>
      <c r="J8" s="346"/>
      <c r="K8" s="349"/>
      <c r="L8" s="407"/>
      <c r="M8" s="336"/>
      <c r="N8" s="364"/>
      <c r="O8" s="336"/>
      <c r="P8" s="364"/>
      <c r="Q8" s="336"/>
      <c r="R8" s="364"/>
      <c r="S8" s="336"/>
      <c r="T8" s="364"/>
      <c r="U8" s="336"/>
      <c r="V8" s="364"/>
      <c r="W8" s="363"/>
      <c r="X8" s="364"/>
      <c r="Y8" s="370"/>
      <c r="Z8" s="364"/>
      <c r="AA8" s="363"/>
      <c r="AB8" s="364"/>
      <c r="AC8" s="336"/>
      <c r="AD8" s="364"/>
      <c r="AE8" s="336"/>
      <c r="AF8" s="364"/>
      <c r="AG8" s="336"/>
      <c r="AH8" s="364"/>
      <c r="AI8" s="336"/>
      <c r="AJ8" s="364"/>
      <c r="AK8" s="336"/>
      <c r="AL8" s="364"/>
      <c r="AM8" s="336"/>
      <c r="AN8" s="364"/>
      <c r="AO8" s="336"/>
      <c r="AP8" s="364"/>
      <c r="AQ8" s="336"/>
      <c r="AR8" s="364"/>
      <c r="AS8" s="336"/>
      <c r="AT8" s="364"/>
      <c r="AU8" s="349"/>
      <c r="AV8" s="364"/>
      <c r="AW8" s="366"/>
      <c r="AX8" s="364"/>
      <c r="AY8" s="366"/>
      <c r="AZ8" s="364"/>
    </row>
    <row r="9" spans="1:53" ht="23" customHeight="1" x14ac:dyDescent="0.2">
      <c r="A9" s="328"/>
      <c r="B9" s="330"/>
      <c r="G9" s="328"/>
      <c r="H9" s="340"/>
      <c r="I9" s="343"/>
      <c r="J9" s="346"/>
      <c r="K9" s="349"/>
      <c r="L9" s="407"/>
      <c r="M9" s="336"/>
      <c r="N9" s="364"/>
      <c r="O9" s="336"/>
      <c r="P9" s="364"/>
      <c r="Q9" s="336"/>
      <c r="R9" s="364"/>
      <c r="S9" s="336"/>
      <c r="T9" s="364"/>
      <c r="U9" s="336"/>
      <c r="V9" s="364"/>
      <c r="W9" s="363"/>
      <c r="X9" s="364"/>
      <c r="Y9" s="370"/>
      <c r="Z9" s="364"/>
      <c r="AA9" s="363"/>
      <c r="AB9" s="364"/>
      <c r="AC9" s="336"/>
      <c r="AD9" s="364"/>
      <c r="AE9" s="336"/>
      <c r="AF9" s="364"/>
      <c r="AG9" s="336"/>
      <c r="AH9" s="364"/>
      <c r="AI9" s="336"/>
      <c r="AJ9" s="364"/>
      <c r="AK9" s="336"/>
      <c r="AL9" s="364"/>
      <c r="AM9" s="336"/>
      <c r="AN9" s="364"/>
      <c r="AO9" s="336"/>
      <c r="AP9" s="364"/>
      <c r="AQ9" s="336"/>
      <c r="AR9" s="364"/>
      <c r="AS9" s="336"/>
      <c r="AT9" s="364"/>
      <c r="AU9" s="349"/>
      <c r="AV9" s="364"/>
      <c r="AW9" s="366"/>
      <c r="AX9" s="364"/>
      <c r="AY9" s="366"/>
      <c r="AZ9" s="364"/>
    </row>
    <row r="10" spans="1:53" s="22" customFormat="1" ht="23" customHeight="1" thickBot="1" x14ac:dyDescent="0.25">
      <c r="A10" s="329"/>
      <c r="B10" s="331"/>
      <c r="C10" s="21" t="s">
        <v>20</v>
      </c>
      <c r="D10" s="20" t="s">
        <v>21</v>
      </c>
      <c r="E10" s="20" t="s">
        <v>22</v>
      </c>
      <c r="F10" s="21" t="s">
        <v>23</v>
      </c>
      <c r="G10" s="338"/>
      <c r="H10" s="341"/>
      <c r="I10" s="344"/>
      <c r="J10" s="347"/>
      <c r="K10" s="350"/>
      <c r="L10" s="408"/>
      <c r="M10" s="337"/>
      <c r="N10" s="365"/>
      <c r="O10" s="337"/>
      <c r="P10" s="365"/>
      <c r="Q10" s="337"/>
      <c r="R10" s="365"/>
      <c r="S10" s="337"/>
      <c r="T10" s="365"/>
      <c r="U10" s="337"/>
      <c r="V10" s="365"/>
      <c r="W10" s="368"/>
      <c r="X10" s="365"/>
      <c r="Y10" s="371"/>
      <c r="Z10" s="365"/>
      <c r="AA10" s="368"/>
      <c r="AB10" s="365"/>
      <c r="AC10" s="337"/>
      <c r="AD10" s="365"/>
      <c r="AE10" s="337"/>
      <c r="AF10" s="365"/>
      <c r="AG10" s="337"/>
      <c r="AH10" s="365"/>
      <c r="AI10" s="337"/>
      <c r="AJ10" s="365"/>
      <c r="AK10" s="337"/>
      <c r="AL10" s="365"/>
      <c r="AM10" s="337"/>
      <c r="AN10" s="365"/>
      <c r="AO10" s="337"/>
      <c r="AP10" s="365"/>
      <c r="AQ10" s="337"/>
      <c r="AR10" s="365"/>
      <c r="AS10" s="337"/>
      <c r="AT10" s="365"/>
      <c r="AU10" s="350"/>
      <c r="AV10" s="365"/>
      <c r="AW10" s="367"/>
      <c r="AX10" s="365"/>
      <c r="AY10" s="367"/>
      <c r="AZ10" s="365"/>
      <c r="BA10" s="20" t="s">
        <v>25</v>
      </c>
    </row>
    <row r="11" spans="1:53" s="22" customFormat="1" ht="20" customHeight="1" x14ac:dyDescent="0.2">
      <c r="A11" s="60"/>
      <c r="B11" s="83"/>
      <c r="C11" s="24" t="s">
        <v>85</v>
      </c>
      <c r="D11" s="23" t="s">
        <v>285</v>
      </c>
      <c r="E11" s="23" t="s">
        <v>286</v>
      </c>
      <c r="F11" s="24">
        <v>2011</v>
      </c>
      <c r="G11" s="24"/>
      <c r="H11" s="114">
        <v>4</v>
      </c>
      <c r="I11" s="109"/>
      <c r="J11" s="110"/>
      <c r="K11" s="708"/>
      <c r="L11" s="709" t="str">
        <f>IF((ISERROR((K11/$H11)*100)), "", IF(AND(NOT(ISERROR((K11/$H11)*100)),((K11/$H11)*100) &lt;&gt; 0), (K11/$H11)*100, ""))</f>
        <v/>
      </c>
      <c r="M11" s="708"/>
      <c r="N11" s="709" t="str">
        <f>IF((ISERROR((M11/$H11)*100)), "", IF(AND(NOT(ISERROR((M11/$H11)*100)),((M11/$H11)*100) &lt;&gt; 0), (M11/$H11)*100, ""))</f>
        <v/>
      </c>
      <c r="O11" s="708"/>
      <c r="P11" s="709" t="str">
        <f>IF((ISERROR((O11/$H11)*100)), "", IF(AND(NOT(ISERROR((O11/$H11)*100)),((O11/$H11)*100) &lt;&gt; 0), (O11/$H11)*100, ""))</f>
        <v/>
      </c>
      <c r="Q11" s="708"/>
      <c r="R11" s="709" t="str">
        <f>IF((ISERROR((Q11/$H11)*100)), "", IF(AND(NOT(ISERROR((Q11/$H11)*100)),((Q11/$H11)*100) &lt;&gt; 0), (Q11/$H11)*100, ""))</f>
        <v/>
      </c>
      <c r="S11" s="708"/>
      <c r="T11" s="709" t="str">
        <f>IF((ISERROR((S11/$H11)*100)), "", IF(AND(NOT(ISERROR((S11/$H11)*100)),((S11/$H11)*100) &lt;&gt; 0), (S11/$H11)*100, ""))</f>
        <v/>
      </c>
      <c r="U11" s="708"/>
      <c r="V11" s="709" t="str">
        <f>IF((ISERROR((U11/$H11)*100)), "", IF(AND(NOT(ISERROR((U11/$H11)*100)),((U11/$H11)*100) &lt;&gt; 0), (U11/$H11)*100, ""))</f>
        <v/>
      </c>
      <c r="W11" s="708"/>
      <c r="X11" s="709" t="str">
        <f>IF((ISERROR((W11/$H11)*100)), "", IF(AND(NOT(ISERROR((W11/$H11)*100)),((W11/$H11)*100) &lt;&gt; 0), (W11/$H11)*100, ""))</f>
        <v/>
      </c>
      <c r="Y11" s="708"/>
      <c r="Z11" s="709" t="str">
        <f>IF((ISERROR((Y11/$H11)*100)), "", IF(AND(NOT(ISERROR((Y11/$H11)*100)),((Y11/$H11)*100) &lt;&gt; 0), (Y11/$H11)*100, ""))</f>
        <v/>
      </c>
      <c r="AA11" s="708"/>
      <c r="AB11" s="709" t="str">
        <f>IF((ISERROR((AA11/$H11)*100)), "", IF(AND(NOT(ISERROR((AA11/$H11)*100)),((AA11/$H11)*100) &lt;&gt; 0), (AA11/$H11)*100, ""))</f>
        <v/>
      </c>
      <c r="AC11" s="708"/>
      <c r="AD11" s="709" t="str">
        <f>IF((ISERROR((AC11/$H11)*100)), "", IF(AND(NOT(ISERROR((AC11/$H11)*100)),((AC11/$H11)*100) &lt;&gt; 0), (AC11/$H11)*100, ""))</f>
        <v/>
      </c>
      <c r="AE11" s="708"/>
      <c r="AF11" s="709" t="str">
        <f>IF((ISERROR((AE11/$H11)*100)), "", IF(AND(NOT(ISERROR((AE11/$H11)*100)),((AE11/$H11)*100) &lt;&gt; 0), (AE11/$H11)*100, ""))</f>
        <v/>
      </c>
      <c r="AG11" s="708"/>
      <c r="AH11" s="709" t="str">
        <f>IF((ISERROR((AG11/$H11)*100)), "", IF(AND(NOT(ISERROR((AG11/$H11)*100)),((AG11/$H11)*100) &lt;&gt; 0), (AG11/$H11)*100, ""))</f>
        <v/>
      </c>
      <c r="AI11" s="708"/>
      <c r="AJ11" s="709" t="str">
        <f>IF((ISERROR((AI11/$H11)*100)), "", IF(AND(NOT(ISERROR((AI11/$H11)*100)),((AI11/$H11)*100) &lt;&gt; 0), (AI11/$H11)*100, ""))</f>
        <v/>
      </c>
      <c r="AK11" s="708"/>
      <c r="AL11" s="709" t="str">
        <f>IF((ISERROR((AK11/$H11)*100)), "", IF(AND(NOT(ISERROR((AK11/$H11)*100)),((AK11/$H11)*100) &lt;&gt; 0), (AK11/$H11)*100, ""))</f>
        <v/>
      </c>
      <c r="AM11" s="708"/>
      <c r="AN11" s="709" t="str">
        <f>IF((ISERROR((AM11/$H11)*100)), "", IF(AND(NOT(ISERROR((AM11/$H11)*100)),((AM11/$H11)*100) &lt;&gt; 0), (AM11/$H11)*100, ""))</f>
        <v/>
      </c>
      <c r="AO11" s="708"/>
      <c r="AP11" s="709" t="str">
        <f>IF((ISERROR((AO11/$H11)*100)), "", IF(AND(NOT(ISERROR((AO11/$H11)*100)),((AO11/$H11)*100) &lt;&gt; 0), (AO11/$H11)*100, ""))</f>
        <v/>
      </c>
      <c r="AQ11" s="708"/>
      <c r="AR11" s="709" t="str">
        <f>IF((ISERROR((AQ11/$H11)*100)), "", IF(AND(NOT(ISERROR((AQ11/$H11)*100)),((AQ11/$H11)*100) &lt;&gt; 0), (AQ11/$H11)*100, ""))</f>
        <v/>
      </c>
      <c r="AS11" s="708"/>
      <c r="AT11" s="709" t="str">
        <f>IF((ISERROR((AS11/$H11)*100)), "", IF(AND(NOT(ISERROR((AS11/$H11)*100)),((AS11/$H11)*100) &lt;&gt; 0), (AS11/$H11)*100, ""))</f>
        <v/>
      </c>
      <c r="AU11" s="708"/>
      <c r="AV11" s="709" t="str">
        <f>IF((ISERROR((AU11/$H11)*100)), "", IF(AND(NOT(ISERROR((AU11/$H11)*100)),((AU11/$H11)*100) &lt;&gt; 0), (AU11/$H11)*100, ""))</f>
        <v/>
      </c>
      <c r="AW11" s="714"/>
      <c r="AX11" s="74" t="str">
        <f>IF((ISERROR((AW11/$H11)*100)), "", IF(AND(NOT(ISERROR((AW11/$H11)*100)),((AW11/$H11)*100) &lt;&gt; 0), (AW11/$H11)*100, ""))</f>
        <v/>
      </c>
      <c r="AY11" s="714"/>
      <c r="AZ11" s="74" t="str">
        <f>IF((ISERROR((AY11/$H11)*100)), "", IF(AND(NOT(ISERROR((AY11/$H11)*100)),((AY11/$H11)*100) &lt;&gt; 0), (AY11/$H11)*100, ""))</f>
        <v/>
      </c>
      <c r="BA11" s="23"/>
    </row>
    <row r="12" spans="1:53" ht="20" customHeight="1" x14ac:dyDescent="0.2">
      <c r="A12" s="61"/>
      <c r="B12" s="82"/>
      <c r="C12" s="24" t="s">
        <v>85</v>
      </c>
      <c r="D12" s="23" t="s">
        <v>307</v>
      </c>
      <c r="E12" s="23" t="s">
        <v>308</v>
      </c>
      <c r="F12" s="24">
        <v>1977</v>
      </c>
      <c r="H12" s="114">
        <v>5</v>
      </c>
      <c r="I12" s="109" t="s">
        <v>367</v>
      </c>
      <c r="J12" s="110"/>
      <c r="K12" s="33"/>
      <c r="L12" s="36" t="str">
        <f>IF((ISERROR((K12/$H12)*100)), "", IF(AND(NOT(ISERROR((K12/$H12)*100)),((K12/$H12)*100) &lt;&gt; 0), (K12/$H12)*100, ""))</f>
        <v/>
      </c>
      <c r="M12" s="33"/>
      <c r="N12" s="36" t="str">
        <f>IF((ISERROR((M12/$H12)*100)), "", IF(AND(NOT(ISERROR((M12/$H12)*100)),((M12/$H12)*100) &lt;&gt; 0), (M12/$H12)*100, ""))</f>
        <v/>
      </c>
      <c r="O12" s="67"/>
      <c r="P12" s="68" t="str">
        <f>IF((ISERROR((O12/$H12)*100)), "", IF(AND(NOT(ISERROR((O12/$H12)*100)),((O12/$H12)*100) &lt;&gt; 0), (O12/$H12)*100, ""))</f>
        <v/>
      </c>
      <c r="Q12" s="67"/>
      <c r="R12" s="68" t="str">
        <f>IF((ISERROR((Q12/$H12)*100)), "", IF(AND(NOT(ISERROR((Q12/$H12)*100)),((Q12/$H12)*100) &lt;&gt; 0), (Q12/$H12)*100, ""))</f>
        <v/>
      </c>
      <c r="S12" s="67"/>
      <c r="T12" s="68" t="str">
        <f>IF((ISERROR((S12/$H12)*100)), "", IF(AND(NOT(ISERROR((S12/$H12)*100)),((S12/$H12)*100) &lt;&gt; 0), (S12/$H12)*100, ""))</f>
        <v/>
      </c>
      <c r="U12" s="33">
        <v>5</v>
      </c>
      <c r="V12" s="36">
        <f>IF((ISERROR((U12/$H12)*100)), "", IF(AND(NOT(ISERROR((U12/$H12)*100)),((U12/$H12)*100) &lt;&gt; 0), (U12/$H12)*100, ""))</f>
        <v>100</v>
      </c>
      <c r="W12" s="33"/>
      <c r="X12" s="36" t="str">
        <f>IF((ISERROR((W12/$H12)*100)), "", IF(AND(NOT(ISERROR((W12/$H12)*100)),((W12/$H12)*100) &lt;&gt; 0), (W12/$H12)*100, ""))</f>
        <v/>
      </c>
      <c r="Y12" s="33"/>
      <c r="Z12" s="36" t="str">
        <f>IF((ISERROR((Y12/$H12)*100)), "", IF(AND(NOT(ISERROR((Y12/$H12)*100)),((Y12/$H12)*100) &lt;&gt; 0), (Y12/$H12)*100, ""))</f>
        <v/>
      </c>
      <c r="AA12" s="67"/>
      <c r="AB12" s="68" t="str">
        <f>IF((ISERROR((AA12/$H12)*100)), "", IF(AND(NOT(ISERROR((AA12/$H12)*100)),((AA12/$H12)*100) &lt;&gt; 0), (AA12/$H12)*100, ""))</f>
        <v/>
      </c>
      <c r="AC12" s="67"/>
      <c r="AD12" s="68" t="str">
        <f>IF((ISERROR((AC12/$H12)*100)), "", IF(AND(NOT(ISERROR((AC12/$H12)*100)),((AC12/$H12)*100) &lt;&gt; 0), (AC12/$H12)*100, ""))</f>
        <v/>
      </c>
      <c r="AE12" s="67"/>
      <c r="AF12" s="68" t="str">
        <f>IF((ISERROR((AE12/$H12)*100)), "", IF(AND(NOT(ISERROR((AE12/$H12)*100)),((AE12/$H12)*100) &lt;&gt; 0), (AE12/$H12)*100, ""))</f>
        <v/>
      </c>
      <c r="AG12" s="67"/>
      <c r="AH12" s="68" t="str">
        <f>IF((ISERROR((AG12/$H12)*100)), "", IF(AND(NOT(ISERROR((AG12/$H12)*100)),((AG12/$H12)*100) &lt;&gt; 0), (AG12/$H12)*100, ""))</f>
        <v/>
      </c>
      <c r="AI12" s="67"/>
      <c r="AJ12" s="68" t="str">
        <f>IF((ISERROR((AI12/$H12)*100)), "", IF(AND(NOT(ISERROR((AI12/$H12)*100)),((AI12/$H12)*100) &lt;&gt; 0), (AI12/$H12)*100, ""))</f>
        <v/>
      </c>
      <c r="AK12" s="67"/>
      <c r="AL12" s="68" t="str">
        <f>IF((ISERROR((AK12/$H12)*100)), "", IF(AND(NOT(ISERROR((AK12/$H12)*100)),((AK12/$H12)*100) &lt;&gt; 0), (AK12/$H12)*100, ""))</f>
        <v/>
      </c>
      <c r="AM12" s="67"/>
      <c r="AN12" s="68" t="str">
        <f>IF((ISERROR((AM12/$H12)*100)), "", IF(AND(NOT(ISERROR((AM12/$H12)*100)),((AM12/$H12)*100) &lt;&gt; 0), (AM12/$H12)*100, ""))</f>
        <v/>
      </c>
      <c r="AO12" s="67"/>
      <c r="AP12" s="68" t="str">
        <f>IF((ISERROR((AO12/$H12)*100)), "", IF(AND(NOT(ISERROR((AO12/$H12)*100)),((AO12/$H12)*100) &lt;&gt; 0), (AO12/$H12)*100, ""))</f>
        <v/>
      </c>
      <c r="AQ12" s="67"/>
      <c r="AR12" s="68" t="str">
        <f>IF((ISERROR((AQ12/$H12)*100)), "", IF(AND(NOT(ISERROR((AQ12/$H12)*100)),((AQ12/$H12)*100) &lt;&gt; 0), (AQ12/$H12)*100, ""))</f>
        <v/>
      </c>
      <c r="AS12" s="67"/>
      <c r="AT12" s="68" t="str">
        <f>IF((ISERROR((AS12/$H12)*100)), "", IF(AND(NOT(ISERROR((AS12/$H12)*100)),((AS12/$H12)*100) &lt;&gt; 0), (AS12/$H12)*100, ""))</f>
        <v/>
      </c>
      <c r="AU12" s="67"/>
      <c r="AV12" s="68" t="str">
        <f>IF((ISERROR((AU12/$H12)*100)), "", IF(AND(NOT(ISERROR((AU12/$H12)*100)),((AU12/$H12)*100) &lt;&gt; 0), (AU12/$H12)*100, ""))</f>
        <v/>
      </c>
      <c r="AW12" s="69"/>
      <c r="AX12" s="36" t="str">
        <f>IF((ISERROR((AW12/$H12)*100)), "", IF(AND(NOT(ISERROR((AW12/$H12)*100)),((AW12/$H12)*100) &lt;&gt; 0), (AW12/$H12)*100, ""))</f>
        <v/>
      </c>
      <c r="AY12" s="69"/>
      <c r="AZ12" s="36" t="str">
        <f>IF((ISERROR((AY12/$H12)*100)), "", IF(AND(NOT(ISERROR((AY12/$H12)*100)),((AY12/$H12)*100) &lt;&gt; 0), (AY12/$H12)*100, ""))</f>
        <v/>
      </c>
      <c r="BA12" s="23" t="s">
        <v>368</v>
      </c>
    </row>
    <row r="13" spans="1:53" ht="20" customHeight="1" x14ac:dyDescent="0.2">
      <c r="A13" s="60"/>
      <c r="B13" s="82"/>
      <c r="C13" s="24" t="s">
        <v>85</v>
      </c>
      <c r="D13" s="23" t="s">
        <v>309</v>
      </c>
      <c r="E13" s="23" t="s">
        <v>310</v>
      </c>
      <c r="F13" s="24">
        <v>2015</v>
      </c>
      <c r="H13" s="89">
        <v>5</v>
      </c>
      <c r="I13" s="85" t="s">
        <v>211</v>
      </c>
      <c r="J13" s="86" t="s">
        <v>188</v>
      </c>
      <c r="K13" s="33"/>
      <c r="L13" s="36" t="str">
        <f>IF((ISERROR((K13/$H13)*100)), "", IF(AND(NOT(ISERROR((K13/$H13)*100)),((K13/$H13)*100) &lt;&gt; 0), (K13/$H13)*100, ""))</f>
        <v/>
      </c>
      <c r="M13" s="33"/>
      <c r="N13" s="36" t="str">
        <f>IF((ISERROR((M13/$H13)*100)), "", IF(AND(NOT(ISERROR((M13/$H13)*100)),((M13/$H13)*100) &lt;&gt; 0), (M13/$H13)*100, ""))</f>
        <v/>
      </c>
      <c r="O13" s="33"/>
      <c r="P13" s="36" t="str">
        <f>IF((ISERROR((O13/$H13)*100)), "", IF(AND(NOT(ISERROR((O13/$H13)*100)),((O13/$H13)*100) &lt;&gt; 0), (O13/$H13)*100, ""))</f>
        <v/>
      </c>
      <c r="Q13" s="33"/>
      <c r="R13" s="36" t="str">
        <f>IF((ISERROR((Q13/$H13)*100)), "", IF(AND(NOT(ISERROR((Q13/$H13)*100)),((Q13/$H13)*100) &lt;&gt; 0), (Q13/$H13)*100, ""))</f>
        <v/>
      </c>
      <c r="S13" s="33"/>
      <c r="T13" s="36" t="str">
        <f>IF((ISERROR((S13/$H13)*100)), "", IF(AND(NOT(ISERROR((S13/$H13)*100)),((S13/$H13)*100) &lt;&gt; 0), (S13/$H13)*100, ""))</f>
        <v/>
      </c>
      <c r="U13" s="33"/>
      <c r="V13" s="36" t="str">
        <f>IF((ISERROR((U13/$H13)*100)), "", IF(AND(NOT(ISERROR((U13/$H13)*100)),((U13/$H13)*100) &lt;&gt; 0), (U13/$H13)*100, ""))</f>
        <v/>
      </c>
      <c r="W13" s="33"/>
      <c r="X13" s="36" t="str">
        <f>IF((ISERROR((W13/$H13)*100)), "", IF(AND(NOT(ISERROR((W13/$H13)*100)),((W13/$H13)*100) &lt;&gt; 0), (W13/$H13)*100, ""))</f>
        <v/>
      </c>
      <c r="Y13" s="33"/>
      <c r="Z13" s="36" t="str">
        <f>IF((ISERROR((Y13/$H13)*100)), "", IF(AND(NOT(ISERROR((Y13/$H13)*100)),((Y13/$H13)*100) &lt;&gt; 0), (Y13/$H13)*100, ""))</f>
        <v/>
      </c>
      <c r="AA13" s="33"/>
      <c r="AB13" s="36" t="str">
        <f>IF((ISERROR((AA13/$H13)*100)), "", IF(AND(NOT(ISERROR((AA13/$H13)*100)),((AA13/$H13)*100) &lt;&gt; 0), (AA13/$H13)*100, ""))</f>
        <v/>
      </c>
      <c r="AC13" s="33"/>
      <c r="AD13" s="36" t="str">
        <f>IF((ISERROR((AC13/$H13)*100)), "", IF(AND(NOT(ISERROR((AC13/$H13)*100)),((AC13/$H13)*100) &lt;&gt; 0), (AC13/$H13)*100, ""))</f>
        <v/>
      </c>
      <c r="AE13" s="33"/>
      <c r="AF13" s="36" t="str">
        <f>IF((ISERROR((AE13/$H13)*100)), "", IF(AND(NOT(ISERROR((AE13/$H13)*100)),((AE13/$H13)*100) &lt;&gt; 0), (AE13/$H13)*100, ""))</f>
        <v/>
      </c>
      <c r="AG13" s="33"/>
      <c r="AH13" s="36" t="str">
        <f>IF((ISERROR((AG13/$H13)*100)), "", IF(AND(NOT(ISERROR((AG13/$H13)*100)),((AG13/$H13)*100) &lt;&gt; 0), (AG13/$H13)*100, ""))</f>
        <v/>
      </c>
      <c r="AI13" s="33"/>
      <c r="AJ13" s="36" t="str">
        <f>IF((ISERROR((AI13/$H13)*100)), "", IF(AND(NOT(ISERROR((AI13/$H13)*100)),((AI13/$H13)*100) &lt;&gt; 0), (AI13/$H13)*100, ""))</f>
        <v/>
      </c>
      <c r="AK13" s="33"/>
      <c r="AL13" s="36" t="str">
        <f>IF((ISERROR((AK13/$H13)*100)), "", IF(AND(NOT(ISERROR((AK13/$H13)*100)),((AK13/$H13)*100) &lt;&gt; 0), (AK13/$H13)*100, ""))</f>
        <v/>
      </c>
      <c r="AM13" s="33"/>
      <c r="AN13" s="36" t="str">
        <f>IF((ISERROR((AM13/$H13)*100)), "", IF(AND(NOT(ISERROR((AM13/$H13)*100)),((AM13/$H13)*100) &lt;&gt; 0), (AM13/$H13)*100, ""))</f>
        <v/>
      </c>
      <c r="AO13" s="33"/>
      <c r="AP13" s="36" t="str">
        <f>IF((ISERROR((AO13/$H13)*100)), "", IF(AND(NOT(ISERROR((AO13/$H13)*100)),((AO13/$H13)*100) &lt;&gt; 0), (AO13/$H13)*100, ""))</f>
        <v/>
      </c>
      <c r="AQ13" s="33"/>
      <c r="AR13" s="36" t="str">
        <f>IF((ISERROR((AQ13/$H13)*100)), "", IF(AND(NOT(ISERROR((AQ13/$H13)*100)),((AQ13/$H13)*100) &lt;&gt; 0), (AQ13/$H13)*100, ""))</f>
        <v/>
      </c>
      <c r="AS13" s="33"/>
      <c r="AT13" s="36" t="str">
        <f>IF((ISERROR((AS13/$H13)*100)), "", IF(AND(NOT(ISERROR((AS13/$H13)*100)),((AS13/$H13)*100) &lt;&gt; 0), (AS13/$H13)*100, ""))</f>
        <v/>
      </c>
      <c r="AU13" s="33"/>
      <c r="AV13" s="36" t="str">
        <f>IF((ISERROR((AU13/$H13)*100)), "", IF(AND(NOT(ISERROR((AU13/$H13)*100)),((AU13/$H13)*100) &lt;&gt; 0), (AU13/$H13)*100, ""))</f>
        <v/>
      </c>
      <c r="AW13" s="30"/>
      <c r="AX13" s="36" t="str">
        <f>IF((ISERROR((AW13/$H13)*100)), "", IF(AND(NOT(ISERROR((AW13/$H13)*100)),((AW13/$H13)*100) &lt;&gt; 0), (AW13/$H13)*100, ""))</f>
        <v/>
      </c>
      <c r="AY13" s="59">
        <v>1</v>
      </c>
      <c r="AZ13" s="36">
        <f>IF((ISERROR((AY13/$H13)*100)), "", IF(AND(NOT(ISERROR((AY13/$H13)*100)),((AY13/$H13)*100) &lt;&gt; 0), (AY13/$H13)*100, ""))</f>
        <v>20</v>
      </c>
      <c r="BA13" s="23" t="s">
        <v>422</v>
      </c>
    </row>
    <row r="14" spans="1:53" customFormat="1" ht="20" customHeight="1" x14ac:dyDescent="0.2">
      <c r="A14" s="60"/>
      <c r="B14" s="24"/>
      <c r="C14" s="24" t="s">
        <v>85</v>
      </c>
      <c r="D14" s="23" t="s">
        <v>115</v>
      </c>
      <c r="E14" s="23" t="s">
        <v>116</v>
      </c>
      <c r="F14" s="24">
        <v>2001</v>
      </c>
      <c r="G14" s="24">
        <v>143</v>
      </c>
      <c r="H14" s="89">
        <v>6</v>
      </c>
      <c r="I14" s="85" t="s">
        <v>214</v>
      </c>
      <c r="J14" s="86" t="s">
        <v>193</v>
      </c>
      <c r="K14" s="33"/>
      <c r="L14" s="36" t="str">
        <f>IF((ISERROR((K14/$H14)*100)), "", IF(AND(NOT(ISERROR((K14/$H14)*100)),((K14/$H14)*100) &lt;&gt; 0), (K14/$H14)*100, ""))</f>
        <v/>
      </c>
      <c r="M14" s="33"/>
      <c r="N14" s="36" t="str">
        <f>IF((ISERROR((M14/$H14)*100)), "", IF(AND(NOT(ISERROR((M14/$H14)*100)),((M14/$H14)*100) &lt;&gt; 0), (M14/$H14)*100, ""))</f>
        <v/>
      </c>
      <c r="O14" s="33"/>
      <c r="P14" s="36" t="str">
        <f>IF((ISERROR((O14/$H14)*100)), "", IF(AND(NOT(ISERROR((O14/$H14)*100)),((O14/$H14)*100) &lt;&gt; 0), (O14/$H14)*100, ""))</f>
        <v/>
      </c>
      <c r="Q14" s="33"/>
      <c r="R14" s="36" t="str">
        <f>IF((ISERROR((Q14/$H14)*100)), "", IF(AND(NOT(ISERROR((Q14/$H14)*100)),((Q14/$H14)*100) &lt;&gt; 0), (Q14/$H14)*100, ""))</f>
        <v/>
      </c>
      <c r="S14" s="33"/>
      <c r="T14" s="36" t="str">
        <f>IF((ISERROR((S14/$H14)*100)), "", IF(AND(NOT(ISERROR((S14/$H14)*100)),((S14/$H14)*100) &lt;&gt; 0), (S14/$H14)*100, ""))</f>
        <v/>
      </c>
      <c r="U14" s="33"/>
      <c r="V14" s="36" t="str">
        <f>IF((ISERROR((U14/$H14)*100)), "", IF(AND(NOT(ISERROR((U14/$H14)*100)),((U14/$H14)*100) &lt;&gt; 0), (U14/$H14)*100, ""))</f>
        <v/>
      </c>
      <c r="W14" s="33"/>
      <c r="X14" s="36" t="str">
        <f>IF((ISERROR((W14/$H14)*100)), "", IF(AND(NOT(ISERROR((W14/$H14)*100)),((W14/$H14)*100) &lt;&gt; 0), (W14/$H14)*100, ""))</f>
        <v/>
      </c>
      <c r="Y14" s="33"/>
      <c r="Z14" s="36" t="str">
        <f>IF((ISERROR((Y14/$H14)*100)), "", IF(AND(NOT(ISERROR((Y14/$H14)*100)),((Y14/$H14)*100) &lt;&gt; 0), (Y14/$H14)*100, ""))</f>
        <v/>
      </c>
      <c r="AA14" s="33"/>
      <c r="AB14" s="36" t="str">
        <f>IF((ISERROR((AA14/$H14)*100)), "", IF(AND(NOT(ISERROR((AA14/$H14)*100)),((AA14/$H14)*100) &lt;&gt; 0), (AA14/$H14)*100, ""))</f>
        <v/>
      </c>
      <c r="AC14" s="33"/>
      <c r="AD14" s="36" t="str">
        <f>IF((ISERROR((AC14/$H14)*100)), "", IF(AND(NOT(ISERROR((AC14/$H14)*100)),((AC14/$H14)*100) &lt;&gt; 0), (AC14/$H14)*100, ""))</f>
        <v/>
      </c>
      <c r="AE14" s="33"/>
      <c r="AF14" s="36" t="str">
        <f>IF((ISERROR((AE14/$H14)*100)), "", IF(AND(NOT(ISERROR((AE14/$H14)*100)),((AE14/$H14)*100) &lt;&gt; 0), (AE14/$H14)*100, ""))</f>
        <v/>
      </c>
      <c r="AG14" s="33"/>
      <c r="AH14" s="36" t="str">
        <f>IF((ISERROR((AG14/$H14)*100)), "", IF(AND(NOT(ISERROR((AG14/$H14)*100)),((AG14/$H14)*100) &lt;&gt; 0), (AG14/$H14)*100, ""))</f>
        <v/>
      </c>
      <c r="AI14" s="33"/>
      <c r="AJ14" s="36" t="str">
        <f>IF((ISERROR((AI14/$H14)*100)), "", IF(AND(NOT(ISERROR((AI14/$H14)*100)),((AI14/$H14)*100) &lt;&gt; 0), (AI14/$H14)*100, ""))</f>
        <v/>
      </c>
      <c r="AK14" s="33"/>
      <c r="AL14" s="36" t="str">
        <f>IF((ISERROR((AK14/$H14)*100)), "", IF(AND(NOT(ISERROR((AK14/$H14)*100)),((AK14/$H14)*100) &lt;&gt; 0), (AK14/$H14)*100, ""))</f>
        <v/>
      </c>
      <c r="AM14" s="33"/>
      <c r="AN14" s="36" t="str">
        <f>IF((ISERROR((AM14/$H14)*100)), "", IF(AND(NOT(ISERROR((AM14/$H14)*100)),((AM14/$H14)*100) &lt;&gt; 0), (AM14/$H14)*100, ""))</f>
        <v/>
      </c>
      <c r="AO14" s="33"/>
      <c r="AP14" s="36" t="str">
        <f>IF((ISERROR((AO14/$H14)*100)), "", IF(AND(NOT(ISERROR((AO14/$H14)*100)),((AO14/$H14)*100) &lt;&gt; 0), (AO14/$H14)*100, ""))</f>
        <v/>
      </c>
      <c r="AQ14" s="33"/>
      <c r="AR14" s="36" t="str">
        <f>IF((ISERROR((AQ14/$H14)*100)), "", IF(AND(NOT(ISERROR((AQ14/$H14)*100)),((AQ14/$H14)*100) &lt;&gt; 0), (AQ14/$H14)*100, ""))</f>
        <v/>
      </c>
      <c r="AS14" s="33"/>
      <c r="AT14" s="36" t="str">
        <f>IF((ISERROR((AS14/$H14)*100)), "", IF(AND(NOT(ISERROR((AS14/$H14)*100)),((AS14/$H14)*100) &lt;&gt; 0), (AS14/$H14)*100, ""))</f>
        <v/>
      </c>
      <c r="AU14" s="33"/>
      <c r="AV14" s="36" t="str">
        <f>IF((ISERROR((AU14/$H14)*100)), "", IF(AND(NOT(ISERROR((AU14/$H14)*100)),((AU14/$H14)*100) &lt;&gt; 0), (AU14/$H14)*100, ""))</f>
        <v/>
      </c>
      <c r="AW14" s="76"/>
      <c r="AX14" s="36" t="str">
        <f>IF((ISERROR((AW14/$H14)*100)), "", IF(AND(NOT(ISERROR((AW14/$H14)*100)),((AW14/$H14)*100) &lt;&gt; 0), (AW14/$H14)*100, ""))</f>
        <v/>
      </c>
      <c r="AY14" s="76"/>
      <c r="AZ14" s="36" t="str">
        <f>IF((ISERROR((AY14/$H14)*100)), "", IF(AND(NOT(ISERROR((AY14/$H14)*100)),((AY14/$H14)*100) &lt;&gt; 0), (AY14/$H14)*100, ""))</f>
        <v/>
      </c>
      <c r="BA14" s="23" t="s">
        <v>215</v>
      </c>
    </row>
    <row r="15" spans="1:53" customFormat="1" ht="20" customHeight="1" x14ac:dyDescent="0.2">
      <c r="A15" s="60"/>
      <c r="B15" s="82"/>
      <c r="C15" s="24" t="s">
        <v>85</v>
      </c>
      <c r="D15" s="23" t="s">
        <v>131</v>
      </c>
      <c r="E15" s="23" t="s">
        <v>132</v>
      </c>
      <c r="F15" s="24">
        <v>1998</v>
      </c>
      <c r="G15" s="24">
        <v>213</v>
      </c>
      <c r="H15" s="89">
        <v>6</v>
      </c>
      <c r="I15" s="85" t="s">
        <v>176</v>
      </c>
      <c r="J15" s="86"/>
      <c r="K15" s="33"/>
      <c r="L15" s="36" t="str">
        <f>IF((ISERROR((K15/$H15)*100)), "", IF(AND(NOT(ISERROR((K15/$H15)*100)),((K15/$H15)*100) &lt;&gt; 0), (K15/$H15)*100, ""))</f>
        <v/>
      </c>
      <c r="M15" s="33"/>
      <c r="N15" s="36" t="str">
        <f>IF((ISERROR((M15/$H15)*100)), "", IF(AND(NOT(ISERROR((M15/$H15)*100)),((M15/$H15)*100) &lt;&gt; 0), (M15/$H15)*100, ""))</f>
        <v/>
      </c>
      <c r="O15" s="33"/>
      <c r="P15" s="36" t="str">
        <f>IF((ISERROR((O15/$H15)*100)), "", IF(AND(NOT(ISERROR((O15/$H15)*100)),((O15/$H15)*100) &lt;&gt; 0), (O15/$H15)*100, ""))</f>
        <v/>
      </c>
      <c r="Q15" s="33"/>
      <c r="R15" s="36" t="str">
        <f>IF((ISERROR((Q15/$H15)*100)), "", IF(AND(NOT(ISERROR((Q15/$H15)*100)),((Q15/$H15)*100) &lt;&gt; 0), (Q15/$H15)*100, ""))</f>
        <v/>
      </c>
      <c r="S15" s="33"/>
      <c r="T15" s="36" t="str">
        <f>IF((ISERROR((S15/$H15)*100)), "", IF(AND(NOT(ISERROR((S15/$H15)*100)),((S15/$H15)*100) &lt;&gt; 0), (S15/$H15)*100, ""))</f>
        <v/>
      </c>
      <c r="U15" s="33"/>
      <c r="V15" s="36" t="str">
        <f>IF((ISERROR((U15/$H15)*100)), "", IF(AND(NOT(ISERROR((U15/$H15)*100)),((U15/$H15)*100) &lt;&gt; 0), (U15/$H15)*100, ""))</f>
        <v/>
      </c>
      <c r="W15" s="33"/>
      <c r="X15" s="36" t="str">
        <f>IF((ISERROR((W15/$H15)*100)), "", IF(AND(NOT(ISERROR((W15/$H15)*100)),((W15/$H15)*100) &lt;&gt; 0), (W15/$H15)*100, ""))</f>
        <v/>
      </c>
      <c r="Y15" s="33"/>
      <c r="Z15" s="36" t="str">
        <f>IF((ISERROR((Y15/$H15)*100)), "", IF(AND(NOT(ISERROR((Y15/$H15)*100)),((Y15/$H15)*100) &lt;&gt; 0), (Y15/$H15)*100, ""))</f>
        <v/>
      </c>
      <c r="AA15" s="33"/>
      <c r="AB15" s="36" t="str">
        <f>IF((ISERROR((AA15/$H15)*100)), "", IF(AND(NOT(ISERROR((AA15/$H15)*100)),((AA15/$H15)*100) &lt;&gt; 0), (AA15/$H15)*100, ""))</f>
        <v/>
      </c>
      <c r="AC15" s="33"/>
      <c r="AD15" s="36" t="str">
        <f>IF((ISERROR((AC15/$H15)*100)), "", IF(AND(NOT(ISERROR((AC15/$H15)*100)),((AC15/$H15)*100) &lt;&gt; 0), (AC15/$H15)*100, ""))</f>
        <v/>
      </c>
      <c r="AE15" s="33"/>
      <c r="AF15" s="36" t="str">
        <f>IF((ISERROR((AE15/$H15)*100)), "", IF(AND(NOT(ISERROR((AE15/$H15)*100)),((AE15/$H15)*100) &lt;&gt; 0), (AE15/$H15)*100, ""))</f>
        <v/>
      </c>
      <c r="AG15" s="33"/>
      <c r="AH15" s="36" t="str">
        <f>IF((ISERROR((AG15/$H15)*100)), "", IF(AND(NOT(ISERROR((AG15/$H15)*100)),((AG15/$H15)*100) &lt;&gt; 0), (AG15/$H15)*100, ""))</f>
        <v/>
      </c>
      <c r="AI15" s="33"/>
      <c r="AJ15" s="36" t="str">
        <f>IF((ISERROR((AI15/$H15)*100)), "", IF(AND(NOT(ISERROR((AI15/$H15)*100)),((AI15/$H15)*100) &lt;&gt; 0), (AI15/$H15)*100, ""))</f>
        <v/>
      </c>
      <c r="AK15" s="33"/>
      <c r="AL15" s="36" t="str">
        <f>IF((ISERROR((AK15/$H15)*100)), "", IF(AND(NOT(ISERROR((AK15/$H15)*100)),((AK15/$H15)*100) &lt;&gt; 0), (AK15/$H15)*100, ""))</f>
        <v/>
      </c>
      <c r="AM15" s="33"/>
      <c r="AN15" s="36" t="str">
        <f>IF((ISERROR((AM15/$H15)*100)), "", IF(AND(NOT(ISERROR((AM15/$H15)*100)),((AM15/$H15)*100) &lt;&gt; 0), (AM15/$H15)*100, ""))</f>
        <v/>
      </c>
      <c r="AO15" s="33"/>
      <c r="AP15" s="36" t="str">
        <f>IF((ISERROR((AO15/$H15)*100)), "", IF(AND(NOT(ISERROR((AO15/$H15)*100)),((AO15/$H15)*100) &lt;&gt; 0), (AO15/$H15)*100, ""))</f>
        <v/>
      </c>
      <c r="AQ15" s="33"/>
      <c r="AR15" s="36" t="str">
        <f>IF((ISERROR((AQ15/$H15)*100)), "", IF(AND(NOT(ISERROR((AQ15/$H15)*100)),((AQ15/$H15)*100) &lt;&gt; 0), (AQ15/$H15)*100, ""))</f>
        <v/>
      </c>
      <c r="AS15" s="38">
        <v>4</v>
      </c>
      <c r="AT15" s="39">
        <f>IF((ISERROR((AS15/$H15)*100)), "", IF(AND(NOT(ISERROR((AS15/$H15)*100)),((AS15/$H15)*100) &lt;&gt; 0), (AS15/$H15)*100, ""))</f>
        <v>66.666666666666657</v>
      </c>
      <c r="AU15" s="33"/>
      <c r="AV15" s="36" t="str">
        <f>IF((ISERROR((AU15/$H15)*100)), "", IF(AND(NOT(ISERROR((AU15/$H15)*100)),((AU15/$H15)*100) &lt;&gt; 0), (AU15/$H15)*100, ""))</f>
        <v/>
      </c>
      <c r="AW15" s="76"/>
      <c r="AX15" s="36" t="str">
        <f>IF((ISERROR((AW15/$H15)*100)), "", IF(AND(NOT(ISERROR((AW15/$H15)*100)),((AW15/$H15)*100) &lt;&gt; 0), (AW15/$H15)*100, ""))</f>
        <v/>
      </c>
      <c r="AY15" s="76"/>
      <c r="AZ15" s="36" t="str">
        <f>IF((ISERROR((AY15/$H15)*100)), "", IF(AND(NOT(ISERROR((AY15/$H15)*100)),((AY15/$H15)*100) &lt;&gt; 0), (AY15/$H15)*100, ""))</f>
        <v/>
      </c>
      <c r="BA15" s="23" t="s">
        <v>219</v>
      </c>
    </row>
    <row r="16" spans="1:53" ht="20" customHeight="1" x14ac:dyDescent="0.2">
      <c r="A16" s="60"/>
      <c r="B16" s="84"/>
      <c r="C16" s="24" t="s">
        <v>85</v>
      </c>
      <c r="D16" s="23" t="s">
        <v>57</v>
      </c>
      <c r="E16" s="23" t="s">
        <v>58</v>
      </c>
      <c r="F16" s="24">
        <v>2006</v>
      </c>
      <c r="G16" s="24">
        <v>132</v>
      </c>
      <c r="H16" s="89">
        <v>7</v>
      </c>
      <c r="I16" s="85" t="s">
        <v>176</v>
      </c>
      <c r="J16" s="86" t="s">
        <v>169</v>
      </c>
      <c r="K16" s="33"/>
      <c r="L16" s="36" t="str">
        <f>IF((ISERROR((K16/$H16)*100)), "", IF(AND(NOT(ISERROR((K16/$H16)*100)),((K16/$H16)*100) &lt;&gt; 0), (K16/$H16)*100, ""))</f>
        <v/>
      </c>
      <c r="M16" s="33"/>
      <c r="N16" s="36" t="str">
        <f>IF((ISERROR((M16/$H16)*100)), "", IF(AND(NOT(ISERROR((M16/$H16)*100)),((M16/$H16)*100) &lt;&gt; 0), (M16/$H16)*100, ""))</f>
        <v/>
      </c>
      <c r="O16" s="33"/>
      <c r="P16" s="36" t="str">
        <f>IF((ISERROR((O16/$H16)*100)), "", IF(AND(NOT(ISERROR((O16/$H16)*100)),((O16/$H16)*100) &lt;&gt; 0), (O16/$H16)*100, ""))</f>
        <v/>
      </c>
      <c r="Q16" s="33"/>
      <c r="R16" s="36" t="str">
        <f>IF((ISERROR((Q16/$H16)*100)), "", IF(AND(NOT(ISERROR((Q16/$H16)*100)),((Q16/$H16)*100) &lt;&gt; 0), (Q16/$H16)*100, ""))</f>
        <v/>
      </c>
      <c r="S16" s="33"/>
      <c r="T16" s="36" t="str">
        <f>IF((ISERROR((S16/$H16)*100)), "", IF(AND(NOT(ISERROR((S16/$H16)*100)),((S16/$H16)*100) &lt;&gt; 0), (S16/$H16)*100, ""))</f>
        <v/>
      </c>
      <c r="U16" s="33"/>
      <c r="V16" s="36" t="str">
        <f>IF((ISERROR((U16/$H16)*100)), "", IF(AND(NOT(ISERROR((U16/$H16)*100)),((U16/$H16)*100) &lt;&gt; 0), (U16/$H16)*100, ""))</f>
        <v/>
      </c>
      <c r="W16" s="33"/>
      <c r="X16" s="36" t="str">
        <f>IF((ISERROR((W16/$H16)*100)), "", IF(AND(NOT(ISERROR((W16/$H16)*100)),((W16/$H16)*100) &lt;&gt; 0), (W16/$H16)*100, ""))</f>
        <v/>
      </c>
      <c r="Y16" s="33"/>
      <c r="Z16" s="36" t="str">
        <f>IF((ISERROR((Y16/$H16)*100)), "", IF(AND(NOT(ISERROR((Y16/$H16)*100)),((Y16/$H16)*100) &lt;&gt; 0), (Y16/$H16)*100, ""))</f>
        <v/>
      </c>
      <c r="AA16" s="33"/>
      <c r="AB16" s="36" t="str">
        <f>IF((ISERROR((AA16/$H16)*100)), "", IF(AND(NOT(ISERROR((AA16/$H16)*100)),((AA16/$H16)*100) &lt;&gt; 0), (AA16/$H16)*100, ""))</f>
        <v/>
      </c>
      <c r="AC16" s="33"/>
      <c r="AD16" s="36" t="str">
        <f>IF((ISERROR((AC16/$H16)*100)), "", IF(AND(NOT(ISERROR((AC16/$H16)*100)),((AC16/$H16)*100) &lt;&gt; 0), (AC16/$H16)*100, ""))</f>
        <v/>
      </c>
      <c r="AE16" s="33"/>
      <c r="AF16" s="36" t="str">
        <f>IF((ISERROR((AE16/$H16)*100)), "", IF(AND(NOT(ISERROR((AE16/$H16)*100)),((AE16/$H16)*100) &lt;&gt; 0), (AE16/$H16)*100, ""))</f>
        <v/>
      </c>
      <c r="AG16" s="33"/>
      <c r="AH16" s="36" t="str">
        <f>IF((ISERROR((AG16/$H16)*100)), "", IF(AND(NOT(ISERROR((AG16/$H16)*100)),((AG16/$H16)*100) &lt;&gt; 0), (AG16/$H16)*100, ""))</f>
        <v/>
      </c>
      <c r="AI16" s="33"/>
      <c r="AJ16" s="36" t="str">
        <f>IF((ISERROR((AI16/$H16)*100)), "", IF(AND(NOT(ISERROR((AI16/$H16)*100)),((AI16/$H16)*100) &lt;&gt; 0), (AI16/$H16)*100, ""))</f>
        <v/>
      </c>
      <c r="AK16" s="33"/>
      <c r="AL16" s="36" t="str">
        <f>IF((ISERROR((AK16/$H16)*100)), "", IF(AND(NOT(ISERROR((AK16/$H16)*100)),((AK16/$H16)*100) &lt;&gt; 0), (AK16/$H16)*100, ""))</f>
        <v/>
      </c>
      <c r="AM16" s="33"/>
      <c r="AN16" s="36" t="str">
        <f>IF((ISERROR((AM16/$H16)*100)), "", IF(AND(NOT(ISERROR((AM16/$H16)*100)),((AM16/$H16)*100) &lt;&gt; 0), (AM16/$H16)*100, ""))</f>
        <v/>
      </c>
      <c r="AO16" s="33"/>
      <c r="AP16" s="36" t="str">
        <f>IF((ISERROR((AO16/$H16)*100)), "", IF(AND(NOT(ISERROR((AO16/$H16)*100)),((AO16/$H16)*100) &lt;&gt; 0), (AO16/$H16)*100, ""))</f>
        <v/>
      </c>
      <c r="AQ16" s="33"/>
      <c r="AR16" s="36" t="str">
        <f>IF((ISERROR((AQ16/$H16)*100)), "", IF(AND(NOT(ISERROR((AQ16/$H16)*100)),((AQ16/$H16)*100) &lt;&gt; 0), (AQ16/$H16)*100, ""))</f>
        <v/>
      </c>
      <c r="AS16" s="33"/>
      <c r="AT16" s="36" t="str">
        <f>IF((ISERROR((AS16/$H16)*100)), "", IF(AND(NOT(ISERROR((AS16/$H16)*100)),((AS16/$H16)*100) &lt;&gt; 0), (AS16/$H16)*100, ""))</f>
        <v/>
      </c>
      <c r="AU16" s="33"/>
      <c r="AV16" s="36" t="str">
        <f>IF((ISERROR((AU16/$H16)*100)), "", IF(AND(NOT(ISERROR((AU16/$H16)*100)),((AU16/$H16)*100) &lt;&gt; 0), (AU16/$H16)*100, ""))</f>
        <v/>
      </c>
      <c r="AW16" s="30"/>
      <c r="AX16" s="36" t="str">
        <f>IF((ISERROR((AW16/$H16)*100)), "", IF(AND(NOT(ISERROR((AW16/$H16)*100)),((AW16/$H16)*100) &lt;&gt; 0), (AW16/$H16)*100, ""))</f>
        <v/>
      </c>
      <c r="AY16" s="59"/>
      <c r="AZ16" s="36" t="str">
        <f>IF((ISERROR((AY16/$H16)*100)), "", IF(AND(NOT(ISERROR((AY16/$H16)*100)),((AY16/$H16)*100) &lt;&gt; 0), (AY16/$H16)*100, ""))</f>
        <v/>
      </c>
      <c r="BA16" s="23" t="s">
        <v>481</v>
      </c>
    </row>
    <row r="17" spans="1:53" ht="20" customHeight="1" x14ac:dyDescent="0.2">
      <c r="A17" s="60"/>
      <c r="B17" s="83"/>
      <c r="C17" s="24" t="s">
        <v>85</v>
      </c>
      <c r="D17" s="23" t="s">
        <v>109</v>
      </c>
      <c r="E17" s="23" t="s">
        <v>110</v>
      </c>
      <c r="F17" s="24">
        <v>1999</v>
      </c>
      <c r="G17" s="24">
        <v>76</v>
      </c>
      <c r="H17" s="89">
        <v>7</v>
      </c>
      <c r="I17" s="85" t="s">
        <v>176</v>
      </c>
      <c r="J17" s="86" t="s">
        <v>192</v>
      </c>
      <c r="K17" s="33"/>
      <c r="L17" s="36" t="str">
        <f>IF((ISERROR((K17/$H17)*100)), "", IF(AND(NOT(ISERROR((K17/$H17)*100)),((K17/$H17)*100) &lt;&gt; 0), (K17/$H17)*100, ""))</f>
        <v/>
      </c>
      <c r="M17" s="33"/>
      <c r="N17" s="36" t="str">
        <f>IF((ISERROR((M17/$H17)*100)), "", IF(AND(NOT(ISERROR((M17/$H17)*100)),((M17/$H17)*100) &lt;&gt; 0), (M17/$H17)*100, ""))</f>
        <v/>
      </c>
      <c r="O17" s="33"/>
      <c r="P17" s="36" t="str">
        <f>IF((ISERROR((O17/$H17)*100)), "", IF(AND(NOT(ISERROR((O17/$H17)*100)),((O17/$H17)*100) &lt;&gt; 0), (O17/$H17)*100, ""))</f>
        <v/>
      </c>
      <c r="Q17" s="33"/>
      <c r="R17" s="36" t="str">
        <f>IF((ISERROR((Q17/$H17)*100)), "", IF(AND(NOT(ISERROR((Q17/$H17)*100)),((Q17/$H17)*100) &lt;&gt; 0), (Q17/$H17)*100, ""))</f>
        <v/>
      </c>
      <c r="S17" s="33"/>
      <c r="T17" s="36" t="str">
        <f>IF((ISERROR((S17/$H17)*100)), "", IF(AND(NOT(ISERROR((S17/$H17)*100)),((S17/$H17)*100) &lt;&gt; 0), (S17/$H17)*100, ""))</f>
        <v/>
      </c>
      <c r="U17" s="33"/>
      <c r="V17" s="36" t="str">
        <f>IF((ISERROR((U17/$H17)*100)), "", IF(AND(NOT(ISERROR((U17/$H17)*100)),((U17/$H17)*100) &lt;&gt; 0), (U17/$H17)*100, ""))</f>
        <v/>
      </c>
      <c r="W17" s="33"/>
      <c r="X17" s="36" t="str">
        <f>IF((ISERROR((W17/$H17)*100)), "", IF(AND(NOT(ISERROR((W17/$H17)*100)),((W17/$H17)*100) &lt;&gt; 0), (W17/$H17)*100, ""))</f>
        <v/>
      </c>
      <c r="Y17" s="33"/>
      <c r="Z17" s="36" t="str">
        <f>IF((ISERROR((Y17/$H17)*100)), "", IF(AND(NOT(ISERROR((Y17/$H17)*100)),((Y17/$H17)*100) &lt;&gt; 0), (Y17/$H17)*100, ""))</f>
        <v/>
      </c>
      <c r="AA17" s="33"/>
      <c r="AB17" s="36" t="str">
        <f>IF((ISERROR((AA17/$H17)*100)), "", IF(AND(NOT(ISERROR((AA17/$H17)*100)),((AA17/$H17)*100) &lt;&gt; 0), (AA17/$H17)*100, ""))</f>
        <v/>
      </c>
      <c r="AC17" s="33"/>
      <c r="AD17" s="36" t="str">
        <f>IF((ISERROR((AC17/$H17)*100)), "", IF(AND(NOT(ISERROR((AC17/$H17)*100)),((AC17/$H17)*100) &lt;&gt; 0), (AC17/$H17)*100, ""))</f>
        <v/>
      </c>
      <c r="AE17" s="33"/>
      <c r="AF17" s="36" t="str">
        <f>IF((ISERROR((AE17/$H17)*100)), "", IF(AND(NOT(ISERROR((AE17/$H17)*100)),((AE17/$H17)*100) &lt;&gt; 0), (AE17/$H17)*100, ""))</f>
        <v/>
      </c>
      <c r="AG17" s="33"/>
      <c r="AH17" s="36" t="str">
        <f>IF((ISERROR((AG17/$H17)*100)), "", IF(AND(NOT(ISERROR((AG17/$H17)*100)),((AG17/$H17)*100) &lt;&gt; 0), (AG17/$H17)*100, ""))</f>
        <v/>
      </c>
      <c r="AI17" s="33"/>
      <c r="AJ17" s="36" t="str">
        <f>IF((ISERROR((AI17/$H17)*100)), "", IF(AND(NOT(ISERROR((AI17/$H17)*100)),((AI17/$H17)*100) &lt;&gt; 0), (AI17/$H17)*100, ""))</f>
        <v/>
      </c>
      <c r="AK17" s="33"/>
      <c r="AL17" s="36" t="str">
        <f>IF((ISERROR((AK17/$H17)*100)), "", IF(AND(NOT(ISERROR((AK17/$H17)*100)),((AK17/$H17)*100) &lt;&gt; 0), (AK17/$H17)*100, ""))</f>
        <v/>
      </c>
      <c r="AM17" s="33"/>
      <c r="AN17" s="36" t="str">
        <f>IF((ISERROR((AM17/$H17)*100)), "", IF(AND(NOT(ISERROR((AM17/$H17)*100)),((AM17/$H17)*100) &lt;&gt; 0), (AM17/$H17)*100, ""))</f>
        <v/>
      </c>
      <c r="AO17" s="33"/>
      <c r="AP17" s="36" t="str">
        <f>IF((ISERROR((AO17/$H17)*100)), "", IF(AND(NOT(ISERROR((AO17/$H17)*100)),((AO17/$H17)*100) &lt;&gt; 0), (AO17/$H17)*100, ""))</f>
        <v/>
      </c>
      <c r="AQ17" s="33"/>
      <c r="AR17" s="36" t="str">
        <f>IF((ISERROR((AQ17/$H17)*100)), "", IF(AND(NOT(ISERROR((AQ17/$H17)*100)),((AQ17/$H17)*100) &lt;&gt; 0), (AQ17/$H17)*100, ""))</f>
        <v/>
      </c>
      <c r="AS17" s="33"/>
      <c r="AT17" s="36" t="str">
        <f>IF((ISERROR((AS17/$H17)*100)), "", IF(AND(NOT(ISERROR((AS17/$H17)*100)),((AS17/$H17)*100) &lt;&gt; 0), (AS17/$H17)*100, ""))</f>
        <v/>
      </c>
      <c r="AU17" s="33"/>
      <c r="AV17" s="36" t="str">
        <f>IF((ISERROR((AU17/$H17)*100)), "", IF(AND(NOT(ISERROR((AU17/$H17)*100)),((AU17/$H17)*100) &lt;&gt; 0), (AU17/$H17)*100, ""))</f>
        <v/>
      </c>
      <c r="AW17" s="30"/>
      <c r="AX17" s="36" t="str">
        <f>IF((ISERROR((AW17/$H17)*100)), "", IF(AND(NOT(ISERROR((AW17/$H17)*100)),((AW17/$H17)*100) &lt;&gt; 0), (AW17/$H17)*100, ""))</f>
        <v/>
      </c>
      <c r="AY17" s="59"/>
      <c r="AZ17" s="36" t="str">
        <f>IF((ISERROR((AY17/$H17)*100)), "", IF(AND(NOT(ISERROR((AY17/$H17)*100)),((AY17/$H17)*100) &lt;&gt; 0), (AY17/$H17)*100, ""))</f>
        <v/>
      </c>
      <c r="BA17" s="23" t="s">
        <v>181</v>
      </c>
    </row>
    <row r="18" spans="1:53" ht="20" customHeight="1" x14ac:dyDescent="0.2">
      <c r="A18" s="60"/>
      <c r="B18" s="82"/>
      <c r="C18" s="24" t="s">
        <v>85</v>
      </c>
      <c r="D18" s="23" t="s">
        <v>43</v>
      </c>
      <c r="E18" s="23" t="s">
        <v>44</v>
      </c>
      <c r="F18" s="24">
        <v>1976</v>
      </c>
      <c r="G18" s="24">
        <v>179</v>
      </c>
      <c r="H18" s="89">
        <v>8</v>
      </c>
      <c r="I18" s="111" t="s">
        <v>336</v>
      </c>
      <c r="J18" s="86"/>
      <c r="K18" s="33"/>
      <c r="L18" s="36" t="str">
        <f>IF((ISERROR((K18/$H18)*100)), "", IF(AND(NOT(ISERROR((K18/$H18)*100)),((K18/$H18)*100) &lt;&gt; 0), (K18/$H18)*100, ""))</f>
        <v/>
      </c>
      <c r="M18" s="33"/>
      <c r="N18" s="36" t="str">
        <f>IF((ISERROR((M18/$H18)*100)), "", IF(AND(NOT(ISERROR((M18/$H18)*100)),((M18/$H18)*100) &lt;&gt; 0), (M18/$H18)*100, ""))</f>
        <v/>
      </c>
      <c r="O18" s="33"/>
      <c r="P18" s="36" t="str">
        <f>IF((ISERROR((O18/$H18)*100)), "", IF(AND(NOT(ISERROR((O18/$H18)*100)),((O18/$H18)*100) &lt;&gt; 0), (O18/$H18)*100, ""))</f>
        <v/>
      </c>
      <c r="Q18" s="33"/>
      <c r="R18" s="36" t="str">
        <f>IF((ISERROR((Q18/$H18)*100)), "", IF(AND(NOT(ISERROR((Q18/$H18)*100)),((Q18/$H18)*100) &lt;&gt; 0), (Q18/$H18)*100, ""))</f>
        <v/>
      </c>
      <c r="S18" s="33"/>
      <c r="T18" s="36" t="str">
        <f>IF((ISERROR((S18/$H18)*100)), "", IF(AND(NOT(ISERROR((S18/$H18)*100)),((S18/$H18)*100) &lt;&gt; 0), (S18/$H18)*100, ""))</f>
        <v/>
      </c>
      <c r="U18" s="38">
        <v>1</v>
      </c>
      <c r="V18" s="39">
        <f>IF((ISERROR((U18/$H18)*100)), "", IF(AND(NOT(ISERROR((U18/$H18)*100)),((U18/$H18)*100) &lt;&gt; 0), (U18/$H18)*100, ""))</f>
        <v>12.5</v>
      </c>
      <c r="W18" s="38">
        <v>2</v>
      </c>
      <c r="X18" s="39">
        <f>IF((ISERROR((W18/$H18)*100)), "", IF(AND(NOT(ISERROR((W18/$H18)*100)),((W18/$H18)*100) &lt;&gt; 0), (W18/$H18)*100, ""))</f>
        <v>25</v>
      </c>
      <c r="Y18" s="38">
        <v>1</v>
      </c>
      <c r="Z18" s="39">
        <f>IF((ISERROR((Y18/$H18)*100)), "", IF(AND(NOT(ISERROR((Y18/$H18)*100)),((Y18/$H18)*100) &lt;&gt; 0), (Y18/$H18)*100, ""))</f>
        <v>12.5</v>
      </c>
      <c r="AA18" s="38">
        <v>1</v>
      </c>
      <c r="AB18" s="39">
        <f>IF((ISERROR((AA18/$H18)*100)), "", IF(AND(NOT(ISERROR((AA18/$H18)*100)),((AA18/$H18)*100) &lt;&gt; 0), (AA18/$H18)*100, ""))</f>
        <v>12.5</v>
      </c>
      <c r="AC18" s="38"/>
      <c r="AD18" s="39" t="str">
        <f>IF((ISERROR((AC18/$H18)*100)), "", IF(AND(NOT(ISERROR((AC18/$H18)*100)),((AC18/$H18)*100) &lt;&gt; 0), (AC18/$H18)*100, ""))</f>
        <v/>
      </c>
      <c r="AE18" s="38">
        <v>5</v>
      </c>
      <c r="AF18" s="39">
        <f>IF((ISERROR((AE18/$H18)*100)), "", IF(AND(NOT(ISERROR((AE18/$H18)*100)),((AE18/$H18)*100) &lt;&gt; 0), (AE18/$H18)*100, ""))</f>
        <v>62.5</v>
      </c>
      <c r="AG18" s="38">
        <v>1</v>
      </c>
      <c r="AH18" s="39">
        <f>IF((ISERROR((AG18/$H18)*100)), "", IF(AND(NOT(ISERROR((AG18/$H18)*100)),((AG18/$H18)*100) &lt;&gt; 0), (AG18/$H18)*100, ""))</f>
        <v>12.5</v>
      </c>
      <c r="AI18" s="38"/>
      <c r="AJ18" s="39" t="str">
        <f>IF((ISERROR((AI18/$H18)*100)), "", IF(AND(NOT(ISERROR((AI18/$H18)*100)),((AI18/$H18)*100) &lt;&gt; 0), (AI18/$H18)*100, ""))</f>
        <v/>
      </c>
      <c r="AK18" s="38">
        <v>1</v>
      </c>
      <c r="AL18" s="39">
        <f>IF((ISERROR((AK18/$H18)*100)), "", IF(AND(NOT(ISERROR((AK18/$H18)*100)),((AK18/$H18)*100) &lt;&gt; 0), (AK18/$H18)*100, ""))</f>
        <v>12.5</v>
      </c>
      <c r="AM18" s="33"/>
      <c r="AN18" s="36" t="str">
        <f>IF((ISERROR((AM18/$H18)*100)), "", IF(AND(NOT(ISERROR((AM18/$H18)*100)),((AM18/$H18)*100) &lt;&gt; 0), (AM18/$H18)*100, ""))</f>
        <v/>
      </c>
      <c r="AO18" s="38">
        <v>1</v>
      </c>
      <c r="AP18" s="39">
        <f>IF((ISERROR((AO18/$H18)*100)), "", IF(AND(NOT(ISERROR((AO18/$H18)*100)),((AO18/$H18)*100) &lt;&gt; 0), (AO18/$H18)*100, ""))</f>
        <v>12.5</v>
      </c>
      <c r="AQ18" s="38">
        <v>2</v>
      </c>
      <c r="AR18" s="39">
        <f>IF((ISERROR((AQ18/$H18)*100)), "", IF(AND(NOT(ISERROR((AQ18/$H18)*100)),((AQ18/$H18)*100) &lt;&gt; 0), (AQ18/$H18)*100, ""))</f>
        <v>25</v>
      </c>
      <c r="AS18" s="33"/>
      <c r="AT18" s="36" t="str">
        <f>IF((ISERROR((AS18/$H18)*100)), "", IF(AND(NOT(ISERROR((AS18/$H18)*100)),((AS18/$H18)*100) &lt;&gt; 0), (AS18/$H18)*100, ""))</f>
        <v/>
      </c>
      <c r="AU18" s="33"/>
      <c r="AV18" s="36" t="str">
        <f>IF((ISERROR((AU18/$H18)*100)), "", IF(AND(NOT(ISERROR((AU18/$H18)*100)),((AU18/$H18)*100) &lt;&gt; 0), (AU18/$H18)*100, ""))</f>
        <v/>
      </c>
      <c r="AW18" s="30">
        <v>1</v>
      </c>
      <c r="AX18" s="36">
        <f>IF((ISERROR((AW18/$H18)*100)), "", IF(AND(NOT(ISERROR((AW18/$H18)*100)),((AW18/$H18)*100) &lt;&gt; 0), (AW18/$H18)*100, ""))</f>
        <v>12.5</v>
      </c>
      <c r="AY18" s="59"/>
      <c r="AZ18" s="36" t="str">
        <f>IF((ISERROR((AY18/$H18)*100)), "", IF(AND(NOT(ISERROR((AY18/$H18)*100)),((AY18/$H18)*100) &lt;&gt; 0), (AY18/$H18)*100, ""))</f>
        <v/>
      </c>
      <c r="BA18" s="23" t="s">
        <v>183</v>
      </c>
    </row>
    <row r="19" spans="1:53" ht="20" customHeight="1" x14ac:dyDescent="0.2">
      <c r="A19" s="60"/>
      <c r="B19" s="24"/>
      <c r="C19" s="24" t="s">
        <v>85</v>
      </c>
      <c r="D19" s="23" t="s">
        <v>275</v>
      </c>
      <c r="E19" s="23" t="s">
        <v>276</v>
      </c>
      <c r="F19" s="24">
        <v>2015</v>
      </c>
      <c r="H19" s="89">
        <v>8</v>
      </c>
      <c r="I19" s="85" t="s">
        <v>214</v>
      </c>
      <c r="J19" s="86" t="s">
        <v>350</v>
      </c>
      <c r="K19" s="33"/>
      <c r="L19" s="36" t="str">
        <f>IF((ISERROR((K19/$H19)*100)), "", IF(AND(NOT(ISERROR((K19/$H19)*100)),((K19/$H19)*100) &lt;&gt; 0), (K19/$H19)*100, ""))</f>
        <v/>
      </c>
      <c r="M19" s="33"/>
      <c r="N19" s="36" t="str">
        <f>IF((ISERROR((M19/$H19)*100)), "", IF(AND(NOT(ISERROR((M19/$H19)*100)),((M19/$H19)*100) &lt;&gt; 0), (M19/$H19)*100, ""))</f>
        <v/>
      </c>
      <c r="O19" s="33"/>
      <c r="P19" s="36" t="str">
        <f>IF((ISERROR((O19/$H19)*100)), "", IF(AND(NOT(ISERROR((O19/$H19)*100)),((O19/$H19)*100) &lt;&gt; 0), (O19/$H19)*100, ""))</f>
        <v/>
      </c>
      <c r="Q19" s="33"/>
      <c r="R19" s="36" t="str">
        <f>IF((ISERROR((Q19/$H19)*100)), "", IF(AND(NOT(ISERROR((Q19/$H19)*100)),((Q19/$H19)*100) &lt;&gt; 0), (Q19/$H19)*100, ""))</f>
        <v/>
      </c>
      <c r="S19" s="33"/>
      <c r="T19" s="36" t="str">
        <f>IF((ISERROR((S19/$H19)*100)), "", IF(AND(NOT(ISERROR((S19/$H19)*100)),((S19/$H19)*100) &lt;&gt; 0), (S19/$H19)*100, ""))</f>
        <v/>
      </c>
      <c r="U19" s="33">
        <v>2</v>
      </c>
      <c r="V19" s="36">
        <f>IF((ISERROR((U19/$H19)*100)), "", IF(AND(NOT(ISERROR((U19/$H19)*100)),((U19/$H19)*100) &lt;&gt; 0), (U19/$H19)*100, ""))</f>
        <v>25</v>
      </c>
      <c r="W19" s="33"/>
      <c r="X19" s="36" t="str">
        <f>IF((ISERROR((W19/$H19)*100)), "", IF(AND(NOT(ISERROR((W19/$H19)*100)),((W19/$H19)*100) &lt;&gt; 0), (W19/$H19)*100, ""))</f>
        <v/>
      </c>
      <c r="Y19" s="33"/>
      <c r="Z19" s="36" t="str">
        <f>IF((ISERROR((Y19/$H19)*100)), "", IF(AND(NOT(ISERROR((Y19/$H19)*100)),((Y19/$H19)*100) &lt;&gt; 0), (Y19/$H19)*100, ""))</f>
        <v/>
      </c>
      <c r="AA19" s="33"/>
      <c r="AB19" s="36" t="str">
        <f>IF((ISERROR((AA19/$H19)*100)), "", IF(AND(NOT(ISERROR((AA19/$H19)*100)),((AA19/$H19)*100) &lt;&gt; 0), (AA19/$H19)*100, ""))</f>
        <v/>
      </c>
      <c r="AC19" s="33"/>
      <c r="AD19" s="36" t="str">
        <f>IF((ISERROR((AC19/$H19)*100)), "", IF(AND(NOT(ISERROR((AC19/$H19)*100)),((AC19/$H19)*100) &lt;&gt; 0), (AC19/$H19)*100, ""))</f>
        <v/>
      </c>
      <c r="AE19" s="33"/>
      <c r="AF19" s="36" t="str">
        <f>IF((ISERROR((AE19/$H19)*100)), "", IF(AND(NOT(ISERROR((AE19/$H19)*100)),((AE19/$H19)*100) &lt;&gt; 0), (AE19/$H19)*100, ""))</f>
        <v/>
      </c>
      <c r="AG19" s="33"/>
      <c r="AH19" s="36" t="str">
        <f>IF((ISERROR((AG19/$H19)*100)), "", IF(AND(NOT(ISERROR((AG19/$H19)*100)),((AG19/$H19)*100) &lt;&gt; 0), (AG19/$H19)*100, ""))</f>
        <v/>
      </c>
      <c r="AI19" s="33"/>
      <c r="AJ19" s="36" t="str">
        <f>IF((ISERROR((AI19/$H19)*100)), "", IF(AND(NOT(ISERROR((AI19/$H19)*100)),((AI19/$H19)*100) &lt;&gt; 0), (AI19/$H19)*100, ""))</f>
        <v/>
      </c>
      <c r="AK19" s="33"/>
      <c r="AL19" s="36" t="str">
        <f>IF((ISERROR((AK19/$H19)*100)), "", IF(AND(NOT(ISERROR((AK19/$H19)*100)),((AK19/$H19)*100) &lt;&gt; 0), (AK19/$H19)*100, ""))</f>
        <v/>
      </c>
      <c r="AM19" s="33"/>
      <c r="AN19" s="36" t="str">
        <f>IF((ISERROR((AM19/$H19)*100)), "", IF(AND(NOT(ISERROR((AM19/$H19)*100)),((AM19/$H19)*100) &lt;&gt; 0), (AM19/$H19)*100, ""))</f>
        <v/>
      </c>
      <c r="AO19" s="33"/>
      <c r="AP19" s="36" t="str">
        <f>IF((ISERROR((AO19/$H19)*100)), "", IF(AND(NOT(ISERROR((AO19/$H19)*100)),((AO19/$H19)*100) &lt;&gt; 0), (AO19/$H19)*100, ""))</f>
        <v/>
      </c>
      <c r="AQ19" s="33"/>
      <c r="AR19" s="36" t="str">
        <f>IF((ISERROR((AQ19/$H19)*100)), "", IF(AND(NOT(ISERROR((AQ19/$H19)*100)),((AQ19/$H19)*100) &lt;&gt; 0), (AQ19/$H19)*100, ""))</f>
        <v/>
      </c>
      <c r="AS19" s="33"/>
      <c r="AT19" s="36" t="str">
        <f>IF((ISERROR((AS19/$H19)*100)), "", IF(AND(NOT(ISERROR((AS19/$H19)*100)),((AS19/$H19)*100) &lt;&gt; 0), (AS19/$H19)*100, ""))</f>
        <v/>
      </c>
      <c r="AU19" s="33"/>
      <c r="AV19" s="36" t="str">
        <f>IF((ISERROR((AU19/$H19)*100)), "", IF(AND(NOT(ISERROR((AU19/$H19)*100)),((AU19/$H19)*100) &lt;&gt; 0), (AU19/$H19)*100, ""))</f>
        <v/>
      </c>
      <c r="AW19" s="76"/>
      <c r="AX19" s="36" t="str">
        <f>IF((ISERROR((AW19/$H19)*100)), "", IF(AND(NOT(ISERROR((AW19/$H19)*100)),((AW19/$H19)*100) &lt;&gt; 0), (AW19/$H19)*100, ""))</f>
        <v/>
      </c>
      <c r="AY19" s="76"/>
      <c r="AZ19" s="36" t="str">
        <f>IF((ISERROR((AY19/$H19)*100)), "", IF(AND(NOT(ISERROR((AY19/$H19)*100)),((AY19/$H19)*100) &lt;&gt; 0), (AY19/$H19)*100, ""))</f>
        <v/>
      </c>
      <c r="BA19" s="23" t="s">
        <v>408</v>
      </c>
    </row>
    <row r="20" spans="1:53" ht="20" customHeight="1" x14ac:dyDescent="0.2">
      <c r="A20" s="60"/>
      <c r="B20" s="82"/>
      <c r="C20" s="24" t="s">
        <v>85</v>
      </c>
      <c r="D20" s="23" t="s">
        <v>99</v>
      </c>
      <c r="E20" s="23" t="s">
        <v>100</v>
      </c>
      <c r="F20" s="24">
        <v>2002</v>
      </c>
      <c r="G20" s="24">
        <v>103</v>
      </c>
      <c r="H20" s="89">
        <v>8</v>
      </c>
      <c r="I20" s="85"/>
      <c r="J20" s="86"/>
      <c r="K20" s="33"/>
      <c r="L20" s="36" t="str">
        <f>IF((ISERROR((K20/$H20)*100)), "", IF(AND(NOT(ISERROR((K20/$H20)*100)),((K20/$H20)*100) &lt;&gt; 0), (K20/$H20)*100, ""))</f>
        <v/>
      </c>
      <c r="M20" s="33"/>
      <c r="N20" s="36" t="str">
        <f>IF((ISERROR((M20/$H20)*100)), "", IF(AND(NOT(ISERROR((M20/$H20)*100)),((M20/$H20)*100) &lt;&gt; 0), (M20/$H20)*100, ""))</f>
        <v/>
      </c>
      <c r="O20" s="33"/>
      <c r="P20" s="36" t="str">
        <f>IF((ISERROR((O20/$H20)*100)), "", IF(AND(NOT(ISERROR((O20/$H20)*100)),((O20/$H20)*100) &lt;&gt; 0), (O20/$H20)*100, ""))</f>
        <v/>
      </c>
      <c r="Q20" s="33"/>
      <c r="R20" s="36" t="str">
        <f>IF((ISERROR((Q20/$H20)*100)), "", IF(AND(NOT(ISERROR((Q20/$H20)*100)),((Q20/$H20)*100) &lt;&gt; 0), (Q20/$H20)*100, ""))</f>
        <v/>
      </c>
      <c r="S20" s="33"/>
      <c r="T20" s="36" t="str">
        <f>IF((ISERROR((S20/$H20)*100)), "", IF(AND(NOT(ISERROR((S20/$H20)*100)),((S20/$H20)*100) &lt;&gt; 0), (S20/$H20)*100, ""))</f>
        <v/>
      </c>
      <c r="U20" s="33"/>
      <c r="V20" s="36" t="str">
        <f>IF((ISERROR((U20/$H20)*100)), "", IF(AND(NOT(ISERROR((U20/$H20)*100)),((U20/$H20)*100) &lt;&gt; 0), (U20/$H20)*100, ""))</f>
        <v/>
      </c>
      <c r="W20" s="33"/>
      <c r="X20" s="36" t="str">
        <f>IF((ISERROR((W20/$H20)*100)), "", IF(AND(NOT(ISERROR((W20/$H20)*100)),((W20/$H20)*100) &lt;&gt; 0), (W20/$H20)*100, ""))</f>
        <v/>
      </c>
      <c r="Y20" s="33"/>
      <c r="Z20" s="36" t="str">
        <f>IF((ISERROR((Y20/$H20)*100)), "", IF(AND(NOT(ISERROR((Y20/$H20)*100)),((Y20/$H20)*100) &lt;&gt; 0), (Y20/$H20)*100, ""))</f>
        <v/>
      </c>
      <c r="AA20" s="33"/>
      <c r="AB20" s="36" t="str">
        <f>IF((ISERROR((AA20/$H20)*100)), "", IF(AND(NOT(ISERROR((AA20/$H20)*100)),((AA20/$H20)*100) &lt;&gt; 0), (AA20/$H20)*100, ""))</f>
        <v/>
      </c>
      <c r="AC20" s="33"/>
      <c r="AD20" s="36" t="str">
        <f>IF((ISERROR((AC20/$H20)*100)), "", IF(AND(NOT(ISERROR((AC20/$H20)*100)),((AC20/$H20)*100) &lt;&gt; 0), (AC20/$H20)*100, ""))</f>
        <v/>
      </c>
      <c r="AE20" s="33"/>
      <c r="AF20" s="36" t="str">
        <f>IF((ISERROR((AE20/$H20)*100)), "", IF(AND(NOT(ISERROR((AE20/$H20)*100)),((AE20/$H20)*100) &lt;&gt; 0), (AE20/$H20)*100, ""))</f>
        <v/>
      </c>
      <c r="AG20" s="33"/>
      <c r="AH20" s="36" t="str">
        <f>IF((ISERROR((AG20/$H20)*100)), "", IF(AND(NOT(ISERROR((AG20/$H20)*100)),((AG20/$H20)*100) &lt;&gt; 0), (AG20/$H20)*100, ""))</f>
        <v/>
      </c>
      <c r="AI20" s="33"/>
      <c r="AJ20" s="36" t="str">
        <f>IF((ISERROR((AI20/$H20)*100)), "", IF(AND(NOT(ISERROR((AI20/$H20)*100)),((AI20/$H20)*100) &lt;&gt; 0), (AI20/$H20)*100, ""))</f>
        <v/>
      </c>
      <c r="AK20" s="33"/>
      <c r="AL20" s="36" t="str">
        <f>IF((ISERROR((AK20/$H20)*100)), "", IF(AND(NOT(ISERROR((AK20/$H20)*100)),((AK20/$H20)*100) &lt;&gt; 0), (AK20/$H20)*100, ""))</f>
        <v/>
      </c>
      <c r="AM20" s="33"/>
      <c r="AN20" s="36" t="str">
        <f>IF((ISERROR((AM20/$H20)*100)), "", IF(AND(NOT(ISERROR((AM20/$H20)*100)),((AM20/$H20)*100) &lt;&gt; 0), (AM20/$H20)*100, ""))</f>
        <v/>
      </c>
      <c r="AO20" s="33"/>
      <c r="AP20" s="36" t="str">
        <f>IF((ISERROR((AO20/$H20)*100)), "", IF(AND(NOT(ISERROR((AO20/$H20)*100)),((AO20/$H20)*100) &lt;&gt; 0), (AO20/$H20)*100, ""))</f>
        <v/>
      </c>
      <c r="AQ20" s="33"/>
      <c r="AR20" s="36" t="str">
        <f>IF((ISERROR((AQ20/$H20)*100)), "", IF(AND(NOT(ISERROR((AQ20/$H20)*100)),((AQ20/$H20)*100) &lt;&gt; 0), (AQ20/$H20)*100, ""))</f>
        <v/>
      </c>
      <c r="AS20" s="33"/>
      <c r="AT20" s="36" t="str">
        <f>IF((ISERROR((AS20/$H20)*100)), "", IF(AND(NOT(ISERROR((AS20/$H20)*100)),((AS20/$H20)*100) &lt;&gt; 0), (AS20/$H20)*100, ""))</f>
        <v/>
      </c>
      <c r="AU20" s="33"/>
      <c r="AV20" s="36" t="str">
        <f>IF((ISERROR((AU20/$H20)*100)), "", IF(AND(NOT(ISERROR((AU20/$H20)*100)),((AU20/$H20)*100) &lt;&gt; 0), (AU20/$H20)*100, ""))</f>
        <v/>
      </c>
      <c r="AW20" s="76">
        <v>2</v>
      </c>
      <c r="AX20" s="36">
        <f>IF((ISERROR((AW20/$H20)*100)), "", IF(AND(NOT(ISERROR((AW20/$H20)*100)),((AW20/$H20)*100) &lt;&gt; 0), (AW20/$H20)*100, ""))</f>
        <v>25</v>
      </c>
      <c r="AY20" s="76"/>
      <c r="AZ20" s="36" t="str">
        <f>IF((ISERROR((AY20/$H20)*100)), "", IF(AND(NOT(ISERROR((AY20/$H20)*100)),((AY20/$H20)*100) &lt;&gt; 0), (AY20/$H20)*100, ""))</f>
        <v/>
      </c>
      <c r="BA20" s="23" t="s">
        <v>201</v>
      </c>
    </row>
    <row r="21" spans="1:53" ht="20" customHeight="1" x14ac:dyDescent="0.2">
      <c r="A21" s="60"/>
      <c r="B21" s="82"/>
      <c r="C21" s="24" t="s">
        <v>85</v>
      </c>
      <c r="D21" s="23" t="s">
        <v>113</v>
      </c>
      <c r="E21" s="23" t="s">
        <v>114</v>
      </c>
      <c r="F21" s="24">
        <v>1997</v>
      </c>
      <c r="G21" s="24">
        <v>127</v>
      </c>
      <c r="H21" s="89">
        <v>8</v>
      </c>
      <c r="I21" s="85" t="s">
        <v>212</v>
      </c>
      <c r="J21" s="86" t="s">
        <v>213</v>
      </c>
      <c r="K21" s="33"/>
      <c r="L21" s="36" t="str">
        <f>IF((ISERROR((K21/$H21)*100)), "", IF(AND(NOT(ISERROR((K21/$H21)*100)),((K21/$H21)*100) &lt;&gt; 0), (K21/$H21)*100, ""))</f>
        <v/>
      </c>
      <c r="M21" s="33"/>
      <c r="N21" s="36" t="str">
        <f>IF((ISERROR((M21/$H21)*100)), "", IF(AND(NOT(ISERROR((M21/$H21)*100)),((M21/$H21)*100) &lt;&gt; 0), (M21/$H21)*100, ""))</f>
        <v/>
      </c>
      <c r="O21" s="33"/>
      <c r="P21" s="36" t="str">
        <f>IF((ISERROR((O21/$H21)*100)), "", IF(AND(NOT(ISERROR((O21/$H21)*100)),((O21/$H21)*100) &lt;&gt; 0), (O21/$H21)*100, ""))</f>
        <v/>
      </c>
      <c r="Q21" s="33"/>
      <c r="R21" s="36" t="str">
        <f>IF((ISERROR((Q21/$H21)*100)), "", IF(AND(NOT(ISERROR((Q21/$H21)*100)),((Q21/$H21)*100) &lt;&gt; 0), (Q21/$H21)*100, ""))</f>
        <v/>
      </c>
      <c r="S21" s="33"/>
      <c r="T21" s="36" t="str">
        <f>IF((ISERROR((S21/$H21)*100)), "", IF(AND(NOT(ISERROR((S21/$H21)*100)),((S21/$H21)*100) &lt;&gt; 0), (S21/$H21)*100, ""))</f>
        <v/>
      </c>
      <c r="U21" s="33"/>
      <c r="V21" s="36" t="str">
        <f>IF((ISERROR((U21/$H21)*100)), "", IF(AND(NOT(ISERROR((U21/$H21)*100)),((U21/$H21)*100) &lt;&gt; 0), (U21/$H21)*100, ""))</f>
        <v/>
      </c>
      <c r="W21" s="33"/>
      <c r="X21" s="36" t="str">
        <f>IF((ISERROR((W21/$H21)*100)), "", IF(AND(NOT(ISERROR((W21/$H21)*100)),((W21/$H21)*100) &lt;&gt; 0), (W21/$H21)*100, ""))</f>
        <v/>
      </c>
      <c r="Y21" s="33"/>
      <c r="Z21" s="36" t="str">
        <f>IF((ISERROR((Y21/$H21)*100)), "", IF(AND(NOT(ISERROR((Y21/$H21)*100)),((Y21/$H21)*100) &lt;&gt; 0), (Y21/$H21)*100, ""))</f>
        <v/>
      </c>
      <c r="AA21" s="33"/>
      <c r="AB21" s="36" t="str">
        <f>IF((ISERROR((AA21/$H21)*100)), "", IF(AND(NOT(ISERROR((AA21/$H21)*100)),((AA21/$H21)*100) &lt;&gt; 0), (AA21/$H21)*100, ""))</f>
        <v/>
      </c>
      <c r="AC21" s="33"/>
      <c r="AD21" s="36" t="str">
        <f>IF((ISERROR((AC21/$H21)*100)), "", IF(AND(NOT(ISERROR((AC21/$H21)*100)),((AC21/$H21)*100) &lt;&gt; 0), (AC21/$H21)*100, ""))</f>
        <v/>
      </c>
      <c r="AE21" s="33"/>
      <c r="AF21" s="36" t="str">
        <f>IF((ISERROR((AE21/$H21)*100)), "", IF(AND(NOT(ISERROR((AE21/$H21)*100)),((AE21/$H21)*100) &lt;&gt; 0), (AE21/$H21)*100, ""))</f>
        <v/>
      </c>
      <c r="AG21" s="33"/>
      <c r="AH21" s="36" t="str">
        <f>IF((ISERROR((AG21/$H21)*100)), "", IF(AND(NOT(ISERROR((AG21/$H21)*100)),((AG21/$H21)*100) &lt;&gt; 0), (AG21/$H21)*100, ""))</f>
        <v/>
      </c>
      <c r="AI21" s="33"/>
      <c r="AJ21" s="36" t="str">
        <f>IF((ISERROR((AI21/$H21)*100)), "", IF(AND(NOT(ISERROR((AI21/$H21)*100)),((AI21/$H21)*100) &lt;&gt; 0), (AI21/$H21)*100, ""))</f>
        <v/>
      </c>
      <c r="AK21" s="33"/>
      <c r="AL21" s="36" t="str">
        <f>IF((ISERROR((AK21/$H21)*100)), "", IF(AND(NOT(ISERROR((AK21/$H21)*100)),((AK21/$H21)*100) &lt;&gt; 0), (AK21/$H21)*100, ""))</f>
        <v/>
      </c>
      <c r="AM21" s="33"/>
      <c r="AN21" s="36" t="str">
        <f>IF((ISERROR((AM21/$H21)*100)), "", IF(AND(NOT(ISERROR((AM21/$H21)*100)),((AM21/$H21)*100) &lt;&gt; 0), (AM21/$H21)*100, ""))</f>
        <v/>
      </c>
      <c r="AO21" s="33"/>
      <c r="AP21" s="36" t="str">
        <f>IF((ISERROR((AO21/$H21)*100)), "", IF(AND(NOT(ISERROR((AO21/$H21)*100)),((AO21/$H21)*100) &lt;&gt; 0), (AO21/$H21)*100, ""))</f>
        <v/>
      </c>
      <c r="AQ21" s="33"/>
      <c r="AR21" s="36" t="str">
        <f>IF((ISERROR((AQ21/$H21)*100)), "", IF(AND(NOT(ISERROR((AQ21/$H21)*100)),((AQ21/$H21)*100) &lt;&gt; 0), (AQ21/$H21)*100, ""))</f>
        <v/>
      </c>
      <c r="AS21" s="33"/>
      <c r="AT21" s="36" t="str">
        <f>IF((ISERROR((AS21/$H21)*100)), "", IF(AND(NOT(ISERROR((AS21/$H21)*100)),((AS21/$H21)*100) &lt;&gt; 0), (AS21/$H21)*100, ""))</f>
        <v/>
      </c>
      <c r="AU21" s="33">
        <v>1</v>
      </c>
      <c r="AV21" s="36">
        <f>IF((ISERROR((AU21/$H21)*100)), "", IF(AND(NOT(ISERROR((AU21/$H21)*100)),((AU21/$H21)*100) &lt;&gt; 0), (AU21/$H21)*100, ""))</f>
        <v>12.5</v>
      </c>
      <c r="AW21" s="30">
        <v>1</v>
      </c>
      <c r="AX21" s="36">
        <f>IF((ISERROR((AW21/$H21)*100)), "", IF(AND(NOT(ISERROR((AW21/$H21)*100)),((AW21/$H21)*100) &lt;&gt; 0), (AW21/$H21)*100, ""))</f>
        <v>12.5</v>
      </c>
      <c r="AY21" s="59"/>
      <c r="AZ21" s="36" t="str">
        <f>IF((ISERROR((AY21/$H21)*100)), "", IF(AND(NOT(ISERROR((AY21/$H21)*100)),((AY21/$H21)*100) &lt;&gt; 0), (AY21/$H21)*100, ""))</f>
        <v/>
      </c>
      <c r="BA21" s="23" t="s">
        <v>389</v>
      </c>
    </row>
    <row r="22" spans="1:53" ht="20" customHeight="1" x14ac:dyDescent="0.2">
      <c r="A22" s="60"/>
      <c r="B22" s="82"/>
      <c r="C22" s="24" t="s">
        <v>85</v>
      </c>
      <c r="D22" s="23" t="s">
        <v>263</v>
      </c>
      <c r="E22" s="23" t="s">
        <v>264</v>
      </c>
      <c r="F22" s="24">
        <v>2000</v>
      </c>
      <c r="H22" s="89">
        <v>9</v>
      </c>
      <c r="I22" s="85" t="s">
        <v>218</v>
      </c>
      <c r="J22" s="86" t="s">
        <v>169</v>
      </c>
      <c r="K22" s="33"/>
      <c r="L22" s="36" t="str">
        <f>IF((ISERROR((K22/$H22)*100)), "", IF(AND(NOT(ISERROR((K22/$H22)*100)),((K22/$H22)*100) &lt;&gt; 0), (K22/$H22)*100, ""))</f>
        <v/>
      </c>
      <c r="M22" s="33"/>
      <c r="N22" s="36" t="str">
        <f>IF((ISERROR((M22/$H22)*100)), "", IF(AND(NOT(ISERROR((M22/$H22)*100)),((M22/$H22)*100) &lt;&gt; 0), (M22/$H22)*100, ""))</f>
        <v/>
      </c>
      <c r="O22" s="33"/>
      <c r="P22" s="36" t="str">
        <f>IF((ISERROR((O22/$H22)*100)), "", IF(AND(NOT(ISERROR((O22/$H22)*100)),((O22/$H22)*100) &lt;&gt; 0), (O22/$H22)*100, ""))</f>
        <v/>
      </c>
      <c r="Q22" s="33"/>
      <c r="R22" s="36" t="str">
        <f>IF((ISERROR((Q22/$H22)*100)), "", IF(AND(NOT(ISERROR((Q22/$H22)*100)),((Q22/$H22)*100) &lt;&gt; 0), (Q22/$H22)*100, ""))</f>
        <v/>
      </c>
      <c r="S22" s="33"/>
      <c r="T22" s="36" t="str">
        <f>IF((ISERROR((S22/$H22)*100)), "", IF(AND(NOT(ISERROR((S22/$H22)*100)),((S22/$H22)*100) &lt;&gt; 0), (S22/$H22)*100, ""))</f>
        <v/>
      </c>
      <c r="U22" s="33">
        <v>1</v>
      </c>
      <c r="V22" s="36">
        <f>IF((ISERROR((U22/$H22)*100)), "", IF(AND(NOT(ISERROR((U22/$H22)*100)),((U22/$H22)*100) &lt;&gt; 0), (U22/$H22)*100, ""))</f>
        <v>11.111111111111111</v>
      </c>
      <c r="W22" s="33"/>
      <c r="X22" s="36" t="str">
        <f>IF((ISERROR((W22/$H22)*100)), "", IF(AND(NOT(ISERROR((W22/$H22)*100)),((W22/$H22)*100) &lt;&gt; 0), (W22/$H22)*100, ""))</f>
        <v/>
      </c>
      <c r="Y22" s="33"/>
      <c r="Z22" s="36" t="str">
        <f>IF((ISERROR((Y22/$H22)*100)), "", IF(AND(NOT(ISERROR((Y22/$H22)*100)),((Y22/$H22)*100) &lt;&gt; 0), (Y22/$H22)*100, ""))</f>
        <v/>
      </c>
      <c r="AA22" s="33"/>
      <c r="AB22" s="36" t="str">
        <f>IF((ISERROR((AA22/$H22)*100)), "", IF(AND(NOT(ISERROR((AA22/$H22)*100)),((AA22/$H22)*100) &lt;&gt; 0), (AA22/$H22)*100, ""))</f>
        <v/>
      </c>
      <c r="AC22" s="33"/>
      <c r="AD22" s="36" t="str">
        <f>IF((ISERROR((AC22/$H22)*100)), "", IF(AND(NOT(ISERROR((AC22/$H22)*100)),((AC22/$H22)*100) &lt;&gt; 0), (AC22/$H22)*100, ""))</f>
        <v/>
      </c>
      <c r="AE22" s="33">
        <v>1</v>
      </c>
      <c r="AF22" s="36">
        <f>IF((ISERROR((AE22/$H22)*100)), "", IF(AND(NOT(ISERROR((AE22/$H22)*100)),((AE22/$H22)*100) &lt;&gt; 0), (AE22/$H22)*100, ""))</f>
        <v>11.111111111111111</v>
      </c>
      <c r="AG22" s="33"/>
      <c r="AH22" s="36" t="str">
        <f>IF((ISERROR((AG22/$H22)*100)), "", IF(AND(NOT(ISERROR((AG22/$H22)*100)),((AG22/$H22)*100) &lt;&gt; 0), (AG22/$H22)*100, ""))</f>
        <v/>
      </c>
      <c r="AI22" s="33"/>
      <c r="AJ22" s="36" t="str">
        <f>IF((ISERROR((AI22/$H22)*100)), "", IF(AND(NOT(ISERROR((AI22/$H22)*100)),((AI22/$H22)*100) &lt;&gt; 0), (AI22/$H22)*100, ""))</f>
        <v/>
      </c>
      <c r="AK22" s="33"/>
      <c r="AL22" s="36" t="str">
        <f>IF((ISERROR((AK22/$H22)*100)), "", IF(AND(NOT(ISERROR((AK22/$H22)*100)),((AK22/$H22)*100) &lt;&gt; 0), (AK22/$H22)*100, ""))</f>
        <v/>
      </c>
      <c r="AM22" s="33"/>
      <c r="AN22" s="36" t="str">
        <f>IF((ISERROR((AM22/$H22)*100)), "", IF(AND(NOT(ISERROR((AM22/$H22)*100)),((AM22/$H22)*100) &lt;&gt; 0), (AM22/$H22)*100, ""))</f>
        <v/>
      </c>
      <c r="AO22" s="33"/>
      <c r="AP22" s="36" t="str">
        <f>IF((ISERROR((AO22/$H22)*100)), "", IF(AND(NOT(ISERROR((AO22/$H22)*100)),((AO22/$H22)*100) &lt;&gt; 0), (AO22/$H22)*100, ""))</f>
        <v/>
      </c>
      <c r="AQ22" s="33"/>
      <c r="AR22" s="36" t="str">
        <f>IF((ISERROR((AQ22/$H22)*100)), "", IF(AND(NOT(ISERROR((AQ22/$H22)*100)),((AQ22/$H22)*100) &lt;&gt; 0), (AQ22/$H22)*100, ""))</f>
        <v/>
      </c>
      <c r="AS22" s="33"/>
      <c r="AT22" s="36" t="str">
        <f>IF((ISERROR((AS22/$H22)*100)), "", IF(AND(NOT(ISERROR((AS22/$H22)*100)),((AS22/$H22)*100) &lt;&gt; 0), (AS22/$H22)*100, ""))</f>
        <v/>
      </c>
      <c r="AU22" s="33"/>
      <c r="AV22" s="36" t="str">
        <f>IF((ISERROR((AU22/$H22)*100)), "", IF(AND(NOT(ISERROR((AU22/$H22)*100)),((AU22/$H22)*100) &lt;&gt; 0), (AU22/$H22)*100, ""))</f>
        <v/>
      </c>
      <c r="AW22" s="30">
        <v>1</v>
      </c>
      <c r="AX22" s="36">
        <f>IF((ISERROR((AW22/$H22)*100)), "", IF(AND(NOT(ISERROR((AW22/$H22)*100)),((AW22/$H22)*100) &lt;&gt; 0), (AW22/$H22)*100, ""))</f>
        <v>11.111111111111111</v>
      </c>
      <c r="AY22" s="59"/>
      <c r="AZ22" s="36" t="str">
        <f>IF((ISERROR((AY22/$H22)*100)), "", IF(AND(NOT(ISERROR((AY22/$H22)*100)),((AY22/$H22)*100) &lt;&gt; 0), (AY22/$H22)*100, ""))</f>
        <v/>
      </c>
      <c r="BA22" s="23" t="s">
        <v>339</v>
      </c>
    </row>
    <row r="23" spans="1:53" ht="20" customHeight="1" x14ac:dyDescent="0.2">
      <c r="A23" s="61"/>
      <c r="B23" s="82"/>
      <c r="C23" s="24" t="s">
        <v>85</v>
      </c>
      <c r="D23" s="23" t="s">
        <v>277</v>
      </c>
      <c r="E23" s="23" t="s">
        <v>278</v>
      </c>
      <c r="F23" s="24">
        <v>2001</v>
      </c>
      <c r="H23" s="89">
        <v>9</v>
      </c>
      <c r="I23" s="85"/>
      <c r="J23" s="86" t="s">
        <v>351</v>
      </c>
      <c r="K23" s="33"/>
      <c r="L23" s="36" t="str">
        <f>IF((ISERROR((K23/$H23)*100)), "", IF(AND(NOT(ISERROR((K23/$H23)*100)),((K23/$H23)*100) &lt;&gt; 0), (K23/$H23)*100, ""))</f>
        <v/>
      </c>
      <c r="M23" s="33"/>
      <c r="N23" s="36" t="str">
        <f>IF((ISERROR((M23/$H23)*100)), "", IF(AND(NOT(ISERROR((M23/$H23)*100)),((M23/$H23)*100) &lt;&gt; 0), (M23/$H23)*100, ""))</f>
        <v/>
      </c>
      <c r="O23" s="33"/>
      <c r="P23" s="36" t="str">
        <f>IF((ISERROR((O23/$H23)*100)), "", IF(AND(NOT(ISERROR((O23/$H23)*100)),((O23/$H23)*100) &lt;&gt; 0), (O23/$H23)*100, ""))</f>
        <v/>
      </c>
      <c r="Q23" s="33"/>
      <c r="R23" s="36" t="str">
        <f>IF((ISERROR((Q23/$H23)*100)), "", IF(AND(NOT(ISERROR((Q23/$H23)*100)),((Q23/$H23)*100) &lt;&gt; 0), (Q23/$H23)*100, ""))</f>
        <v/>
      </c>
      <c r="S23" s="33"/>
      <c r="T23" s="36" t="str">
        <f>IF((ISERROR((S23/$H23)*100)), "", IF(AND(NOT(ISERROR((S23/$H23)*100)),((S23/$H23)*100) &lt;&gt; 0), (S23/$H23)*100, ""))</f>
        <v/>
      </c>
      <c r="U23" s="33"/>
      <c r="V23" s="36" t="str">
        <f>IF((ISERROR((U23/$H23)*100)), "", IF(AND(NOT(ISERROR((U23/$H23)*100)),((U23/$H23)*100) &lt;&gt; 0), (U23/$H23)*100, ""))</f>
        <v/>
      </c>
      <c r="W23" s="33"/>
      <c r="X23" s="36" t="str">
        <f>IF((ISERROR((W23/$H23)*100)), "", IF(AND(NOT(ISERROR((W23/$H23)*100)),((W23/$H23)*100) &lt;&gt; 0), (W23/$H23)*100, ""))</f>
        <v/>
      </c>
      <c r="Y23" s="33"/>
      <c r="Z23" s="36" t="str">
        <f>IF((ISERROR((Y23/$H23)*100)), "", IF(AND(NOT(ISERROR((Y23/$H23)*100)),((Y23/$H23)*100) &lt;&gt; 0), (Y23/$H23)*100, ""))</f>
        <v/>
      </c>
      <c r="AA23" s="33"/>
      <c r="AB23" s="36" t="str">
        <f>IF((ISERROR((AA23/$H23)*100)), "", IF(AND(NOT(ISERROR((AA23/$H23)*100)),((AA23/$H23)*100) &lt;&gt; 0), (AA23/$H23)*100, ""))</f>
        <v/>
      </c>
      <c r="AC23" s="33"/>
      <c r="AD23" s="36" t="str">
        <f>IF((ISERROR((AC23/$H23)*100)), "", IF(AND(NOT(ISERROR((AC23/$H23)*100)),((AC23/$H23)*100) &lt;&gt; 0), (AC23/$H23)*100, ""))</f>
        <v/>
      </c>
      <c r="AE23" s="33"/>
      <c r="AF23" s="36" t="str">
        <f>IF((ISERROR((AE23/$H23)*100)), "", IF(AND(NOT(ISERROR((AE23/$H23)*100)),((AE23/$H23)*100) &lt;&gt; 0), (AE23/$H23)*100, ""))</f>
        <v/>
      </c>
      <c r="AG23" s="33"/>
      <c r="AH23" s="36" t="str">
        <f>IF((ISERROR((AG23/$H23)*100)), "", IF(AND(NOT(ISERROR((AG23/$H23)*100)),((AG23/$H23)*100) &lt;&gt; 0), (AG23/$H23)*100, ""))</f>
        <v/>
      </c>
      <c r="AI23" s="33"/>
      <c r="AJ23" s="36" t="str">
        <f>IF((ISERROR((AI23/$H23)*100)), "", IF(AND(NOT(ISERROR((AI23/$H23)*100)),((AI23/$H23)*100) &lt;&gt; 0), (AI23/$H23)*100, ""))</f>
        <v/>
      </c>
      <c r="AK23" s="33"/>
      <c r="AL23" s="36" t="str">
        <f>IF((ISERROR((AK23/$H23)*100)), "", IF(AND(NOT(ISERROR((AK23/$H23)*100)),((AK23/$H23)*100) &lt;&gt; 0), (AK23/$H23)*100, ""))</f>
        <v/>
      </c>
      <c r="AM23" s="33"/>
      <c r="AN23" s="36" t="str">
        <f>IF((ISERROR((AM23/$H23)*100)), "", IF(AND(NOT(ISERROR((AM23/$H23)*100)),((AM23/$H23)*100) &lt;&gt; 0), (AM23/$H23)*100, ""))</f>
        <v/>
      </c>
      <c r="AO23" s="33"/>
      <c r="AP23" s="36" t="str">
        <f>IF((ISERROR((AO23/$H23)*100)), "", IF(AND(NOT(ISERROR((AO23/$H23)*100)),((AO23/$H23)*100) &lt;&gt; 0), (AO23/$H23)*100, ""))</f>
        <v/>
      </c>
      <c r="AQ23" s="33"/>
      <c r="AR23" s="36" t="str">
        <f>IF((ISERROR((AQ23/$H23)*100)), "", IF(AND(NOT(ISERROR((AQ23/$H23)*100)),((AQ23/$H23)*100) &lt;&gt; 0), (AQ23/$H23)*100, ""))</f>
        <v/>
      </c>
      <c r="AS23" s="33"/>
      <c r="AT23" s="36" t="str">
        <f>IF((ISERROR((AS23/$H23)*100)), "", IF(AND(NOT(ISERROR((AS23/$H23)*100)),((AS23/$H23)*100) &lt;&gt; 0), (AS23/$H23)*100, ""))</f>
        <v/>
      </c>
      <c r="AU23" s="33"/>
      <c r="AV23" s="36" t="str">
        <f>IF((ISERROR((AU23/$H23)*100)), "", IF(AND(NOT(ISERROR((AU23/$H23)*100)),((AU23/$H23)*100) &lt;&gt; 0), (AU23/$H23)*100, ""))</f>
        <v/>
      </c>
      <c r="AW23" s="40"/>
      <c r="AX23" s="39" t="str">
        <f>IF((ISERROR((AW23/$H23)*100)), "", IF(AND(NOT(ISERROR((AW23/$H23)*100)),((AW23/$H23)*100) &lt;&gt; 0), (AW23/$H23)*100, ""))</f>
        <v/>
      </c>
      <c r="AY23" s="76"/>
      <c r="AZ23" s="36" t="str">
        <f>IF((ISERROR((AY23/$H23)*100)), "", IF(AND(NOT(ISERROR((AY23/$H23)*100)),((AY23/$H23)*100) &lt;&gt; 0), (AY23/$H23)*100, ""))</f>
        <v/>
      </c>
      <c r="BA23" s="23" t="s">
        <v>352</v>
      </c>
    </row>
    <row r="24" spans="1:53" ht="20" customHeight="1" x14ac:dyDescent="0.2">
      <c r="A24" s="60"/>
      <c r="B24" s="83"/>
      <c r="C24" s="24" t="s">
        <v>85</v>
      </c>
      <c r="D24" s="23" t="s">
        <v>265</v>
      </c>
      <c r="E24" s="23" t="s">
        <v>266</v>
      </c>
      <c r="F24" s="24">
        <v>2003</v>
      </c>
      <c r="H24" s="89">
        <v>10</v>
      </c>
      <c r="I24" s="85" t="s">
        <v>185</v>
      </c>
      <c r="J24" s="86" t="s">
        <v>190</v>
      </c>
      <c r="K24" s="33"/>
      <c r="L24" s="36" t="str">
        <f>IF((ISERROR((K24/$H24)*100)), "", IF(AND(NOT(ISERROR((K24/$H24)*100)),((K24/$H24)*100) &lt;&gt; 0), (K24/$H24)*100, ""))</f>
        <v/>
      </c>
      <c r="M24" s="33"/>
      <c r="N24" s="36" t="str">
        <f>IF((ISERROR((M24/$H24)*100)), "", IF(AND(NOT(ISERROR((M24/$H24)*100)),((M24/$H24)*100) &lt;&gt; 0), (M24/$H24)*100, ""))</f>
        <v/>
      </c>
      <c r="O24" s="33"/>
      <c r="P24" s="36" t="str">
        <f>IF((ISERROR((O24/$H24)*100)), "", IF(AND(NOT(ISERROR((O24/$H24)*100)),((O24/$H24)*100) &lt;&gt; 0), (O24/$H24)*100, ""))</f>
        <v/>
      </c>
      <c r="Q24" s="33"/>
      <c r="R24" s="36" t="str">
        <f>IF((ISERROR((Q24/$H24)*100)), "", IF(AND(NOT(ISERROR((Q24/$H24)*100)),((Q24/$H24)*100) &lt;&gt; 0), (Q24/$H24)*100, ""))</f>
        <v/>
      </c>
      <c r="S24" s="33"/>
      <c r="T24" s="36" t="str">
        <f>IF((ISERROR((S24/$H24)*100)), "", IF(AND(NOT(ISERROR((S24/$H24)*100)),((S24/$H24)*100) &lt;&gt; 0), (S24/$H24)*100, ""))</f>
        <v/>
      </c>
      <c r="U24" s="33"/>
      <c r="V24" s="36" t="str">
        <f>IF((ISERROR((U24/$H24)*100)), "", IF(AND(NOT(ISERROR((U24/$H24)*100)),((U24/$H24)*100) &lt;&gt; 0), (U24/$H24)*100, ""))</f>
        <v/>
      </c>
      <c r="W24" s="33"/>
      <c r="X24" s="36" t="str">
        <f>IF((ISERROR((W24/$H24)*100)), "", IF(AND(NOT(ISERROR((W24/$H24)*100)),((W24/$H24)*100) &lt;&gt; 0), (W24/$H24)*100, ""))</f>
        <v/>
      </c>
      <c r="Y24" s="33"/>
      <c r="Z24" s="36" t="str">
        <f>IF((ISERROR((Y24/$H24)*100)), "", IF(AND(NOT(ISERROR((Y24/$H24)*100)),((Y24/$H24)*100) &lt;&gt; 0), (Y24/$H24)*100, ""))</f>
        <v/>
      </c>
      <c r="AA24" s="33"/>
      <c r="AB24" s="36" t="str">
        <f>IF((ISERROR((AA24/$H24)*100)), "", IF(AND(NOT(ISERROR((AA24/$H24)*100)),((AA24/$H24)*100) &lt;&gt; 0), (AA24/$H24)*100, ""))</f>
        <v/>
      </c>
      <c r="AC24" s="33"/>
      <c r="AD24" s="36" t="str">
        <f>IF((ISERROR((AC24/$H24)*100)), "", IF(AND(NOT(ISERROR((AC24/$H24)*100)),((AC24/$H24)*100) &lt;&gt; 0), (AC24/$H24)*100, ""))</f>
        <v/>
      </c>
      <c r="AE24" s="33"/>
      <c r="AF24" s="36" t="str">
        <f>IF((ISERROR((AE24/$H24)*100)), "", IF(AND(NOT(ISERROR((AE24/$H24)*100)),((AE24/$H24)*100) &lt;&gt; 0), (AE24/$H24)*100, ""))</f>
        <v/>
      </c>
      <c r="AG24" s="33"/>
      <c r="AH24" s="36" t="str">
        <f>IF((ISERROR((AG24/$H24)*100)), "", IF(AND(NOT(ISERROR((AG24/$H24)*100)),((AG24/$H24)*100) &lt;&gt; 0), (AG24/$H24)*100, ""))</f>
        <v/>
      </c>
      <c r="AI24" s="33"/>
      <c r="AJ24" s="36" t="str">
        <f>IF((ISERROR((AI24/$H24)*100)), "", IF(AND(NOT(ISERROR((AI24/$H24)*100)),((AI24/$H24)*100) &lt;&gt; 0), (AI24/$H24)*100, ""))</f>
        <v/>
      </c>
      <c r="AK24" s="33"/>
      <c r="AL24" s="36" t="str">
        <f>IF((ISERROR((AK24/$H24)*100)), "", IF(AND(NOT(ISERROR((AK24/$H24)*100)),((AK24/$H24)*100) &lt;&gt; 0), (AK24/$H24)*100, ""))</f>
        <v/>
      </c>
      <c r="AM24" s="33"/>
      <c r="AN24" s="36" t="str">
        <f>IF((ISERROR((AM24/$H24)*100)), "", IF(AND(NOT(ISERROR((AM24/$H24)*100)),((AM24/$H24)*100) &lt;&gt; 0), (AM24/$H24)*100, ""))</f>
        <v/>
      </c>
      <c r="AO24" s="33"/>
      <c r="AP24" s="36" t="str">
        <f>IF((ISERROR((AO24/$H24)*100)), "", IF(AND(NOT(ISERROR((AO24/$H24)*100)),((AO24/$H24)*100) &lt;&gt; 0), (AO24/$H24)*100, ""))</f>
        <v/>
      </c>
      <c r="AQ24" s="33"/>
      <c r="AR24" s="36" t="str">
        <f>IF((ISERROR((AQ24/$H24)*100)), "", IF(AND(NOT(ISERROR((AQ24/$H24)*100)),((AQ24/$H24)*100) &lt;&gt; 0), (AQ24/$H24)*100, ""))</f>
        <v/>
      </c>
      <c r="AS24" s="33"/>
      <c r="AT24" s="36" t="str">
        <f>IF((ISERROR((AS24/$H24)*100)), "", IF(AND(NOT(ISERROR((AS24/$H24)*100)),((AS24/$H24)*100) &lt;&gt; 0), (AS24/$H24)*100, ""))</f>
        <v/>
      </c>
      <c r="AU24" s="33"/>
      <c r="AV24" s="36" t="str">
        <f>IF((ISERROR((AU24/$H24)*100)), "", IF(AND(NOT(ISERROR((AU24/$H24)*100)),((AU24/$H24)*100) &lt;&gt; 0), (AU24/$H24)*100, ""))</f>
        <v/>
      </c>
      <c r="AW24" s="76"/>
      <c r="AX24" s="36" t="str">
        <f>IF((ISERROR((AW24/$H24)*100)), "", IF(AND(NOT(ISERROR((AW24/$H24)*100)),((AW24/$H24)*100) &lt;&gt; 0), (AW24/$H24)*100, ""))</f>
        <v/>
      </c>
      <c r="AY24" s="76"/>
      <c r="AZ24" s="36" t="str">
        <f>IF((ISERROR((AY24/$H24)*100)), "", IF(AND(NOT(ISERROR((AY24/$H24)*100)),((AY24/$H24)*100) &lt;&gt; 0), (AY24/$H24)*100, ""))</f>
        <v/>
      </c>
      <c r="BA24" s="23" t="s">
        <v>200</v>
      </c>
    </row>
    <row r="25" spans="1:53" ht="20" customHeight="1" x14ac:dyDescent="0.2">
      <c r="A25" s="60"/>
      <c r="B25" s="83"/>
      <c r="C25" s="24" t="s">
        <v>85</v>
      </c>
      <c r="D25" s="23" t="s">
        <v>287</v>
      </c>
      <c r="E25" s="23" t="s">
        <v>288</v>
      </c>
      <c r="F25" s="24">
        <v>2015</v>
      </c>
      <c r="H25" s="89">
        <v>10</v>
      </c>
      <c r="I25" s="85" t="s">
        <v>345</v>
      </c>
      <c r="J25" s="86" t="s">
        <v>356</v>
      </c>
      <c r="K25" s="33"/>
      <c r="L25" s="36" t="str">
        <f>IF((ISERROR((K25/$H25)*100)), "", IF(AND(NOT(ISERROR((K25/$H25)*100)),((K25/$H25)*100) &lt;&gt; 0), (K25/$H25)*100, ""))</f>
        <v/>
      </c>
      <c r="M25" s="33"/>
      <c r="N25" s="36" t="str">
        <f>IF((ISERROR((M25/$H25)*100)), "", IF(AND(NOT(ISERROR((M25/$H25)*100)),((M25/$H25)*100) &lt;&gt; 0), (M25/$H25)*100, ""))</f>
        <v/>
      </c>
      <c r="O25" s="33"/>
      <c r="P25" s="36" t="str">
        <f>IF((ISERROR((O25/$H25)*100)), "", IF(AND(NOT(ISERROR((O25/$H25)*100)),((O25/$H25)*100) &lt;&gt; 0), (O25/$H25)*100, ""))</f>
        <v/>
      </c>
      <c r="Q25" s="33"/>
      <c r="R25" s="36" t="str">
        <f>IF((ISERROR((Q25/$H25)*100)), "", IF(AND(NOT(ISERROR((Q25/$H25)*100)),((Q25/$H25)*100) &lt;&gt; 0), (Q25/$H25)*100, ""))</f>
        <v/>
      </c>
      <c r="S25" s="33"/>
      <c r="T25" s="36" t="str">
        <f>IF((ISERROR((S25/$H25)*100)), "", IF(AND(NOT(ISERROR((S25/$H25)*100)),((S25/$H25)*100) &lt;&gt; 0), (S25/$H25)*100, ""))</f>
        <v/>
      </c>
      <c r="U25" s="33"/>
      <c r="V25" s="36" t="str">
        <f>IF((ISERROR((U25/$H25)*100)), "", IF(AND(NOT(ISERROR((U25/$H25)*100)),((U25/$H25)*100) &lt;&gt; 0), (U25/$H25)*100, ""))</f>
        <v/>
      </c>
      <c r="W25" s="33"/>
      <c r="X25" s="36" t="str">
        <f>IF((ISERROR((W25/$H25)*100)), "", IF(AND(NOT(ISERROR((W25/$H25)*100)),((W25/$H25)*100) &lt;&gt; 0), (W25/$H25)*100, ""))</f>
        <v/>
      </c>
      <c r="Y25" s="33"/>
      <c r="Z25" s="36" t="str">
        <f>IF((ISERROR((Y25/$H25)*100)), "", IF(AND(NOT(ISERROR((Y25/$H25)*100)),((Y25/$H25)*100) &lt;&gt; 0), (Y25/$H25)*100, ""))</f>
        <v/>
      </c>
      <c r="AA25" s="33"/>
      <c r="AB25" s="36" t="str">
        <f>IF((ISERROR((AA25/$H25)*100)), "", IF(AND(NOT(ISERROR((AA25/$H25)*100)),((AA25/$H25)*100) &lt;&gt; 0), (AA25/$H25)*100, ""))</f>
        <v/>
      </c>
      <c r="AC25" s="33"/>
      <c r="AD25" s="36" t="str">
        <f>IF((ISERROR((AC25/$H25)*100)), "", IF(AND(NOT(ISERROR((AC25/$H25)*100)),((AC25/$H25)*100) &lt;&gt; 0), (AC25/$H25)*100, ""))</f>
        <v/>
      </c>
      <c r="AE25" s="33"/>
      <c r="AF25" s="36" t="str">
        <f>IF((ISERROR((AE25/$H25)*100)), "", IF(AND(NOT(ISERROR((AE25/$H25)*100)),((AE25/$H25)*100) &lt;&gt; 0), (AE25/$H25)*100, ""))</f>
        <v/>
      </c>
      <c r="AG25" s="33"/>
      <c r="AH25" s="36" t="str">
        <f>IF((ISERROR((AG25/$H25)*100)), "", IF(AND(NOT(ISERROR((AG25/$H25)*100)),((AG25/$H25)*100) &lt;&gt; 0), (AG25/$H25)*100, ""))</f>
        <v/>
      </c>
      <c r="AI25" s="33"/>
      <c r="AJ25" s="36" t="str">
        <f>IF((ISERROR((AI25/$H25)*100)), "", IF(AND(NOT(ISERROR((AI25/$H25)*100)),((AI25/$H25)*100) &lt;&gt; 0), (AI25/$H25)*100, ""))</f>
        <v/>
      </c>
      <c r="AK25" s="33"/>
      <c r="AL25" s="36" t="str">
        <f>IF((ISERROR((AK25/$H25)*100)), "", IF(AND(NOT(ISERROR((AK25/$H25)*100)),((AK25/$H25)*100) &lt;&gt; 0), (AK25/$H25)*100, ""))</f>
        <v/>
      </c>
      <c r="AM25" s="33"/>
      <c r="AN25" s="36" t="str">
        <f>IF((ISERROR((AM25/$H25)*100)), "", IF(AND(NOT(ISERROR((AM25/$H25)*100)),((AM25/$H25)*100) &lt;&gt; 0), (AM25/$H25)*100, ""))</f>
        <v/>
      </c>
      <c r="AO25" s="33"/>
      <c r="AP25" s="36" t="str">
        <f>IF((ISERROR((AO25/$H25)*100)), "", IF(AND(NOT(ISERROR((AO25/$H25)*100)),((AO25/$H25)*100) &lt;&gt; 0), (AO25/$H25)*100, ""))</f>
        <v/>
      </c>
      <c r="AQ25" s="33"/>
      <c r="AR25" s="36" t="str">
        <f>IF((ISERROR((AQ25/$H25)*100)), "", IF(AND(NOT(ISERROR((AQ25/$H25)*100)),((AQ25/$H25)*100) &lt;&gt; 0), (AQ25/$H25)*100, ""))</f>
        <v/>
      </c>
      <c r="AS25" s="33"/>
      <c r="AT25" s="36" t="str">
        <f>IF((ISERROR((AS25/$H25)*100)), "", IF(AND(NOT(ISERROR((AS25/$H25)*100)),((AS25/$H25)*100) &lt;&gt; 0), (AS25/$H25)*100, ""))</f>
        <v/>
      </c>
      <c r="AU25" s="33"/>
      <c r="AV25" s="36" t="str">
        <f>IF((ISERROR((AU25/$H25)*100)), "", IF(AND(NOT(ISERROR((AU25/$H25)*100)),((AU25/$H25)*100) &lt;&gt; 0), (AU25/$H25)*100, ""))</f>
        <v/>
      </c>
      <c r="AW25" s="30"/>
      <c r="AX25" s="36" t="str">
        <f>IF((ISERROR((AW25/$H25)*100)), "", IF(AND(NOT(ISERROR((AW25/$H25)*100)),((AW25/$H25)*100) &lt;&gt; 0), (AW25/$H25)*100, ""))</f>
        <v/>
      </c>
      <c r="AY25" s="59"/>
      <c r="AZ25" s="36" t="str">
        <f>IF((ISERROR((AY25/$H25)*100)), "", IF(AND(NOT(ISERROR((AY25/$H25)*100)),((AY25/$H25)*100) &lt;&gt; 0), (AY25/$H25)*100, ""))</f>
        <v/>
      </c>
    </row>
    <row r="26" spans="1:53" ht="20" customHeight="1" x14ac:dyDescent="0.2">
      <c r="A26" s="61"/>
      <c r="B26" s="83"/>
      <c r="C26" s="24" t="s">
        <v>85</v>
      </c>
      <c r="D26" s="23" t="s">
        <v>89</v>
      </c>
      <c r="E26" s="23" t="s">
        <v>90</v>
      </c>
      <c r="F26" s="24">
        <v>2000</v>
      </c>
      <c r="G26" s="24">
        <v>79</v>
      </c>
      <c r="H26" s="89">
        <v>10</v>
      </c>
      <c r="I26" s="85" t="s">
        <v>168</v>
      </c>
      <c r="J26" s="86"/>
      <c r="K26" s="33"/>
      <c r="L26" s="142" t="str">
        <f>IF((ISERROR((K26/$H26)*100)), "", IF(AND(NOT(ISERROR((K26/$H26)*100)),((K26/$H26)*100) &lt;&gt; 0), (K26/$H26)*100, ""))</f>
        <v/>
      </c>
      <c r="M26" s="33"/>
      <c r="N26" s="36" t="str">
        <f>IF((ISERROR((M26/$H26)*100)), "", IF(AND(NOT(ISERROR((M26/$H26)*100)),((M26/$H26)*100) &lt;&gt; 0), (M26/$H26)*100, ""))</f>
        <v/>
      </c>
      <c r="O26" s="33"/>
      <c r="P26" s="36" t="str">
        <f>IF((ISERROR((O26/$H26)*100)), "", IF(AND(NOT(ISERROR((O26/$H26)*100)),((O26/$H26)*100) &lt;&gt; 0), (O26/$H26)*100, ""))</f>
        <v/>
      </c>
      <c r="Q26" s="33"/>
      <c r="R26" s="36" t="str">
        <f>IF((ISERROR((Q26/$H26)*100)), "", IF(AND(NOT(ISERROR((Q26/$H26)*100)),((Q26/$H26)*100) &lt;&gt; 0), (Q26/$H26)*100, ""))</f>
        <v/>
      </c>
      <c r="S26" s="33"/>
      <c r="T26" s="36" t="str">
        <f>IF((ISERROR((S26/$H26)*100)), "", IF(AND(NOT(ISERROR((S26/$H26)*100)),((S26/$H26)*100) &lt;&gt; 0), (S26/$H26)*100, ""))</f>
        <v/>
      </c>
      <c r="U26" s="33"/>
      <c r="V26" s="36" t="str">
        <f>IF((ISERROR((U26/$H26)*100)), "", IF(AND(NOT(ISERROR((U26/$H26)*100)),((U26/$H26)*100) &lt;&gt; 0), (U26/$H26)*100, ""))</f>
        <v/>
      </c>
      <c r="W26" s="33"/>
      <c r="X26" s="142" t="str">
        <f>IF((ISERROR((W26/$H26)*100)), "", IF(AND(NOT(ISERROR((W26/$H26)*100)),((W26/$H26)*100) &lt;&gt; 0), (W26/$H26)*100, ""))</f>
        <v/>
      </c>
      <c r="Y26" s="33"/>
      <c r="Z26" s="36" t="str">
        <f>IF((ISERROR((Y26/$H26)*100)), "", IF(AND(NOT(ISERROR((Y26/$H26)*100)),((Y26/$H26)*100) &lt;&gt; 0), (Y26/$H26)*100, ""))</f>
        <v/>
      </c>
      <c r="AA26" s="33"/>
      <c r="AB26" s="36" t="str">
        <f>IF((ISERROR((AA26/$H26)*100)), "", IF(AND(NOT(ISERROR((AA26/$H26)*100)),((AA26/$H26)*100) &lt;&gt; 0), (AA26/$H26)*100, ""))</f>
        <v/>
      </c>
      <c r="AC26" s="33"/>
      <c r="AD26" s="36" t="str">
        <f>IF((ISERROR((AC26/$H26)*100)), "", IF(AND(NOT(ISERROR((AC26/$H26)*100)),((AC26/$H26)*100) &lt;&gt; 0), (AC26/$H26)*100, ""))</f>
        <v/>
      </c>
      <c r="AE26" s="33"/>
      <c r="AF26" s="36" t="str">
        <f>IF((ISERROR((AE26/$H26)*100)), "", IF(AND(NOT(ISERROR((AE26/$H26)*100)),((AE26/$H26)*100) &lt;&gt; 0), (AE26/$H26)*100, ""))</f>
        <v/>
      </c>
      <c r="AG26" s="33"/>
      <c r="AH26" s="36" t="str">
        <f>IF((ISERROR((AG26/$H26)*100)), "", IF(AND(NOT(ISERROR((AG26/$H26)*100)),((AG26/$H26)*100) &lt;&gt; 0), (AG26/$H26)*100, ""))</f>
        <v/>
      </c>
      <c r="AI26" s="33"/>
      <c r="AJ26" s="36" t="str">
        <f>IF((ISERROR((AI26/$H26)*100)), "", IF(AND(NOT(ISERROR((AI26/$H26)*100)),((AI26/$H26)*100) &lt;&gt; 0), (AI26/$H26)*100, ""))</f>
        <v/>
      </c>
      <c r="AK26" s="33"/>
      <c r="AL26" s="36" t="str">
        <f>IF((ISERROR((AK26/$H26)*100)), "", IF(AND(NOT(ISERROR((AK26/$H26)*100)),((AK26/$H26)*100) &lt;&gt; 0), (AK26/$H26)*100, ""))</f>
        <v/>
      </c>
      <c r="AM26" s="33"/>
      <c r="AN26" s="36" t="str">
        <f>IF((ISERROR((AM26/$H26)*100)), "", IF(AND(NOT(ISERROR((AM26/$H26)*100)),((AM26/$H26)*100) &lt;&gt; 0), (AM26/$H26)*100, ""))</f>
        <v/>
      </c>
      <c r="AO26" s="33"/>
      <c r="AP26" s="36" t="str">
        <f>IF((ISERROR((AO26/$H26)*100)), "", IF(AND(NOT(ISERROR((AO26/$H26)*100)),((AO26/$H26)*100) &lt;&gt; 0), (AO26/$H26)*100, ""))</f>
        <v/>
      </c>
      <c r="AQ26" s="33"/>
      <c r="AR26" s="36" t="str">
        <f>IF((ISERROR((AQ26/$H26)*100)), "", IF(AND(NOT(ISERROR((AQ26/$H26)*100)),((AQ26/$H26)*100) &lt;&gt; 0), (AQ26/$H26)*100, ""))</f>
        <v/>
      </c>
      <c r="AS26" s="33"/>
      <c r="AT26" s="36" t="str">
        <f>IF((ISERROR((AS26/$H26)*100)), "", IF(AND(NOT(ISERROR((AS26/$H26)*100)),((AS26/$H26)*100) &lt;&gt; 0), (AS26/$H26)*100, ""))</f>
        <v/>
      </c>
      <c r="AU26" s="33"/>
      <c r="AV26" s="36" t="str">
        <f>IF((ISERROR((AU26/$H26)*100)), "", IF(AND(NOT(ISERROR((AU26/$H26)*100)),((AU26/$H26)*100) &lt;&gt; 0), (AU26/$H26)*100, ""))</f>
        <v/>
      </c>
      <c r="AW26" s="76"/>
      <c r="AX26" s="36" t="str">
        <f>IF((ISERROR((AW26/$H26)*100)), "", IF(AND(NOT(ISERROR((AW26/$H26)*100)),((AW26/$H26)*100) &lt;&gt; 0), (AW26/$H26)*100, ""))</f>
        <v/>
      </c>
      <c r="AY26" s="76"/>
      <c r="AZ26" s="36" t="str">
        <f>IF((ISERROR((AY26/$H26)*100)), "", IF(AND(NOT(ISERROR((AY26/$H26)*100)),((AY26/$H26)*100) &lt;&gt; 0), (AY26/$H26)*100, ""))</f>
        <v/>
      </c>
      <c r="BA26" s="23" t="s">
        <v>200</v>
      </c>
    </row>
    <row r="27" spans="1:53" ht="20" customHeight="1" x14ac:dyDescent="0.2">
      <c r="A27" s="60"/>
      <c r="B27" s="24"/>
      <c r="C27" s="24" t="s">
        <v>85</v>
      </c>
      <c r="D27" s="23" t="s">
        <v>293</v>
      </c>
      <c r="E27" s="23" t="s">
        <v>294</v>
      </c>
      <c r="F27" s="24">
        <v>2006</v>
      </c>
      <c r="H27" s="89">
        <v>10</v>
      </c>
      <c r="I27" s="85" t="s">
        <v>361</v>
      </c>
      <c r="J27" s="86" t="s">
        <v>169</v>
      </c>
      <c r="K27" s="33"/>
      <c r="L27" s="36" t="str">
        <f>IF((ISERROR((K27/$H27)*100)), "", IF(AND(NOT(ISERROR((K27/$H27)*100)),((K27/$H27)*100) &lt;&gt; 0), (K27/$H27)*100, ""))</f>
        <v/>
      </c>
      <c r="M27" s="33"/>
      <c r="N27" s="36" t="str">
        <f>IF((ISERROR((M27/$H27)*100)), "", IF(AND(NOT(ISERROR((M27/$H27)*100)),((M27/$H27)*100) &lt;&gt; 0), (M27/$H27)*100, ""))</f>
        <v/>
      </c>
      <c r="O27" s="33"/>
      <c r="P27" s="36" t="str">
        <f>IF((ISERROR((O27/$H27)*100)), "", IF(AND(NOT(ISERROR((O27/$H27)*100)),((O27/$H27)*100) &lt;&gt; 0), (O27/$H27)*100, ""))</f>
        <v/>
      </c>
      <c r="Q27" s="33"/>
      <c r="R27" s="36" t="str">
        <f>IF((ISERROR((Q27/$H27)*100)), "", IF(AND(NOT(ISERROR((Q27/$H27)*100)),((Q27/$H27)*100) &lt;&gt; 0), (Q27/$H27)*100, ""))</f>
        <v/>
      </c>
      <c r="S27" s="33"/>
      <c r="T27" s="36" t="str">
        <f>IF((ISERROR((S27/$H27)*100)), "", IF(AND(NOT(ISERROR((S27/$H27)*100)),((S27/$H27)*100) &lt;&gt; 0), (S27/$H27)*100, ""))</f>
        <v/>
      </c>
      <c r="U27" s="38"/>
      <c r="V27" s="39" t="str">
        <f>IF((ISERROR((U27/$H27)*100)), "", IF(AND(NOT(ISERROR((U27/$H27)*100)),((U27/$H27)*100) &lt;&gt; 0), (U27/$H27)*100, ""))</f>
        <v/>
      </c>
      <c r="W27" s="33"/>
      <c r="X27" s="36" t="str">
        <f>IF((ISERROR((W27/$H27)*100)), "", IF(AND(NOT(ISERROR((W27/$H27)*100)),((W27/$H27)*100) &lt;&gt; 0), (W27/$H27)*100, ""))</f>
        <v/>
      </c>
      <c r="Y27" s="33"/>
      <c r="Z27" s="36" t="str">
        <f>IF((ISERROR((Y27/$H27)*100)), "", IF(AND(NOT(ISERROR((Y27/$H27)*100)),((Y27/$H27)*100) &lt;&gt; 0), (Y27/$H27)*100, ""))</f>
        <v/>
      </c>
      <c r="AA27" s="33"/>
      <c r="AB27" s="36" t="str">
        <f>IF((ISERROR((AA27/$H27)*100)), "", IF(AND(NOT(ISERROR((AA27/$H27)*100)),((AA27/$H27)*100) &lt;&gt; 0), (AA27/$H27)*100, ""))</f>
        <v/>
      </c>
      <c r="AC27" s="33"/>
      <c r="AD27" s="36" t="str">
        <f>IF((ISERROR((AC27/$H27)*100)), "", IF(AND(NOT(ISERROR((AC27/$H27)*100)),((AC27/$H27)*100) &lt;&gt; 0), (AC27/$H27)*100, ""))</f>
        <v/>
      </c>
      <c r="AE27" s="33"/>
      <c r="AF27" s="36" t="str">
        <f>IF((ISERROR((AE27/$H27)*100)), "", IF(AND(NOT(ISERROR((AE27/$H27)*100)),((AE27/$H27)*100) &lt;&gt; 0), (AE27/$H27)*100, ""))</f>
        <v/>
      </c>
      <c r="AG27" s="33"/>
      <c r="AH27" s="36" t="str">
        <f>IF((ISERROR((AG27/$H27)*100)), "", IF(AND(NOT(ISERROR((AG27/$H27)*100)),((AG27/$H27)*100) &lt;&gt; 0), (AG27/$H27)*100, ""))</f>
        <v/>
      </c>
      <c r="AI27" s="33"/>
      <c r="AJ27" s="36" t="str">
        <f>IF((ISERROR((AI27/$H27)*100)), "", IF(AND(NOT(ISERROR((AI27/$H27)*100)),((AI27/$H27)*100) &lt;&gt; 0), (AI27/$H27)*100, ""))</f>
        <v/>
      </c>
      <c r="AK27" s="33"/>
      <c r="AL27" s="36" t="str">
        <f>IF((ISERROR((AK27/$H27)*100)), "", IF(AND(NOT(ISERROR((AK27/$H27)*100)),((AK27/$H27)*100) &lt;&gt; 0), (AK27/$H27)*100, ""))</f>
        <v/>
      </c>
      <c r="AM27" s="33"/>
      <c r="AN27" s="36" t="str">
        <f>IF((ISERROR((AM27/$H27)*100)), "", IF(AND(NOT(ISERROR((AM27/$H27)*100)),((AM27/$H27)*100) &lt;&gt; 0), (AM27/$H27)*100, ""))</f>
        <v/>
      </c>
      <c r="AO27" s="33"/>
      <c r="AP27" s="36" t="str">
        <f>IF((ISERROR((AO27/$H27)*100)), "", IF(AND(NOT(ISERROR((AO27/$H27)*100)),((AO27/$H27)*100) &lt;&gt; 0), (AO27/$H27)*100, ""))</f>
        <v/>
      </c>
      <c r="AQ27" s="33"/>
      <c r="AR27" s="36" t="str">
        <f>IF((ISERROR((AQ27/$H27)*100)), "", IF(AND(NOT(ISERROR((AQ27/$H27)*100)),((AQ27/$H27)*100) &lt;&gt; 0), (AQ27/$H27)*100, ""))</f>
        <v/>
      </c>
      <c r="AS27" s="33"/>
      <c r="AT27" s="36" t="str">
        <f>IF((ISERROR((AS27/$H27)*100)), "", IF(AND(NOT(ISERROR((AS27/$H27)*100)),((AS27/$H27)*100) &lt;&gt; 0), (AS27/$H27)*100, ""))</f>
        <v/>
      </c>
      <c r="AU27" s="33"/>
      <c r="AV27" s="36" t="str">
        <f>IF((ISERROR((AU27/$H27)*100)), "", IF(AND(NOT(ISERROR((AU27/$H27)*100)),((AU27/$H27)*100) &lt;&gt; 0), (AU27/$H27)*100, ""))</f>
        <v/>
      </c>
      <c r="AW27" s="76"/>
      <c r="AX27" s="36" t="str">
        <f>IF((ISERROR((AW27/$H27)*100)), "", IF(AND(NOT(ISERROR((AW27/$H27)*100)),((AW27/$H27)*100) &lt;&gt; 0), (AW27/$H27)*100, ""))</f>
        <v/>
      </c>
      <c r="AY27" s="76"/>
      <c r="AZ27" s="36" t="str">
        <f>IF((ISERROR((AY27/$H27)*100)), "", IF(AND(NOT(ISERROR((AY27/$H27)*100)),((AY27/$H27)*100) &lt;&gt; 0), (AY27/$H27)*100, ""))</f>
        <v/>
      </c>
      <c r="BA27" s="23" t="s">
        <v>362</v>
      </c>
    </row>
    <row r="28" spans="1:53" ht="20" customHeight="1" x14ac:dyDescent="0.2">
      <c r="A28" s="60"/>
      <c r="B28" s="82"/>
      <c r="C28" s="24" t="s">
        <v>85</v>
      </c>
      <c r="D28" s="23" t="s">
        <v>79</v>
      </c>
      <c r="E28" s="23" t="s">
        <v>80</v>
      </c>
      <c r="F28" s="24">
        <v>2015</v>
      </c>
      <c r="G28" s="24">
        <v>10</v>
      </c>
      <c r="H28" s="89">
        <v>11</v>
      </c>
      <c r="I28" s="85" t="s">
        <v>195</v>
      </c>
      <c r="J28" s="86" t="s">
        <v>169</v>
      </c>
      <c r="K28" s="38">
        <v>1</v>
      </c>
      <c r="L28" s="39">
        <f>IF((ISERROR((K28/$H28)*100)), "", IF(AND(NOT(ISERROR((K28/$H28)*100)),((K28/$H28)*100) &lt;&gt; 0), (K28/$H28)*100, ""))</f>
        <v>9.0909090909090917</v>
      </c>
      <c r="M28" s="33"/>
      <c r="N28" s="36" t="str">
        <f>IF((ISERROR((M28/$H28)*100)), "", IF(AND(NOT(ISERROR((M28/$H28)*100)),((M28/$H28)*100) &lt;&gt; 0), (M28/$H28)*100, ""))</f>
        <v/>
      </c>
      <c r="O28" s="33"/>
      <c r="P28" s="36" t="str">
        <f>IF((ISERROR((O28/$H28)*100)), "", IF(AND(NOT(ISERROR((O28/$H28)*100)),((O28/$H28)*100) &lt;&gt; 0), (O28/$H28)*100, ""))</f>
        <v/>
      </c>
      <c r="Q28" s="33"/>
      <c r="R28" s="36" t="str">
        <f>IF((ISERROR((Q28/$H28)*100)), "", IF(AND(NOT(ISERROR((Q28/$H28)*100)),((Q28/$H28)*100) &lt;&gt; 0), (Q28/$H28)*100, ""))</f>
        <v/>
      </c>
      <c r="S28" s="33"/>
      <c r="T28" s="36" t="str">
        <f>IF((ISERROR((S28/$H28)*100)), "", IF(AND(NOT(ISERROR((S28/$H28)*100)),((S28/$H28)*100) &lt;&gt; 0), (S28/$H28)*100, ""))</f>
        <v/>
      </c>
      <c r="U28" s="33"/>
      <c r="V28" s="36" t="str">
        <f>IF((ISERROR((U28/$H28)*100)), "", IF(AND(NOT(ISERROR((U28/$H28)*100)),((U28/$H28)*100) &lt;&gt; 0), (U28/$H28)*100, ""))</f>
        <v/>
      </c>
      <c r="W28" s="33"/>
      <c r="X28" s="36" t="str">
        <f>IF((ISERROR((W28/$H28)*100)), "", IF(AND(NOT(ISERROR((W28/$H28)*100)),((W28/$H28)*100) &lt;&gt; 0), (W28/$H28)*100, ""))</f>
        <v/>
      </c>
      <c r="Y28" s="33"/>
      <c r="Z28" s="36" t="str">
        <f>IF((ISERROR((Y28/$H28)*100)), "", IF(AND(NOT(ISERROR((Y28/$H28)*100)),((Y28/$H28)*100) &lt;&gt; 0), (Y28/$H28)*100, ""))</f>
        <v/>
      </c>
      <c r="AA28" s="33"/>
      <c r="AB28" s="36" t="str">
        <f>IF((ISERROR((AA28/$H28)*100)), "", IF(AND(NOT(ISERROR((AA28/$H28)*100)),((AA28/$H28)*100) &lt;&gt; 0), (AA28/$H28)*100, ""))</f>
        <v/>
      </c>
      <c r="AC28" s="33"/>
      <c r="AD28" s="36" t="str">
        <f>IF((ISERROR((AC28/$H28)*100)), "", IF(AND(NOT(ISERROR((AC28/$H28)*100)),((AC28/$H28)*100) &lt;&gt; 0), (AC28/$H28)*100, ""))</f>
        <v/>
      </c>
      <c r="AE28" s="33"/>
      <c r="AF28" s="36" t="str">
        <f>IF((ISERROR((AE28/$H28)*100)), "", IF(AND(NOT(ISERROR((AE28/$H28)*100)),((AE28/$H28)*100) &lt;&gt; 0), (AE28/$H28)*100, ""))</f>
        <v/>
      </c>
      <c r="AG28" s="33"/>
      <c r="AH28" s="36" t="str">
        <f>IF((ISERROR((AG28/$H28)*100)), "", IF(AND(NOT(ISERROR((AG28/$H28)*100)),((AG28/$H28)*100) &lt;&gt; 0), (AG28/$H28)*100, ""))</f>
        <v/>
      </c>
      <c r="AI28" s="33"/>
      <c r="AJ28" s="36" t="str">
        <f>IF((ISERROR((AI28/$H28)*100)), "", IF(AND(NOT(ISERROR((AI28/$H28)*100)),((AI28/$H28)*100) &lt;&gt; 0), (AI28/$H28)*100, ""))</f>
        <v/>
      </c>
      <c r="AK28" s="33"/>
      <c r="AL28" s="36" t="str">
        <f>IF((ISERROR((AK28/$H28)*100)), "", IF(AND(NOT(ISERROR((AK28/$H28)*100)),((AK28/$H28)*100) &lt;&gt; 0), (AK28/$H28)*100, ""))</f>
        <v/>
      </c>
      <c r="AM28" s="33"/>
      <c r="AN28" s="36" t="str">
        <f>IF((ISERROR((AM28/$H28)*100)), "", IF(AND(NOT(ISERROR((AM28/$H28)*100)),((AM28/$H28)*100) &lt;&gt; 0), (AM28/$H28)*100, ""))</f>
        <v/>
      </c>
      <c r="AO28" s="33"/>
      <c r="AP28" s="36" t="str">
        <f>IF((ISERROR((AO28/$H28)*100)), "", IF(AND(NOT(ISERROR((AO28/$H28)*100)),((AO28/$H28)*100) &lt;&gt; 0), (AO28/$H28)*100, ""))</f>
        <v/>
      </c>
      <c r="AQ28" s="33"/>
      <c r="AR28" s="36" t="str">
        <f>IF((ISERROR((AQ28/$H28)*100)), "", IF(AND(NOT(ISERROR((AQ28/$H28)*100)),((AQ28/$H28)*100) &lt;&gt; 0), (AQ28/$H28)*100, ""))</f>
        <v/>
      </c>
      <c r="AS28" s="33"/>
      <c r="AT28" s="36" t="str">
        <f>IF((ISERROR((AS28/$H28)*100)), "", IF(AND(NOT(ISERROR((AS28/$H28)*100)),((AS28/$H28)*100) &lt;&gt; 0), (AS28/$H28)*100, ""))</f>
        <v/>
      </c>
      <c r="AU28" s="33"/>
      <c r="AV28" s="36" t="str">
        <f>IF((ISERROR((AU28/$H28)*100)), "", IF(AND(NOT(ISERROR((AU28/$H28)*100)),((AU28/$H28)*100) &lt;&gt; 0), (AU28/$H28)*100, ""))</f>
        <v/>
      </c>
      <c r="AW28" s="76"/>
      <c r="AX28" s="36" t="str">
        <f>IF((ISERROR((AW28/$H28)*100)), "", IF(AND(NOT(ISERROR((AW28/$H28)*100)),((AW28/$H28)*100) &lt;&gt; 0), (AW28/$H28)*100, ""))</f>
        <v/>
      </c>
      <c r="AY28" s="76">
        <v>3</v>
      </c>
      <c r="AZ28" s="36">
        <f>IF((ISERROR((AY28/$H28)*100)), "", IF(AND(NOT(ISERROR((AY28/$H28)*100)),((AY28/$H28)*100) &lt;&gt; 0), (AY28/$H28)*100, ""))</f>
        <v>27.27272727272727</v>
      </c>
      <c r="BA28" s="23" t="s">
        <v>194</v>
      </c>
    </row>
    <row r="29" spans="1:53" ht="20" customHeight="1" x14ac:dyDescent="0.2">
      <c r="A29" s="61"/>
      <c r="B29" s="83"/>
      <c r="C29" s="24" t="s">
        <v>85</v>
      </c>
      <c r="D29" s="23" t="s">
        <v>251</v>
      </c>
      <c r="E29" s="23" t="s">
        <v>252</v>
      </c>
      <c r="F29" s="24">
        <v>2016</v>
      </c>
      <c r="G29"/>
      <c r="H29" s="89">
        <v>12</v>
      </c>
      <c r="I29" s="85" t="s">
        <v>332</v>
      </c>
      <c r="J29" s="86"/>
      <c r="K29" s="33"/>
      <c r="L29" s="36" t="str">
        <f>IF((ISERROR((K29/$H29)*100)), "", IF(AND(NOT(ISERROR((K29/$H29)*100)),((K29/$H29)*100) &lt;&gt; 0), (K29/$H29)*100, ""))</f>
        <v/>
      </c>
      <c r="M29" s="33"/>
      <c r="N29" s="36" t="str">
        <f>IF((ISERROR((M29/$H29)*100)), "", IF(AND(NOT(ISERROR((M29/$H29)*100)),((M29/$H29)*100) &lt;&gt; 0), (M29/$H29)*100, ""))</f>
        <v/>
      </c>
      <c r="O29" s="33"/>
      <c r="P29" s="36" t="str">
        <f>IF((ISERROR((O29/$H29)*100)), "", IF(AND(NOT(ISERROR((O29/$H29)*100)),((O29/$H29)*100) &lt;&gt; 0), (O29/$H29)*100, ""))</f>
        <v/>
      </c>
      <c r="Q29" s="33"/>
      <c r="R29" s="36" t="str">
        <f>IF((ISERROR((Q29/$H29)*100)), "", IF(AND(NOT(ISERROR((Q29/$H29)*100)),((Q29/$H29)*100) &lt;&gt; 0), (Q29/$H29)*100, ""))</f>
        <v/>
      </c>
      <c r="S29" s="33"/>
      <c r="T29" s="36" t="str">
        <f>IF((ISERROR((S29/$H29)*100)), "", IF(AND(NOT(ISERROR((S29/$H29)*100)),((S29/$H29)*100) &lt;&gt; 0), (S29/$H29)*100, ""))</f>
        <v/>
      </c>
      <c r="U29" s="33"/>
      <c r="V29" s="36" t="str">
        <f>IF((ISERROR((U29/$H29)*100)), "", IF(AND(NOT(ISERROR((U29/$H29)*100)),((U29/$H29)*100) &lt;&gt; 0), (U29/$H29)*100, ""))</f>
        <v/>
      </c>
      <c r="W29" s="33"/>
      <c r="X29" s="36" t="str">
        <f>IF((ISERROR((W29/$H29)*100)), "", IF(AND(NOT(ISERROR((W29/$H29)*100)),((W29/$H29)*100) &lt;&gt; 0), (W29/$H29)*100, ""))</f>
        <v/>
      </c>
      <c r="Y29" s="33"/>
      <c r="Z29" s="36" t="str">
        <f>IF((ISERROR((Y29/$H29)*100)), "", IF(AND(NOT(ISERROR((Y29/$H29)*100)),((Y29/$H29)*100) &lt;&gt; 0), (Y29/$H29)*100, ""))</f>
        <v/>
      </c>
      <c r="AA29" s="33"/>
      <c r="AB29" s="36" t="str">
        <f>IF((ISERROR((AA29/$H29)*100)), "", IF(AND(NOT(ISERROR((AA29/$H29)*100)),((AA29/$H29)*100) &lt;&gt; 0), (AA29/$H29)*100, ""))</f>
        <v/>
      </c>
      <c r="AC29" s="33"/>
      <c r="AD29" s="36" t="str">
        <f>IF((ISERROR((AC29/$H29)*100)), "", IF(AND(NOT(ISERROR((AC29/$H29)*100)),((AC29/$H29)*100) &lt;&gt; 0), (AC29/$H29)*100, ""))</f>
        <v/>
      </c>
      <c r="AE29" s="33"/>
      <c r="AF29" s="36" t="str">
        <f>IF((ISERROR((AE29/$H29)*100)), "", IF(AND(NOT(ISERROR((AE29/$H29)*100)),((AE29/$H29)*100) &lt;&gt; 0), (AE29/$H29)*100, ""))</f>
        <v/>
      </c>
      <c r="AG29" s="33"/>
      <c r="AH29" s="36" t="str">
        <f>IF((ISERROR((AG29/$H29)*100)), "", IF(AND(NOT(ISERROR((AG29/$H29)*100)),((AG29/$H29)*100) &lt;&gt; 0), (AG29/$H29)*100, ""))</f>
        <v/>
      </c>
      <c r="AI29" s="33"/>
      <c r="AJ29" s="36" t="str">
        <f>IF((ISERROR((AI29/$H29)*100)), "", IF(AND(NOT(ISERROR((AI29/$H29)*100)),((AI29/$H29)*100) &lt;&gt; 0), (AI29/$H29)*100, ""))</f>
        <v/>
      </c>
      <c r="AK29" s="33"/>
      <c r="AL29" s="36" t="str">
        <f>IF((ISERROR((AK29/$H29)*100)), "", IF(AND(NOT(ISERROR((AK29/$H29)*100)),((AK29/$H29)*100) &lt;&gt; 0), (AK29/$H29)*100, ""))</f>
        <v/>
      </c>
      <c r="AM29" s="33"/>
      <c r="AN29" s="36" t="str">
        <f>IF((ISERROR((AM29/$H29)*100)), "", IF(AND(NOT(ISERROR((AM29/$H29)*100)),((AM29/$H29)*100) &lt;&gt; 0), (AM29/$H29)*100, ""))</f>
        <v/>
      </c>
      <c r="AO29" s="33"/>
      <c r="AP29" s="36" t="str">
        <f>IF((ISERROR((AO29/$H29)*100)), "", IF(AND(NOT(ISERROR((AO29/$H29)*100)),((AO29/$H29)*100) &lt;&gt; 0), (AO29/$H29)*100, ""))</f>
        <v/>
      </c>
      <c r="AQ29" s="33"/>
      <c r="AR29" s="36" t="str">
        <f>IF((ISERROR((AQ29/$H29)*100)), "", IF(AND(NOT(ISERROR((AQ29/$H29)*100)),((AQ29/$H29)*100) &lt;&gt; 0), (AQ29/$H29)*100, ""))</f>
        <v/>
      </c>
      <c r="AS29" s="33"/>
      <c r="AT29" s="36" t="str">
        <f>IF((ISERROR((AS29/$H29)*100)), "", IF(AND(NOT(ISERROR((AS29/$H29)*100)),((AS29/$H29)*100) &lt;&gt; 0), (AS29/$H29)*100, ""))</f>
        <v/>
      </c>
      <c r="AU29" s="33"/>
      <c r="AV29" s="36" t="str">
        <f>IF((ISERROR((AU29/$H29)*100)), "", IF(AND(NOT(ISERROR((AU29/$H29)*100)),((AU29/$H29)*100) &lt;&gt; 0), (AU29/$H29)*100, ""))</f>
        <v/>
      </c>
      <c r="AW29" s="76"/>
      <c r="AX29" s="36" t="str">
        <f>IF((ISERROR((AW29/$H29)*100)), "", IF(AND(NOT(ISERROR((AW29/$H29)*100)),((AW29/$H29)*100) &lt;&gt; 0), (AW29/$H29)*100, ""))</f>
        <v/>
      </c>
      <c r="AY29" s="76"/>
      <c r="AZ29" s="36" t="str">
        <f>IF((ISERROR((AY29/$H29)*100)), "", IF(AND(NOT(ISERROR((AY29/$H29)*100)),((AY29/$H29)*100) &lt;&gt; 0), (AY29/$H29)*100, ""))</f>
        <v/>
      </c>
      <c r="BA29" s="23" t="s">
        <v>333</v>
      </c>
    </row>
    <row r="30" spans="1:53" ht="20" customHeight="1" x14ac:dyDescent="0.2">
      <c r="A30" s="60"/>
      <c r="B30" s="82"/>
      <c r="C30" s="24" t="s">
        <v>85</v>
      </c>
      <c r="D30" s="23" t="s">
        <v>41</v>
      </c>
      <c r="E30" s="23" t="s">
        <v>42</v>
      </c>
      <c r="F30" s="24">
        <v>2004</v>
      </c>
      <c r="G30" s="24">
        <v>79</v>
      </c>
      <c r="H30" s="89">
        <v>12</v>
      </c>
      <c r="I30" s="85" t="s">
        <v>168</v>
      </c>
      <c r="J30" s="86" t="s">
        <v>169</v>
      </c>
      <c r="K30" s="33">
        <v>5</v>
      </c>
      <c r="L30" s="36">
        <f>IF((ISERROR((K30/$H30)*100)), "", IF(AND(NOT(ISERROR((K30/$H30)*100)),((K30/$H30)*100) &lt;&gt; 0), (K30/$H30)*100, ""))</f>
        <v>41.666666666666671</v>
      </c>
      <c r="M30" s="33"/>
      <c r="N30" s="36" t="str">
        <f>IF((ISERROR((M30/$H30)*100)), "", IF(AND(NOT(ISERROR((M30/$H30)*100)),((M30/$H30)*100) &lt;&gt; 0), (M30/$H30)*100, ""))</f>
        <v/>
      </c>
      <c r="O30" s="33"/>
      <c r="P30" s="36" t="str">
        <f>IF((ISERROR((O30/$H30)*100)), "", IF(AND(NOT(ISERROR((O30/$H30)*100)),((O30/$H30)*100) &lt;&gt; 0), (O30/$H30)*100, ""))</f>
        <v/>
      </c>
      <c r="Q30" s="33"/>
      <c r="R30" s="36" t="str">
        <f>IF((ISERROR((Q30/$H30)*100)), "", IF(AND(NOT(ISERROR((Q30/$H30)*100)),((Q30/$H30)*100) &lt;&gt; 0), (Q30/$H30)*100, ""))</f>
        <v/>
      </c>
      <c r="S30" s="33"/>
      <c r="T30" s="36" t="str">
        <f>IF((ISERROR((S30/$H30)*100)), "", IF(AND(NOT(ISERROR((S30/$H30)*100)),((S30/$H30)*100) &lt;&gt; 0), (S30/$H30)*100, ""))</f>
        <v/>
      </c>
      <c r="U30" s="33"/>
      <c r="V30" s="36" t="str">
        <f>IF((ISERROR((U30/$H30)*100)), "", IF(AND(NOT(ISERROR((U30/$H30)*100)),((U30/$H30)*100) &lt;&gt; 0), (U30/$H30)*100, ""))</f>
        <v/>
      </c>
      <c r="W30" s="33"/>
      <c r="X30" s="36" t="str">
        <f>IF((ISERROR((W30/$H30)*100)), "", IF(AND(NOT(ISERROR((W30/$H30)*100)),((W30/$H30)*100) &lt;&gt; 0), (W30/$H30)*100, ""))</f>
        <v/>
      </c>
      <c r="Y30" s="33"/>
      <c r="Z30" s="36" t="str">
        <f>IF((ISERROR((Y30/$H30)*100)), "", IF(AND(NOT(ISERROR((Y30/$H30)*100)),((Y30/$H30)*100) &lt;&gt; 0), (Y30/$H30)*100, ""))</f>
        <v/>
      </c>
      <c r="AA30" s="33"/>
      <c r="AB30" s="36" t="str">
        <f>IF((ISERROR((AA30/$H30)*100)), "", IF(AND(NOT(ISERROR((AA30/$H30)*100)),((AA30/$H30)*100) &lt;&gt; 0), (AA30/$H30)*100, ""))</f>
        <v/>
      </c>
      <c r="AC30" s="33"/>
      <c r="AD30" s="36" t="str">
        <f>IF((ISERROR((AC30/$H30)*100)), "", IF(AND(NOT(ISERROR((AC30/$H30)*100)),((AC30/$H30)*100) &lt;&gt; 0), (AC30/$H30)*100, ""))</f>
        <v/>
      </c>
      <c r="AE30" s="33"/>
      <c r="AF30" s="36" t="str">
        <f>IF((ISERROR((AE30/$H30)*100)), "", IF(AND(NOT(ISERROR((AE30/$H30)*100)),((AE30/$H30)*100) &lt;&gt; 0), (AE30/$H30)*100, ""))</f>
        <v/>
      </c>
      <c r="AG30" s="33"/>
      <c r="AH30" s="36" t="str">
        <f>IF((ISERROR((AG30/$H30)*100)), "", IF(AND(NOT(ISERROR((AG30/$H30)*100)),((AG30/$H30)*100) &lt;&gt; 0), (AG30/$H30)*100, ""))</f>
        <v/>
      </c>
      <c r="AI30" s="33"/>
      <c r="AJ30" s="36" t="str">
        <f>IF((ISERROR((AI30/$H30)*100)), "", IF(AND(NOT(ISERROR((AI30/$H30)*100)),((AI30/$H30)*100) &lt;&gt; 0), (AI30/$H30)*100, ""))</f>
        <v/>
      </c>
      <c r="AK30" s="33"/>
      <c r="AL30" s="36" t="str">
        <f>IF((ISERROR((AK30/$H30)*100)), "", IF(AND(NOT(ISERROR((AK30/$H30)*100)),((AK30/$H30)*100) &lt;&gt; 0), (AK30/$H30)*100, ""))</f>
        <v/>
      </c>
      <c r="AM30" s="33"/>
      <c r="AN30" s="36" t="str">
        <f>IF((ISERROR((AM30/$H30)*100)), "", IF(AND(NOT(ISERROR((AM30/$H30)*100)),((AM30/$H30)*100) &lt;&gt; 0), (AM30/$H30)*100, ""))</f>
        <v/>
      </c>
      <c r="AO30" s="33"/>
      <c r="AP30" s="36" t="str">
        <f>IF((ISERROR((AO30/$H30)*100)), "", IF(AND(NOT(ISERROR((AO30/$H30)*100)),((AO30/$H30)*100) &lt;&gt; 0), (AO30/$H30)*100, ""))</f>
        <v/>
      </c>
      <c r="AQ30" s="33"/>
      <c r="AR30" s="36" t="str">
        <f>IF((ISERROR((AQ30/$H30)*100)), "", IF(AND(NOT(ISERROR((AQ30/$H30)*100)),((AQ30/$H30)*100) &lt;&gt; 0), (AQ30/$H30)*100, ""))</f>
        <v/>
      </c>
      <c r="AS30" s="33"/>
      <c r="AT30" s="36" t="str">
        <f>IF((ISERROR((AS30/$H30)*100)), "", IF(AND(NOT(ISERROR((AS30/$H30)*100)),((AS30/$H30)*100) &lt;&gt; 0), (AS30/$H30)*100, ""))</f>
        <v/>
      </c>
      <c r="AU30" s="33"/>
      <c r="AV30" s="36" t="str">
        <f>IF((ISERROR((AU30/$H30)*100)), "", IF(AND(NOT(ISERROR((AU30/$H30)*100)),((AU30/$H30)*100) &lt;&gt; 0), (AU30/$H30)*100, ""))</f>
        <v/>
      </c>
      <c r="AW30" s="30"/>
      <c r="AX30" s="36" t="str">
        <f>IF((ISERROR((AW30/$H30)*100)), "", IF(AND(NOT(ISERROR((AW30/$H30)*100)),((AW30/$H30)*100) &lt;&gt; 0), (AW30/$H30)*100, ""))</f>
        <v/>
      </c>
      <c r="AY30" s="59"/>
      <c r="AZ30" s="36" t="str">
        <f>IF((ISERROR((AY30/$H30)*100)), "", IF(AND(NOT(ISERROR((AY30/$H30)*100)),((AY30/$H30)*100) &lt;&gt; 0), (AY30/$H30)*100, ""))</f>
        <v/>
      </c>
      <c r="BA30" s="23" t="s">
        <v>170</v>
      </c>
    </row>
    <row r="31" spans="1:53" ht="20" customHeight="1" x14ac:dyDescent="0.2">
      <c r="A31" s="60"/>
      <c r="B31" s="82"/>
      <c r="C31" s="24" t="s">
        <v>85</v>
      </c>
      <c r="D31" s="23" t="s">
        <v>261</v>
      </c>
      <c r="E31" s="23" t="s">
        <v>262</v>
      </c>
      <c r="F31" s="24">
        <v>2013</v>
      </c>
      <c r="H31" s="89">
        <v>12</v>
      </c>
      <c r="I31" s="85" t="s">
        <v>214</v>
      </c>
      <c r="J31" s="86" t="s">
        <v>338</v>
      </c>
      <c r="K31" s="33"/>
      <c r="L31" s="36" t="str">
        <f>IF((ISERROR((K31/$H31)*100)), "", IF(AND(NOT(ISERROR((K31/$H31)*100)),((K31/$H31)*100) &lt;&gt; 0), (K31/$H31)*100, ""))</f>
        <v/>
      </c>
      <c r="M31" s="33"/>
      <c r="N31" s="36" t="str">
        <f>IF((ISERROR((M31/$H31)*100)), "", IF(AND(NOT(ISERROR((M31/$H31)*100)),((M31/$H31)*100) &lt;&gt; 0), (M31/$H31)*100, ""))</f>
        <v/>
      </c>
      <c r="O31" s="33"/>
      <c r="P31" s="36" t="str">
        <f>IF((ISERROR((O31/$H31)*100)), "", IF(AND(NOT(ISERROR((O31/$H31)*100)),((O31/$H31)*100) &lt;&gt; 0), (O31/$H31)*100, ""))</f>
        <v/>
      </c>
      <c r="Q31" s="33"/>
      <c r="R31" s="36" t="str">
        <f>IF((ISERROR((Q31/$H31)*100)), "", IF(AND(NOT(ISERROR((Q31/$H31)*100)),((Q31/$H31)*100) &lt;&gt; 0), (Q31/$H31)*100, ""))</f>
        <v/>
      </c>
      <c r="S31" s="33"/>
      <c r="T31" s="36" t="str">
        <f>IF((ISERROR((S31/$H31)*100)), "", IF(AND(NOT(ISERROR((S31/$H31)*100)),((S31/$H31)*100) &lt;&gt; 0), (S31/$H31)*100, ""))</f>
        <v/>
      </c>
      <c r="U31" s="38"/>
      <c r="V31" s="39" t="str">
        <f>IF((ISERROR((U31/$H31)*100)), "", IF(AND(NOT(ISERROR((U31/$H31)*100)),((U31/$H31)*100) &lt;&gt; 0), (U31/$H31)*100, ""))</f>
        <v/>
      </c>
      <c r="W31" s="33"/>
      <c r="X31" s="36" t="str">
        <f>IF((ISERROR((W31/$H31)*100)), "", IF(AND(NOT(ISERROR((W31/$H31)*100)),((W31/$H31)*100) &lt;&gt; 0), (W31/$H31)*100, ""))</f>
        <v/>
      </c>
      <c r="Y31" s="33"/>
      <c r="Z31" s="36" t="str">
        <f>IF((ISERROR((Y31/$H31)*100)), "", IF(AND(NOT(ISERROR((Y31/$H31)*100)),((Y31/$H31)*100) &lt;&gt; 0), (Y31/$H31)*100, ""))</f>
        <v/>
      </c>
      <c r="AA31" s="33"/>
      <c r="AB31" s="36" t="str">
        <f>IF((ISERROR((AA31/$H31)*100)), "", IF(AND(NOT(ISERROR((AA31/$H31)*100)),((AA31/$H31)*100) &lt;&gt; 0), (AA31/$H31)*100, ""))</f>
        <v/>
      </c>
      <c r="AC31" s="33"/>
      <c r="AD31" s="36" t="str">
        <f>IF((ISERROR((AC31/$H31)*100)), "", IF(AND(NOT(ISERROR((AC31/$H31)*100)),((AC31/$H31)*100) &lt;&gt; 0), (AC31/$H31)*100, ""))</f>
        <v/>
      </c>
      <c r="AE31" s="33"/>
      <c r="AF31" s="36" t="str">
        <f>IF((ISERROR((AE31/$H31)*100)), "", IF(AND(NOT(ISERROR((AE31/$H31)*100)),((AE31/$H31)*100) &lt;&gt; 0), (AE31/$H31)*100, ""))</f>
        <v/>
      </c>
      <c r="AG31" s="33"/>
      <c r="AH31" s="36" t="str">
        <f>IF((ISERROR((AG31/$H31)*100)), "", IF(AND(NOT(ISERROR((AG31/$H31)*100)),((AG31/$H31)*100) &lt;&gt; 0), (AG31/$H31)*100, ""))</f>
        <v/>
      </c>
      <c r="AI31" s="33"/>
      <c r="AJ31" s="36" t="str">
        <f>IF((ISERROR((AI31/$H31)*100)), "", IF(AND(NOT(ISERROR((AI31/$H31)*100)),((AI31/$H31)*100) &lt;&gt; 0), (AI31/$H31)*100, ""))</f>
        <v/>
      </c>
      <c r="AK31" s="33"/>
      <c r="AL31" s="36" t="str">
        <f>IF((ISERROR((AK31/$H31)*100)), "", IF(AND(NOT(ISERROR((AK31/$H31)*100)),((AK31/$H31)*100) &lt;&gt; 0), (AK31/$H31)*100, ""))</f>
        <v/>
      </c>
      <c r="AM31" s="33"/>
      <c r="AN31" s="36" t="str">
        <f>IF((ISERROR((AM31/$H31)*100)), "", IF(AND(NOT(ISERROR((AM31/$H31)*100)),((AM31/$H31)*100) &lt;&gt; 0), (AM31/$H31)*100, ""))</f>
        <v/>
      </c>
      <c r="AO31" s="33"/>
      <c r="AP31" s="36" t="str">
        <f>IF((ISERROR((AO31/$H31)*100)), "", IF(AND(NOT(ISERROR((AO31/$H31)*100)),((AO31/$H31)*100) &lt;&gt; 0), (AO31/$H31)*100, ""))</f>
        <v/>
      </c>
      <c r="AQ31" s="33"/>
      <c r="AR31" s="36" t="str">
        <f>IF((ISERROR((AQ31/$H31)*100)), "", IF(AND(NOT(ISERROR((AQ31/$H31)*100)),((AQ31/$H31)*100) &lt;&gt; 0), (AQ31/$H31)*100, ""))</f>
        <v/>
      </c>
      <c r="AS31" s="33"/>
      <c r="AT31" s="36" t="str">
        <f>IF((ISERROR((AS31/$H31)*100)), "", IF(AND(NOT(ISERROR((AS31/$H31)*100)),((AS31/$H31)*100) &lt;&gt; 0), (AS31/$H31)*100, ""))</f>
        <v/>
      </c>
      <c r="AU31" s="33"/>
      <c r="AV31" s="36" t="str">
        <f>IF((ISERROR((AU31/$H31)*100)), "", IF(AND(NOT(ISERROR((AU31/$H31)*100)),((AU31/$H31)*100) &lt;&gt; 0), (AU31/$H31)*100, ""))</f>
        <v/>
      </c>
      <c r="AW31" s="40"/>
      <c r="AX31" s="39" t="str">
        <f>IF((ISERROR((AW31/$H31)*100)), "", IF(AND(NOT(ISERROR((AW31/$H31)*100)),((AW31/$H31)*100) &lt;&gt; 0), (AW31/$H31)*100, ""))</f>
        <v/>
      </c>
      <c r="AY31" s="59"/>
      <c r="AZ31" s="36" t="str">
        <f>IF((ISERROR((AY31/$H31)*100)), "", IF(AND(NOT(ISERROR((AY31/$H31)*100)),((AY31/$H31)*100) &lt;&gt; 0), (AY31/$H31)*100, ""))</f>
        <v/>
      </c>
      <c r="BA31" s="23" t="s">
        <v>401</v>
      </c>
    </row>
    <row r="32" spans="1:53" ht="20" customHeight="1" x14ac:dyDescent="0.2">
      <c r="A32" s="60"/>
      <c r="B32" s="82"/>
      <c r="C32" s="24" t="s">
        <v>85</v>
      </c>
      <c r="D32" s="23" t="s">
        <v>107</v>
      </c>
      <c r="E32" s="23" t="s">
        <v>108</v>
      </c>
      <c r="F32" s="24">
        <v>2008</v>
      </c>
      <c r="G32" s="24">
        <v>54</v>
      </c>
      <c r="H32" s="89">
        <v>12</v>
      </c>
      <c r="I32" s="85" t="s">
        <v>168</v>
      </c>
      <c r="J32" s="86" t="s">
        <v>210</v>
      </c>
      <c r="K32" s="33">
        <v>1</v>
      </c>
      <c r="L32" s="36">
        <f>IF((ISERROR((K32/$H32)*100)), "", IF(AND(NOT(ISERROR((K32/$H32)*100)),((K32/$H32)*100) &lt;&gt; 0), (K32/$H32)*100, ""))</f>
        <v>8.3333333333333321</v>
      </c>
      <c r="M32" s="33"/>
      <c r="N32" s="36" t="str">
        <f>IF((ISERROR((M32/$H32)*100)), "", IF(AND(NOT(ISERROR((M32/$H32)*100)),((M32/$H32)*100) &lt;&gt; 0), (M32/$H32)*100, ""))</f>
        <v/>
      </c>
      <c r="O32" s="33"/>
      <c r="P32" s="36" t="str">
        <f>IF((ISERROR((O32/$H32)*100)), "", IF(AND(NOT(ISERROR((O32/$H32)*100)),((O32/$H32)*100) &lt;&gt; 0), (O32/$H32)*100, ""))</f>
        <v/>
      </c>
      <c r="Q32" s="33"/>
      <c r="R32" s="36" t="str">
        <f>IF((ISERROR((Q32/$H32)*100)), "", IF(AND(NOT(ISERROR((Q32/$H32)*100)),((Q32/$H32)*100) &lt;&gt; 0), (Q32/$H32)*100, ""))</f>
        <v/>
      </c>
      <c r="S32" s="33"/>
      <c r="T32" s="36" t="str">
        <f>IF((ISERROR((S32/$H32)*100)), "", IF(AND(NOT(ISERROR((S32/$H32)*100)),((S32/$H32)*100) &lt;&gt; 0), (S32/$H32)*100, ""))</f>
        <v/>
      </c>
      <c r="U32" s="33"/>
      <c r="V32" s="36" t="str">
        <f>IF((ISERROR((U32/$H32)*100)), "", IF(AND(NOT(ISERROR((U32/$H32)*100)),((U32/$H32)*100) &lt;&gt; 0), (U32/$H32)*100, ""))</f>
        <v/>
      </c>
      <c r="W32" s="33"/>
      <c r="X32" s="36" t="str">
        <f>IF((ISERROR((W32/$H32)*100)), "", IF(AND(NOT(ISERROR((W32/$H32)*100)),((W32/$H32)*100) &lt;&gt; 0), (W32/$H32)*100, ""))</f>
        <v/>
      </c>
      <c r="Y32" s="33"/>
      <c r="Z32" s="36" t="str">
        <f>IF((ISERROR((Y32/$H32)*100)), "", IF(AND(NOT(ISERROR((Y32/$H32)*100)),((Y32/$H32)*100) &lt;&gt; 0), (Y32/$H32)*100, ""))</f>
        <v/>
      </c>
      <c r="AA32" s="33"/>
      <c r="AB32" s="36" t="str">
        <f>IF((ISERROR((AA32/$H32)*100)), "", IF(AND(NOT(ISERROR((AA32/$H32)*100)),((AA32/$H32)*100) &lt;&gt; 0), (AA32/$H32)*100, ""))</f>
        <v/>
      </c>
      <c r="AC32" s="33"/>
      <c r="AD32" s="36" t="str">
        <f>IF((ISERROR((AC32/$H32)*100)), "", IF(AND(NOT(ISERROR((AC32/$H32)*100)),((AC32/$H32)*100) &lt;&gt; 0), (AC32/$H32)*100, ""))</f>
        <v/>
      </c>
      <c r="AE32" s="33"/>
      <c r="AF32" s="36" t="str">
        <f>IF((ISERROR((AE32/$H32)*100)), "", IF(AND(NOT(ISERROR((AE32/$H32)*100)),((AE32/$H32)*100) &lt;&gt; 0), (AE32/$H32)*100, ""))</f>
        <v/>
      </c>
      <c r="AG32" s="33"/>
      <c r="AH32" s="36" t="str">
        <f>IF((ISERROR((AG32/$H32)*100)), "", IF(AND(NOT(ISERROR((AG32/$H32)*100)),((AG32/$H32)*100) &lt;&gt; 0), (AG32/$H32)*100, ""))</f>
        <v/>
      </c>
      <c r="AI32" s="33"/>
      <c r="AJ32" s="36" t="str">
        <f>IF((ISERROR((AI32/$H32)*100)), "", IF(AND(NOT(ISERROR((AI32/$H32)*100)),((AI32/$H32)*100) &lt;&gt; 0), (AI32/$H32)*100, ""))</f>
        <v/>
      </c>
      <c r="AK32" s="33"/>
      <c r="AL32" s="36" t="str">
        <f>IF((ISERROR((AK32/$H32)*100)), "", IF(AND(NOT(ISERROR((AK32/$H32)*100)),((AK32/$H32)*100) &lt;&gt; 0), (AK32/$H32)*100, ""))</f>
        <v/>
      </c>
      <c r="AM32" s="33">
        <v>1</v>
      </c>
      <c r="AN32" s="36">
        <f>IF((ISERROR((AM32/$H32)*100)), "", IF(AND(NOT(ISERROR((AM32/$H32)*100)),((AM32/$H32)*100) &lt;&gt; 0), (AM32/$H32)*100, ""))</f>
        <v>8.3333333333333321</v>
      </c>
      <c r="AO32" s="33"/>
      <c r="AP32" s="36" t="str">
        <f>IF((ISERROR((AO32/$H32)*100)), "", IF(AND(NOT(ISERROR((AO32/$H32)*100)),((AO32/$H32)*100) &lt;&gt; 0), (AO32/$H32)*100, ""))</f>
        <v/>
      </c>
      <c r="AQ32" s="33"/>
      <c r="AR32" s="36" t="str">
        <f>IF((ISERROR((AQ32/$H32)*100)), "", IF(AND(NOT(ISERROR((AQ32/$H32)*100)),((AQ32/$H32)*100) &lt;&gt; 0), (AQ32/$H32)*100, ""))</f>
        <v/>
      </c>
      <c r="AS32" s="33"/>
      <c r="AT32" s="36" t="str">
        <f>IF((ISERROR((AS32/$H32)*100)), "", IF(AND(NOT(ISERROR((AS32/$H32)*100)),((AS32/$H32)*100) &lt;&gt; 0), (AS32/$H32)*100, ""))</f>
        <v/>
      </c>
      <c r="AU32" s="33"/>
      <c r="AV32" s="36" t="str">
        <f>IF((ISERROR((AU32/$H32)*100)), "", IF(AND(NOT(ISERROR((AU32/$H32)*100)),((AU32/$H32)*100) &lt;&gt; 0), (AU32/$H32)*100, ""))</f>
        <v/>
      </c>
      <c r="AW32" s="31"/>
      <c r="AX32" s="36" t="str">
        <f>IF((ISERROR((AW32/$H32)*100)), "", IF(AND(NOT(ISERROR((AW32/$H32)*100)),((AW32/$H32)*100) &lt;&gt; 0), (AW32/$H32)*100, ""))</f>
        <v/>
      </c>
      <c r="AY32" s="59"/>
      <c r="AZ32" s="36" t="str">
        <f>IF((ISERROR((AY32/$H32)*100)), "", IF(AND(NOT(ISERROR((AY32/$H32)*100)),((AY32/$H32)*100) &lt;&gt; 0), (AY32/$H32)*100, ""))</f>
        <v/>
      </c>
      <c r="BA32" s="23" t="s">
        <v>420</v>
      </c>
    </row>
    <row r="33" spans="1:53" ht="20" customHeight="1" x14ac:dyDescent="0.2">
      <c r="A33" s="60"/>
      <c r="B33" s="83"/>
      <c r="C33" s="24" t="s">
        <v>85</v>
      </c>
      <c r="D33" s="23" t="s">
        <v>323</v>
      </c>
      <c r="E33" s="23" t="s">
        <v>324</v>
      </c>
      <c r="F33" s="24">
        <v>2009</v>
      </c>
      <c r="H33" s="89">
        <v>12</v>
      </c>
      <c r="I33" s="85" t="s">
        <v>214</v>
      </c>
      <c r="J33" s="86" t="s">
        <v>192</v>
      </c>
      <c r="K33" s="33"/>
      <c r="L33" s="36" t="str">
        <f>IF((ISERROR((K33/$H33)*100)), "", IF(AND(NOT(ISERROR((K33/$H33)*100)),((K33/$H33)*100) &lt;&gt; 0), (K33/$H33)*100, ""))</f>
        <v/>
      </c>
      <c r="M33" s="33"/>
      <c r="N33" s="36" t="str">
        <f>IF((ISERROR((M33/$H33)*100)), "", IF(AND(NOT(ISERROR((M33/$H33)*100)),((M33/$H33)*100) &lt;&gt; 0), (M33/$H33)*100, ""))</f>
        <v/>
      </c>
      <c r="O33" s="33"/>
      <c r="P33" s="36" t="str">
        <f>IF((ISERROR((O33/$H33)*100)), "", IF(AND(NOT(ISERROR((O33/$H33)*100)),((O33/$H33)*100) &lt;&gt; 0), (O33/$H33)*100, ""))</f>
        <v/>
      </c>
      <c r="Q33" s="33"/>
      <c r="R33" s="36" t="str">
        <f>IF((ISERROR((Q33/$H33)*100)), "", IF(AND(NOT(ISERROR((Q33/$H33)*100)),((Q33/$H33)*100) &lt;&gt; 0), (Q33/$H33)*100, ""))</f>
        <v/>
      </c>
      <c r="S33" s="33"/>
      <c r="T33" s="36" t="str">
        <f>IF((ISERROR((S33/$H33)*100)), "", IF(AND(NOT(ISERROR((S33/$H33)*100)),((S33/$H33)*100) &lt;&gt; 0), (S33/$H33)*100, ""))</f>
        <v/>
      </c>
      <c r="U33" s="33"/>
      <c r="V33" s="36" t="str">
        <f>IF((ISERROR((U33/$H33)*100)), "", IF(AND(NOT(ISERROR((U33/$H33)*100)),((U33/$H33)*100) &lt;&gt; 0), (U33/$H33)*100, ""))</f>
        <v/>
      </c>
      <c r="W33" s="33"/>
      <c r="X33" s="36" t="str">
        <f>IF((ISERROR((W33/$H33)*100)), "", IF(AND(NOT(ISERROR((W33/$H33)*100)),((W33/$H33)*100) &lt;&gt; 0), (W33/$H33)*100, ""))</f>
        <v/>
      </c>
      <c r="Y33" s="33"/>
      <c r="Z33" s="36" t="str">
        <f>IF((ISERROR((Y33/$H33)*100)), "", IF(AND(NOT(ISERROR((Y33/$H33)*100)),((Y33/$H33)*100) &lt;&gt; 0), (Y33/$H33)*100, ""))</f>
        <v/>
      </c>
      <c r="AA33" s="33"/>
      <c r="AB33" s="36" t="str">
        <f>IF((ISERROR((AA33/$H33)*100)), "", IF(AND(NOT(ISERROR((AA33/$H33)*100)),((AA33/$H33)*100) &lt;&gt; 0), (AA33/$H33)*100, ""))</f>
        <v/>
      </c>
      <c r="AC33" s="33"/>
      <c r="AD33" s="36" t="str">
        <f>IF((ISERROR((AC33/$H33)*100)), "", IF(AND(NOT(ISERROR((AC33/$H33)*100)),((AC33/$H33)*100) &lt;&gt; 0), (AC33/$H33)*100, ""))</f>
        <v/>
      </c>
      <c r="AE33" s="33"/>
      <c r="AF33" s="36" t="str">
        <f>IF((ISERROR((AE33/$H33)*100)), "", IF(AND(NOT(ISERROR((AE33/$H33)*100)),((AE33/$H33)*100) &lt;&gt; 0), (AE33/$H33)*100, ""))</f>
        <v/>
      </c>
      <c r="AG33" s="33"/>
      <c r="AH33" s="36" t="str">
        <f>IF((ISERROR((AG33/$H33)*100)), "", IF(AND(NOT(ISERROR((AG33/$H33)*100)),((AG33/$H33)*100) &lt;&gt; 0), (AG33/$H33)*100, ""))</f>
        <v/>
      </c>
      <c r="AI33" s="33"/>
      <c r="AJ33" s="36" t="str">
        <f>IF((ISERROR((AI33/$H33)*100)), "", IF(AND(NOT(ISERROR((AI33/$H33)*100)),((AI33/$H33)*100) &lt;&gt; 0), (AI33/$H33)*100, ""))</f>
        <v/>
      </c>
      <c r="AK33" s="33"/>
      <c r="AL33" s="36" t="str">
        <f>IF((ISERROR((AK33/$H33)*100)), "", IF(AND(NOT(ISERROR((AK33/$H33)*100)),((AK33/$H33)*100) &lt;&gt; 0), (AK33/$H33)*100, ""))</f>
        <v/>
      </c>
      <c r="AM33" s="33"/>
      <c r="AN33" s="36" t="str">
        <f>IF((ISERROR((AM33/$H33)*100)), "", IF(AND(NOT(ISERROR((AM33/$H33)*100)),((AM33/$H33)*100) &lt;&gt; 0), (AM33/$H33)*100, ""))</f>
        <v/>
      </c>
      <c r="AO33" s="33"/>
      <c r="AP33" s="36" t="str">
        <f>IF((ISERROR((AO33/$H33)*100)), "", IF(AND(NOT(ISERROR((AO33/$H33)*100)),((AO33/$H33)*100) &lt;&gt; 0), (AO33/$H33)*100, ""))</f>
        <v/>
      </c>
      <c r="AQ33" s="33"/>
      <c r="AR33" s="36" t="str">
        <f>IF((ISERROR((AQ33/$H33)*100)), "", IF(AND(NOT(ISERROR((AQ33/$H33)*100)),((AQ33/$H33)*100) &lt;&gt; 0), (AQ33/$H33)*100, ""))</f>
        <v/>
      </c>
      <c r="AS33" s="33"/>
      <c r="AT33" s="36" t="str">
        <f>IF((ISERROR((AS33/$H33)*100)), "", IF(AND(NOT(ISERROR((AS33/$H33)*100)),((AS33/$H33)*100) &lt;&gt; 0), (AS33/$H33)*100, ""))</f>
        <v/>
      </c>
      <c r="AU33" s="33"/>
      <c r="AV33" s="36" t="str">
        <f>IF((ISERROR((AU33/$H33)*100)), "", IF(AND(NOT(ISERROR((AU33/$H33)*100)),((AU33/$H33)*100) &lt;&gt; 0), (AU33/$H33)*100, ""))</f>
        <v/>
      </c>
      <c r="AW33" s="76"/>
      <c r="AX33" s="36" t="str">
        <f>IF((ISERROR((AW33/$H33)*100)), "", IF(AND(NOT(ISERROR((AW33/$H33)*100)),((AW33/$H33)*100) &lt;&gt; 0), (AW33/$H33)*100, ""))</f>
        <v/>
      </c>
      <c r="AY33" s="76"/>
      <c r="AZ33" s="36" t="str">
        <f>IF((ISERROR((AY33/$H33)*100)), "", IF(AND(NOT(ISERROR((AY33/$H33)*100)),((AY33/$H33)*100) &lt;&gt; 0), (AY33/$H33)*100, ""))</f>
        <v/>
      </c>
      <c r="BA33" s="23" t="s">
        <v>180</v>
      </c>
    </row>
    <row r="34" spans="1:53" ht="20" customHeight="1" x14ac:dyDescent="0.2">
      <c r="A34" s="60"/>
      <c r="B34" s="82"/>
      <c r="C34" s="24" t="s">
        <v>85</v>
      </c>
      <c r="D34" s="23" t="s">
        <v>253</v>
      </c>
      <c r="E34" s="23" t="s">
        <v>254</v>
      </c>
      <c r="F34" s="24">
        <v>2008</v>
      </c>
      <c r="H34" s="89">
        <v>13</v>
      </c>
      <c r="I34" s="85" t="s">
        <v>218</v>
      </c>
      <c r="J34" s="86" t="s">
        <v>335</v>
      </c>
      <c r="K34" s="33">
        <v>1</v>
      </c>
      <c r="L34" s="36">
        <f>IF((ISERROR((K34/$H34)*100)), "", IF(AND(NOT(ISERROR((K34/$H34)*100)),((K34/$H34)*100) &lt;&gt; 0), (K34/$H34)*100, ""))</f>
        <v>7.6923076923076925</v>
      </c>
      <c r="M34" s="33"/>
      <c r="N34" s="36" t="str">
        <f>IF((ISERROR((M34/$H34)*100)), "", IF(AND(NOT(ISERROR((M34/$H34)*100)),((M34/$H34)*100) &lt;&gt; 0), (M34/$H34)*100, ""))</f>
        <v/>
      </c>
      <c r="O34" s="33"/>
      <c r="P34" s="36" t="str">
        <f>IF((ISERROR((O34/$H34)*100)), "", IF(AND(NOT(ISERROR((O34/$H34)*100)),((O34/$H34)*100) &lt;&gt; 0), (O34/$H34)*100, ""))</f>
        <v/>
      </c>
      <c r="Q34" s="33"/>
      <c r="R34" s="36" t="str">
        <f>IF((ISERROR((Q34/$H34)*100)), "", IF(AND(NOT(ISERROR((Q34/$H34)*100)),((Q34/$H34)*100) &lt;&gt; 0), (Q34/$H34)*100, ""))</f>
        <v/>
      </c>
      <c r="S34" s="33"/>
      <c r="T34" s="36" t="str">
        <f>IF((ISERROR((S34/$H34)*100)), "", IF(AND(NOT(ISERROR((S34/$H34)*100)),((S34/$H34)*100) &lt;&gt; 0), (S34/$H34)*100, ""))</f>
        <v/>
      </c>
      <c r="U34" s="33"/>
      <c r="V34" s="36" t="str">
        <f>IF((ISERROR((U34/$H34)*100)), "", IF(AND(NOT(ISERROR((U34/$H34)*100)),((U34/$H34)*100) &lt;&gt; 0), (U34/$H34)*100, ""))</f>
        <v/>
      </c>
      <c r="W34" s="33"/>
      <c r="X34" s="36" t="str">
        <f>IF((ISERROR((W34/$H34)*100)), "", IF(AND(NOT(ISERROR((W34/$H34)*100)),((W34/$H34)*100) &lt;&gt; 0), (W34/$H34)*100, ""))</f>
        <v/>
      </c>
      <c r="Y34" s="33"/>
      <c r="Z34" s="36" t="str">
        <f>IF((ISERROR((Y34/$H34)*100)), "", IF(AND(NOT(ISERROR((Y34/$H34)*100)),((Y34/$H34)*100) &lt;&gt; 0), (Y34/$H34)*100, ""))</f>
        <v/>
      </c>
      <c r="AA34" s="33"/>
      <c r="AB34" s="36" t="str">
        <f>IF((ISERROR((AA34/$H34)*100)), "", IF(AND(NOT(ISERROR((AA34/$H34)*100)),((AA34/$H34)*100) &lt;&gt; 0), (AA34/$H34)*100, ""))</f>
        <v/>
      </c>
      <c r="AC34" s="33"/>
      <c r="AD34" s="36" t="str">
        <f>IF((ISERROR((AC34/$H34)*100)), "", IF(AND(NOT(ISERROR((AC34/$H34)*100)),((AC34/$H34)*100) &lt;&gt; 0), (AC34/$H34)*100, ""))</f>
        <v/>
      </c>
      <c r="AE34" s="33"/>
      <c r="AF34" s="36" t="str">
        <f>IF((ISERROR((AE34/$H34)*100)), "", IF(AND(NOT(ISERROR((AE34/$H34)*100)),((AE34/$H34)*100) &lt;&gt; 0), (AE34/$H34)*100, ""))</f>
        <v/>
      </c>
      <c r="AG34" s="33"/>
      <c r="AH34" s="36" t="str">
        <f>IF((ISERROR((AG34/$H34)*100)), "", IF(AND(NOT(ISERROR((AG34/$H34)*100)),((AG34/$H34)*100) &lt;&gt; 0), (AG34/$H34)*100, ""))</f>
        <v/>
      </c>
      <c r="AI34" s="33"/>
      <c r="AJ34" s="36" t="str">
        <f>IF((ISERROR((AI34/$H34)*100)), "", IF(AND(NOT(ISERROR((AI34/$H34)*100)),((AI34/$H34)*100) &lt;&gt; 0), (AI34/$H34)*100, ""))</f>
        <v/>
      </c>
      <c r="AK34" s="33"/>
      <c r="AL34" s="36" t="str">
        <f>IF((ISERROR((AK34/$H34)*100)), "", IF(AND(NOT(ISERROR((AK34/$H34)*100)),((AK34/$H34)*100) &lt;&gt; 0), (AK34/$H34)*100, ""))</f>
        <v/>
      </c>
      <c r="AM34" s="33"/>
      <c r="AN34" s="36" t="str">
        <f>IF((ISERROR((AM34/$H34)*100)), "", IF(AND(NOT(ISERROR((AM34/$H34)*100)),((AM34/$H34)*100) &lt;&gt; 0), (AM34/$H34)*100, ""))</f>
        <v/>
      </c>
      <c r="AO34" s="33"/>
      <c r="AP34" s="36" t="str">
        <f>IF((ISERROR((AO34/$H34)*100)), "", IF(AND(NOT(ISERROR((AO34/$H34)*100)),((AO34/$H34)*100) &lt;&gt; 0), (AO34/$H34)*100, ""))</f>
        <v/>
      </c>
      <c r="AQ34" s="33"/>
      <c r="AR34" s="36" t="str">
        <f>IF((ISERROR((AQ34/$H34)*100)), "", IF(AND(NOT(ISERROR((AQ34/$H34)*100)),((AQ34/$H34)*100) &lt;&gt; 0), (AQ34/$H34)*100, ""))</f>
        <v/>
      </c>
      <c r="AS34" s="33"/>
      <c r="AT34" s="36" t="str">
        <f>IF((ISERROR((AS34/$H34)*100)), "", IF(AND(NOT(ISERROR((AS34/$H34)*100)),((AS34/$H34)*100) &lt;&gt; 0), (AS34/$H34)*100, ""))</f>
        <v/>
      </c>
      <c r="AU34" s="33"/>
      <c r="AV34" s="36" t="str">
        <f>IF((ISERROR((AU34/$H34)*100)), "", IF(AND(NOT(ISERROR((AU34/$H34)*100)),((AU34/$H34)*100) &lt;&gt; 0), (AU34/$H34)*100, ""))</f>
        <v/>
      </c>
      <c r="AW34" s="30"/>
      <c r="AX34" s="36" t="str">
        <f>IF((ISERROR((AW34/$H34)*100)), "", IF(AND(NOT(ISERROR((AW34/$H34)*100)),((AW34/$H34)*100) &lt;&gt; 0), (AW34/$H34)*100, ""))</f>
        <v/>
      </c>
      <c r="AY34" s="59"/>
      <c r="AZ34" s="36" t="str">
        <f>IF((ISERROR((AY34/$H34)*100)), "", IF(AND(NOT(ISERROR((AY34/$H34)*100)),((AY34/$H34)*100) &lt;&gt; 0), (AY34/$H34)*100, ""))</f>
        <v/>
      </c>
    </row>
    <row r="35" spans="1:53" ht="20" customHeight="1" x14ac:dyDescent="0.2">
      <c r="A35" s="60"/>
      <c r="B35" s="82"/>
      <c r="D35" s="23" t="s">
        <v>289</v>
      </c>
      <c r="E35" s="23" t="s">
        <v>290</v>
      </c>
      <c r="F35" s="24">
        <v>2005</v>
      </c>
      <c r="H35" s="89">
        <v>13</v>
      </c>
      <c r="I35" s="85" t="s">
        <v>358</v>
      </c>
      <c r="J35" s="86"/>
      <c r="K35" s="33"/>
      <c r="L35" s="36" t="str">
        <f>IF((ISERROR((K35/$H35)*100)), "", IF(AND(NOT(ISERROR((K35/$H35)*100)),((K35/$H35)*100) &lt;&gt; 0), (K35/$H35)*100, ""))</f>
        <v/>
      </c>
      <c r="M35" s="33"/>
      <c r="N35" s="36" t="str">
        <f>IF((ISERROR((M35/$H35)*100)), "", IF(AND(NOT(ISERROR((M35/$H35)*100)),((M35/$H35)*100) &lt;&gt; 0), (M35/$H35)*100, ""))</f>
        <v/>
      </c>
      <c r="O35" s="33"/>
      <c r="P35" s="36" t="str">
        <f>IF((ISERROR((O35/$H35)*100)), "", IF(AND(NOT(ISERROR((O35/$H35)*100)),((O35/$H35)*100) &lt;&gt; 0), (O35/$H35)*100, ""))</f>
        <v/>
      </c>
      <c r="Q35" s="33"/>
      <c r="R35" s="36" t="str">
        <f>IF((ISERROR((Q35/$H35)*100)), "", IF(AND(NOT(ISERROR((Q35/$H35)*100)),((Q35/$H35)*100) &lt;&gt; 0), (Q35/$H35)*100, ""))</f>
        <v/>
      </c>
      <c r="S35" s="33"/>
      <c r="T35" s="36" t="str">
        <f>IF((ISERROR((S35/$H35)*100)), "", IF(AND(NOT(ISERROR((S35/$H35)*100)),((S35/$H35)*100) &lt;&gt; 0), (S35/$H35)*100, ""))</f>
        <v/>
      </c>
      <c r="U35" s="33"/>
      <c r="V35" s="36" t="str">
        <f>IF((ISERROR((U35/$H35)*100)), "", IF(AND(NOT(ISERROR((U35/$H35)*100)),((U35/$H35)*100) &lt;&gt; 0), (U35/$H35)*100, ""))</f>
        <v/>
      </c>
      <c r="W35" s="33"/>
      <c r="X35" s="36" t="str">
        <f>IF((ISERROR((W35/$H35)*100)), "", IF(AND(NOT(ISERROR((W35/$H35)*100)),((W35/$H35)*100) &lt;&gt; 0), (W35/$H35)*100, ""))</f>
        <v/>
      </c>
      <c r="Y35" s="33"/>
      <c r="Z35" s="36" t="str">
        <f>IF((ISERROR((Y35/$H35)*100)), "", IF(AND(NOT(ISERROR((Y35/$H35)*100)),((Y35/$H35)*100) &lt;&gt; 0), (Y35/$H35)*100, ""))</f>
        <v/>
      </c>
      <c r="AA35" s="33"/>
      <c r="AB35" s="36" t="str">
        <f>IF((ISERROR((AA35/$H35)*100)), "", IF(AND(NOT(ISERROR((AA35/$H35)*100)),((AA35/$H35)*100) &lt;&gt; 0), (AA35/$H35)*100, ""))</f>
        <v/>
      </c>
      <c r="AC35" s="33"/>
      <c r="AD35" s="36" t="str">
        <f>IF((ISERROR((AC35/$H35)*100)), "", IF(AND(NOT(ISERROR((AC35/$H35)*100)),((AC35/$H35)*100) &lt;&gt; 0), (AC35/$H35)*100, ""))</f>
        <v/>
      </c>
      <c r="AE35" s="33"/>
      <c r="AF35" s="36" t="str">
        <f>IF((ISERROR((AE35/$H35)*100)), "", IF(AND(NOT(ISERROR((AE35/$H35)*100)),((AE35/$H35)*100) &lt;&gt; 0), (AE35/$H35)*100, ""))</f>
        <v/>
      </c>
      <c r="AG35" s="33"/>
      <c r="AH35" s="36" t="str">
        <f>IF((ISERROR((AG35/$H35)*100)), "", IF(AND(NOT(ISERROR((AG35/$H35)*100)),((AG35/$H35)*100) &lt;&gt; 0), (AG35/$H35)*100, ""))</f>
        <v/>
      </c>
      <c r="AI35" s="33"/>
      <c r="AJ35" s="36" t="str">
        <f>IF((ISERROR((AI35/$H35)*100)), "", IF(AND(NOT(ISERROR((AI35/$H35)*100)),((AI35/$H35)*100) &lt;&gt; 0), (AI35/$H35)*100, ""))</f>
        <v/>
      </c>
      <c r="AK35" s="33"/>
      <c r="AL35" s="36" t="str">
        <f>IF((ISERROR((AK35/$H35)*100)), "", IF(AND(NOT(ISERROR((AK35/$H35)*100)),((AK35/$H35)*100) &lt;&gt; 0), (AK35/$H35)*100, ""))</f>
        <v/>
      </c>
      <c r="AM35" s="33"/>
      <c r="AN35" s="36" t="str">
        <f>IF((ISERROR((AM35/$H35)*100)), "", IF(AND(NOT(ISERROR((AM35/$H35)*100)),((AM35/$H35)*100) &lt;&gt; 0), (AM35/$H35)*100, ""))</f>
        <v/>
      </c>
      <c r="AO35" s="33"/>
      <c r="AP35" s="36" t="str">
        <f>IF((ISERROR((AO35/$H35)*100)), "", IF(AND(NOT(ISERROR((AO35/$H35)*100)),((AO35/$H35)*100) &lt;&gt; 0), (AO35/$H35)*100, ""))</f>
        <v/>
      </c>
      <c r="AQ35" s="33"/>
      <c r="AR35" s="36" t="str">
        <f>IF((ISERROR((AQ35/$H35)*100)), "", IF(AND(NOT(ISERROR((AQ35/$H35)*100)),((AQ35/$H35)*100) &lt;&gt; 0), (AQ35/$H35)*100, ""))</f>
        <v/>
      </c>
      <c r="AS35" s="33">
        <v>3</v>
      </c>
      <c r="AT35" s="36">
        <f>IF((ISERROR((AS35/$H35)*100)), "", IF(AND(NOT(ISERROR((AS35/$H35)*100)),((AS35/$H35)*100) &lt;&gt; 0), (AS35/$H35)*100, ""))</f>
        <v>23.076923076923077</v>
      </c>
      <c r="AU35" s="33"/>
      <c r="AV35" s="36" t="str">
        <f>IF((ISERROR((AU35/$H35)*100)), "", IF(AND(NOT(ISERROR((AU35/$H35)*100)),((AU35/$H35)*100) &lt;&gt; 0), (AU35/$H35)*100, ""))</f>
        <v/>
      </c>
      <c r="AW35" s="33">
        <v>1</v>
      </c>
      <c r="AX35" s="36">
        <f>IF((ISERROR((AW35/$H35)*100)), "", IF(AND(NOT(ISERROR((AW35/$H35)*100)),((AW35/$H35)*100) &lt;&gt; 0), (AW35/$H35)*100, ""))</f>
        <v>7.6923076923076925</v>
      </c>
      <c r="AY35" s="76"/>
      <c r="AZ35" s="36" t="str">
        <f>IF((ISERROR((AY35/$H35)*100)), "", IF(AND(NOT(ISERROR((AY35/$H35)*100)),((AY35/$H35)*100) &lt;&gt; 0), (AY35/$H35)*100, ""))</f>
        <v/>
      </c>
      <c r="BA35" s="23" t="s">
        <v>359</v>
      </c>
    </row>
    <row r="36" spans="1:53" ht="20" customHeight="1" x14ac:dyDescent="0.2">
      <c r="A36" s="60"/>
      <c r="B36" s="82"/>
      <c r="C36" s="24" t="s">
        <v>85</v>
      </c>
      <c r="D36" s="23" t="s">
        <v>33</v>
      </c>
      <c r="E36" s="23" t="s">
        <v>34</v>
      </c>
      <c r="F36" s="24">
        <v>2003</v>
      </c>
      <c r="G36" s="24">
        <v>291</v>
      </c>
      <c r="H36" s="89">
        <v>14</v>
      </c>
      <c r="I36" s="85" t="s">
        <v>167</v>
      </c>
      <c r="J36" s="86"/>
      <c r="K36" s="33">
        <v>2</v>
      </c>
      <c r="L36" s="36">
        <f>IF((ISERROR((K36/$H36)*100)), "", IF(AND(NOT(ISERROR((K36/$H36)*100)),((K36/$H36)*100) &lt;&gt; 0), (K36/$H36)*100, ""))</f>
        <v>14.285714285714285</v>
      </c>
      <c r="M36" s="33"/>
      <c r="N36" s="36" t="str">
        <f>IF((ISERROR((M36/$H36)*100)), "", IF(AND(NOT(ISERROR((M36/$H36)*100)),((M36/$H36)*100) &lt;&gt; 0), (M36/$H36)*100, ""))</f>
        <v/>
      </c>
      <c r="O36" s="33"/>
      <c r="P36" s="36" t="str">
        <f>IF((ISERROR((O36/$H36)*100)), "", IF(AND(NOT(ISERROR((O36/$H36)*100)),((O36/$H36)*100) &lt;&gt; 0), (O36/$H36)*100, ""))</f>
        <v/>
      </c>
      <c r="Q36" s="33"/>
      <c r="R36" s="36" t="str">
        <f>IF((ISERROR((Q36/$H36)*100)), "", IF(AND(NOT(ISERROR((Q36/$H36)*100)),((Q36/$H36)*100) &lt;&gt; 0), (Q36/$H36)*100, ""))</f>
        <v/>
      </c>
      <c r="S36" s="33"/>
      <c r="T36" s="36" t="str">
        <f>IF((ISERROR((S36/$H36)*100)), "", IF(AND(NOT(ISERROR((S36/$H36)*100)),((S36/$H36)*100) &lt;&gt; 0), (S36/$H36)*100, ""))</f>
        <v/>
      </c>
      <c r="U36" s="33">
        <v>2</v>
      </c>
      <c r="V36" s="36">
        <f>IF((ISERROR((U36/$H36)*100)), "", IF(AND(NOT(ISERROR((U36/$H36)*100)),((U36/$H36)*100) &lt;&gt; 0), (U36/$H36)*100, ""))</f>
        <v>14.285714285714285</v>
      </c>
      <c r="W36" s="33"/>
      <c r="X36" s="36" t="str">
        <f>IF((ISERROR((W36/$H36)*100)), "", IF(AND(NOT(ISERROR((W36/$H36)*100)),((W36/$H36)*100) &lt;&gt; 0), (W36/$H36)*100, ""))</f>
        <v/>
      </c>
      <c r="Y36" s="33"/>
      <c r="Z36" s="36" t="str">
        <f>IF((ISERROR((Y36/$H36)*100)), "", IF(AND(NOT(ISERROR((Y36/$H36)*100)),((Y36/$H36)*100) &lt;&gt; 0), (Y36/$H36)*100, ""))</f>
        <v/>
      </c>
      <c r="AA36" s="33">
        <v>1</v>
      </c>
      <c r="AB36" s="36">
        <f>IF((ISERROR((AA36/$H36)*100)), "", IF(AND(NOT(ISERROR((AA36/$H36)*100)),((AA36/$H36)*100) &lt;&gt; 0), (AA36/$H36)*100, ""))</f>
        <v>7.1428571428571423</v>
      </c>
      <c r="AC36" s="33"/>
      <c r="AD36" s="36" t="str">
        <f>IF((ISERROR((AC36/$H36)*100)), "", IF(AND(NOT(ISERROR((AC36/$H36)*100)),((AC36/$H36)*100) &lt;&gt; 0), (AC36/$H36)*100, ""))</f>
        <v/>
      </c>
      <c r="AE36" s="33"/>
      <c r="AF36" s="36" t="str">
        <f>IF((ISERROR((AE36/$H36)*100)), "", IF(AND(NOT(ISERROR((AE36/$H36)*100)),((AE36/$H36)*100) &lt;&gt; 0), (AE36/$H36)*100, ""))</f>
        <v/>
      </c>
      <c r="AG36" s="33"/>
      <c r="AH36" s="36" t="str">
        <f>IF((ISERROR((AG36/$H36)*100)), "", IF(AND(NOT(ISERROR((AG36/$H36)*100)),((AG36/$H36)*100) &lt;&gt; 0), (AG36/$H36)*100, ""))</f>
        <v/>
      </c>
      <c r="AI36" s="33"/>
      <c r="AJ36" s="36" t="str">
        <f>IF((ISERROR((AI36/$H36)*100)), "", IF(AND(NOT(ISERROR((AI36/$H36)*100)),((AI36/$H36)*100) &lt;&gt; 0), (AI36/$H36)*100, ""))</f>
        <v/>
      </c>
      <c r="AK36" s="33"/>
      <c r="AL36" s="36" t="str">
        <f>IF((ISERROR((AK36/$H36)*100)), "", IF(AND(NOT(ISERROR((AK36/$H36)*100)),((AK36/$H36)*100) &lt;&gt; 0), (AK36/$H36)*100, ""))</f>
        <v/>
      </c>
      <c r="AM36" s="33"/>
      <c r="AN36" s="36" t="str">
        <f>IF((ISERROR((AM36/$H36)*100)), "", IF(AND(NOT(ISERROR((AM36/$H36)*100)),((AM36/$H36)*100) &lt;&gt; 0), (AM36/$H36)*100, ""))</f>
        <v/>
      </c>
      <c r="AO36" s="33"/>
      <c r="AP36" s="36" t="str">
        <f>IF((ISERROR((AO36/$H36)*100)), "", IF(AND(NOT(ISERROR((AO36/$H36)*100)),((AO36/$H36)*100) &lt;&gt; 0), (AO36/$H36)*100, ""))</f>
        <v/>
      </c>
      <c r="AQ36" s="33"/>
      <c r="AR36" s="36" t="str">
        <f>IF((ISERROR((AQ36/$H36)*100)), "", IF(AND(NOT(ISERROR((AQ36/$H36)*100)),((AQ36/$H36)*100) &lt;&gt; 0), (AQ36/$H36)*100, ""))</f>
        <v/>
      </c>
      <c r="AS36" s="33"/>
      <c r="AT36" s="36" t="str">
        <f>IF((ISERROR((AS36/$H36)*100)), "", IF(AND(NOT(ISERROR((AS36/$H36)*100)),((AS36/$H36)*100) &lt;&gt; 0), (AS36/$H36)*100, ""))</f>
        <v/>
      </c>
      <c r="AU36" s="33"/>
      <c r="AV36" s="36" t="str">
        <f>IF((ISERROR((AU36/$H36)*100)), "", IF(AND(NOT(ISERROR((AU36/$H36)*100)),((AU36/$H36)*100) &lt;&gt; 0), (AU36/$H36)*100, ""))</f>
        <v/>
      </c>
      <c r="AW36" s="76"/>
      <c r="AX36" s="36" t="str">
        <f>IF((ISERROR((AW36/$H36)*100)), "", IF(AND(NOT(ISERROR((AW36/$H36)*100)),((AW36/$H36)*100) &lt;&gt; 0), (AW36/$H36)*100, ""))</f>
        <v/>
      </c>
      <c r="AY36" s="76"/>
      <c r="AZ36" s="36" t="str">
        <f>IF((ISERROR((AY36/$H36)*100)), "", IF(AND(NOT(ISERROR((AY36/$H36)*100)),((AY36/$H36)*100) &lt;&gt; 0), (AY36/$H36)*100, ""))</f>
        <v/>
      </c>
      <c r="BA36" s="23" t="s">
        <v>334</v>
      </c>
    </row>
    <row r="37" spans="1:53" ht="20" customHeight="1" x14ac:dyDescent="0.2">
      <c r="A37" s="60"/>
      <c r="B37" s="82"/>
      <c r="C37" s="24" t="s">
        <v>85</v>
      </c>
      <c r="D37" s="23" t="s">
        <v>54</v>
      </c>
      <c r="E37" s="23" t="s">
        <v>55</v>
      </c>
      <c r="F37" s="24">
        <v>1996</v>
      </c>
      <c r="G37" s="24">
        <v>82</v>
      </c>
      <c r="H37" s="89">
        <v>15</v>
      </c>
      <c r="I37" s="85" t="s">
        <v>176</v>
      </c>
      <c r="J37" s="86" t="s">
        <v>178</v>
      </c>
      <c r="K37" s="33">
        <v>3</v>
      </c>
      <c r="L37" s="36">
        <f>IF((ISERROR((K37/$H37)*100)), "", IF(AND(NOT(ISERROR((K37/$H37)*100)),((K37/$H37)*100) &lt;&gt; 0), (K37/$H37)*100, ""))</f>
        <v>20</v>
      </c>
      <c r="M37" s="33"/>
      <c r="N37" s="36" t="str">
        <f>IF((ISERROR((M37/$H37)*100)), "", IF(AND(NOT(ISERROR((M37/$H37)*100)),((M37/$H37)*100) &lt;&gt; 0), (M37/$H37)*100, ""))</f>
        <v/>
      </c>
      <c r="O37" s="33"/>
      <c r="P37" s="36" t="str">
        <f>IF((ISERROR((O37/$H37)*100)), "", IF(AND(NOT(ISERROR((O37/$H37)*100)),((O37/$H37)*100) &lt;&gt; 0), (O37/$H37)*100, ""))</f>
        <v/>
      </c>
      <c r="Q37" s="33"/>
      <c r="R37" s="36" t="str">
        <f>IF((ISERROR((Q37/$H37)*100)), "", IF(AND(NOT(ISERROR((Q37/$H37)*100)),((Q37/$H37)*100) &lt;&gt; 0), (Q37/$H37)*100, ""))</f>
        <v/>
      </c>
      <c r="S37" s="33"/>
      <c r="T37" s="36" t="str">
        <f>IF((ISERROR((S37/$H37)*100)), "", IF(AND(NOT(ISERROR((S37/$H37)*100)),((S37/$H37)*100) &lt;&gt; 0), (S37/$H37)*100, ""))</f>
        <v/>
      </c>
      <c r="U37" s="33"/>
      <c r="V37" s="36" t="str">
        <f>IF((ISERROR((U37/$H37)*100)), "", IF(AND(NOT(ISERROR((U37/$H37)*100)),((U37/$H37)*100) &lt;&gt; 0), (U37/$H37)*100, ""))</f>
        <v/>
      </c>
      <c r="W37" s="33">
        <v>1</v>
      </c>
      <c r="X37" s="36">
        <f>IF((ISERROR((W37/$H37)*100)), "", IF(AND(NOT(ISERROR((W37/$H37)*100)),((W37/$H37)*100) &lt;&gt; 0), (W37/$H37)*100, ""))</f>
        <v>6.666666666666667</v>
      </c>
      <c r="Y37" s="33"/>
      <c r="Z37" s="36" t="str">
        <f>IF((ISERROR((Y37/$H37)*100)), "", IF(AND(NOT(ISERROR((Y37/$H37)*100)),((Y37/$H37)*100) &lt;&gt; 0), (Y37/$H37)*100, ""))</f>
        <v/>
      </c>
      <c r="AA37" s="33"/>
      <c r="AB37" s="36" t="str">
        <f>IF((ISERROR((AA37/$H37)*100)), "", IF(AND(NOT(ISERROR((AA37/$H37)*100)),((AA37/$H37)*100) &lt;&gt; 0), (AA37/$H37)*100, ""))</f>
        <v/>
      </c>
      <c r="AC37" s="33"/>
      <c r="AD37" s="36" t="str">
        <f>IF((ISERROR((AC37/$H37)*100)), "", IF(AND(NOT(ISERROR((AC37/$H37)*100)),((AC37/$H37)*100) &lt;&gt; 0), (AC37/$H37)*100, ""))</f>
        <v/>
      </c>
      <c r="AE37" s="33"/>
      <c r="AF37" s="36" t="str">
        <f>IF((ISERROR((AE37/$H37)*100)), "", IF(AND(NOT(ISERROR((AE37/$H37)*100)),((AE37/$H37)*100) &lt;&gt; 0), (AE37/$H37)*100, ""))</f>
        <v/>
      </c>
      <c r="AG37" s="33"/>
      <c r="AH37" s="36" t="str">
        <f>IF((ISERROR((AG37/$H37)*100)), "", IF(AND(NOT(ISERROR((AG37/$H37)*100)),((AG37/$H37)*100) &lt;&gt; 0), (AG37/$H37)*100, ""))</f>
        <v/>
      </c>
      <c r="AI37" s="33"/>
      <c r="AJ37" s="36" t="str">
        <f>IF((ISERROR((AI37/$H37)*100)), "", IF(AND(NOT(ISERROR((AI37/$H37)*100)),((AI37/$H37)*100) &lt;&gt; 0), (AI37/$H37)*100, ""))</f>
        <v/>
      </c>
      <c r="AK37" s="33"/>
      <c r="AL37" s="36" t="str">
        <f>IF((ISERROR((AK37/$H37)*100)), "", IF(AND(NOT(ISERROR((AK37/$H37)*100)),((AK37/$H37)*100) &lt;&gt; 0), (AK37/$H37)*100, ""))</f>
        <v/>
      </c>
      <c r="AM37" s="33">
        <v>1</v>
      </c>
      <c r="AN37" s="36">
        <f>IF((ISERROR((AM37/$H37)*100)), "", IF(AND(NOT(ISERROR((AM37/$H37)*100)),((AM37/$H37)*100) &lt;&gt; 0), (AM37/$H37)*100, ""))</f>
        <v>6.666666666666667</v>
      </c>
      <c r="AO37" s="33"/>
      <c r="AP37" s="36" t="str">
        <f>IF((ISERROR((AO37/$H37)*100)), "", IF(AND(NOT(ISERROR((AO37/$H37)*100)),((AO37/$H37)*100) &lt;&gt; 0), (AO37/$H37)*100, ""))</f>
        <v/>
      </c>
      <c r="AQ37" s="33"/>
      <c r="AR37" s="36" t="str">
        <f>IF((ISERROR((AQ37/$H37)*100)), "", IF(AND(NOT(ISERROR((AQ37/$H37)*100)),((AQ37/$H37)*100) &lt;&gt; 0), (AQ37/$H37)*100, ""))</f>
        <v/>
      </c>
      <c r="AS37" s="33"/>
      <c r="AT37" s="36" t="str">
        <f>IF((ISERROR((AS37/$H37)*100)), "", IF(AND(NOT(ISERROR((AS37/$H37)*100)),((AS37/$H37)*100) &lt;&gt; 0), (AS37/$H37)*100, ""))</f>
        <v/>
      </c>
      <c r="AU37" s="33"/>
      <c r="AV37" s="36" t="str">
        <f>IF((ISERROR((AU37/$H37)*100)), "", IF(AND(NOT(ISERROR((AU37/$H37)*100)),((AU37/$H37)*100) &lt;&gt; 0), (AU37/$H37)*100, ""))</f>
        <v/>
      </c>
      <c r="AW37" s="76">
        <v>1</v>
      </c>
      <c r="AX37" s="36">
        <f>IF((ISERROR((AW37/$H37)*100)), "", IF(AND(NOT(ISERROR((AW37/$H37)*100)),((AW37/$H37)*100) &lt;&gt; 0), (AW37/$H37)*100, ""))</f>
        <v>6.666666666666667</v>
      </c>
      <c r="AY37" s="76"/>
      <c r="AZ37" s="36" t="str">
        <f>IF((ISERROR((AY37/$H37)*100)), "", IF(AND(NOT(ISERROR((AY37/$H37)*100)),((AY37/$H37)*100) &lt;&gt; 0), (AY37/$H37)*100, ""))</f>
        <v/>
      </c>
      <c r="BA37" s="23" t="s">
        <v>344</v>
      </c>
    </row>
    <row r="38" spans="1:53" ht="20" customHeight="1" x14ac:dyDescent="0.2">
      <c r="A38" s="60"/>
      <c r="B38" s="84"/>
      <c r="C38" s="24" t="s">
        <v>85</v>
      </c>
      <c r="D38" s="23" t="s">
        <v>69</v>
      </c>
      <c r="E38" s="23" t="s">
        <v>70</v>
      </c>
      <c r="F38" s="24">
        <v>2004</v>
      </c>
      <c r="G38" s="24">
        <v>61</v>
      </c>
      <c r="H38" s="89">
        <v>15</v>
      </c>
      <c r="I38" s="85" t="s">
        <v>184</v>
      </c>
      <c r="J38" s="86" t="s">
        <v>192</v>
      </c>
      <c r="K38" s="33"/>
      <c r="L38" s="36" t="str">
        <f>IF((ISERROR((K38/$H38)*100)), "", IF(AND(NOT(ISERROR((K38/$H38)*100)),((K38/$H38)*100) &lt;&gt; 0), (K38/$H38)*100, ""))</f>
        <v/>
      </c>
      <c r="M38" s="33"/>
      <c r="N38" s="36" t="str">
        <f>IF((ISERROR((M38/$H38)*100)), "", IF(AND(NOT(ISERROR((M38/$H38)*100)),((M38/$H38)*100) &lt;&gt; 0), (M38/$H38)*100, ""))</f>
        <v/>
      </c>
      <c r="O38" s="33"/>
      <c r="P38" s="36" t="str">
        <f>IF((ISERROR((O38/$H38)*100)), "", IF(AND(NOT(ISERROR((O38/$H38)*100)),((O38/$H38)*100) &lt;&gt; 0), (O38/$H38)*100, ""))</f>
        <v/>
      </c>
      <c r="Q38" s="33"/>
      <c r="R38" s="36" t="str">
        <f>IF((ISERROR((Q38/$H38)*100)), "", IF(AND(NOT(ISERROR((Q38/$H38)*100)),((Q38/$H38)*100) &lt;&gt; 0), (Q38/$H38)*100, ""))</f>
        <v/>
      </c>
      <c r="S38" s="33"/>
      <c r="T38" s="36" t="str">
        <f>IF((ISERROR((S38/$H38)*100)), "", IF(AND(NOT(ISERROR((S38/$H38)*100)),((S38/$H38)*100) &lt;&gt; 0), (S38/$H38)*100, ""))</f>
        <v/>
      </c>
      <c r="U38" s="33"/>
      <c r="V38" s="36" t="str">
        <f>IF((ISERROR((U38/$H38)*100)), "", IF(AND(NOT(ISERROR((U38/$H38)*100)),((U38/$H38)*100) &lt;&gt; 0), (U38/$H38)*100, ""))</f>
        <v/>
      </c>
      <c r="W38" s="33"/>
      <c r="X38" s="36" t="str">
        <f>IF((ISERROR((W38/$H38)*100)), "", IF(AND(NOT(ISERROR((W38/$H38)*100)),((W38/$H38)*100) &lt;&gt; 0), (W38/$H38)*100, ""))</f>
        <v/>
      </c>
      <c r="Y38" s="33"/>
      <c r="Z38" s="36" t="str">
        <f>IF((ISERROR((Y38/$H38)*100)), "", IF(AND(NOT(ISERROR((Y38/$H38)*100)),((Y38/$H38)*100) &lt;&gt; 0), (Y38/$H38)*100, ""))</f>
        <v/>
      </c>
      <c r="AA38" s="33"/>
      <c r="AB38" s="36" t="str">
        <f>IF((ISERROR((AA38/$H38)*100)), "", IF(AND(NOT(ISERROR((AA38/$H38)*100)),((AA38/$H38)*100) &lt;&gt; 0), (AA38/$H38)*100, ""))</f>
        <v/>
      </c>
      <c r="AC38" s="33"/>
      <c r="AD38" s="36" t="str">
        <f>IF((ISERROR((AC38/$H38)*100)), "", IF(AND(NOT(ISERROR((AC38/$H38)*100)),((AC38/$H38)*100) &lt;&gt; 0), (AC38/$H38)*100, ""))</f>
        <v/>
      </c>
      <c r="AE38" s="33"/>
      <c r="AF38" s="36" t="str">
        <f>IF((ISERROR((AE38/$H38)*100)), "", IF(AND(NOT(ISERROR((AE38/$H38)*100)),((AE38/$H38)*100) &lt;&gt; 0), (AE38/$H38)*100, ""))</f>
        <v/>
      </c>
      <c r="AG38" s="33"/>
      <c r="AH38" s="36" t="str">
        <f>IF((ISERROR((AG38/$H38)*100)), "", IF(AND(NOT(ISERROR((AG38/$H38)*100)),((AG38/$H38)*100) &lt;&gt; 0), (AG38/$H38)*100, ""))</f>
        <v/>
      </c>
      <c r="AI38" s="33"/>
      <c r="AJ38" s="36" t="str">
        <f>IF((ISERROR((AI38/$H38)*100)), "", IF(AND(NOT(ISERROR((AI38/$H38)*100)),((AI38/$H38)*100) &lt;&gt; 0), (AI38/$H38)*100, ""))</f>
        <v/>
      </c>
      <c r="AK38" s="33"/>
      <c r="AL38" s="36" t="str">
        <f>IF((ISERROR((AK38/$H38)*100)), "", IF(AND(NOT(ISERROR((AK38/$H38)*100)),((AK38/$H38)*100) &lt;&gt; 0), (AK38/$H38)*100, ""))</f>
        <v/>
      </c>
      <c r="AM38" s="33"/>
      <c r="AN38" s="36" t="str">
        <f>IF((ISERROR((AM38/$H38)*100)), "", IF(AND(NOT(ISERROR((AM38/$H38)*100)),((AM38/$H38)*100) &lt;&gt; 0), (AM38/$H38)*100, ""))</f>
        <v/>
      </c>
      <c r="AO38" s="33"/>
      <c r="AP38" s="36" t="str">
        <f>IF((ISERROR((AO38/$H38)*100)), "", IF(AND(NOT(ISERROR((AO38/$H38)*100)),((AO38/$H38)*100) &lt;&gt; 0), (AO38/$H38)*100, ""))</f>
        <v/>
      </c>
      <c r="AQ38" s="33"/>
      <c r="AR38" s="36" t="str">
        <f>IF((ISERROR((AQ38/$H38)*100)), "", IF(AND(NOT(ISERROR((AQ38/$H38)*100)),((AQ38/$H38)*100) &lt;&gt; 0), (AQ38/$H38)*100, ""))</f>
        <v/>
      </c>
      <c r="AS38" s="33"/>
      <c r="AT38" s="36" t="str">
        <f>IF((ISERROR((AS38/$H38)*100)), "", IF(AND(NOT(ISERROR((AS38/$H38)*100)),((AS38/$H38)*100) &lt;&gt; 0), (AS38/$H38)*100, ""))</f>
        <v/>
      </c>
      <c r="AU38" s="33"/>
      <c r="AV38" s="36" t="str">
        <f>IF((ISERROR((AU38/$H38)*100)), "", IF(AND(NOT(ISERROR((AU38/$H38)*100)),((AU38/$H38)*100) &lt;&gt; 0), (AU38/$H38)*100, ""))</f>
        <v/>
      </c>
      <c r="AW38" s="76">
        <v>13</v>
      </c>
      <c r="AX38" s="36">
        <f>IF((ISERROR((AW38/$H38)*100)), "", IF(AND(NOT(ISERROR((AW38/$H38)*100)),((AW38/$H38)*100) &lt;&gt; 0), (AW38/$H38)*100, ""))</f>
        <v>86.666666666666671</v>
      </c>
      <c r="AY38" s="76"/>
      <c r="AZ38" s="36" t="str">
        <f>IF((ISERROR((AY38/$H38)*100)), "", IF(AND(NOT(ISERROR((AY38/$H38)*100)),((AY38/$H38)*100) &lt;&gt; 0), (AY38/$H38)*100, ""))</f>
        <v/>
      </c>
      <c r="BA38" s="23" t="s">
        <v>415</v>
      </c>
    </row>
    <row r="39" spans="1:53" ht="20" customHeight="1" x14ac:dyDescent="0.2">
      <c r="A39" s="60"/>
      <c r="B39" s="83"/>
      <c r="C39" s="50" t="s">
        <v>85</v>
      </c>
      <c r="D39" s="49" t="s">
        <v>71</v>
      </c>
      <c r="E39" s="49" t="s">
        <v>70</v>
      </c>
      <c r="F39" s="50">
        <v>2004</v>
      </c>
      <c r="G39" s="50">
        <v>45</v>
      </c>
      <c r="H39" s="89">
        <v>15</v>
      </c>
      <c r="I39" s="85" t="s">
        <v>184</v>
      </c>
      <c r="J39" s="86" t="s">
        <v>192</v>
      </c>
      <c r="K39" s="33"/>
      <c r="L39" s="36" t="str">
        <f>IF((ISERROR((K39/$H39)*100)), "", IF(AND(NOT(ISERROR((K39/$H39)*100)),((K39/$H39)*100) &lt;&gt; 0), (K39/$H39)*100, ""))</f>
        <v/>
      </c>
      <c r="M39" s="33"/>
      <c r="N39" s="36" t="str">
        <f>IF((ISERROR((M39/$H39)*100)), "", IF(AND(NOT(ISERROR((M39/$H39)*100)),((M39/$H39)*100) &lt;&gt; 0), (M39/$H39)*100, ""))</f>
        <v/>
      </c>
      <c r="O39" s="33"/>
      <c r="P39" s="36" t="str">
        <f>IF((ISERROR((O39/$H39)*100)), "", IF(AND(NOT(ISERROR((O39/$H39)*100)),((O39/$H39)*100) &lt;&gt; 0), (O39/$H39)*100, ""))</f>
        <v/>
      </c>
      <c r="Q39" s="33"/>
      <c r="R39" s="36" t="str">
        <f>IF((ISERROR((Q39/$H39)*100)), "", IF(AND(NOT(ISERROR((Q39/$H39)*100)),((Q39/$H39)*100) &lt;&gt; 0), (Q39/$H39)*100, ""))</f>
        <v/>
      </c>
      <c r="S39" s="33"/>
      <c r="T39" s="36" t="str">
        <f>IF((ISERROR((S39/$H39)*100)), "", IF(AND(NOT(ISERROR((S39/$H39)*100)),((S39/$H39)*100) &lt;&gt; 0), (S39/$H39)*100, ""))</f>
        <v/>
      </c>
      <c r="U39" s="33"/>
      <c r="V39" s="36" t="str">
        <f>IF((ISERROR((U39/$H39)*100)), "", IF(AND(NOT(ISERROR((U39/$H39)*100)),((U39/$H39)*100) &lt;&gt; 0), (U39/$H39)*100, ""))</f>
        <v/>
      </c>
      <c r="W39" s="33"/>
      <c r="X39" s="36" t="str">
        <f>IF((ISERROR((W39/$H39)*100)), "", IF(AND(NOT(ISERROR((W39/$H39)*100)),((W39/$H39)*100) &lt;&gt; 0), (W39/$H39)*100, ""))</f>
        <v/>
      </c>
      <c r="Y39" s="33"/>
      <c r="Z39" s="36" t="str">
        <f>IF((ISERROR((Y39/$H39)*100)), "", IF(AND(NOT(ISERROR((Y39/$H39)*100)),((Y39/$H39)*100) &lt;&gt; 0), (Y39/$H39)*100, ""))</f>
        <v/>
      </c>
      <c r="AA39" s="33"/>
      <c r="AB39" s="36" t="str">
        <f>IF((ISERROR((AA39/$H39)*100)), "", IF(AND(NOT(ISERROR((AA39/$H39)*100)),((AA39/$H39)*100) &lt;&gt; 0), (AA39/$H39)*100, ""))</f>
        <v/>
      </c>
      <c r="AC39" s="33"/>
      <c r="AD39" s="36" t="str">
        <f>IF((ISERROR((AC39/$H39)*100)), "", IF(AND(NOT(ISERROR((AC39/$H39)*100)),((AC39/$H39)*100) &lt;&gt; 0), (AC39/$H39)*100, ""))</f>
        <v/>
      </c>
      <c r="AE39" s="33"/>
      <c r="AF39" s="36" t="str">
        <f>IF((ISERROR((AE39/$H39)*100)), "", IF(AND(NOT(ISERROR((AE39/$H39)*100)),((AE39/$H39)*100) &lt;&gt; 0), (AE39/$H39)*100, ""))</f>
        <v/>
      </c>
      <c r="AG39" s="33"/>
      <c r="AH39" s="36" t="str">
        <f>IF((ISERROR((AG39/$H39)*100)), "", IF(AND(NOT(ISERROR((AG39/$H39)*100)),((AG39/$H39)*100) &lt;&gt; 0), (AG39/$H39)*100, ""))</f>
        <v/>
      </c>
      <c r="AI39" s="33"/>
      <c r="AJ39" s="36" t="str">
        <f>IF((ISERROR((AI39/$H39)*100)), "", IF(AND(NOT(ISERROR((AI39/$H39)*100)),((AI39/$H39)*100) &lt;&gt; 0), (AI39/$H39)*100, ""))</f>
        <v/>
      </c>
      <c r="AK39" s="33"/>
      <c r="AL39" s="36" t="str">
        <f>IF((ISERROR((AK39/$H39)*100)), "", IF(AND(NOT(ISERROR((AK39/$H39)*100)),((AK39/$H39)*100) &lt;&gt; 0), (AK39/$H39)*100, ""))</f>
        <v/>
      </c>
      <c r="AM39" s="33"/>
      <c r="AN39" s="36" t="str">
        <f>IF((ISERROR((AM39/$H39)*100)), "", IF(AND(NOT(ISERROR((AM39/$H39)*100)),((AM39/$H39)*100) &lt;&gt; 0), (AM39/$H39)*100, ""))</f>
        <v/>
      </c>
      <c r="AO39" s="33"/>
      <c r="AP39" s="36" t="str">
        <f>IF((ISERROR((AO39/$H39)*100)), "", IF(AND(NOT(ISERROR((AO39/$H39)*100)),((AO39/$H39)*100) &lt;&gt; 0), (AO39/$H39)*100, ""))</f>
        <v/>
      </c>
      <c r="AQ39" s="33"/>
      <c r="AR39" s="36" t="str">
        <f>IF((ISERROR((AQ39/$H39)*100)), "", IF(AND(NOT(ISERROR((AQ39/$H39)*100)),((AQ39/$H39)*100) &lt;&gt; 0), (AQ39/$H39)*100, ""))</f>
        <v/>
      </c>
      <c r="AS39" s="33"/>
      <c r="AT39" s="36" t="str">
        <f>IF((ISERROR((AS39/$H39)*100)), "", IF(AND(NOT(ISERROR((AS39/$H39)*100)),((AS39/$H39)*100) &lt;&gt; 0), (AS39/$H39)*100, ""))</f>
        <v/>
      </c>
      <c r="AU39" s="33"/>
      <c r="AV39" s="36" t="str">
        <f>IF((ISERROR((AU39/$H39)*100)), "", IF(AND(NOT(ISERROR((AU39/$H39)*100)),((AU39/$H39)*100) &lt;&gt; 0), (AU39/$H39)*100, ""))</f>
        <v/>
      </c>
      <c r="AW39" s="76"/>
      <c r="AX39" s="36" t="str">
        <f>IF((ISERROR((AW39/$H39)*100)), "", IF(AND(NOT(ISERROR((AW39/$H39)*100)),((AW39/$H39)*100) &lt;&gt; 0), (AW39/$H39)*100, ""))</f>
        <v/>
      </c>
      <c r="AY39" s="76"/>
      <c r="AZ39" s="36" t="str">
        <f>IF((ISERROR((AY39/$H39)*100)), "", IF(AND(NOT(ISERROR((AY39/$H39)*100)),((AY39/$H39)*100) &lt;&gt; 0), (AY39/$H39)*100, ""))</f>
        <v/>
      </c>
      <c r="BA39" s="23" t="s">
        <v>416</v>
      </c>
    </row>
    <row r="40" spans="1:53" ht="20" customHeight="1" x14ac:dyDescent="0.2">
      <c r="A40" s="61"/>
      <c r="B40" s="83"/>
      <c r="C40" s="24" t="s">
        <v>85</v>
      </c>
      <c r="D40" s="23" t="s">
        <v>81</v>
      </c>
      <c r="E40" s="23" t="s">
        <v>82</v>
      </c>
      <c r="F40" s="24">
        <v>1994</v>
      </c>
      <c r="G40" s="24">
        <v>292</v>
      </c>
      <c r="H40" s="89">
        <v>15</v>
      </c>
      <c r="I40" s="85" t="s">
        <v>196</v>
      </c>
      <c r="J40" s="86"/>
      <c r="K40" s="33"/>
      <c r="L40" s="36" t="str">
        <f>IF((ISERROR((K40/$H40)*100)), "", IF(AND(NOT(ISERROR((K40/$H40)*100)),((K40/$H40)*100) &lt;&gt; 0), (K40/$H40)*100, ""))</f>
        <v/>
      </c>
      <c r="M40" s="33"/>
      <c r="N40" s="36" t="str">
        <f>IF((ISERROR((M40/$H40)*100)), "", IF(AND(NOT(ISERROR((M40/$H40)*100)),((M40/$H40)*100) &lt;&gt; 0), (M40/$H40)*100, ""))</f>
        <v/>
      </c>
      <c r="O40" s="33"/>
      <c r="P40" s="36" t="str">
        <f>IF((ISERROR((O40/$H40)*100)), "", IF(AND(NOT(ISERROR((O40/$H40)*100)),((O40/$H40)*100) &lt;&gt; 0), (O40/$H40)*100, ""))</f>
        <v/>
      </c>
      <c r="Q40" s="33"/>
      <c r="R40" s="36" t="str">
        <f>IF((ISERROR((Q40/$H40)*100)), "", IF(AND(NOT(ISERROR((Q40/$H40)*100)),((Q40/$H40)*100) &lt;&gt; 0), (Q40/$H40)*100, ""))</f>
        <v/>
      </c>
      <c r="S40" s="33"/>
      <c r="T40" s="36" t="str">
        <f>IF((ISERROR((S40/$H40)*100)), "", IF(AND(NOT(ISERROR((S40/$H40)*100)),((S40/$H40)*100) &lt;&gt; 0), (S40/$H40)*100, ""))</f>
        <v/>
      </c>
      <c r="U40" s="33"/>
      <c r="V40" s="36" t="str">
        <f>IF((ISERROR((U40/$H40)*100)), "", IF(AND(NOT(ISERROR((U40/$H40)*100)),((U40/$H40)*100) &lt;&gt; 0), (U40/$H40)*100, ""))</f>
        <v/>
      </c>
      <c r="W40" s="33"/>
      <c r="X40" s="36" t="str">
        <f>IF((ISERROR((W40/$H40)*100)), "", IF(AND(NOT(ISERROR((W40/$H40)*100)),((W40/$H40)*100) &lt;&gt; 0), (W40/$H40)*100, ""))</f>
        <v/>
      </c>
      <c r="Y40" s="33"/>
      <c r="Z40" s="36" t="str">
        <f>IF((ISERROR((Y40/$H40)*100)), "", IF(AND(NOT(ISERROR((Y40/$H40)*100)),((Y40/$H40)*100) &lt;&gt; 0), (Y40/$H40)*100, ""))</f>
        <v/>
      </c>
      <c r="AA40" s="33"/>
      <c r="AB40" s="36" t="str">
        <f>IF((ISERROR((AA40/$H40)*100)), "", IF(AND(NOT(ISERROR((AA40/$H40)*100)),((AA40/$H40)*100) &lt;&gt; 0), (AA40/$H40)*100, ""))</f>
        <v/>
      </c>
      <c r="AC40" s="33"/>
      <c r="AD40" s="36" t="str">
        <f>IF((ISERROR((AC40/$H40)*100)), "", IF(AND(NOT(ISERROR((AC40/$H40)*100)),((AC40/$H40)*100) &lt;&gt; 0), (AC40/$H40)*100, ""))</f>
        <v/>
      </c>
      <c r="AE40" s="33"/>
      <c r="AF40" s="36" t="str">
        <f>IF((ISERROR((AE40/$H40)*100)), "", IF(AND(NOT(ISERROR((AE40/$H40)*100)),((AE40/$H40)*100) &lt;&gt; 0), (AE40/$H40)*100, ""))</f>
        <v/>
      </c>
      <c r="AG40" s="33"/>
      <c r="AH40" s="36" t="str">
        <f>IF((ISERROR((AG40/$H40)*100)), "", IF(AND(NOT(ISERROR((AG40/$H40)*100)),((AG40/$H40)*100) &lt;&gt; 0), (AG40/$H40)*100, ""))</f>
        <v/>
      </c>
      <c r="AI40" s="33"/>
      <c r="AJ40" s="36" t="str">
        <f>IF((ISERROR((AI40/$H40)*100)), "", IF(AND(NOT(ISERROR((AI40/$H40)*100)),((AI40/$H40)*100) &lt;&gt; 0), (AI40/$H40)*100, ""))</f>
        <v/>
      </c>
      <c r="AK40" s="33"/>
      <c r="AL40" s="36" t="str">
        <f>IF((ISERROR((AK40/$H40)*100)), "", IF(AND(NOT(ISERROR((AK40/$H40)*100)),((AK40/$H40)*100) &lt;&gt; 0), (AK40/$H40)*100, ""))</f>
        <v/>
      </c>
      <c r="AM40" s="33"/>
      <c r="AN40" s="36" t="str">
        <f>IF((ISERROR((AM40/$H40)*100)), "", IF(AND(NOT(ISERROR((AM40/$H40)*100)),((AM40/$H40)*100) &lt;&gt; 0), (AM40/$H40)*100, ""))</f>
        <v/>
      </c>
      <c r="AO40" s="33"/>
      <c r="AP40" s="36" t="str">
        <f>IF((ISERROR((AO40/$H40)*100)), "", IF(AND(NOT(ISERROR((AO40/$H40)*100)),((AO40/$H40)*100) &lt;&gt; 0), (AO40/$H40)*100, ""))</f>
        <v/>
      </c>
      <c r="AQ40" s="33"/>
      <c r="AR40" s="36" t="str">
        <f>IF((ISERROR((AQ40/$H40)*100)), "", IF(AND(NOT(ISERROR((AQ40/$H40)*100)),((AQ40/$H40)*100) &lt;&gt; 0), (AQ40/$H40)*100, ""))</f>
        <v/>
      </c>
      <c r="AS40" s="33"/>
      <c r="AT40" s="36" t="str">
        <f>IF((ISERROR((AS40/$H40)*100)), "", IF(AND(NOT(ISERROR((AS40/$H40)*100)),((AS40/$H40)*100) &lt;&gt; 0), (AS40/$H40)*100, ""))</f>
        <v/>
      </c>
      <c r="AU40" s="33"/>
      <c r="AV40" s="36" t="str">
        <f>IF((ISERROR((AU40/$H40)*100)), "", IF(AND(NOT(ISERROR((AU40/$H40)*100)),((AU40/$H40)*100) &lt;&gt; 0), (AU40/$H40)*100, ""))</f>
        <v/>
      </c>
      <c r="AW40" s="31"/>
      <c r="AX40" s="36" t="str">
        <f>IF((ISERROR((AW40/$H40)*100)), "", IF(AND(NOT(ISERROR((AW40/$H40)*100)),((AW40/$H40)*100) &lt;&gt; 0), (AW40/$H40)*100, ""))</f>
        <v/>
      </c>
      <c r="AY40" s="59"/>
      <c r="AZ40" s="36" t="str">
        <f>IF((ISERROR((AY40/$H40)*100)), "", IF(AND(NOT(ISERROR((AY40/$H40)*100)),((AY40/$H40)*100) &lt;&gt; 0), (AY40/$H40)*100, ""))</f>
        <v/>
      </c>
      <c r="BA40" s="23" t="s">
        <v>197</v>
      </c>
    </row>
    <row r="41" spans="1:53" ht="20" customHeight="1" x14ac:dyDescent="0.2">
      <c r="A41" s="60"/>
      <c r="B41" s="83"/>
      <c r="C41" s="24" t="s">
        <v>85</v>
      </c>
      <c r="D41" s="23" t="s">
        <v>341</v>
      </c>
      <c r="E41" s="23" t="s">
        <v>342</v>
      </c>
      <c r="F41" s="24">
        <v>2008</v>
      </c>
      <c r="H41" s="89">
        <v>16</v>
      </c>
      <c r="I41" s="85" t="s">
        <v>176</v>
      </c>
      <c r="J41" s="86" t="s">
        <v>343</v>
      </c>
      <c r="K41" s="33"/>
      <c r="L41" s="36" t="str">
        <f>IF((ISERROR((K41/$H41)*100)), "", IF(AND(NOT(ISERROR((K41/$H41)*100)),((K41/$H41)*100) &lt;&gt; 0), (K41/$H41)*100, ""))</f>
        <v/>
      </c>
      <c r="M41" s="33"/>
      <c r="N41" s="36" t="str">
        <f>IF((ISERROR((M41/$H41)*100)), "", IF(AND(NOT(ISERROR((M41/$H41)*100)),((M41/$H41)*100) &lt;&gt; 0), (M41/$H41)*100, ""))</f>
        <v/>
      </c>
      <c r="O41" s="33"/>
      <c r="P41" s="36" t="str">
        <f>IF((ISERROR((O41/$H41)*100)), "", IF(AND(NOT(ISERROR((O41/$H41)*100)),((O41/$H41)*100) &lt;&gt; 0), (O41/$H41)*100, ""))</f>
        <v/>
      </c>
      <c r="Q41" s="33"/>
      <c r="R41" s="36" t="str">
        <f>IF((ISERROR((Q41/$H41)*100)), "", IF(AND(NOT(ISERROR((Q41/$H41)*100)),((Q41/$H41)*100) &lt;&gt; 0), (Q41/$H41)*100, ""))</f>
        <v/>
      </c>
      <c r="S41" s="33"/>
      <c r="T41" s="36" t="str">
        <f>IF((ISERROR((S41/$H41)*100)), "", IF(AND(NOT(ISERROR((S41/$H41)*100)),((S41/$H41)*100) &lt;&gt; 0), (S41/$H41)*100, ""))</f>
        <v/>
      </c>
      <c r="U41" s="33"/>
      <c r="V41" s="36" t="str">
        <f>IF((ISERROR((U41/$H41)*100)), "", IF(AND(NOT(ISERROR((U41/$H41)*100)),((U41/$H41)*100) &lt;&gt; 0), (U41/$H41)*100, ""))</f>
        <v/>
      </c>
      <c r="W41" s="33"/>
      <c r="X41" s="36" t="str">
        <f>IF((ISERROR((W41/$H41)*100)), "", IF(AND(NOT(ISERROR((W41/$H41)*100)),((W41/$H41)*100) &lt;&gt; 0), (W41/$H41)*100, ""))</f>
        <v/>
      </c>
      <c r="Y41" s="33"/>
      <c r="Z41" s="36" t="str">
        <f>IF((ISERROR((Y41/$H41)*100)), "", IF(AND(NOT(ISERROR((Y41/$H41)*100)),((Y41/$H41)*100) &lt;&gt; 0), (Y41/$H41)*100, ""))</f>
        <v/>
      </c>
      <c r="AA41" s="33"/>
      <c r="AB41" s="36" t="str">
        <f>IF((ISERROR((AA41/$H41)*100)), "", IF(AND(NOT(ISERROR((AA41/$H41)*100)),((AA41/$H41)*100) &lt;&gt; 0), (AA41/$H41)*100, ""))</f>
        <v/>
      </c>
      <c r="AC41" s="33"/>
      <c r="AD41" s="36" t="str">
        <f>IF((ISERROR((AC41/$H41)*100)), "", IF(AND(NOT(ISERROR((AC41/$H41)*100)),((AC41/$H41)*100) &lt;&gt; 0), (AC41/$H41)*100, ""))</f>
        <v/>
      </c>
      <c r="AE41" s="33"/>
      <c r="AF41" s="36" t="str">
        <f>IF((ISERROR((AE41/$H41)*100)), "", IF(AND(NOT(ISERROR((AE41/$H41)*100)),((AE41/$H41)*100) &lt;&gt; 0), (AE41/$H41)*100, ""))</f>
        <v/>
      </c>
      <c r="AG41" s="33"/>
      <c r="AH41" s="36" t="str">
        <f>IF((ISERROR((AG41/$H41)*100)), "", IF(AND(NOT(ISERROR((AG41/$H41)*100)),((AG41/$H41)*100) &lt;&gt; 0), (AG41/$H41)*100, ""))</f>
        <v/>
      </c>
      <c r="AI41" s="33"/>
      <c r="AJ41" s="36" t="str">
        <f>IF((ISERROR((AI41/$H41)*100)), "", IF(AND(NOT(ISERROR((AI41/$H41)*100)),((AI41/$H41)*100) &lt;&gt; 0), (AI41/$H41)*100, ""))</f>
        <v/>
      </c>
      <c r="AK41" s="33"/>
      <c r="AL41" s="36" t="str">
        <f>IF((ISERROR((AK41/$H41)*100)), "", IF(AND(NOT(ISERROR((AK41/$H41)*100)),((AK41/$H41)*100) &lt;&gt; 0), (AK41/$H41)*100, ""))</f>
        <v/>
      </c>
      <c r="AM41" s="33"/>
      <c r="AN41" s="36" t="str">
        <f>IF((ISERROR((AM41/$H41)*100)), "", IF(AND(NOT(ISERROR((AM41/$H41)*100)),((AM41/$H41)*100) &lt;&gt; 0), (AM41/$H41)*100, ""))</f>
        <v/>
      </c>
      <c r="AO41" s="33"/>
      <c r="AP41" s="36" t="str">
        <f>IF((ISERROR((AO41/$H41)*100)), "", IF(AND(NOT(ISERROR((AO41/$H41)*100)),((AO41/$H41)*100) &lt;&gt; 0), (AO41/$H41)*100, ""))</f>
        <v/>
      </c>
      <c r="AQ41" s="33"/>
      <c r="AR41" s="36" t="str">
        <f>IF((ISERROR((AQ41/$H41)*100)), "", IF(AND(NOT(ISERROR((AQ41/$H41)*100)),((AQ41/$H41)*100) &lt;&gt; 0), (AQ41/$H41)*100, ""))</f>
        <v/>
      </c>
      <c r="AS41" s="33"/>
      <c r="AT41" s="36" t="str">
        <f>IF((ISERROR((AS41/$H41)*100)), "", IF(AND(NOT(ISERROR((AS41/$H41)*100)),((AS41/$H41)*100) &lt;&gt; 0), (AS41/$H41)*100, ""))</f>
        <v/>
      </c>
      <c r="AU41" s="33"/>
      <c r="AV41" s="36" t="str">
        <f>IF((ISERROR((AU41/$H41)*100)), "", IF(AND(NOT(ISERROR((AU41/$H41)*100)),((AU41/$H41)*100) &lt;&gt; 0), (AU41/$H41)*100, ""))</f>
        <v/>
      </c>
      <c r="AW41" s="30"/>
      <c r="AX41" s="36" t="str">
        <f>IF((ISERROR((AW41/$H41)*100)), "", IF(AND(NOT(ISERROR((AW41/$H41)*100)),((AW41/$H41)*100) &lt;&gt; 0), (AW41/$H41)*100, ""))</f>
        <v/>
      </c>
      <c r="AY41" s="59"/>
      <c r="AZ41" s="36" t="str">
        <f>IF((ISERROR((AY41/$H41)*100)), "", IF(AND(NOT(ISERROR((AY41/$H41)*100)),((AY41/$H41)*100) &lt;&gt; 0), (AY41/$H41)*100, ""))</f>
        <v/>
      </c>
      <c r="BA41" s="23" t="s">
        <v>413</v>
      </c>
    </row>
    <row r="42" spans="1:53" ht="20" customHeight="1" x14ac:dyDescent="0.2">
      <c r="A42" s="61"/>
      <c r="B42" s="83"/>
      <c r="C42" s="24" t="s">
        <v>85</v>
      </c>
      <c r="D42" s="23" t="s">
        <v>111</v>
      </c>
      <c r="E42" s="23" t="s">
        <v>112</v>
      </c>
      <c r="F42" s="24">
        <v>2008</v>
      </c>
      <c r="G42" s="24">
        <v>101</v>
      </c>
      <c r="H42" s="89">
        <v>16</v>
      </c>
      <c r="I42" s="85" t="s">
        <v>211</v>
      </c>
      <c r="J42" s="86"/>
      <c r="K42" s="33"/>
      <c r="L42" s="36" t="str">
        <f>IF((ISERROR((K42/$H42)*100)), "", IF(AND(NOT(ISERROR((K42/$H42)*100)),((K42/$H42)*100) &lt;&gt; 0), (K42/$H42)*100, ""))</f>
        <v/>
      </c>
      <c r="M42" s="33"/>
      <c r="N42" s="36" t="str">
        <f>IF((ISERROR((M42/$H42)*100)), "", IF(AND(NOT(ISERROR((M42/$H42)*100)),((M42/$H42)*100) &lt;&gt; 0), (M42/$H42)*100, ""))</f>
        <v/>
      </c>
      <c r="O42" s="33"/>
      <c r="P42" s="36" t="str">
        <f>IF((ISERROR((O42/$H42)*100)), "", IF(AND(NOT(ISERROR((O42/$H42)*100)),((O42/$H42)*100) &lt;&gt; 0), (O42/$H42)*100, ""))</f>
        <v/>
      </c>
      <c r="Q42" s="33"/>
      <c r="R42" s="36" t="str">
        <f>IF((ISERROR((Q42/$H42)*100)), "", IF(AND(NOT(ISERROR((Q42/$H42)*100)),((Q42/$H42)*100) &lt;&gt; 0), (Q42/$H42)*100, ""))</f>
        <v/>
      </c>
      <c r="S42" s="33"/>
      <c r="T42" s="36" t="str">
        <f>IF((ISERROR((S42/$H42)*100)), "", IF(AND(NOT(ISERROR((S42/$H42)*100)),((S42/$H42)*100) &lt;&gt; 0), (S42/$H42)*100, ""))</f>
        <v/>
      </c>
      <c r="U42" s="33"/>
      <c r="V42" s="36" t="str">
        <f>IF((ISERROR((U42/$H42)*100)), "", IF(AND(NOT(ISERROR((U42/$H42)*100)),((U42/$H42)*100) &lt;&gt; 0), (U42/$H42)*100, ""))</f>
        <v/>
      </c>
      <c r="W42" s="33"/>
      <c r="X42" s="36" t="str">
        <f>IF((ISERROR((W42/$H42)*100)), "", IF(AND(NOT(ISERROR((W42/$H42)*100)),((W42/$H42)*100) &lt;&gt; 0), (W42/$H42)*100, ""))</f>
        <v/>
      </c>
      <c r="Y42" s="33"/>
      <c r="Z42" s="36" t="str">
        <f>IF((ISERROR((Y42/$H42)*100)), "", IF(AND(NOT(ISERROR((Y42/$H42)*100)),((Y42/$H42)*100) &lt;&gt; 0), (Y42/$H42)*100, ""))</f>
        <v/>
      </c>
      <c r="AA42" s="33"/>
      <c r="AB42" s="36" t="str">
        <f>IF((ISERROR((AA42/$H42)*100)), "", IF(AND(NOT(ISERROR((AA42/$H42)*100)),((AA42/$H42)*100) &lt;&gt; 0), (AA42/$H42)*100, ""))</f>
        <v/>
      </c>
      <c r="AC42" s="33"/>
      <c r="AD42" s="36" t="str">
        <f>IF((ISERROR((AC42/$H42)*100)), "", IF(AND(NOT(ISERROR((AC42/$H42)*100)),((AC42/$H42)*100) &lt;&gt; 0), (AC42/$H42)*100, ""))</f>
        <v/>
      </c>
      <c r="AE42" s="33"/>
      <c r="AF42" s="36" t="str">
        <f>IF((ISERROR((AE42/$H42)*100)), "", IF(AND(NOT(ISERROR((AE42/$H42)*100)),((AE42/$H42)*100) &lt;&gt; 0), (AE42/$H42)*100, ""))</f>
        <v/>
      </c>
      <c r="AG42" s="33"/>
      <c r="AH42" s="36" t="str">
        <f>IF((ISERROR((AG42/$H42)*100)), "", IF(AND(NOT(ISERROR((AG42/$H42)*100)),((AG42/$H42)*100) &lt;&gt; 0), (AG42/$H42)*100, ""))</f>
        <v/>
      </c>
      <c r="AI42" s="33"/>
      <c r="AJ42" s="36" t="str">
        <f>IF((ISERROR((AI42/$H42)*100)), "", IF(AND(NOT(ISERROR((AI42/$H42)*100)),((AI42/$H42)*100) &lt;&gt; 0), (AI42/$H42)*100, ""))</f>
        <v/>
      </c>
      <c r="AK42" s="33"/>
      <c r="AL42" s="36" t="str">
        <f>IF((ISERROR((AK42/$H42)*100)), "", IF(AND(NOT(ISERROR((AK42/$H42)*100)),((AK42/$H42)*100) &lt;&gt; 0), (AK42/$H42)*100, ""))</f>
        <v/>
      </c>
      <c r="AM42" s="33"/>
      <c r="AN42" s="36" t="str">
        <f>IF((ISERROR((AM42/$H42)*100)), "", IF(AND(NOT(ISERROR((AM42/$H42)*100)),((AM42/$H42)*100) &lt;&gt; 0), (AM42/$H42)*100, ""))</f>
        <v/>
      </c>
      <c r="AO42" s="33"/>
      <c r="AP42" s="36" t="str">
        <f>IF((ISERROR((AO42/$H42)*100)), "", IF(AND(NOT(ISERROR((AO42/$H42)*100)),((AO42/$H42)*100) &lt;&gt; 0), (AO42/$H42)*100, ""))</f>
        <v/>
      </c>
      <c r="AQ42" s="33"/>
      <c r="AR42" s="36" t="str">
        <f>IF((ISERROR((AQ42/$H42)*100)), "", IF(AND(NOT(ISERROR((AQ42/$H42)*100)),((AQ42/$H42)*100) &lt;&gt; 0), (AQ42/$H42)*100, ""))</f>
        <v/>
      </c>
      <c r="AS42" s="33"/>
      <c r="AT42" s="36" t="str">
        <f>IF((ISERROR((AS42/$H42)*100)), "", IF(AND(NOT(ISERROR((AS42/$H42)*100)),((AS42/$H42)*100) &lt;&gt; 0), (AS42/$H42)*100, ""))</f>
        <v/>
      </c>
      <c r="AU42" s="33"/>
      <c r="AV42" s="36" t="str">
        <f>IF((ISERROR((AU42/$H42)*100)), "", IF(AND(NOT(ISERROR((AU42/$H42)*100)),((AU42/$H42)*100) &lt;&gt; 0), (AU42/$H42)*100, ""))</f>
        <v/>
      </c>
      <c r="AW42" s="76"/>
      <c r="AX42" s="36" t="str">
        <f>IF((ISERROR((AW42/$H42)*100)), "", IF(AND(NOT(ISERROR((AW42/$H42)*100)),((AW42/$H42)*100) &lt;&gt; 0), (AW42/$H42)*100, ""))</f>
        <v/>
      </c>
      <c r="AY42" s="76"/>
      <c r="AZ42" s="36" t="str">
        <f>IF((ISERROR((AY42/$H42)*100)), "", IF(AND(NOT(ISERROR((AY42/$H42)*100)),((AY42/$H42)*100) &lt;&gt; 0), (AY42/$H42)*100, ""))</f>
        <v/>
      </c>
      <c r="BA42" s="23" t="s">
        <v>388</v>
      </c>
    </row>
    <row r="43" spans="1:53" ht="20" customHeight="1" x14ac:dyDescent="0.2">
      <c r="A43" s="60"/>
      <c r="B43" s="82"/>
      <c r="C43" s="24" t="s">
        <v>85</v>
      </c>
      <c r="D43" s="23" t="s">
        <v>119</v>
      </c>
      <c r="E43" s="23" t="s">
        <v>120</v>
      </c>
      <c r="F43" s="24">
        <v>2003</v>
      </c>
      <c r="G43" s="24">
        <v>45</v>
      </c>
      <c r="H43" s="89">
        <v>16</v>
      </c>
      <c r="I43" s="85" t="s">
        <v>176</v>
      </c>
      <c r="J43" s="86" t="s">
        <v>421</v>
      </c>
      <c r="K43" s="33"/>
      <c r="L43" s="36" t="str">
        <f>IF((ISERROR((K43/$H43)*100)), "", IF(AND(NOT(ISERROR((K43/$H43)*100)),((K43/$H43)*100) &lt;&gt; 0), (K43/$H43)*100, ""))</f>
        <v/>
      </c>
      <c r="M43" s="33"/>
      <c r="N43" s="36" t="str">
        <f>IF((ISERROR((M43/$H43)*100)), "", IF(AND(NOT(ISERROR((M43/$H43)*100)),((M43/$H43)*100) &lt;&gt; 0), (M43/$H43)*100, ""))</f>
        <v/>
      </c>
      <c r="O43" s="33"/>
      <c r="P43" s="36" t="str">
        <f>IF((ISERROR((O43/$H43)*100)), "", IF(AND(NOT(ISERROR((O43/$H43)*100)),((O43/$H43)*100) &lt;&gt; 0), (O43/$H43)*100, ""))</f>
        <v/>
      </c>
      <c r="Q43" s="33"/>
      <c r="R43" s="36" t="str">
        <f>IF((ISERROR((Q43/$H43)*100)), "", IF(AND(NOT(ISERROR((Q43/$H43)*100)),((Q43/$H43)*100) &lt;&gt; 0), (Q43/$H43)*100, ""))</f>
        <v/>
      </c>
      <c r="S43" s="33"/>
      <c r="T43" s="36" t="str">
        <f>IF((ISERROR((S43/$H43)*100)), "", IF(AND(NOT(ISERROR((S43/$H43)*100)),((S43/$H43)*100) &lt;&gt; 0), (S43/$H43)*100, ""))</f>
        <v/>
      </c>
      <c r="U43" s="38"/>
      <c r="V43" s="39" t="str">
        <f>IF((ISERROR((U43/$H43)*100)), "", IF(AND(NOT(ISERROR((U43/$H43)*100)),((U43/$H43)*100) &lt;&gt; 0), (U43/$H43)*100, ""))</f>
        <v/>
      </c>
      <c r="W43" s="33"/>
      <c r="X43" s="36" t="str">
        <f>IF((ISERROR((W43/$H43)*100)), "", IF(AND(NOT(ISERROR((W43/$H43)*100)),((W43/$H43)*100) &lt;&gt; 0), (W43/$H43)*100, ""))</f>
        <v/>
      </c>
      <c r="Y43" s="33"/>
      <c r="Z43" s="36" t="str">
        <f>IF((ISERROR((Y43/$H43)*100)), "", IF(AND(NOT(ISERROR((Y43/$H43)*100)),((Y43/$H43)*100) &lt;&gt; 0), (Y43/$H43)*100, ""))</f>
        <v/>
      </c>
      <c r="AA43" s="33"/>
      <c r="AB43" s="36" t="str">
        <f>IF((ISERROR((AA43/$H43)*100)), "", IF(AND(NOT(ISERROR((AA43/$H43)*100)),((AA43/$H43)*100) &lt;&gt; 0), (AA43/$H43)*100, ""))</f>
        <v/>
      </c>
      <c r="AC43" s="33"/>
      <c r="AD43" s="36" t="str">
        <f>IF((ISERROR((AC43/$H43)*100)), "", IF(AND(NOT(ISERROR((AC43/$H43)*100)),((AC43/$H43)*100) &lt;&gt; 0), (AC43/$H43)*100, ""))</f>
        <v/>
      </c>
      <c r="AE43" s="33"/>
      <c r="AF43" s="36" t="str">
        <f>IF((ISERROR((AE43/$H43)*100)), "", IF(AND(NOT(ISERROR((AE43/$H43)*100)),((AE43/$H43)*100) &lt;&gt; 0), (AE43/$H43)*100, ""))</f>
        <v/>
      </c>
      <c r="AG43" s="33"/>
      <c r="AH43" s="36" t="str">
        <f>IF((ISERROR((AG43/$H43)*100)), "", IF(AND(NOT(ISERROR((AG43/$H43)*100)),((AG43/$H43)*100) &lt;&gt; 0), (AG43/$H43)*100, ""))</f>
        <v/>
      </c>
      <c r="AI43" s="33"/>
      <c r="AJ43" s="36" t="str">
        <f>IF((ISERROR((AI43/$H43)*100)), "", IF(AND(NOT(ISERROR((AI43/$H43)*100)),((AI43/$H43)*100) &lt;&gt; 0), (AI43/$H43)*100, ""))</f>
        <v/>
      </c>
      <c r="AK43" s="33"/>
      <c r="AL43" s="36" t="str">
        <f>IF((ISERROR((AK43/$H43)*100)), "", IF(AND(NOT(ISERROR((AK43/$H43)*100)),((AK43/$H43)*100) &lt;&gt; 0), (AK43/$H43)*100, ""))</f>
        <v/>
      </c>
      <c r="AM43" s="33"/>
      <c r="AN43" s="36" t="str">
        <f>IF((ISERROR((AM43/$H43)*100)), "", IF(AND(NOT(ISERROR((AM43/$H43)*100)),((AM43/$H43)*100) &lt;&gt; 0), (AM43/$H43)*100, ""))</f>
        <v/>
      </c>
      <c r="AO43" s="33"/>
      <c r="AP43" s="36" t="str">
        <f>IF((ISERROR((AO43/$H43)*100)), "", IF(AND(NOT(ISERROR((AO43/$H43)*100)),((AO43/$H43)*100) &lt;&gt; 0), (AO43/$H43)*100, ""))</f>
        <v/>
      </c>
      <c r="AQ43" s="33"/>
      <c r="AR43" s="36" t="str">
        <f>IF((ISERROR((AQ43/$H43)*100)), "", IF(AND(NOT(ISERROR((AQ43/$H43)*100)),((AQ43/$H43)*100) &lt;&gt; 0), (AQ43/$H43)*100, ""))</f>
        <v/>
      </c>
      <c r="AS43" s="33"/>
      <c r="AT43" s="36" t="str">
        <f>IF((ISERROR((AS43/$H43)*100)), "", IF(AND(NOT(ISERROR((AS43/$H43)*100)),((AS43/$H43)*100) &lt;&gt; 0), (AS43/$H43)*100, ""))</f>
        <v/>
      </c>
      <c r="AU43" s="33"/>
      <c r="AV43" s="36" t="str">
        <f>IF((ISERROR((AU43/$H43)*100)), "", IF(AND(NOT(ISERROR((AU43/$H43)*100)),((AU43/$H43)*100) &lt;&gt; 0), (AU43/$H43)*100, ""))</f>
        <v/>
      </c>
      <c r="AW43" s="40"/>
      <c r="AX43" s="39" t="str">
        <f>IF((ISERROR((AW43/$H43)*100)), "", IF(AND(NOT(ISERROR((AW43/$H43)*100)),((AW43/$H43)*100) &lt;&gt; 0), (AW43/$H43)*100, ""))</f>
        <v/>
      </c>
      <c r="AY43" s="76"/>
      <c r="AZ43" s="36" t="str">
        <f>IF((ISERROR((AY43/$H43)*100)), "", IF(AND(NOT(ISERROR((AY43/$H43)*100)),((AY43/$H43)*100) &lt;&gt; 0), (AY43/$H43)*100, ""))</f>
        <v/>
      </c>
      <c r="BA43" s="23" t="s">
        <v>409</v>
      </c>
    </row>
    <row r="44" spans="1:53" ht="20" customHeight="1" x14ac:dyDescent="0.2">
      <c r="A44" s="60"/>
      <c r="B44" s="83"/>
      <c r="C44" s="80" t="s">
        <v>379</v>
      </c>
      <c r="D44" s="23" t="s">
        <v>321</v>
      </c>
      <c r="E44" s="23" t="s">
        <v>322</v>
      </c>
      <c r="F44" s="24">
        <v>2016</v>
      </c>
      <c r="H44" s="89">
        <v>16</v>
      </c>
      <c r="I44" s="85" t="s">
        <v>377</v>
      </c>
      <c r="J44" s="112" t="s">
        <v>378</v>
      </c>
      <c r="K44" s="33"/>
      <c r="L44" s="36" t="str">
        <f>IF((ISERROR((K44/$H44)*100)), "", IF(AND(NOT(ISERROR((K44/$H44)*100)),((K44/$H44)*100) &lt;&gt; 0), (K44/$H44)*100, ""))</f>
        <v/>
      </c>
      <c r="M44" s="33"/>
      <c r="N44" s="36" t="str">
        <f>IF((ISERROR((M44/$H44)*100)), "", IF(AND(NOT(ISERROR((M44/$H44)*100)),((M44/$H44)*100) &lt;&gt; 0), (M44/$H44)*100, ""))</f>
        <v/>
      </c>
      <c r="O44" s="33"/>
      <c r="P44" s="36" t="str">
        <f>IF((ISERROR((O44/$H44)*100)), "", IF(AND(NOT(ISERROR((O44/$H44)*100)),((O44/$H44)*100) &lt;&gt; 0), (O44/$H44)*100, ""))</f>
        <v/>
      </c>
      <c r="Q44" s="33"/>
      <c r="R44" s="36" t="str">
        <f>IF((ISERROR((Q44/$H44)*100)), "", IF(AND(NOT(ISERROR((Q44/$H44)*100)),((Q44/$H44)*100) &lt;&gt; 0), (Q44/$H44)*100, ""))</f>
        <v/>
      </c>
      <c r="S44" s="33"/>
      <c r="T44" s="36" t="str">
        <f>IF((ISERROR((S44/$H44)*100)), "", IF(AND(NOT(ISERROR((S44/$H44)*100)),((S44/$H44)*100) &lt;&gt; 0), (S44/$H44)*100, ""))</f>
        <v/>
      </c>
      <c r="U44" s="33"/>
      <c r="V44" s="36" t="str">
        <f>IF((ISERROR((U44/$H44)*100)), "", IF(AND(NOT(ISERROR((U44/$H44)*100)),((U44/$H44)*100) &lt;&gt; 0), (U44/$H44)*100, ""))</f>
        <v/>
      </c>
      <c r="W44" s="33"/>
      <c r="X44" s="36" t="str">
        <f>IF((ISERROR((W44/$H44)*100)), "", IF(AND(NOT(ISERROR((W44/$H44)*100)),((W44/$H44)*100) &lt;&gt; 0), (W44/$H44)*100, ""))</f>
        <v/>
      </c>
      <c r="Y44" s="33"/>
      <c r="Z44" s="36" t="str">
        <f>IF((ISERROR((Y44/$H44)*100)), "", IF(AND(NOT(ISERROR((Y44/$H44)*100)),((Y44/$H44)*100) &lt;&gt; 0), (Y44/$H44)*100, ""))</f>
        <v/>
      </c>
      <c r="AA44" s="33"/>
      <c r="AB44" s="36" t="str">
        <f>IF((ISERROR((AA44/$H44)*100)), "", IF(AND(NOT(ISERROR((AA44/$H44)*100)),((AA44/$H44)*100) &lt;&gt; 0), (AA44/$H44)*100, ""))</f>
        <v/>
      </c>
      <c r="AC44" s="33"/>
      <c r="AD44" s="36" t="str">
        <f>IF((ISERROR((AC44/$H44)*100)), "", IF(AND(NOT(ISERROR((AC44/$H44)*100)),((AC44/$H44)*100) &lt;&gt; 0), (AC44/$H44)*100, ""))</f>
        <v/>
      </c>
      <c r="AE44" s="33"/>
      <c r="AF44" s="36" t="str">
        <f>IF((ISERROR((AE44/$H44)*100)), "", IF(AND(NOT(ISERROR((AE44/$H44)*100)),((AE44/$H44)*100) &lt;&gt; 0), (AE44/$H44)*100, ""))</f>
        <v/>
      </c>
      <c r="AG44" s="33"/>
      <c r="AH44" s="36" t="str">
        <f>IF((ISERROR((AG44/$H44)*100)), "", IF(AND(NOT(ISERROR((AG44/$H44)*100)),((AG44/$H44)*100) &lt;&gt; 0), (AG44/$H44)*100, ""))</f>
        <v/>
      </c>
      <c r="AI44" s="33"/>
      <c r="AJ44" s="36" t="str">
        <f>IF((ISERROR((AI44/$H44)*100)), "", IF(AND(NOT(ISERROR((AI44/$H44)*100)),((AI44/$H44)*100) &lt;&gt; 0), (AI44/$H44)*100, ""))</f>
        <v/>
      </c>
      <c r="AK44" s="33"/>
      <c r="AL44" s="36" t="str">
        <f>IF((ISERROR((AK44/$H44)*100)), "", IF(AND(NOT(ISERROR((AK44/$H44)*100)),((AK44/$H44)*100) &lt;&gt; 0), (AK44/$H44)*100, ""))</f>
        <v/>
      </c>
      <c r="AM44" s="33"/>
      <c r="AN44" s="36" t="str">
        <f>IF((ISERROR((AM44/$H44)*100)), "", IF(AND(NOT(ISERROR((AM44/$H44)*100)),((AM44/$H44)*100) &lt;&gt; 0), (AM44/$H44)*100, ""))</f>
        <v/>
      </c>
      <c r="AO44" s="33"/>
      <c r="AP44" s="36" t="str">
        <f>IF((ISERROR((AO44/$H44)*100)), "", IF(AND(NOT(ISERROR((AO44/$H44)*100)),((AO44/$H44)*100) &lt;&gt; 0), (AO44/$H44)*100, ""))</f>
        <v/>
      </c>
      <c r="AQ44" s="33"/>
      <c r="AR44" s="36" t="str">
        <f>IF((ISERROR((AQ44/$H44)*100)), "", IF(AND(NOT(ISERROR((AQ44/$H44)*100)),((AQ44/$H44)*100) &lt;&gt; 0), (AQ44/$H44)*100, ""))</f>
        <v/>
      </c>
      <c r="AS44" s="33"/>
      <c r="AT44" s="36" t="str">
        <f>IF((ISERROR((AS44/$H44)*100)), "", IF(AND(NOT(ISERROR((AS44/$H44)*100)),((AS44/$H44)*100) &lt;&gt; 0), (AS44/$H44)*100, ""))</f>
        <v/>
      </c>
      <c r="AU44" s="33"/>
      <c r="AV44" s="36" t="str">
        <f>IF((ISERROR((AU44/$H44)*100)), "", IF(AND(NOT(ISERROR((AU44/$H44)*100)),((AU44/$H44)*100) &lt;&gt; 0), (AU44/$H44)*100, ""))</f>
        <v/>
      </c>
      <c r="AW44" s="30"/>
      <c r="AX44" s="36" t="str">
        <f>IF((ISERROR((AW44/$H44)*100)), "", IF(AND(NOT(ISERROR((AW44/$H44)*100)),((AW44/$H44)*100) &lt;&gt; 0), (AW44/$H44)*100, ""))</f>
        <v/>
      </c>
      <c r="AY44" s="59"/>
      <c r="AZ44" s="36" t="str">
        <f>IF((ISERROR((AY44/$H44)*100)), "", IF(AND(NOT(ISERROR((AY44/$H44)*100)),((AY44/$H44)*100) &lt;&gt; 0), (AY44/$H44)*100, ""))</f>
        <v/>
      </c>
      <c r="BA44" s="23" t="s">
        <v>380</v>
      </c>
    </row>
    <row r="45" spans="1:53" ht="20" customHeight="1" x14ac:dyDescent="0.2">
      <c r="A45" s="60"/>
      <c r="B45" s="83"/>
      <c r="D45" s="23" t="s">
        <v>299</v>
      </c>
      <c r="E45" s="23" t="s">
        <v>300</v>
      </c>
      <c r="F45" s="24">
        <v>2013</v>
      </c>
      <c r="H45" s="89">
        <v>18</v>
      </c>
      <c r="I45" s="85"/>
      <c r="J45" s="86"/>
      <c r="K45" s="33"/>
      <c r="L45" s="36" t="str">
        <f>IF((ISERROR((K45/$H45)*100)), "", IF(AND(NOT(ISERROR((K45/$H45)*100)),((K45/$H45)*100) &lt;&gt; 0), (K45/$H45)*100, ""))</f>
        <v/>
      </c>
      <c r="M45" s="33"/>
      <c r="N45" s="36" t="str">
        <f>IF((ISERROR((M45/$H45)*100)), "", IF(AND(NOT(ISERROR((M45/$H45)*100)),((M45/$H45)*100) &lt;&gt; 0), (M45/$H45)*100, ""))</f>
        <v/>
      </c>
      <c r="O45" s="33"/>
      <c r="P45" s="36" t="str">
        <f>IF((ISERROR((O45/$H45)*100)), "", IF(AND(NOT(ISERROR((O45/$H45)*100)),((O45/$H45)*100) &lt;&gt; 0), (O45/$H45)*100, ""))</f>
        <v/>
      </c>
      <c r="Q45" s="33"/>
      <c r="R45" s="36" t="str">
        <f>IF((ISERROR((Q45/$H45)*100)), "", IF(AND(NOT(ISERROR((Q45/$H45)*100)),((Q45/$H45)*100) &lt;&gt; 0), (Q45/$H45)*100, ""))</f>
        <v/>
      </c>
      <c r="S45" s="33"/>
      <c r="T45" s="36" t="str">
        <f>IF((ISERROR((S45/$H45)*100)), "", IF(AND(NOT(ISERROR((S45/$H45)*100)),((S45/$H45)*100) &lt;&gt; 0), (S45/$H45)*100, ""))</f>
        <v/>
      </c>
      <c r="U45" s="33"/>
      <c r="V45" s="36" t="str">
        <f>IF((ISERROR((U45/$H45)*100)), "", IF(AND(NOT(ISERROR((U45/$H45)*100)),((U45/$H45)*100) &lt;&gt; 0), (U45/$H45)*100, ""))</f>
        <v/>
      </c>
      <c r="W45" s="33"/>
      <c r="X45" s="36" t="str">
        <f>IF((ISERROR((W45/$H45)*100)), "", IF(AND(NOT(ISERROR((W45/$H45)*100)),((W45/$H45)*100) &lt;&gt; 0), (W45/$H45)*100, ""))</f>
        <v/>
      </c>
      <c r="Y45" s="33"/>
      <c r="Z45" s="36" t="str">
        <f>IF((ISERROR((Y45/$H45)*100)), "", IF(AND(NOT(ISERROR((Y45/$H45)*100)),((Y45/$H45)*100) &lt;&gt; 0), (Y45/$H45)*100, ""))</f>
        <v/>
      </c>
      <c r="AA45" s="33"/>
      <c r="AB45" s="36" t="str">
        <f>IF((ISERROR((AA45/$H45)*100)), "", IF(AND(NOT(ISERROR((AA45/$H45)*100)),((AA45/$H45)*100) &lt;&gt; 0), (AA45/$H45)*100, ""))</f>
        <v/>
      </c>
      <c r="AC45" s="33"/>
      <c r="AD45" s="36" t="str">
        <f>IF((ISERROR((AC45/$H45)*100)), "", IF(AND(NOT(ISERROR((AC45/$H45)*100)),((AC45/$H45)*100) &lt;&gt; 0), (AC45/$H45)*100, ""))</f>
        <v/>
      </c>
      <c r="AE45" s="33"/>
      <c r="AF45" s="36" t="str">
        <f>IF((ISERROR((AE45/$H45)*100)), "", IF(AND(NOT(ISERROR((AE45/$H45)*100)),((AE45/$H45)*100) &lt;&gt; 0), (AE45/$H45)*100, ""))</f>
        <v/>
      </c>
      <c r="AG45" s="33"/>
      <c r="AH45" s="36" t="str">
        <f>IF((ISERROR((AG45/$H45)*100)), "", IF(AND(NOT(ISERROR((AG45/$H45)*100)),((AG45/$H45)*100) &lt;&gt; 0), (AG45/$H45)*100, ""))</f>
        <v/>
      </c>
      <c r="AI45" s="33"/>
      <c r="AJ45" s="36" t="str">
        <f>IF((ISERROR((AI45/$H45)*100)), "", IF(AND(NOT(ISERROR((AI45/$H45)*100)),((AI45/$H45)*100) &lt;&gt; 0), (AI45/$H45)*100, ""))</f>
        <v/>
      </c>
      <c r="AK45" s="33"/>
      <c r="AL45" s="36" t="str">
        <f>IF((ISERROR((AK45/$H45)*100)), "", IF(AND(NOT(ISERROR((AK45/$H45)*100)),((AK45/$H45)*100) &lt;&gt; 0), (AK45/$H45)*100, ""))</f>
        <v/>
      </c>
      <c r="AM45" s="33"/>
      <c r="AN45" s="36" t="str">
        <f>IF((ISERROR((AM45/$H45)*100)), "", IF(AND(NOT(ISERROR((AM45/$H45)*100)),((AM45/$H45)*100) &lt;&gt; 0), (AM45/$H45)*100, ""))</f>
        <v/>
      </c>
      <c r="AO45" s="33"/>
      <c r="AP45" s="36" t="str">
        <f>IF((ISERROR((AO45/$H45)*100)), "", IF(AND(NOT(ISERROR((AO45/$H45)*100)),((AO45/$H45)*100) &lt;&gt; 0), (AO45/$H45)*100, ""))</f>
        <v/>
      </c>
      <c r="AQ45" s="33"/>
      <c r="AR45" s="36" t="str">
        <f>IF((ISERROR((AQ45/$H45)*100)), "", IF(AND(NOT(ISERROR((AQ45/$H45)*100)),((AQ45/$H45)*100) &lt;&gt; 0), (AQ45/$H45)*100, ""))</f>
        <v/>
      </c>
      <c r="AS45" s="33"/>
      <c r="AT45" s="36" t="str">
        <f>IF((ISERROR((AS45/$H45)*100)), "", IF(AND(NOT(ISERROR((AS45/$H45)*100)),((AS45/$H45)*100) &lt;&gt; 0), (AS45/$H45)*100, ""))</f>
        <v/>
      </c>
      <c r="AU45" s="33"/>
      <c r="AV45" s="36" t="str">
        <f>IF((ISERROR((AU45/$H45)*100)), "", IF(AND(NOT(ISERROR((AU45/$H45)*100)),((AU45/$H45)*100) &lt;&gt; 0), (AU45/$H45)*100, ""))</f>
        <v/>
      </c>
      <c r="AW45" s="31"/>
      <c r="AX45" s="36" t="str">
        <f>IF((ISERROR((AW45/$H45)*100)), "", IF(AND(NOT(ISERROR((AW45/$H45)*100)),((AW45/$H45)*100) &lt;&gt; 0), (AW45/$H45)*100, ""))</f>
        <v/>
      </c>
      <c r="AY45" s="59"/>
      <c r="AZ45" s="36" t="str">
        <f>IF((ISERROR((AY45/$H45)*100)), "", IF(AND(NOT(ISERROR((AY45/$H45)*100)),((AY45/$H45)*100) &lt;&gt; 0), (AY45/$H45)*100, ""))</f>
        <v/>
      </c>
      <c r="BA45" s="23" t="s">
        <v>363</v>
      </c>
    </row>
    <row r="46" spans="1:53" ht="20" customHeight="1" x14ac:dyDescent="0.2">
      <c r="A46" s="61"/>
      <c r="B46" s="83"/>
      <c r="C46" s="24" t="s">
        <v>85</v>
      </c>
      <c r="D46" s="23" t="s">
        <v>52</v>
      </c>
      <c r="E46" s="23" t="s">
        <v>53</v>
      </c>
      <c r="F46" s="24">
        <v>2001</v>
      </c>
      <c r="G46" s="24">
        <v>118</v>
      </c>
      <c r="H46" s="89">
        <v>20</v>
      </c>
      <c r="I46" s="85"/>
      <c r="J46" s="86" t="s">
        <v>188</v>
      </c>
      <c r="K46" s="33"/>
      <c r="L46" s="36" t="str">
        <f>IF((ISERROR((K46/$H46)*100)), "", IF(AND(NOT(ISERROR((K46/$H46)*100)),((K46/$H46)*100) &lt;&gt; 0), (K46/$H46)*100, ""))</f>
        <v/>
      </c>
      <c r="M46" s="33"/>
      <c r="N46" s="36" t="str">
        <f>IF((ISERROR((M46/$H46)*100)), "", IF(AND(NOT(ISERROR((M46/$H46)*100)),((M46/$H46)*100) &lt;&gt; 0), (M46/$H46)*100, ""))</f>
        <v/>
      </c>
      <c r="O46" s="33"/>
      <c r="P46" s="36" t="str">
        <f>IF((ISERROR((O46/$H46)*100)), "", IF(AND(NOT(ISERROR((O46/$H46)*100)),((O46/$H46)*100) &lt;&gt; 0), (O46/$H46)*100, ""))</f>
        <v/>
      </c>
      <c r="Q46" s="33"/>
      <c r="R46" s="36" t="str">
        <f>IF((ISERROR((Q46/$H46)*100)), "", IF(AND(NOT(ISERROR((Q46/$H46)*100)),((Q46/$H46)*100) &lt;&gt; 0), (Q46/$H46)*100, ""))</f>
        <v/>
      </c>
      <c r="S46" s="33"/>
      <c r="T46" s="36" t="str">
        <f>IF((ISERROR((S46/$H46)*100)), "", IF(AND(NOT(ISERROR((S46/$H46)*100)),((S46/$H46)*100) &lt;&gt; 0), (S46/$H46)*100, ""))</f>
        <v/>
      </c>
      <c r="U46" s="33"/>
      <c r="V46" s="36" t="str">
        <f>IF((ISERROR((U46/$H46)*100)), "", IF(AND(NOT(ISERROR((U46/$H46)*100)),((U46/$H46)*100) &lt;&gt; 0), (U46/$H46)*100, ""))</f>
        <v/>
      </c>
      <c r="W46" s="33"/>
      <c r="X46" s="36" t="str">
        <f>IF((ISERROR((W46/$H46)*100)), "", IF(AND(NOT(ISERROR((W46/$H46)*100)),((W46/$H46)*100) &lt;&gt; 0), (W46/$H46)*100, ""))</f>
        <v/>
      </c>
      <c r="Y46" s="33"/>
      <c r="Z46" s="36" t="str">
        <f>IF((ISERROR((Y46/$H46)*100)), "", IF(AND(NOT(ISERROR((Y46/$H46)*100)),((Y46/$H46)*100) &lt;&gt; 0), (Y46/$H46)*100, ""))</f>
        <v/>
      </c>
      <c r="AA46" s="33"/>
      <c r="AB46" s="36" t="str">
        <f>IF((ISERROR((AA46/$H46)*100)), "", IF(AND(NOT(ISERROR((AA46/$H46)*100)),((AA46/$H46)*100) &lt;&gt; 0), (AA46/$H46)*100, ""))</f>
        <v/>
      </c>
      <c r="AC46" s="33"/>
      <c r="AD46" s="36" t="str">
        <f>IF((ISERROR((AC46/$H46)*100)), "", IF(AND(NOT(ISERROR((AC46/$H46)*100)),((AC46/$H46)*100) &lt;&gt; 0), (AC46/$H46)*100, ""))</f>
        <v/>
      </c>
      <c r="AE46" s="33"/>
      <c r="AF46" s="36" t="str">
        <f>IF((ISERROR((AE46/$H46)*100)), "", IF(AND(NOT(ISERROR((AE46/$H46)*100)),((AE46/$H46)*100) &lt;&gt; 0), (AE46/$H46)*100, ""))</f>
        <v/>
      </c>
      <c r="AG46" s="33"/>
      <c r="AH46" s="36" t="str">
        <f>IF((ISERROR((AG46/$H46)*100)), "", IF(AND(NOT(ISERROR((AG46/$H46)*100)),((AG46/$H46)*100) &lt;&gt; 0), (AG46/$H46)*100, ""))</f>
        <v/>
      </c>
      <c r="AI46" s="33"/>
      <c r="AJ46" s="36" t="str">
        <f>IF((ISERROR((AI46/$H46)*100)), "", IF(AND(NOT(ISERROR((AI46/$H46)*100)),((AI46/$H46)*100) &lt;&gt; 0), (AI46/$H46)*100, ""))</f>
        <v/>
      </c>
      <c r="AK46" s="33"/>
      <c r="AL46" s="36" t="str">
        <f>IF((ISERROR((AK46/$H46)*100)), "", IF(AND(NOT(ISERROR((AK46/$H46)*100)),((AK46/$H46)*100) &lt;&gt; 0), (AK46/$H46)*100, ""))</f>
        <v/>
      </c>
      <c r="AM46" s="33"/>
      <c r="AN46" s="36" t="str">
        <f>IF((ISERROR((AM46/$H46)*100)), "", IF(AND(NOT(ISERROR((AM46/$H46)*100)),((AM46/$H46)*100) &lt;&gt; 0), (AM46/$H46)*100, ""))</f>
        <v/>
      </c>
      <c r="AO46" s="33"/>
      <c r="AP46" s="36" t="str">
        <f>IF((ISERROR((AO46/$H46)*100)), "", IF(AND(NOT(ISERROR((AO46/$H46)*100)),((AO46/$H46)*100) &lt;&gt; 0), (AO46/$H46)*100, ""))</f>
        <v/>
      </c>
      <c r="AQ46" s="33"/>
      <c r="AR46" s="36" t="str">
        <f>IF((ISERROR((AQ46/$H46)*100)), "", IF(AND(NOT(ISERROR((AQ46/$H46)*100)),((AQ46/$H46)*100) &lt;&gt; 0), (AQ46/$H46)*100, ""))</f>
        <v/>
      </c>
      <c r="AS46" s="33"/>
      <c r="AT46" s="36" t="str">
        <f>IF((ISERROR((AS46/$H46)*100)), "", IF(AND(NOT(ISERROR((AS46/$H46)*100)),((AS46/$H46)*100) &lt;&gt; 0), (AS46/$H46)*100, ""))</f>
        <v/>
      </c>
      <c r="AU46" s="33"/>
      <c r="AV46" s="36" t="str">
        <f>IF((ISERROR((AU46/$H46)*100)), "", IF(AND(NOT(ISERROR((AU46/$H46)*100)),((AU46/$H46)*100) &lt;&gt; 0), (AU46/$H46)*100, ""))</f>
        <v/>
      </c>
      <c r="AW46" s="76"/>
      <c r="AX46" s="36" t="str">
        <f>IF((ISERROR((AW46/$H46)*100)), "", IF(AND(NOT(ISERROR((AW46/$H46)*100)),((AW46/$H46)*100) &lt;&gt; 0), (AW46/$H46)*100, ""))</f>
        <v/>
      </c>
      <c r="AY46" s="76"/>
      <c r="AZ46" s="36" t="str">
        <f>IF((ISERROR((AY46/$H46)*100)), "", IF(AND(NOT(ISERROR((AY46/$H46)*100)),((AY46/$H46)*100) &lt;&gt; 0), (AY46/$H46)*100, ""))</f>
        <v/>
      </c>
      <c r="BA46" s="23" t="s">
        <v>180</v>
      </c>
    </row>
    <row r="47" spans="1:53" ht="20" customHeight="1" x14ac:dyDescent="0.2">
      <c r="A47" s="60"/>
      <c r="B47" s="82"/>
      <c r="C47" s="24" t="s">
        <v>85</v>
      </c>
      <c r="D47" s="23" t="s">
        <v>267</v>
      </c>
      <c r="E47" s="23" t="s">
        <v>268</v>
      </c>
      <c r="F47" s="24">
        <v>1994</v>
      </c>
      <c r="H47" s="89">
        <v>20</v>
      </c>
      <c r="I47" s="85" t="s">
        <v>340</v>
      </c>
      <c r="J47" s="86"/>
      <c r="K47" s="33"/>
      <c r="L47" s="36" t="str">
        <f>IF((ISERROR((K47/$H47)*100)), "", IF(AND(NOT(ISERROR((K47/$H47)*100)),((K47/$H47)*100) &lt;&gt; 0), (K47/$H47)*100, ""))</f>
        <v/>
      </c>
      <c r="M47" s="33"/>
      <c r="N47" s="36" t="str">
        <f>IF((ISERROR((M47/$H47)*100)), "", IF(AND(NOT(ISERROR((M47/$H47)*100)),((M47/$H47)*100) &lt;&gt; 0), (M47/$H47)*100, ""))</f>
        <v/>
      </c>
      <c r="O47" s="33"/>
      <c r="P47" s="36" t="str">
        <f>IF((ISERROR((O47/$H47)*100)), "", IF(AND(NOT(ISERROR((O47/$H47)*100)),((O47/$H47)*100) &lt;&gt; 0), (O47/$H47)*100, ""))</f>
        <v/>
      </c>
      <c r="Q47" s="33"/>
      <c r="R47" s="36" t="str">
        <f>IF((ISERROR((Q47/$H47)*100)), "", IF(AND(NOT(ISERROR((Q47/$H47)*100)),((Q47/$H47)*100) &lt;&gt; 0), (Q47/$H47)*100, ""))</f>
        <v/>
      </c>
      <c r="S47" s="33"/>
      <c r="T47" s="36" t="str">
        <f>IF((ISERROR((S47/$H47)*100)), "", IF(AND(NOT(ISERROR((S47/$H47)*100)),((S47/$H47)*100) &lt;&gt; 0), (S47/$H47)*100, ""))</f>
        <v/>
      </c>
      <c r="U47" s="38"/>
      <c r="V47" s="39" t="str">
        <f>IF((ISERROR((U47/$H47)*100)), "", IF(AND(NOT(ISERROR((U47/$H47)*100)),((U47/$H47)*100) &lt;&gt; 0), (U47/$H47)*100, ""))</f>
        <v/>
      </c>
      <c r="W47" s="33"/>
      <c r="X47" s="36" t="str">
        <f>IF((ISERROR((W47/$H47)*100)), "", IF(AND(NOT(ISERROR((W47/$H47)*100)),((W47/$H47)*100) &lt;&gt; 0), (W47/$H47)*100, ""))</f>
        <v/>
      </c>
      <c r="Y47" s="38"/>
      <c r="Z47" s="39" t="str">
        <f>IF((ISERROR((Y47/$H47)*100)), "", IF(AND(NOT(ISERROR((Y47/$H47)*100)),((Y47/$H47)*100) &lt;&gt; 0), (Y47/$H47)*100, ""))</f>
        <v/>
      </c>
      <c r="AA47" s="33"/>
      <c r="AB47" s="36" t="str">
        <f>IF((ISERROR((AA47/$H47)*100)), "", IF(AND(NOT(ISERROR((AA47/$H47)*100)),((AA47/$H47)*100) &lt;&gt; 0), (AA47/$H47)*100, ""))</f>
        <v/>
      </c>
      <c r="AC47" s="33"/>
      <c r="AD47" s="36" t="str">
        <f>IF((ISERROR((AC47/$H47)*100)), "", IF(AND(NOT(ISERROR((AC47/$H47)*100)),((AC47/$H47)*100) &lt;&gt; 0), (AC47/$H47)*100, ""))</f>
        <v/>
      </c>
      <c r="AE47" s="33"/>
      <c r="AF47" s="36" t="str">
        <f>IF((ISERROR((AE47/$H47)*100)), "", IF(AND(NOT(ISERROR((AE47/$H47)*100)),((AE47/$H47)*100) &lt;&gt; 0), (AE47/$H47)*100, ""))</f>
        <v/>
      </c>
      <c r="AG47" s="33"/>
      <c r="AH47" s="36" t="str">
        <f>IF((ISERROR((AG47/$H47)*100)), "", IF(AND(NOT(ISERROR((AG47/$H47)*100)),((AG47/$H47)*100) &lt;&gt; 0), (AG47/$H47)*100, ""))</f>
        <v/>
      </c>
      <c r="AI47" s="33"/>
      <c r="AJ47" s="36" t="str">
        <f>IF((ISERROR((AI47/$H47)*100)), "", IF(AND(NOT(ISERROR((AI47/$H47)*100)),((AI47/$H47)*100) &lt;&gt; 0), (AI47/$H47)*100, ""))</f>
        <v/>
      </c>
      <c r="AK47" s="33"/>
      <c r="AL47" s="36" t="str">
        <f>IF((ISERROR((AK47/$H47)*100)), "", IF(AND(NOT(ISERROR((AK47/$H47)*100)),((AK47/$H47)*100) &lt;&gt; 0), (AK47/$H47)*100, ""))</f>
        <v/>
      </c>
      <c r="AM47" s="33"/>
      <c r="AN47" s="36" t="str">
        <f>IF((ISERROR((AM47/$H47)*100)), "", IF(AND(NOT(ISERROR((AM47/$H47)*100)),((AM47/$H47)*100) &lt;&gt; 0), (AM47/$H47)*100, ""))</f>
        <v/>
      </c>
      <c r="AO47" s="33"/>
      <c r="AP47" s="36" t="str">
        <f>IF((ISERROR((AO47/$H47)*100)), "", IF(AND(NOT(ISERROR((AO47/$H47)*100)),((AO47/$H47)*100) &lt;&gt; 0), (AO47/$H47)*100, ""))</f>
        <v/>
      </c>
      <c r="AQ47" s="33"/>
      <c r="AR47" s="36" t="str">
        <f>IF((ISERROR((AQ47/$H47)*100)), "", IF(AND(NOT(ISERROR((AQ47/$H47)*100)),((AQ47/$H47)*100) &lt;&gt; 0), (AQ47/$H47)*100, ""))</f>
        <v/>
      </c>
      <c r="AS47" s="33"/>
      <c r="AT47" s="36" t="str">
        <f>IF((ISERROR((AS47/$H47)*100)), "", IF(AND(NOT(ISERROR((AS47/$H47)*100)),((AS47/$H47)*100) &lt;&gt; 0), (AS47/$H47)*100, ""))</f>
        <v/>
      </c>
      <c r="AU47" s="33"/>
      <c r="AV47" s="36" t="str">
        <f>IF((ISERROR((AU47/$H47)*100)), "", IF(AND(NOT(ISERROR((AU47/$H47)*100)),((AU47/$H47)*100) &lt;&gt; 0), (AU47/$H47)*100, ""))</f>
        <v/>
      </c>
      <c r="AW47" s="40"/>
      <c r="AX47" s="39" t="str">
        <f>IF((ISERROR((AW47/$H47)*100)), "", IF(AND(NOT(ISERROR((AW47/$H47)*100)),((AW47/$H47)*100) &lt;&gt; 0), (AW47/$H47)*100, ""))</f>
        <v/>
      </c>
      <c r="AY47" s="76"/>
      <c r="AZ47" s="36" t="str">
        <f>IF((ISERROR((AY47/$H47)*100)), "", IF(AND(NOT(ISERROR((AY47/$H47)*100)),((AY47/$H47)*100) &lt;&gt; 0), (AY47/$H47)*100, ""))</f>
        <v/>
      </c>
      <c r="BA47" s="23" t="s">
        <v>405</v>
      </c>
    </row>
    <row r="48" spans="1:53" ht="20" customHeight="1" x14ac:dyDescent="0.2">
      <c r="A48" s="61"/>
      <c r="B48" s="83"/>
      <c r="C48" s="24" t="s">
        <v>85</v>
      </c>
      <c r="D48" s="23" t="s">
        <v>86</v>
      </c>
      <c r="E48" s="23" t="s">
        <v>56</v>
      </c>
      <c r="F48" s="24">
        <v>2014</v>
      </c>
      <c r="G48" s="24">
        <v>41</v>
      </c>
      <c r="H48" s="89">
        <v>20</v>
      </c>
      <c r="I48" s="85" t="s">
        <v>179</v>
      </c>
      <c r="J48" s="86"/>
      <c r="K48" s="33"/>
      <c r="L48" s="36" t="str">
        <f>IF((ISERROR((K48/$H48)*100)), "", IF(AND(NOT(ISERROR((K48/$H48)*100)),((K48/$H48)*100) &lt;&gt; 0), (K48/$H48)*100, ""))</f>
        <v/>
      </c>
      <c r="M48" s="33"/>
      <c r="N48" s="36" t="str">
        <f>IF((ISERROR((M48/$H48)*100)), "", IF(AND(NOT(ISERROR((M48/$H48)*100)),((M48/$H48)*100) &lt;&gt; 0), (M48/$H48)*100, ""))</f>
        <v/>
      </c>
      <c r="O48" s="33"/>
      <c r="P48" s="36" t="str">
        <f>IF((ISERROR((O48/$H48)*100)), "", IF(AND(NOT(ISERROR((O48/$H48)*100)),((O48/$H48)*100) &lt;&gt; 0), (O48/$H48)*100, ""))</f>
        <v/>
      </c>
      <c r="Q48" s="33"/>
      <c r="R48" s="36" t="str">
        <f>IF((ISERROR((Q48/$H48)*100)), "", IF(AND(NOT(ISERROR((Q48/$H48)*100)),((Q48/$H48)*100) &lt;&gt; 0), (Q48/$H48)*100, ""))</f>
        <v/>
      </c>
      <c r="S48" s="33"/>
      <c r="T48" s="36" t="str">
        <f>IF((ISERROR((S48/$H48)*100)), "", IF(AND(NOT(ISERROR((S48/$H48)*100)),((S48/$H48)*100) &lt;&gt; 0), (S48/$H48)*100, ""))</f>
        <v/>
      </c>
      <c r="U48" s="38"/>
      <c r="V48" s="39" t="str">
        <f>IF((ISERROR((U48/$H48)*100)), "", IF(AND(NOT(ISERROR((U48/$H48)*100)),((U48/$H48)*100) &lt;&gt; 0), (U48/$H48)*100, ""))</f>
        <v/>
      </c>
      <c r="W48" s="33"/>
      <c r="X48" s="36" t="str">
        <f>IF((ISERROR((W48/$H48)*100)), "", IF(AND(NOT(ISERROR((W48/$H48)*100)),((W48/$H48)*100) &lt;&gt; 0), (W48/$H48)*100, ""))</f>
        <v/>
      </c>
      <c r="Y48" s="33"/>
      <c r="Z48" s="36" t="str">
        <f>IF((ISERROR((Y48/$H48)*100)), "", IF(AND(NOT(ISERROR((Y48/$H48)*100)),((Y48/$H48)*100) &lt;&gt; 0), (Y48/$H48)*100, ""))</f>
        <v/>
      </c>
      <c r="AA48" s="33"/>
      <c r="AB48" s="36" t="str">
        <f>IF((ISERROR((AA48/$H48)*100)), "", IF(AND(NOT(ISERROR((AA48/$H48)*100)),((AA48/$H48)*100) &lt;&gt; 0), (AA48/$H48)*100, ""))</f>
        <v/>
      </c>
      <c r="AC48" s="33"/>
      <c r="AD48" s="36" t="str">
        <f>IF((ISERROR((AC48/$H48)*100)), "", IF(AND(NOT(ISERROR((AC48/$H48)*100)),((AC48/$H48)*100) &lt;&gt; 0), (AC48/$H48)*100, ""))</f>
        <v/>
      </c>
      <c r="AE48" s="33"/>
      <c r="AF48" s="36" t="str">
        <f>IF((ISERROR((AE48/$H48)*100)), "", IF(AND(NOT(ISERROR((AE48/$H48)*100)),((AE48/$H48)*100) &lt;&gt; 0), (AE48/$H48)*100, ""))</f>
        <v/>
      </c>
      <c r="AG48" s="33"/>
      <c r="AH48" s="36" t="str">
        <f>IF((ISERROR((AG48/$H48)*100)), "", IF(AND(NOT(ISERROR((AG48/$H48)*100)),((AG48/$H48)*100) &lt;&gt; 0), (AG48/$H48)*100, ""))</f>
        <v/>
      </c>
      <c r="AI48" s="33"/>
      <c r="AJ48" s="36" t="str">
        <f>IF((ISERROR((AI48/$H48)*100)), "", IF(AND(NOT(ISERROR((AI48/$H48)*100)),((AI48/$H48)*100) &lt;&gt; 0), (AI48/$H48)*100, ""))</f>
        <v/>
      </c>
      <c r="AK48" s="33"/>
      <c r="AL48" s="36" t="str">
        <f>IF((ISERROR((AK48/$H48)*100)), "", IF(AND(NOT(ISERROR((AK48/$H48)*100)),((AK48/$H48)*100) &lt;&gt; 0), (AK48/$H48)*100, ""))</f>
        <v/>
      </c>
      <c r="AM48" s="33"/>
      <c r="AN48" s="36" t="str">
        <f>IF((ISERROR((AM48/$H48)*100)), "", IF(AND(NOT(ISERROR((AM48/$H48)*100)),((AM48/$H48)*100) &lt;&gt; 0), (AM48/$H48)*100, ""))</f>
        <v/>
      </c>
      <c r="AO48" s="33"/>
      <c r="AP48" s="36" t="str">
        <f>IF((ISERROR((AO48/$H48)*100)), "", IF(AND(NOT(ISERROR((AO48/$H48)*100)),((AO48/$H48)*100) &lt;&gt; 0), (AO48/$H48)*100, ""))</f>
        <v/>
      </c>
      <c r="AQ48" s="33"/>
      <c r="AR48" s="36" t="str">
        <f>IF((ISERROR((AQ48/$H48)*100)), "", IF(AND(NOT(ISERROR((AQ48/$H48)*100)),((AQ48/$H48)*100) &lt;&gt; 0), (AQ48/$H48)*100, ""))</f>
        <v/>
      </c>
      <c r="AS48" s="33"/>
      <c r="AT48" s="36" t="str">
        <f>IF((ISERROR((AS48/$H48)*100)), "", IF(AND(NOT(ISERROR((AS48/$H48)*100)),((AS48/$H48)*100) &lt;&gt; 0), (AS48/$H48)*100, ""))</f>
        <v/>
      </c>
      <c r="AU48" s="33"/>
      <c r="AV48" s="36" t="str">
        <f>IF((ISERROR((AU48/$H48)*100)), "", IF(AND(NOT(ISERROR((AU48/$H48)*100)),((AU48/$H48)*100) &lt;&gt; 0), (AU48/$H48)*100, ""))</f>
        <v/>
      </c>
      <c r="AW48" s="76"/>
      <c r="AX48" s="36" t="str">
        <f>IF((ISERROR((AW48/$H48)*100)), "", IF(AND(NOT(ISERROR((AW48/$H48)*100)),((AW48/$H48)*100) &lt;&gt; 0), (AW48/$H48)*100, ""))</f>
        <v/>
      </c>
      <c r="AY48" s="76"/>
      <c r="AZ48" s="36" t="str">
        <f>IF((ISERROR((AY48/$H48)*100)), "", IF(AND(NOT(ISERROR((AY48/$H48)*100)),((AY48/$H48)*100) &lt;&gt; 0), (AY48/$H48)*100, ""))</f>
        <v/>
      </c>
      <c r="BA48" s="23" t="s">
        <v>347</v>
      </c>
    </row>
    <row r="49" spans="1:53" ht="20" customHeight="1" x14ac:dyDescent="0.2">
      <c r="A49" s="60"/>
      <c r="B49" s="83"/>
      <c r="C49" s="24" t="s">
        <v>85</v>
      </c>
      <c r="D49" s="23" t="s">
        <v>291</v>
      </c>
      <c r="E49" s="23" t="s">
        <v>292</v>
      </c>
      <c r="F49" s="24">
        <v>2009</v>
      </c>
      <c r="H49" s="89">
        <v>20</v>
      </c>
      <c r="I49" s="85" t="s">
        <v>214</v>
      </c>
      <c r="J49" s="86" t="s">
        <v>191</v>
      </c>
      <c r="K49" s="33"/>
      <c r="L49" s="36" t="str">
        <f>IF((ISERROR((K49/$H49)*100)), "", IF(AND(NOT(ISERROR((K49/$H49)*100)),((K49/$H49)*100) &lt;&gt; 0), (K49/$H49)*100, ""))</f>
        <v/>
      </c>
      <c r="M49" s="33"/>
      <c r="N49" s="36" t="str">
        <f>IF((ISERROR((M49/$H49)*100)), "", IF(AND(NOT(ISERROR((M49/$H49)*100)),((M49/$H49)*100) &lt;&gt; 0), (M49/$H49)*100, ""))</f>
        <v/>
      </c>
      <c r="O49" s="33"/>
      <c r="P49" s="36" t="str">
        <f>IF((ISERROR((O49/$H49)*100)), "", IF(AND(NOT(ISERROR((O49/$H49)*100)),((O49/$H49)*100) &lt;&gt; 0), (O49/$H49)*100, ""))</f>
        <v/>
      </c>
      <c r="Q49" s="33"/>
      <c r="R49" s="36" t="str">
        <f>IF((ISERROR((Q49/$H49)*100)), "", IF(AND(NOT(ISERROR((Q49/$H49)*100)),((Q49/$H49)*100) &lt;&gt; 0), (Q49/$H49)*100, ""))</f>
        <v/>
      </c>
      <c r="S49" s="33"/>
      <c r="T49" s="36" t="str">
        <f>IF((ISERROR((S49/$H49)*100)), "", IF(AND(NOT(ISERROR((S49/$H49)*100)),((S49/$H49)*100) &lt;&gt; 0), (S49/$H49)*100, ""))</f>
        <v/>
      </c>
      <c r="U49" s="33"/>
      <c r="V49" s="36" t="str">
        <f>IF((ISERROR((U49/$H49)*100)), "", IF(AND(NOT(ISERROR((U49/$H49)*100)),((U49/$H49)*100) &lt;&gt; 0), (U49/$H49)*100, ""))</f>
        <v/>
      </c>
      <c r="W49" s="33"/>
      <c r="X49" s="36" t="str">
        <f>IF((ISERROR((W49/$H49)*100)), "", IF(AND(NOT(ISERROR((W49/$H49)*100)),((W49/$H49)*100) &lt;&gt; 0), (W49/$H49)*100, ""))</f>
        <v/>
      </c>
      <c r="Y49" s="33"/>
      <c r="Z49" s="36" t="str">
        <f>IF((ISERROR((Y49/$H49)*100)), "", IF(AND(NOT(ISERROR((Y49/$H49)*100)),((Y49/$H49)*100) &lt;&gt; 0), (Y49/$H49)*100, ""))</f>
        <v/>
      </c>
      <c r="AA49" s="33"/>
      <c r="AB49" s="36" t="str">
        <f>IF((ISERROR((AA49/$H49)*100)), "", IF(AND(NOT(ISERROR((AA49/$H49)*100)),((AA49/$H49)*100) &lt;&gt; 0), (AA49/$H49)*100, ""))</f>
        <v/>
      </c>
      <c r="AC49" s="33"/>
      <c r="AD49" s="36" t="str">
        <f>IF((ISERROR((AC49/$H49)*100)), "", IF(AND(NOT(ISERROR((AC49/$H49)*100)),((AC49/$H49)*100) &lt;&gt; 0), (AC49/$H49)*100, ""))</f>
        <v/>
      </c>
      <c r="AE49" s="33"/>
      <c r="AF49" s="36" t="str">
        <f>IF((ISERROR((AE49/$H49)*100)), "", IF(AND(NOT(ISERROR((AE49/$H49)*100)),((AE49/$H49)*100) &lt;&gt; 0), (AE49/$H49)*100, ""))</f>
        <v/>
      </c>
      <c r="AG49" s="33"/>
      <c r="AH49" s="36" t="str">
        <f>IF((ISERROR((AG49/$H49)*100)), "", IF(AND(NOT(ISERROR((AG49/$H49)*100)),((AG49/$H49)*100) &lt;&gt; 0), (AG49/$H49)*100, ""))</f>
        <v/>
      </c>
      <c r="AI49" s="33"/>
      <c r="AJ49" s="36" t="str">
        <f>IF((ISERROR((AI49/$H49)*100)), "", IF(AND(NOT(ISERROR((AI49/$H49)*100)),((AI49/$H49)*100) &lt;&gt; 0), (AI49/$H49)*100, ""))</f>
        <v/>
      </c>
      <c r="AK49" s="33"/>
      <c r="AL49" s="36" t="str">
        <f>IF((ISERROR((AK49/$H49)*100)), "", IF(AND(NOT(ISERROR((AK49/$H49)*100)),((AK49/$H49)*100) &lt;&gt; 0), (AK49/$H49)*100, ""))</f>
        <v/>
      </c>
      <c r="AM49" s="33"/>
      <c r="AN49" s="36" t="str">
        <f>IF((ISERROR((AM49/$H49)*100)), "", IF(AND(NOT(ISERROR((AM49/$H49)*100)),((AM49/$H49)*100) &lt;&gt; 0), (AM49/$H49)*100, ""))</f>
        <v/>
      </c>
      <c r="AO49" s="33"/>
      <c r="AP49" s="36" t="str">
        <f>IF((ISERROR((AO49/$H49)*100)), "", IF(AND(NOT(ISERROR((AO49/$H49)*100)),((AO49/$H49)*100) &lt;&gt; 0), (AO49/$H49)*100, ""))</f>
        <v/>
      </c>
      <c r="AQ49" s="33"/>
      <c r="AR49" s="36" t="str">
        <f>IF((ISERROR((AQ49/$H49)*100)), "", IF(AND(NOT(ISERROR((AQ49/$H49)*100)),((AQ49/$H49)*100) &lt;&gt; 0), (AQ49/$H49)*100, ""))</f>
        <v/>
      </c>
      <c r="AS49" s="33"/>
      <c r="AT49" s="36" t="str">
        <f>IF((ISERROR((AS49/$H49)*100)), "", IF(AND(NOT(ISERROR((AS49/$H49)*100)),((AS49/$H49)*100) &lt;&gt; 0), (AS49/$H49)*100, ""))</f>
        <v/>
      </c>
      <c r="AU49" s="33"/>
      <c r="AV49" s="36" t="str">
        <f>IF((ISERROR((AU49/$H49)*100)), "", IF(AND(NOT(ISERROR((AU49/$H49)*100)),((AU49/$H49)*100) &lt;&gt; 0), (AU49/$H49)*100, ""))</f>
        <v/>
      </c>
      <c r="AW49" s="76"/>
      <c r="AX49" s="36" t="str">
        <f>IF((ISERROR((AW49/$H49)*100)), "", IF(AND(NOT(ISERROR((AW49/$H49)*100)),((AW49/$H49)*100) &lt;&gt; 0), (AW49/$H49)*100, ""))</f>
        <v/>
      </c>
      <c r="AY49" s="76"/>
      <c r="AZ49" s="36" t="str">
        <f>IF((ISERROR((AY49/$H49)*100)), "", IF(AND(NOT(ISERROR((AY49/$H49)*100)),((AY49/$H49)*100) &lt;&gt; 0), (AY49/$H49)*100, ""))</f>
        <v/>
      </c>
      <c r="BA49" s="23" t="s">
        <v>360</v>
      </c>
    </row>
    <row r="50" spans="1:53" ht="20" customHeight="1" x14ac:dyDescent="0.2">
      <c r="A50" s="60"/>
      <c r="B50" s="83"/>
      <c r="C50" s="24" t="s">
        <v>85</v>
      </c>
      <c r="D50" s="23" t="s">
        <v>59</v>
      </c>
      <c r="E50" s="23" t="s">
        <v>60</v>
      </c>
      <c r="F50" s="24">
        <v>2009</v>
      </c>
      <c r="G50" s="24">
        <v>49</v>
      </c>
      <c r="H50" s="89">
        <v>22</v>
      </c>
      <c r="I50" s="85" t="s">
        <v>176</v>
      </c>
      <c r="J50" s="86" t="s">
        <v>189</v>
      </c>
      <c r="K50" s="33"/>
      <c r="L50" s="36" t="str">
        <f>IF((ISERROR((K50/$H50)*100)), "", IF(AND(NOT(ISERROR((K50/$H50)*100)),((K50/$H50)*100) &lt;&gt; 0), (K50/$H50)*100, ""))</f>
        <v/>
      </c>
      <c r="M50" s="33"/>
      <c r="N50" s="36" t="str">
        <f>IF((ISERROR((M50/$H50)*100)), "", IF(AND(NOT(ISERROR((M50/$H50)*100)),((M50/$H50)*100) &lt;&gt; 0), (M50/$H50)*100, ""))</f>
        <v/>
      </c>
      <c r="O50" s="33"/>
      <c r="P50" s="36" t="str">
        <f>IF((ISERROR((O50/$H50)*100)), "", IF(AND(NOT(ISERROR((O50/$H50)*100)),((O50/$H50)*100) &lt;&gt; 0), (O50/$H50)*100, ""))</f>
        <v/>
      </c>
      <c r="Q50" s="33"/>
      <c r="R50" s="36" t="str">
        <f>IF((ISERROR((Q50/$H50)*100)), "", IF(AND(NOT(ISERROR((Q50/$H50)*100)),((Q50/$H50)*100) &lt;&gt; 0), (Q50/$H50)*100, ""))</f>
        <v/>
      </c>
      <c r="S50" s="33"/>
      <c r="T50" s="36" t="str">
        <f>IF((ISERROR((S50/$H50)*100)), "", IF(AND(NOT(ISERROR((S50/$H50)*100)),((S50/$H50)*100) &lt;&gt; 0), (S50/$H50)*100, ""))</f>
        <v/>
      </c>
      <c r="U50" s="33"/>
      <c r="V50" s="36" t="str">
        <f>IF((ISERROR((U50/$H50)*100)), "", IF(AND(NOT(ISERROR((U50/$H50)*100)),((U50/$H50)*100) &lt;&gt; 0), (U50/$H50)*100, ""))</f>
        <v/>
      </c>
      <c r="W50" s="33"/>
      <c r="X50" s="36" t="str">
        <f>IF((ISERROR((W50/$H50)*100)), "", IF(AND(NOT(ISERROR((W50/$H50)*100)),((W50/$H50)*100) &lt;&gt; 0), (W50/$H50)*100, ""))</f>
        <v/>
      </c>
      <c r="Y50" s="33"/>
      <c r="Z50" s="36" t="str">
        <f>IF((ISERROR((Y50/$H50)*100)), "", IF(AND(NOT(ISERROR((Y50/$H50)*100)),((Y50/$H50)*100) &lt;&gt; 0), (Y50/$H50)*100, ""))</f>
        <v/>
      </c>
      <c r="AA50" s="33"/>
      <c r="AB50" s="36" t="str">
        <f>IF((ISERROR((AA50/$H50)*100)), "", IF(AND(NOT(ISERROR((AA50/$H50)*100)),((AA50/$H50)*100) &lt;&gt; 0), (AA50/$H50)*100, ""))</f>
        <v/>
      </c>
      <c r="AC50" s="33"/>
      <c r="AD50" s="36" t="str">
        <f>IF((ISERROR((AC50/$H50)*100)), "", IF(AND(NOT(ISERROR((AC50/$H50)*100)),((AC50/$H50)*100) &lt;&gt; 0), (AC50/$H50)*100, ""))</f>
        <v/>
      </c>
      <c r="AE50" s="33"/>
      <c r="AF50" s="36" t="str">
        <f>IF((ISERROR((AE50/$H50)*100)), "", IF(AND(NOT(ISERROR((AE50/$H50)*100)),((AE50/$H50)*100) &lt;&gt; 0), (AE50/$H50)*100, ""))</f>
        <v/>
      </c>
      <c r="AG50" s="33"/>
      <c r="AH50" s="36" t="str">
        <f>IF((ISERROR((AG50/$H50)*100)), "", IF(AND(NOT(ISERROR((AG50/$H50)*100)),((AG50/$H50)*100) &lt;&gt; 0), (AG50/$H50)*100, ""))</f>
        <v/>
      </c>
      <c r="AI50" s="33"/>
      <c r="AJ50" s="36" t="str">
        <f>IF((ISERROR((AI50/$H50)*100)), "", IF(AND(NOT(ISERROR((AI50/$H50)*100)),((AI50/$H50)*100) &lt;&gt; 0), (AI50/$H50)*100, ""))</f>
        <v/>
      </c>
      <c r="AK50" s="33"/>
      <c r="AL50" s="36" t="str">
        <f>IF((ISERROR((AK50/$H50)*100)), "", IF(AND(NOT(ISERROR((AK50/$H50)*100)),((AK50/$H50)*100) &lt;&gt; 0), (AK50/$H50)*100, ""))</f>
        <v/>
      </c>
      <c r="AM50" s="33"/>
      <c r="AN50" s="36" t="str">
        <f>IF((ISERROR((AM50/$H50)*100)), "", IF(AND(NOT(ISERROR((AM50/$H50)*100)),((AM50/$H50)*100) &lt;&gt; 0), (AM50/$H50)*100, ""))</f>
        <v/>
      </c>
      <c r="AO50" s="33"/>
      <c r="AP50" s="36" t="str">
        <f>IF((ISERROR((AO50/$H50)*100)), "", IF(AND(NOT(ISERROR((AO50/$H50)*100)),((AO50/$H50)*100) &lt;&gt; 0), (AO50/$H50)*100, ""))</f>
        <v/>
      </c>
      <c r="AQ50" s="33"/>
      <c r="AR50" s="36" t="str">
        <f>IF((ISERROR((AQ50/$H50)*100)), "", IF(AND(NOT(ISERROR((AQ50/$H50)*100)),((AQ50/$H50)*100) &lt;&gt; 0), (AQ50/$H50)*100, ""))</f>
        <v/>
      </c>
      <c r="AS50" s="33"/>
      <c r="AT50" s="36" t="str">
        <f>IF((ISERROR((AS50/$H50)*100)), "", IF(AND(NOT(ISERROR((AS50/$H50)*100)),((AS50/$H50)*100) &lt;&gt; 0), (AS50/$H50)*100, ""))</f>
        <v/>
      </c>
      <c r="AU50" s="33"/>
      <c r="AV50" s="36" t="str">
        <f>IF((ISERROR((AU50/$H50)*100)), "", IF(AND(NOT(ISERROR((AU50/$H50)*100)),((AU50/$H50)*100) &lt;&gt; 0), (AU50/$H50)*100, ""))</f>
        <v/>
      </c>
      <c r="AW50" s="30"/>
      <c r="AX50" s="36" t="str">
        <f>IF((ISERROR((AW50/$H50)*100)), "", IF(AND(NOT(ISERROR((AW50/$H50)*100)),((AW50/$H50)*100) &lt;&gt; 0), (AW50/$H50)*100, ""))</f>
        <v/>
      </c>
      <c r="AY50" s="59"/>
      <c r="AZ50" s="36" t="str">
        <f>IF((ISERROR((AY50/$H50)*100)), "", IF(AND(NOT(ISERROR((AY50/$H50)*100)),((AY50/$H50)*100) &lt;&gt; 0), (AY50/$H50)*100, ""))</f>
        <v/>
      </c>
      <c r="BA50" s="23" t="s">
        <v>406</v>
      </c>
    </row>
    <row r="51" spans="1:53" ht="20" customHeight="1" x14ac:dyDescent="0.2">
      <c r="A51" s="61"/>
      <c r="B51" s="83"/>
      <c r="C51" s="24" t="s">
        <v>85</v>
      </c>
      <c r="D51" s="23" t="s">
        <v>91</v>
      </c>
      <c r="E51" s="23" t="s">
        <v>92</v>
      </c>
      <c r="F51" s="24">
        <v>2001</v>
      </c>
      <c r="G51" s="24">
        <v>170</v>
      </c>
      <c r="H51" s="89">
        <v>22</v>
      </c>
      <c r="I51" s="85" t="s">
        <v>176</v>
      </c>
      <c r="J51" s="86" t="s">
        <v>169</v>
      </c>
      <c r="K51" s="33"/>
      <c r="L51" s="36" t="str">
        <f>IF((ISERROR((K51/$H51)*100)), "", IF(AND(NOT(ISERROR((K51/$H51)*100)),((K51/$H51)*100) &lt;&gt; 0), (K51/$H51)*100, ""))</f>
        <v/>
      </c>
      <c r="M51" s="33"/>
      <c r="N51" s="36" t="str">
        <f>IF((ISERROR((M51/$H51)*100)), "", IF(AND(NOT(ISERROR((M51/$H51)*100)),((M51/$H51)*100) &lt;&gt; 0), (M51/$H51)*100, ""))</f>
        <v/>
      </c>
      <c r="O51" s="33"/>
      <c r="P51" s="36" t="str">
        <f>IF((ISERROR((O51/$H51)*100)), "", IF(AND(NOT(ISERROR((O51/$H51)*100)),((O51/$H51)*100) &lt;&gt; 0), (O51/$H51)*100, ""))</f>
        <v/>
      </c>
      <c r="Q51" s="33"/>
      <c r="R51" s="36" t="str">
        <f>IF((ISERROR((Q51/$H51)*100)), "", IF(AND(NOT(ISERROR((Q51/$H51)*100)),((Q51/$H51)*100) &lt;&gt; 0), (Q51/$H51)*100, ""))</f>
        <v/>
      </c>
      <c r="S51" s="33"/>
      <c r="T51" s="36" t="str">
        <f>IF((ISERROR((S51/$H51)*100)), "", IF(AND(NOT(ISERROR((S51/$H51)*100)),((S51/$H51)*100) &lt;&gt; 0), (S51/$H51)*100, ""))</f>
        <v/>
      </c>
      <c r="U51" s="33"/>
      <c r="V51" s="36" t="str">
        <f>IF((ISERROR((U51/$H51)*100)), "", IF(AND(NOT(ISERROR((U51/$H51)*100)),((U51/$H51)*100) &lt;&gt; 0), (U51/$H51)*100, ""))</f>
        <v/>
      </c>
      <c r="W51" s="33"/>
      <c r="X51" s="36" t="str">
        <f>IF((ISERROR((W51/$H51)*100)), "", IF(AND(NOT(ISERROR((W51/$H51)*100)),((W51/$H51)*100) &lt;&gt; 0), (W51/$H51)*100, ""))</f>
        <v/>
      </c>
      <c r="Y51" s="33"/>
      <c r="Z51" s="36" t="str">
        <f>IF((ISERROR((Y51/$H51)*100)), "", IF(AND(NOT(ISERROR((Y51/$H51)*100)),((Y51/$H51)*100) &lt;&gt; 0), (Y51/$H51)*100, ""))</f>
        <v/>
      </c>
      <c r="AA51" s="33"/>
      <c r="AB51" s="36" t="str">
        <f>IF((ISERROR((AA51/$H51)*100)), "", IF(AND(NOT(ISERROR((AA51/$H51)*100)),((AA51/$H51)*100) &lt;&gt; 0), (AA51/$H51)*100, ""))</f>
        <v/>
      </c>
      <c r="AC51" s="33"/>
      <c r="AD51" s="36" t="str">
        <f>IF((ISERROR((AC51/$H51)*100)), "", IF(AND(NOT(ISERROR((AC51/$H51)*100)),((AC51/$H51)*100) &lt;&gt; 0), (AC51/$H51)*100, ""))</f>
        <v/>
      </c>
      <c r="AE51" s="33"/>
      <c r="AF51" s="36" t="str">
        <f>IF((ISERROR((AE51/$H51)*100)), "", IF(AND(NOT(ISERROR((AE51/$H51)*100)),((AE51/$H51)*100) &lt;&gt; 0), (AE51/$H51)*100, ""))</f>
        <v/>
      </c>
      <c r="AG51" s="33"/>
      <c r="AH51" s="36" t="str">
        <f>IF((ISERROR((AG51/$H51)*100)), "", IF(AND(NOT(ISERROR((AG51/$H51)*100)),((AG51/$H51)*100) &lt;&gt; 0), (AG51/$H51)*100, ""))</f>
        <v/>
      </c>
      <c r="AI51" s="33"/>
      <c r="AJ51" s="36" t="str">
        <f>IF((ISERROR((AI51/$H51)*100)), "", IF(AND(NOT(ISERROR((AI51/$H51)*100)),((AI51/$H51)*100) &lt;&gt; 0), (AI51/$H51)*100, ""))</f>
        <v/>
      </c>
      <c r="AK51" s="33"/>
      <c r="AL51" s="36" t="str">
        <f>IF((ISERROR((AK51/$H51)*100)), "", IF(AND(NOT(ISERROR((AK51/$H51)*100)),((AK51/$H51)*100) &lt;&gt; 0), (AK51/$H51)*100, ""))</f>
        <v/>
      </c>
      <c r="AM51" s="33"/>
      <c r="AN51" s="36" t="str">
        <f>IF((ISERROR((AM51/$H51)*100)), "", IF(AND(NOT(ISERROR((AM51/$H51)*100)),((AM51/$H51)*100) &lt;&gt; 0), (AM51/$H51)*100, ""))</f>
        <v/>
      </c>
      <c r="AO51" s="33"/>
      <c r="AP51" s="36" t="str">
        <f>IF((ISERROR((AO51/$H51)*100)), "", IF(AND(NOT(ISERROR((AO51/$H51)*100)),((AO51/$H51)*100) &lt;&gt; 0), (AO51/$H51)*100, ""))</f>
        <v/>
      </c>
      <c r="AQ51" s="33"/>
      <c r="AR51" s="36" t="str">
        <f>IF((ISERROR((AQ51/$H51)*100)), "", IF(AND(NOT(ISERROR((AQ51/$H51)*100)),((AQ51/$H51)*100) &lt;&gt; 0), (AQ51/$H51)*100, ""))</f>
        <v/>
      </c>
      <c r="AS51" s="33"/>
      <c r="AT51" s="36" t="str">
        <f>IF((ISERROR((AS51/$H51)*100)), "", IF(AND(NOT(ISERROR((AS51/$H51)*100)),((AS51/$H51)*100) &lt;&gt; 0), (AS51/$H51)*100, ""))</f>
        <v/>
      </c>
      <c r="AU51" s="33"/>
      <c r="AV51" s="36" t="str">
        <f>IF((ISERROR((AU51/$H51)*100)), "", IF(AND(NOT(ISERROR((AU51/$H51)*100)),((AU51/$H51)*100) &lt;&gt; 0), (AU51/$H51)*100, ""))</f>
        <v/>
      </c>
      <c r="AW51" s="30"/>
      <c r="AX51" s="36" t="str">
        <f>IF((ISERROR((AW51/$H51)*100)), "", IF(AND(NOT(ISERROR((AW51/$H51)*100)),((AW51/$H51)*100) &lt;&gt; 0), (AW51/$H51)*100, ""))</f>
        <v/>
      </c>
      <c r="AY51" s="59"/>
      <c r="AZ51" s="36" t="str">
        <f>IF((ISERROR((AY51/$H51)*100)), "", IF(AND(NOT(ISERROR((AY51/$H51)*100)),((AY51/$H51)*100) &lt;&gt; 0), (AY51/$H51)*100, ""))</f>
        <v/>
      </c>
      <c r="BA51" s="23" t="s">
        <v>181</v>
      </c>
    </row>
    <row r="52" spans="1:53" ht="20" customHeight="1" x14ac:dyDescent="0.2">
      <c r="A52" s="61"/>
      <c r="B52" s="24"/>
      <c r="C52" s="24" t="s">
        <v>85</v>
      </c>
      <c r="D52" s="23" t="s">
        <v>147</v>
      </c>
      <c r="E52" s="23" t="s">
        <v>148</v>
      </c>
      <c r="F52" s="24">
        <v>2011</v>
      </c>
      <c r="G52" s="24">
        <v>112</v>
      </c>
      <c r="H52" s="89">
        <v>22</v>
      </c>
      <c r="I52" s="85" t="s">
        <v>218</v>
      </c>
      <c r="J52" s="86" t="s">
        <v>193</v>
      </c>
      <c r="K52" s="33"/>
      <c r="L52" s="36" t="str">
        <f>IF((ISERROR((K52/$H52)*100)), "", IF(AND(NOT(ISERROR((K52/$H52)*100)),((K52/$H52)*100) &lt;&gt; 0), (K52/$H52)*100, ""))</f>
        <v/>
      </c>
      <c r="M52" s="33"/>
      <c r="N52" s="36" t="str">
        <f>IF((ISERROR((M52/$H52)*100)), "", IF(AND(NOT(ISERROR((M52/$H52)*100)),((M52/$H52)*100) &lt;&gt; 0), (M52/$H52)*100, ""))</f>
        <v/>
      </c>
      <c r="O52" s="33"/>
      <c r="P52" s="36" t="str">
        <f>IF((ISERROR((O52/$H52)*100)), "", IF(AND(NOT(ISERROR((O52/$H52)*100)),((O52/$H52)*100) &lt;&gt; 0), (O52/$H52)*100, ""))</f>
        <v/>
      </c>
      <c r="Q52" s="33"/>
      <c r="R52" s="36" t="str">
        <f>IF((ISERROR((Q52/$H52)*100)), "", IF(AND(NOT(ISERROR((Q52/$H52)*100)),((Q52/$H52)*100) &lt;&gt; 0), (Q52/$H52)*100, ""))</f>
        <v/>
      </c>
      <c r="S52" s="33"/>
      <c r="T52" s="36" t="str">
        <f>IF((ISERROR((S52/$H52)*100)), "", IF(AND(NOT(ISERROR((S52/$H52)*100)),((S52/$H52)*100) &lt;&gt; 0), (S52/$H52)*100, ""))</f>
        <v/>
      </c>
      <c r="U52" s="33"/>
      <c r="V52" s="36" t="str">
        <f>IF((ISERROR((U52/$H52)*100)), "", IF(AND(NOT(ISERROR((U52/$H52)*100)),((U52/$H52)*100) &lt;&gt; 0), (U52/$H52)*100, ""))</f>
        <v/>
      </c>
      <c r="W52" s="33"/>
      <c r="X52" s="36" t="str">
        <f>IF((ISERROR((W52/$H52)*100)), "", IF(AND(NOT(ISERROR((W52/$H52)*100)),((W52/$H52)*100) &lt;&gt; 0), (W52/$H52)*100, ""))</f>
        <v/>
      </c>
      <c r="Y52" s="33"/>
      <c r="Z52" s="36" t="str">
        <f>IF((ISERROR((Y52/$H52)*100)), "", IF(AND(NOT(ISERROR((Y52/$H52)*100)),((Y52/$H52)*100) &lt;&gt; 0), (Y52/$H52)*100, ""))</f>
        <v/>
      </c>
      <c r="AA52" s="33"/>
      <c r="AB52" s="36" t="str">
        <f>IF((ISERROR((AA52/$H52)*100)), "", IF(AND(NOT(ISERROR((AA52/$H52)*100)),((AA52/$H52)*100) &lt;&gt; 0), (AA52/$H52)*100, ""))</f>
        <v/>
      </c>
      <c r="AC52" s="33"/>
      <c r="AD52" s="36" t="str">
        <f>IF((ISERROR((AC52/$H52)*100)), "", IF(AND(NOT(ISERROR((AC52/$H52)*100)),((AC52/$H52)*100) &lt;&gt; 0), (AC52/$H52)*100, ""))</f>
        <v/>
      </c>
      <c r="AE52" s="33"/>
      <c r="AF52" s="36" t="str">
        <f>IF((ISERROR((AE52/$H52)*100)), "", IF(AND(NOT(ISERROR((AE52/$H52)*100)),((AE52/$H52)*100) &lt;&gt; 0), (AE52/$H52)*100, ""))</f>
        <v/>
      </c>
      <c r="AG52" s="33"/>
      <c r="AH52" s="36" t="str">
        <f>IF((ISERROR((AG52/$H52)*100)), "", IF(AND(NOT(ISERROR((AG52/$H52)*100)),((AG52/$H52)*100) &lt;&gt; 0), (AG52/$H52)*100, ""))</f>
        <v/>
      </c>
      <c r="AI52" s="33"/>
      <c r="AJ52" s="36" t="str">
        <f>IF((ISERROR((AI52/$H52)*100)), "", IF(AND(NOT(ISERROR((AI52/$H52)*100)),((AI52/$H52)*100) &lt;&gt; 0), (AI52/$H52)*100, ""))</f>
        <v/>
      </c>
      <c r="AK52" s="33"/>
      <c r="AL52" s="36" t="str">
        <f>IF((ISERROR((AK52/$H52)*100)), "", IF(AND(NOT(ISERROR((AK52/$H52)*100)),((AK52/$H52)*100) &lt;&gt; 0), (AK52/$H52)*100, ""))</f>
        <v/>
      </c>
      <c r="AM52" s="33"/>
      <c r="AN52" s="36" t="str">
        <f>IF((ISERROR((AM52/$H52)*100)), "", IF(AND(NOT(ISERROR((AM52/$H52)*100)),((AM52/$H52)*100) &lt;&gt; 0), (AM52/$H52)*100, ""))</f>
        <v/>
      </c>
      <c r="AO52" s="33"/>
      <c r="AP52" s="36" t="str">
        <f>IF((ISERROR((AO52/$H52)*100)), "", IF(AND(NOT(ISERROR((AO52/$H52)*100)),((AO52/$H52)*100) &lt;&gt; 0), (AO52/$H52)*100, ""))</f>
        <v/>
      </c>
      <c r="AQ52" s="33"/>
      <c r="AR52" s="36" t="str">
        <f>IF((ISERROR((AQ52/$H52)*100)), "", IF(AND(NOT(ISERROR((AQ52/$H52)*100)),((AQ52/$H52)*100) &lt;&gt; 0), (AQ52/$H52)*100, ""))</f>
        <v/>
      </c>
      <c r="AS52" s="33"/>
      <c r="AT52" s="36" t="str">
        <f>IF((ISERROR((AS52/$H52)*100)), "", IF(AND(NOT(ISERROR((AS52/$H52)*100)),((AS52/$H52)*100) &lt;&gt; 0), (AS52/$H52)*100, ""))</f>
        <v/>
      </c>
      <c r="AU52" s="33"/>
      <c r="AV52" s="36" t="str">
        <f>IF((ISERROR((AU52/$H52)*100)), "", IF(AND(NOT(ISERROR((AU52/$H52)*100)),((AU52/$H52)*100) &lt;&gt; 0), (AU52/$H52)*100, ""))</f>
        <v/>
      </c>
      <c r="AW52" s="76"/>
      <c r="AX52" s="36" t="str">
        <f>IF((ISERROR((AW52/$H52)*100)), "", IF(AND(NOT(ISERROR((AW52/$H52)*100)),((AW52/$H52)*100) &lt;&gt; 0), (AW52/$H52)*100, ""))</f>
        <v/>
      </c>
      <c r="AY52" s="76"/>
      <c r="AZ52" s="36" t="str">
        <f>IF((ISERROR((AY52/$H52)*100)), "", IF(AND(NOT(ISERROR((AY52/$H52)*100)),((AY52/$H52)*100) &lt;&gt; 0), (AY52/$H52)*100, ""))</f>
        <v/>
      </c>
      <c r="BA52" s="23" t="s">
        <v>231</v>
      </c>
    </row>
    <row r="53" spans="1:53" ht="20" customHeight="1" x14ac:dyDescent="0.2">
      <c r="A53" s="60"/>
      <c r="B53" s="83"/>
      <c r="C53" s="24" t="s">
        <v>85</v>
      </c>
      <c r="D53" s="23" t="s">
        <v>280</v>
      </c>
      <c r="E53" s="23" t="s">
        <v>281</v>
      </c>
      <c r="F53" s="24">
        <v>2013</v>
      </c>
      <c r="H53" s="89">
        <v>23</v>
      </c>
      <c r="I53" s="85"/>
      <c r="J53" s="86"/>
      <c r="K53" s="33"/>
      <c r="L53" s="36" t="str">
        <f>IF((ISERROR((K53/$H53)*100)), "", IF(AND(NOT(ISERROR((K53/$H53)*100)),((K53/$H53)*100) &lt;&gt; 0), (K53/$H53)*100, ""))</f>
        <v/>
      </c>
      <c r="M53" s="33"/>
      <c r="N53" s="36" t="str">
        <f>IF((ISERROR((M53/$H53)*100)), "", IF(AND(NOT(ISERROR((M53/$H53)*100)),((M53/$H53)*100) &lt;&gt; 0), (M53/$H53)*100, ""))</f>
        <v/>
      </c>
      <c r="O53" s="33"/>
      <c r="P53" s="36" t="str">
        <f>IF((ISERROR((O53/$H53)*100)), "", IF(AND(NOT(ISERROR((O53/$H53)*100)),((O53/$H53)*100) &lt;&gt; 0), (O53/$H53)*100, ""))</f>
        <v/>
      </c>
      <c r="Q53" s="33"/>
      <c r="R53" s="36" t="str">
        <f>IF((ISERROR((Q53/$H53)*100)), "", IF(AND(NOT(ISERROR((Q53/$H53)*100)),((Q53/$H53)*100) &lt;&gt; 0), (Q53/$H53)*100, ""))</f>
        <v/>
      </c>
      <c r="S53" s="33"/>
      <c r="T53" s="36" t="str">
        <f>IF((ISERROR((S53/$H53)*100)), "", IF(AND(NOT(ISERROR((S53/$H53)*100)),((S53/$H53)*100) &lt;&gt; 0), (S53/$H53)*100, ""))</f>
        <v/>
      </c>
      <c r="U53" s="33"/>
      <c r="V53" s="36" t="str">
        <f>IF((ISERROR((U53/$H53)*100)), "", IF(AND(NOT(ISERROR((U53/$H53)*100)),((U53/$H53)*100) &lt;&gt; 0), (U53/$H53)*100, ""))</f>
        <v/>
      </c>
      <c r="W53" s="33"/>
      <c r="X53" s="36" t="str">
        <f>IF((ISERROR((W53/$H53)*100)), "", IF(AND(NOT(ISERROR((W53/$H53)*100)),((W53/$H53)*100) &lt;&gt; 0), (W53/$H53)*100, ""))</f>
        <v/>
      </c>
      <c r="Y53" s="33"/>
      <c r="Z53" s="36" t="str">
        <f>IF((ISERROR((Y53/$H53)*100)), "", IF(AND(NOT(ISERROR((Y53/$H53)*100)),((Y53/$H53)*100) &lt;&gt; 0), (Y53/$H53)*100, ""))</f>
        <v/>
      </c>
      <c r="AA53" s="33"/>
      <c r="AB53" s="36" t="str">
        <f>IF((ISERROR((AA53/$H53)*100)), "", IF(AND(NOT(ISERROR((AA53/$H53)*100)),((AA53/$H53)*100) &lt;&gt; 0), (AA53/$H53)*100, ""))</f>
        <v/>
      </c>
      <c r="AC53" s="33"/>
      <c r="AD53" s="36" t="str">
        <f>IF((ISERROR((AC53/$H53)*100)), "", IF(AND(NOT(ISERROR((AC53/$H53)*100)),((AC53/$H53)*100) &lt;&gt; 0), (AC53/$H53)*100, ""))</f>
        <v/>
      </c>
      <c r="AE53" s="33"/>
      <c r="AF53" s="36" t="str">
        <f>IF((ISERROR((AE53/$H53)*100)), "", IF(AND(NOT(ISERROR((AE53/$H53)*100)),((AE53/$H53)*100) &lt;&gt; 0), (AE53/$H53)*100, ""))</f>
        <v/>
      </c>
      <c r="AG53" s="33"/>
      <c r="AH53" s="36" t="str">
        <f>IF((ISERROR((AG53/$H53)*100)), "", IF(AND(NOT(ISERROR((AG53/$H53)*100)),((AG53/$H53)*100) &lt;&gt; 0), (AG53/$H53)*100, ""))</f>
        <v/>
      </c>
      <c r="AI53" s="33"/>
      <c r="AJ53" s="36" t="str">
        <f>IF((ISERROR((AI53/$H53)*100)), "", IF(AND(NOT(ISERROR((AI53/$H53)*100)),((AI53/$H53)*100) &lt;&gt; 0), (AI53/$H53)*100, ""))</f>
        <v/>
      </c>
      <c r="AK53" s="33"/>
      <c r="AL53" s="36" t="str">
        <f>IF((ISERROR((AK53/$H53)*100)), "", IF(AND(NOT(ISERROR((AK53/$H53)*100)),((AK53/$H53)*100) &lt;&gt; 0), (AK53/$H53)*100, ""))</f>
        <v/>
      </c>
      <c r="AM53" s="33"/>
      <c r="AN53" s="36" t="str">
        <f>IF((ISERROR((AM53/$H53)*100)), "", IF(AND(NOT(ISERROR((AM53/$H53)*100)),((AM53/$H53)*100) &lt;&gt; 0), (AM53/$H53)*100, ""))</f>
        <v/>
      </c>
      <c r="AO53" s="33"/>
      <c r="AP53" s="36" t="str">
        <f>IF((ISERROR((AO53/$H53)*100)), "", IF(AND(NOT(ISERROR((AO53/$H53)*100)),((AO53/$H53)*100) &lt;&gt; 0), (AO53/$H53)*100, ""))</f>
        <v/>
      </c>
      <c r="AQ53" s="33"/>
      <c r="AR53" s="36" t="str">
        <f>IF((ISERROR((AQ53/$H53)*100)), "", IF(AND(NOT(ISERROR((AQ53/$H53)*100)),((AQ53/$H53)*100) &lt;&gt; 0), (AQ53/$H53)*100, ""))</f>
        <v/>
      </c>
      <c r="AS53" s="33"/>
      <c r="AT53" s="36" t="str">
        <f>IF((ISERROR((AS53/$H53)*100)), "", IF(AND(NOT(ISERROR((AS53/$H53)*100)),((AS53/$H53)*100) &lt;&gt; 0), (AS53/$H53)*100, ""))</f>
        <v/>
      </c>
      <c r="AU53" s="33"/>
      <c r="AV53" s="36" t="str">
        <f>IF((ISERROR((AU53/$H53)*100)), "", IF(AND(NOT(ISERROR((AU53/$H53)*100)),((AU53/$H53)*100) &lt;&gt; 0), (AU53/$H53)*100, ""))</f>
        <v/>
      </c>
      <c r="AW53" s="76"/>
      <c r="AX53" s="36" t="str">
        <f>IF((ISERROR((AW53/$H53)*100)), "", IF(AND(NOT(ISERROR((AW53/$H53)*100)),((AW53/$H53)*100) &lt;&gt; 0), (AW53/$H53)*100, ""))</f>
        <v/>
      </c>
      <c r="AY53" s="76"/>
      <c r="AZ53" s="36" t="str">
        <f>IF((ISERROR((AY53/$H53)*100)), "", IF(AND(NOT(ISERROR((AY53/$H53)*100)),((AY53/$H53)*100) &lt;&gt; 0), (AY53/$H53)*100, ""))</f>
        <v/>
      </c>
      <c r="BA53" s="23" t="s">
        <v>417</v>
      </c>
    </row>
    <row r="54" spans="1:53" ht="20" customHeight="1" x14ac:dyDescent="0.2">
      <c r="A54" s="61"/>
      <c r="B54" s="83"/>
      <c r="C54" s="24" t="s">
        <v>85</v>
      </c>
      <c r="D54" s="23" t="s">
        <v>61</v>
      </c>
      <c r="E54" s="23" t="s">
        <v>62</v>
      </c>
      <c r="F54" s="24">
        <v>2006</v>
      </c>
      <c r="G54" s="24">
        <v>144</v>
      </c>
      <c r="H54" s="89">
        <v>25</v>
      </c>
      <c r="I54" s="85"/>
      <c r="J54" s="86" t="s">
        <v>190</v>
      </c>
      <c r="K54" s="33"/>
      <c r="L54" s="36" t="str">
        <f>IF((ISERROR((K54/$H54)*100)), "", IF(AND(NOT(ISERROR((K54/$H54)*100)),((K54/$H54)*100) &lt;&gt; 0), (K54/$H54)*100, ""))</f>
        <v/>
      </c>
      <c r="M54" s="33"/>
      <c r="N54" s="36" t="str">
        <f>IF((ISERROR((M54/$H54)*100)), "", IF(AND(NOT(ISERROR((M54/$H54)*100)),((M54/$H54)*100) &lt;&gt; 0), (M54/$H54)*100, ""))</f>
        <v/>
      </c>
      <c r="O54" s="33"/>
      <c r="P54" s="36" t="str">
        <f>IF((ISERROR((O54/$H54)*100)), "", IF(AND(NOT(ISERROR((O54/$H54)*100)),((O54/$H54)*100) &lt;&gt; 0), (O54/$H54)*100, ""))</f>
        <v/>
      </c>
      <c r="Q54" s="33"/>
      <c r="R54" s="36" t="str">
        <f>IF((ISERROR((Q54/$H54)*100)), "", IF(AND(NOT(ISERROR((Q54/$H54)*100)),((Q54/$H54)*100) &lt;&gt; 0), (Q54/$H54)*100, ""))</f>
        <v/>
      </c>
      <c r="S54" s="33"/>
      <c r="T54" s="36" t="str">
        <f>IF((ISERROR((S54/$H54)*100)), "", IF(AND(NOT(ISERROR((S54/$H54)*100)),((S54/$H54)*100) &lt;&gt; 0), (S54/$H54)*100, ""))</f>
        <v/>
      </c>
      <c r="U54" s="33"/>
      <c r="V54" s="36" t="str">
        <f>IF((ISERROR((U54/$H54)*100)), "", IF(AND(NOT(ISERROR((U54/$H54)*100)),((U54/$H54)*100) &lt;&gt; 0), (U54/$H54)*100, ""))</f>
        <v/>
      </c>
      <c r="W54" s="33"/>
      <c r="X54" s="36" t="str">
        <f>IF((ISERROR((W54/$H54)*100)), "", IF(AND(NOT(ISERROR((W54/$H54)*100)),((W54/$H54)*100) &lt;&gt; 0), (W54/$H54)*100, ""))</f>
        <v/>
      </c>
      <c r="Y54" s="33"/>
      <c r="Z54" s="36" t="str">
        <f>IF((ISERROR((Y54/$H54)*100)), "", IF(AND(NOT(ISERROR((Y54/$H54)*100)),((Y54/$H54)*100) &lt;&gt; 0), (Y54/$H54)*100, ""))</f>
        <v/>
      </c>
      <c r="AA54" s="33"/>
      <c r="AB54" s="36" t="str">
        <f>IF((ISERROR((AA54/$H54)*100)), "", IF(AND(NOT(ISERROR((AA54/$H54)*100)),((AA54/$H54)*100) &lt;&gt; 0), (AA54/$H54)*100, ""))</f>
        <v/>
      </c>
      <c r="AC54" s="33"/>
      <c r="AD54" s="36" t="str">
        <f>IF((ISERROR((AC54/$H54)*100)), "", IF(AND(NOT(ISERROR((AC54/$H54)*100)),((AC54/$H54)*100) &lt;&gt; 0), (AC54/$H54)*100, ""))</f>
        <v/>
      </c>
      <c r="AE54" s="33"/>
      <c r="AF54" s="36" t="str">
        <f>IF((ISERROR((AE54/$H54)*100)), "", IF(AND(NOT(ISERROR((AE54/$H54)*100)),((AE54/$H54)*100) &lt;&gt; 0), (AE54/$H54)*100, ""))</f>
        <v/>
      </c>
      <c r="AG54" s="33"/>
      <c r="AH54" s="36" t="str">
        <f>IF((ISERROR((AG54/$H54)*100)), "", IF(AND(NOT(ISERROR((AG54/$H54)*100)),((AG54/$H54)*100) &lt;&gt; 0), (AG54/$H54)*100, ""))</f>
        <v/>
      </c>
      <c r="AI54" s="33"/>
      <c r="AJ54" s="36" t="str">
        <f>IF((ISERROR((AI54/$H54)*100)), "", IF(AND(NOT(ISERROR((AI54/$H54)*100)),((AI54/$H54)*100) &lt;&gt; 0), (AI54/$H54)*100, ""))</f>
        <v/>
      </c>
      <c r="AK54" s="33"/>
      <c r="AL54" s="36" t="str">
        <f>IF((ISERROR((AK54/$H54)*100)), "", IF(AND(NOT(ISERROR((AK54/$H54)*100)),((AK54/$H54)*100) &lt;&gt; 0), (AK54/$H54)*100, ""))</f>
        <v/>
      </c>
      <c r="AM54" s="33"/>
      <c r="AN54" s="36" t="str">
        <f>IF((ISERROR((AM54/$H54)*100)), "", IF(AND(NOT(ISERROR((AM54/$H54)*100)),((AM54/$H54)*100) &lt;&gt; 0), (AM54/$H54)*100, ""))</f>
        <v/>
      </c>
      <c r="AO54" s="33"/>
      <c r="AP54" s="36" t="str">
        <f>IF((ISERROR((AO54/$H54)*100)), "", IF(AND(NOT(ISERROR((AO54/$H54)*100)),((AO54/$H54)*100) &lt;&gt; 0), (AO54/$H54)*100, ""))</f>
        <v/>
      </c>
      <c r="AQ54" s="33"/>
      <c r="AR54" s="36" t="str">
        <f>IF((ISERROR((AQ54/$H54)*100)), "", IF(AND(NOT(ISERROR((AQ54/$H54)*100)),((AQ54/$H54)*100) &lt;&gt; 0), (AQ54/$H54)*100, ""))</f>
        <v/>
      </c>
      <c r="AS54" s="33"/>
      <c r="AT54" s="36" t="str">
        <f>IF((ISERROR((AS54/$H54)*100)), "", IF(AND(NOT(ISERROR((AS54/$H54)*100)),((AS54/$H54)*100) &lt;&gt; 0), (AS54/$H54)*100, ""))</f>
        <v/>
      </c>
      <c r="AU54" s="33"/>
      <c r="AV54" s="36" t="str">
        <f>IF((ISERROR((AU54/$H54)*100)), "", IF(AND(NOT(ISERROR((AU54/$H54)*100)),((AU54/$H54)*100) &lt;&gt; 0), (AU54/$H54)*100, ""))</f>
        <v/>
      </c>
      <c r="AW54" s="31"/>
      <c r="AX54" s="36" t="str">
        <f>IF((ISERROR((AW54/$H54)*100)), "", IF(AND(NOT(ISERROR((AW54/$H54)*100)),((AW54/$H54)*100) &lt;&gt; 0), (AW54/$H54)*100, ""))</f>
        <v/>
      </c>
      <c r="AY54" s="59"/>
      <c r="AZ54" s="36" t="str">
        <f>IF((ISERROR((AY54/$H54)*100)), "", IF(AND(NOT(ISERROR((AY54/$H54)*100)),((AY54/$H54)*100) &lt;&gt; 0), (AY54/$H54)*100, ""))</f>
        <v/>
      </c>
      <c r="BA54" s="23" t="s">
        <v>181</v>
      </c>
    </row>
    <row r="55" spans="1:53" ht="20" customHeight="1" x14ac:dyDescent="0.2">
      <c r="A55" s="61"/>
      <c r="B55" s="24"/>
      <c r="C55" s="24" t="s">
        <v>85</v>
      </c>
      <c r="D55" s="23" t="s">
        <v>297</v>
      </c>
      <c r="E55" s="23" t="s">
        <v>298</v>
      </c>
      <c r="F55" s="24">
        <v>2016</v>
      </c>
      <c r="H55" s="89">
        <v>25</v>
      </c>
      <c r="I55" s="85" t="s">
        <v>214</v>
      </c>
      <c r="J55" s="86" t="s">
        <v>192</v>
      </c>
      <c r="K55" s="33"/>
      <c r="L55" s="36" t="str">
        <f>IF((ISERROR((K55/$H55)*100)), "", IF(AND(NOT(ISERROR((K55/$H55)*100)),((K55/$H55)*100) &lt;&gt; 0), (K55/$H55)*100, ""))</f>
        <v/>
      </c>
      <c r="M55" s="33"/>
      <c r="N55" s="36" t="str">
        <f>IF((ISERROR((M55/$H55)*100)), "", IF(AND(NOT(ISERROR((M55/$H55)*100)),((M55/$H55)*100) &lt;&gt; 0), (M55/$H55)*100, ""))</f>
        <v/>
      </c>
      <c r="O55" s="33"/>
      <c r="P55" s="36" t="str">
        <f>IF((ISERROR((O55/$H55)*100)), "", IF(AND(NOT(ISERROR((O55/$H55)*100)),((O55/$H55)*100) &lt;&gt; 0), (O55/$H55)*100, ""))</f>
        <v/>
      </c>
      <c r="Q55" s="33"/>
      <c r="R55" s="36" t="str">
        <f>IF((ISERROR((Q55/$H55)*100)), "", IF(AND(NOT(ISERROR((Q55/$H55)*100)),((Q55/$H55)*100) &lt;&gt; 0), (Q55/$H55)*100, ""))</f>
        <v/>
      </c>
      <c r="S55" s="33"/>
      <c r="T55" s="36" t="str">
        <f>IF((ISERROR((S55/$H55)*100)), "", IF(AND(NOT(ISERROR((S55/$H55)*100)),((S55/$H55)*100) &lt;&gt; 0), (S55/$H55)*100, ""))</f>
        <v/>
      </c>
      <c r="U55" s="33"/>
      <c r="V55" s="36" t="str">
        <f>IF((ISERROR((U55/$H55)*100)), "", IF(AND(NOT(ISERROR((U55/$H55)*100)),((U55/$H55)*100) &lt;&gt; 0), (U55/$H55)*100, ""))</f>
        <v/>
      </c>
      <c r="W55" s="33"/>
      <c r="X55" s="36" t="str">
        <f>IF((ISERROR((W55/$H55)*100)), "", IF(AND(NOT(ISERROR((W55/$H55)*100)),((W55/$H55)*100) &lt;&gt; 0), (W55/$H55)*100, ""))</f>
        <v/>
      </c>
      <c r="Y55" s="33"/>
      <c r="Z55" s="36" t="str">
        <f>IF((ISERROR((Y55/$H55)*100)), "", IF(AND(NOT(ISERROR((Y55/$H55)*100)),((Y55/$H55)*100) &lt;&gt; 0), (Y55/$H55)*100, ""))</f>
        <v/>
      </c>
      <c r="AA55" s="33"/>
      <c r="AB55" s="36" t="str">
        <f>IF((ISERROR((AA55/$H55)*100)), "", IF(AND(NOT(ISERROR((AA55/$H55)*100)),((AA55/$H55)*100) &lt;&gt; 0), (AA55/$H55)*100, ""))</f>
        <v/>
      </c>
      <c r="AC55" s="33"/>
      <c r="AD55" s="36" t="str">
        <f>IF((ISERROR((AC55/$H55)*100)), "", IF(AND(NOT(ISERROR((AC55/$H55)*100)),((AC55/$H55)*100) &lt;&gt; 0), (AC55/$H55)*100, ""))</f>
        <v/>
      </c>
      <c r="AE55" s="33"/>
      <c r="AF55" s="36" t="str">
        <f>IF((ISERROR((AE55/$H55)*100)), "", IF(AND(NOT(ISERROR((AE55/$H55)*100)),((AE55/$H55)*100) &lt;&gt; 0), (AE55/$H55)*100, ""))</f>
        <v/>
      </c>
      <c r="AG55" s="33"/>
      <c r="AH55" s="36" t="str">
        <f>IF((ISERROR((AG55/$H55)*100)), "", IF(AND(NOT(ISERROR((AG55/$H55)*100)),((AG55/$H55)*100) &lt;&gt; 0), (AG55/$H55)*100, ""))</f>
        <v/>
      </c>
      <c r="AI55" s="33"/>
      <c r="AJ55" s="36" t="str">
        <f>IF((ISERROR((AI55/$H55)*100)), "", IF(AND(NOT(ISERROR((AI55/$H55)*100)),((AI55/$H55)*100) &lt;&gt; 0), (AI55/$H55)*100, ""))</f>
        <v/>
      </c>
      <c r="AK55" s="33"/>
      <c r="AL55" s="36" t="str">
        <f>IF((ISERROR((AK55/$H55)*100)), "", IF(AND(NOT(ISERROR((AK55/$H55)*100)),((AK55/$H55)*100) &lt;&gt; 0), (AK55/$H55)*100, ""))</f>
        <v/>
      </c>
      <c r="AM55" s="33"/>
      <c r="AN55" s="36" t="str">
        <f>IF((ISERROR((AM55/$H55)*100)), "", IF(AND(NOT(ISERROR((AM55/$H55)*100)),((AM55/$H55)*100) &lt;&gt; 0), (AM55/$H55)*100, ""))</f>
        <v/>
      </c>
      <c r="AO55" s="33"/>
      <c r="AP55" s="36" t="str">
        <f>IF((ISERROR((AO55/$H55)*100)), "", IF(AND(NOT(ISERROR((AO55/$H55)*100)),((AO55/$H55)*100) &lt;&gt; 0), (AO55/$H55)*100, ""))</f>
        <v/>
      </c>
      <c r="AQ55" s="33"/>
      <c r="AR55" s="36" t="str">
        <f>IF((ISERROR((AQ55/$H55)*100)), "", IF(AND(NOT(ISERROR((AQ55/$H55)*100)),((AQ55/$H55)*100) &lt;&gt; 0), (AQ55/$H55)*100, ""))</f>
        <v/>
      </c>
      <c r="AS55" s="33"/>
      <c r="AT55" s="36" t="str">
        <f>IF((ISERROR((AS55/$H55)*100)), "", IF(AND(NOT(ISERROR((AS55/$H55)*100)),((AS55/$H55)*100) &lt;&gt; 0), (AS55/$H55)*100, ""))</f>
        <v/>
      </c>
      <c r="AU55" s="33"/>
      <c r="AV55" s="36" t="str">
        <f>IF((ISERROR((AU55/$H55)*100)), "", IF(AND(NOT(ISERROR((AU55/$H55)*100)),((AU55/$H55)*100) &lt;&gt; 0), (AU55/$H55)*100, ""))</f>
        <v/>
      </c>
      <c r="AW55" s="76"/>
      <c r="AX55" s="36" t="str">
        <f>IF((ISERROR((AW55/$H55)*100)), "", IF(AND(NOT(ISERROR((AW55/$H55)*100)),((AW55/$H55)*100) &lt;&gt; 0), (AW55/$H55)*100, ""))</f>
        <v/>
      </c>
      <c r="AY55" s="76"/>
      <c r="AZ55" s="36" t="str">
        <f>IF((ISERROR((AY55/$H55)*100)), "", IF(AND(NOT(ISERROR((AY55/$H55)*100)),((AY55/$H55)*100) &lt;&gt; 0), (AY55/$H55)*100, ""))</f>
        <v/>
      </c>
    </row>
    <row r="56" spans="1:53" ht="20" customHeight="1" x14ac:dyDescent="0.2">
      <c r="A56" s="61"/>
      <c r="B56" s="24"/>
      <c r="C56" s="50" t="s">
        <v>85</v>
      </c>
      <c r="D56" s="49" t="s">
        <v>354</v>
      </c>
      <c r="E56" s="49" t="s">
        <v>72</v>
      </c>
      <c r="F56" s="50">
        <v>2014</v>
      </c>
      <c r="G56" s="50">
        <v>23</v>
      </c>
      <c r="H56" s="89">
        <v>28</v>
      </c>
      <c r="I56" s="85" t="s">
        <v>185</v>
      </c>
      <c r="J56" s="86" t="s">
        <v>193</v>
      </c>
      <c r="K56" s="33"/>
      <c r="L56" s="36" t="str">
        <f>IF((ISERROR((K56/$H56)*100)), "", IF(AND(NOT(ISERROR((K56/$H56)*100)),((K56/$H56)*100) &lt;&gt; 0), (K56/$H56)*100, ""))</f>
        <v/>
      </c>
      <c r="M56" s="33"/>
      <c r="N56" s="36" t="str">
        <f>IF((ISERROR((M56/$H56)*100)), "", IF(AND(NOT(ISERROR((M56/$H56)*100)),((M56/$H56)*100) &lt;&gt; 0), (M56/$H56)*100, ""))</f>
        <v/>
      </c>
      <c r="O56" s="33"/>
      <c r="P56" s="36" t="str">
        <f>IF((ISERROR((O56/$H56)*100)), "", IF(AND(NOT(ISERROR((O56/$H56)*100)),((O56/$H56)*100) &lt;&gt; 0), (O56/$H56)*100, ""))</f>
        <v/>
      </c>
      <c r="Q56" s="33"/>
      <c r="R56" s="36" t="str">
        <f>IF((ISERROR((Q56/$H56)*100)), "", IF(AND(NOT(ISERROR((Q56/$H56)*100)),((Q56/$H56)*100) &lt;&gt; 0), (Q56/$H56)*100, ""))</f>
        <v/>
      </c>
      <c r="S56" s="33"/>
      <c r="T56" s="36" t="str">
        <f>IF((ISERROR((S56/$H56)*100)), "", IF(AND(NOT(ISERROR((S56/$H56)*100)),((S56/$H56)*100) &lt;&gt; 0), (S56/$H56)*100, ""))</f>
        <v/>
      </c>
      <c r="U56" s="33"/>
      <c r="V56" s="36" t="str">
        <f>IF((ISERROR((U56/$H56)*100)), "", IF(AND(NOT(ISERROR((U56/$H56)*100)),((U56/$H56)*100) &lt;&gt; 0), (U56/$H56)*100, ""))</f>
        <v/>
      </c>
      <c r="W56" s="33"/>
      <c r="X56" s="36" t="str">
        <f>IF((ISERROR((W56/$H56)*100)), "", IF(AND(NOT(ISERROR((W56/$H56)*100)),((W56/$H56)*100) &lt;&gt; 0), (W56/$H56)*100, ""))</f>
        <v/>
      </c>
      <c r="Y56" s="33"/>
      <c r="Z56" s="36" t="str">
        <f>IF((ISERROR((Y56/$H56)*100)), "", IF(AND(NOT(ISERROR((Y56/$H56)*100)),((Y56/$H56)*100) &lt;&gt; 0), (Y56/$H56)*100, ""))</f>
        <v/>
      </c>
      <c r="AA56" s="33"/>
      <c r="AB56" s="36" t="str">
        <f>IF((ISERROR((AA56/$H56)*100)), "", IF(AND(NOT(ISERROR((AA56/$H56)*100)),((AA56/$H56)*100) &lt;&gt; 0), (AA56/$H56)*100, ""))</f>
        <v/>
      </c>
      <c r="AC56" s="33"/>
      <c r="AD56" s="36" t="str">
        <f>IF((ISERROR((AC56/$H56)*100)), "", IF(AND(NOT(ISERROR((AC56/$H56)*100)),((AC56/$H56)*100) &lt;&gt; 0), (AC56/$H56)*100, ""))</f>
        <v/>
      </c>
      <c r="AE56" s="33"/>
      <c r="AF56" s="36" t="str">
        <f>IF((ISERROR((AE56/$H56)*100)), "", IF(AND(NOT(ISERROR((AE56/$H56)*100)),((AE56/$H56)*100) &lt;&gt; 0), (AE56/$H56)*100, ""))</f>
        <v/>
      </c>
      <c r="AG56" s="33"/>
      <c r="AH56" s="36" t="str">
        <f>IF((ISERROR((AG56/$H56)*100)), "", IF(AND(NOT(ISERROR((AG56/$H56)*100)),((AG56/$H56)*100) &lt;&gt; 0), (AG56/$H56)*100, ""))</f>
        <v/>
      </c>
      <c r="AI56" s="33"/>
      <c r="AJ56" s="36" t="str">
        <f>IF((ISERROR((AI56/$H56)*100)), "", IF(AND(NOT(ISERROR((AI56/$H56)*100)),((AI56/$H56)*100) &lt;&gt; 0), (AI56/$H56)*100, ""))</f>
        <v/>
      </c>
      <c r="AK56" s="33"/>
      <c r="AL56" s="36" t="str">
        <f>IF((ISERROR((AK56/$H56)*100)), "", IF(AND(NOT(ISERROR((AK56/$H56)*100)),((AK56/$H56)*100) &lt;&gt; 0), (AK56/$H56)*100, ""))</f>
        <v/>
      </c>
      <c r="AM56" s="33"/>
      <c r="AN56" s="36" t="str">
        <f>IF((ISERROR((AM56/$H56)*100)), "", IF(AND(NOT(ISERROR((AM56/$H56)*100)),((AM56/$H56)*100) &lt;&gt; 0), (AM56/$H56)*100, ""))</f>
        <v/>
      </c>
      <c r="AO56" s="33"/>
      <c r="AP56" s="36" t="str">
        <f>IF((ISERROR((AO56/$H56)*100)), "", IF(AND(NOT(ISERROR((AO56/$H56)*100)),((AO56/$H56)*100) &lt;&gt; 0), (AO56/$H56)*100, ""))</f>
        <v/>
      </c>
      <c r="AQ56" s="33"/>
      <c r="AR56" s="36" t="str">
        <f>IF((ISERROR((AQ56/$H56)*100)), "", IF(AND(NOT(ISERROR((AQ56/$H56)*100)),((AQ56/$H56)*100) &lt;&gt; 0), (AQ56/$H56)*100, ""))</f>
        <v/>
      </c>
      <c r="AS56" s="33"/>
      <c r="AT56" s="36" t="str">
        <f>IF((ISERROR((AS56/$H56)*100)), "", IF(AND(NOT(ISERROR((AS56/$H56)*100)),((AS56/$H56)*100) &lt;&gt; 0), (AS56/$H56)*100, ""))</f>
        <v/>
      </c>
      <c r="AU56" s="33"/>
      <c r="AV56" s="36" t="str">
        <f>IF((ISERROR((AU56/$H56)*100)), "", IF(AND(NOT(ISERROR((AU56/$H56)*100)),((AU56/$H56)*100) &lt;&gt; 0), (AU56/$H56)*100, ""))</f>
        <v/>
      </c>
      <c r="AW56" s="76"/>
      <c r="AX56" s="36" t="str">
        <f>IF((ISERROR((AW56/$H56)*100)), "", IF(AND(NOT(ISERROR((AW56/$H56)*100)),((AW56/$H56)*100) &lt;&gt; 0), (AW56/$H56)*100, ""))</f>
        <v/>
      </c>
      <c r="AY56" s="76"/>
      <c r="AZ56" s="36" t="str">
        <f>IF((ISERROR((AY56/$H56)*100)), "", IF(AND(NOT(ISERROR((AY56/$H56)*100)),((AY56/$H56)*100) &lt;&gt; 0), (AY56/$H56)*100, ""))</f>
        <v/>
      </c>
      <c r="BA56" s="23" t="s">
        <v>418</v>
      </c>
    </row>
    <row r="57" spans="1:53" ht="20" customHeight="1" x14ac:dyDescent="0.2">
      <c r="A57" s="60"/>
      <c r="B57" s="82"/>
      <c r="C57" s="24" t="s">
        <v>85</v>
      </c>
      <c r="D57" s="23" t="s">
        <v>283</v>
      </c>
      <c r="E57" s="23" t="s">
        <v>284</v>
      </c>
      <c r="F57" s="24">
        <v>2014</v>
      </c>
      <c r="H57" s="89">
        <v>28</v>
      </c>
      <c r="I57" s="85" t="s">
        <v>185</v>
      </c>
      <c r="J57" s="86" t="s">
        <v>193</v>
      </c>
      <c r="K57" s="33">
        <v>3</v>
      </c>
      <c r="L57" s="36">
        <f>IF((ISERROR((K57/$H57)*100)), "", IF(AND(NOT(ISERROR((K57/$H57)*100)),((K57/$H57)*100) &lt;&gt; 0), (K57/$H57)*100, ""))</f>
        <v>10.714285714285714</v>
      </c>
      <c r="M57" s="33"/>
      <c r="N57" s="36" t="str">
        <f>IF((ISERROR((M57/$H57)*100)), "", IF(AND(NOT(ISERROR((M57/$H57)*100)),((M57/$H57)*100) &lt;&gt; 0), (M57/$H57)*100, ""))</f>
        <v/>
      </c>
      <c r="O57" s="33"/>
      <c r="P57" s="36" t="str">
        <f>IF((ISERROR((O57/$H57)*100)), "", IF(AND(NOT(ISERROR((O57/$H57)*100)),((O57/$H57)*100) &lt;&gt; 0), (O57/$H57)*100, ""))</f>
        <v/>
      </c>
      <c r="Q57" s="33">
        <v>4</v>
      </c>
      <c r="R57" s="36">
        <f>IF((ISERROR((Q57/$H57)*100)), "", IF(AND(NOT(ISERROR((Q57/$H57)*100)),((Q57/$H57)*100) &lt;&gt; 0), (Q57/$H57)*100, ""))</f>
        <v>14.285714285714285</v>
      </c>
      <c r="S57" s="33"/>
      <c r="T57" s="36" t="str">
        <f>IF((ISERROR((S57/$H57)*100)), "", IF(AND(NOT(ISERROR((S57/$H57)*100)),((S57/$H57)*100) &lt;&gt; 0), (S57/$H57)*100, ""))</f>
        <v/>
      </c>
      <c r="U57" s="33"/>
      <c r="V57" s="36" t="str">
        <f>IF((ISERROR((U57/$H57)*100)), "", IF(AND(NOT(ISERROR((U57/$H57)*100)),((U57/$H57)*100) &lt;&gt; 0), (U57/$H57)*100, ""))</f>
        <v/>
      </c>
      <c r="W57" s="33"/>
      <c r="X57" s="36" t="str">
        <f>IF((ISERROR((W57/$H57)*100)), "", IF(AND(NOT(ISERROR((W57/$H57)*100)),((W57/$H57)*100) &lt;&gt; 0), (W57/$H57)*100, ""))</f>
        <v/>
      </c>
      <c r="Y57" s="33"/>
      <c r="Z57" s="36" t="str">
        <f>IF((ISERROR((Y57/$H57)*100)), "", IF(AND(NOT(ISERROR((Y57/$H57)*100)),((Y57/$H57)*100) &lt;&gt; 0), (Y57/$H57)*100, ""))</f>
        <v/>
      </c>
      <c r="AA57" s="33"/>
      <c r="AB57" s="36" t="str">
        <f>IF((ISERROR((AA57/$H57)*100)), "", IF(AND(NOT(ISERROR((AA57/$H57)*100)),((AA57/$H57)*100) &lt;&gt; 0), (AA57/$H57)*100, ""))</f>
        <v/>
      </c>
      <c r="AC57" s="33"/>
      <c r="AD57" s="36" t="str">
        <f>IF((ISERROR((AC57/$H57)*100)), "", IF(AND(NOT(ISERROR((AC57/$H57)*100)),((AC57/$H57)*100) &lt;&gt; 0), (AC57/$H57)*100, ""))</f>
        <v/>
      </c>
      <c r="AE57" s="33"/>
      <c r="AF57" s="36" t="str">
        <f>IF((ISERROR((AE57/$H57)*100)), "", IF(AND(NOT(ISERROR((AE57/$H57)*100)),((AE57/$H57)*100) &lt;&gt; 0), (AE57/$H57)*100, ""))</f>
        <v/>
      </c>
      <c r="AG57" s="33"/>
      <c r="AH57" s="36" t="str">
        <f>IF((ISERROR((AG57/$H57)*100)), "", IF(AND(NOT(ISERROR((AG57/$H57)*100)),((AG57/$H57)*100) &lt;&gt; 0), (AG57/$H57)*100, ""))</f>
        <v/>
      </c>
      <c r="AI57" s="33"/>
      <c r="AJ57" s="36" t="str">
        <f>IF((ISERROR((AI57/$H57)*100)), "", IF(AND(NOT(ISERROR((AI57/$H57)*100)),((AI57/$H57)*100) &lt;&gt; 0), (AI57/$H57)*100, ""))</f>
        <v/>
      </c>
      <c r="AK57" s="33"/>
      <c r="AL57" s="36" t="str">
        <f>IF((ISERROR((AK57/$H57)*100)), "", IF(AND(NOT(ISERROR((AK57/$H57)*100)),((AK57/$H57)*100) &lt;&gt; 0), (AK57/$H57)*100, ""))</f>
        <v/>
      </c>
      <c r="AM57" s="33"/>
      <c r="AN57" s="36" t="str">
        <f>IF((ISERROR((AM57/$H57)*100)), "", IF(AND(NOT(ISERROR((AM57/$H57)*100)),((AM57/$H57)*100) &lt;&gt; 0), (AM57/$H57)*100, ""))</f>
        <v/>
      </c>
      <c r="AO57" s="33"/>
      <c r="AP57" s="36" t="str">
        <f>IF((ISERROR((AO57/$H57)*100)), "", IF(AND(NOT(ISERROR((AO57/$H57)*100)),((AO57/$H57)*100) &lt;&gt; 0), (AO57/$H57)*100, ""))</f>
        <v/>
      </c>
      <c r="AQ57" s="33"/>
      <c r="AR57" s="36" t="str">
        <f>IF((ISERROR((AQ57/$H57)*100)), "", IF(AND(NOT(ISERROR((AQ57/$H57)*100)),((AQ57/$H57)*100) &lt;&gt; 0), (AQ57/$H57)*100, ""))</f>
        <v/>
      </c>
      <c r="AS57" s="33"/>
      <c r="AT57" s="36" t="str">
        <f>IF((ISERROR((AS57/$H57)*100)), "", IF(AND(NOT(ISERROR((AS57/$H57)*100)),((AS57/$H57)*100) &lt;&gt; 0), (AS57/$H57)*100, ""))</f>
        <v/>
      </c>
      <c r="AU57" s="33"/>
      <c r="AV57" s="36" t="str">
        <f>IF((ISERROR((AU57/$H57)*100)), "", IF(AND(NOT(ISERROR((AU57/$H57)*100)),((AU57/$H57)*100) &lt;&gt; 0), (AU57/$H57)*100, ""))</f>
        <v/>
      </c>
      <c r="AW57" s="76">
        <v>3</v>
      </c>
      <c r="AX57" s="36">
        <f>IF((ISERROR((AW57/$H57)*100)), "", IF(AND(NOT(ISERROR((AW57/$H57)*100)),((AW57/$H57)*100) &lt;&gt; 0), (AW57/$H57)*100, ""))</f>
        <v>10.714285714285714</v>
      </c>
      <c r="AY57" s="76">
        <v>5</v>
      </c>
      <c r="AZ57" s="36">
        <f>IF((ISERROR((AY57/$H57)*100)), "", IF(AND(NOT(ISERROR((AY57/$H57)*100)),((AY57/$H57)*100) &lt;&gt; 0), (AY57/$H57)*100, ""))</f>
        <v>17.857142857142858</v>
      </c>
      <c r="BA57" s="23" t="s">
        <v>355</v>
      </c>
    </row>
    <row r="58" spans="1:53" ht="20" customHeight="1" x14ac:dyDescent="0.2">
      <c r="A58" s="60"/>
      <c r="B58" s="82"/>
      <c r="C58" s="24" t="s">
        <v>85</v>
      </c>
      <c r="D58" s="23" t="s">
        <v>36</v>
      </c>
      <c r="E58" s="23" t="s">
        <v>37</v>
      </c>
      <c r="F58" s="24">
        <v>2008</v>
      </c>
      <c r="G58" s="24">
        <v>40</v>
      </c>
      <c r="H58" s="89">
        <v>29</v>
      </c>
      <c r="I58" s="85" t="s">
        <v>176</v>
      </c>
      <c r="J58" s="86" t="s">
        <v>169</v>
      </c>
      <c r="K58" s="33"/>
      <c r="L58" s="36" t="str">
        <f>IF((ISERROR((K58/$H58)*100)), "", IF(AND(NOT(ISERROR((K58/$H58)*100)),((K58/$H58)*100) &lt;&gt; 0), (K58/$H58)*100, ""))</f>
        <v/>
      </c>
      <c r="M58" s="33"/>
      <c r="N58" s="36" t="str">
        <f>IF((ISERROR((M58/$H58)*100)), "", IF(AND(NOT(ISERROR((M58/$H58)*100)),((M58/$H58)*100) &lt;&gt; 0), (M58/$H58)*100, ""))</f>
        <v/>
      </c>
      <c r="O58" s="33"/>
      <c r="P58" s="36" t="str">
        <f>IF((ISERROR((O58/$H58)*100)), "", IF(AND(NOT(ISERROR((O58/$H58)*100)),((O58/$H58)*100) &lt;&gt; 0), (O58/$H58)*100, ""))</f>
        <v/>
      </c>
      <c r="Q58" s="33"/>
      <c r="R58" s="36" t="str">
        <f>IF((ISERROR((Q58/$H58)*100)), "", IF(AND(NOT(ISERROR((Q58/$H58)*100)),((Q58/$H58)*100) &lt;&gt; 0), (Q58/$H58)*100, ""))</f>
        <v/>
      </c>
      <c r="S58" s="33"/>
      <c r="T58" s="36" t="str">
        <f>IF((ISERROR((S58/$H58)*100)), "", IF(AND(NOT(ISERROR((S58/$H58)*100)),((S58/$H58)*100) &lt;&gt; 0), (S58/$H58)*100, ""))</f>
        <v/>
      </c>
      <c r="U58" s="33"/>
      <c r="V58" s="36" t="str">
        <f>IF((ISERROR((U58/$H58)*100)), "", IF(AND(NOT(ISERROR((U58/$H58)*100)),((U58/$H58)*100) &lt;&gt; 0), (U58/$H58)*100, ""))</f>
        <v/>
      </c>
      <c r="W58" s="33"/>
      <c r="X58" s="36" t="str">
        <f>IF((ISERROR((W58/$H58)*100)), "", IF(AND(NOT(ISERROR((W58/$H58)*100)),((W58/$H58)*100) &lt;&gt; 0), (W58/$H58)*100, ""))</f>
        <v/>
      </c>
      <c r="Y58" s="33"/>
      <c r="Z58" s="36" t="str">
        <f>IF((ISERROR((Y58/$H58)*100)), "", IF(AND(NOT(ISERROR((Y58/$H58)*100)),((Y58/$H58)*100) &lt;&gt; 0), (Y58/$H58)*100, ""))</f>
        <v/>
      </c>
      <c r="AA58" s="33"/>
      <c r="AB58" s="36" t="str">
        <f>IF((ISERROR((AA58/$H58)*100)), "", IF(AND(NOT(ISERROR((AA58/$H58)*100)),((AA58/$H58)*100) &lt;&gt; 0), (AA58/$H58)*100, ""))</f>
        <v/>
      </c>
      <c r="AC58" s="33"/>
      <c r="AD58" s="36" t="str">
        <f>IF((ISERROR((AC58/$H58)*100)), "", IF(AND(NOT(ISERROR((AC58/$H58)*100)),((AC58/$H58)*100) &lt;&gt; 0), (AC58/$H58)*100, ""))</f>
        <v/>
      </c>
      <c r="AE58" s="33"/>
      <c r="AF58" s="36" t="str">
        <f>IF((ISERROR((AE58/$H58)*100)), "", IF(AND(NOT(ISERROR((AE58/$H58)*100)),((AE58/$H58)*100) &lt;&gt; 0), (AE58/$H58)*100, ""))</f>
        <v/>
      </c>
      <c r="AG58" s="33"/>
      <c r="AH58" s="36" t="str">
        <f>IF((ISERROR((AG58/$H58)*100)), "", IF(AND(NOT(ISERROR((AG58/$H58)*100)),((AG58/$H58)*100) &lt;&gt; 0), (AG58/$H58)*100, ""))</f>
        <v/>
      </c>
      <c r="AI58" s="33"/>
      <c r="AJ58" s="36" t="str">
        <f>IF((ISERROR((AI58/$H58)*100)), "", IF(AND(NOT(ISERROR((AI58/$H58)*100)),((AI58/$H58)*100) &lt;&gt; 0), (AI58/$H58)*100, ""))</f>
        <v/>
      </c>
      <c r="AK58" s="33"/>
      <c r="AL58" s="36" t="str">
        <f>IF((ISERROR((AK58/$H58)*100)), "", IF(AND(NOT(ISERROR((AK58/$H58)*100)),((AK58/$H58)*100) &lt;&gt; 0), (AK58/$H58)*100, ""))</f>
        <v/>
      </c>
      <c r="AM58" s="33"/>
      <c r="AN58" s="36" t="str">
        <f>IF((ISERROR((AM58/$H58)*100)), "", IF(AND(NOT(ISERROR((AM58/$H58)*100)),((AM58/$H58)*100) &lt;&gt; 0), (AM58/$H58)*100, ""))</f>
        <v/>
      </c>
      <c r="AO58" s="33">
        <v>5</v>
      </c>
      <c r="AP58" s="36">
        <f>IF((ISERROR((AO58/$H58)*100)), "", IF(AND(NOT(ISERROR((AO58/$H58)*100)),((AO58/$H58)*100) &lt;&gt; 0), (AO58/$H58)*100, ""))</f>
        <v>17.241379310344829</v>
      </c>
      <c r="AQ58" s="33"/>
      <c r="AR58" s="36" t="str">
        <f>IF((ISERROR((AQ58/$H58)*100)), "", IF(AND(NOT(ISERROR((AQ58/$H58)*100)),((AQ58/$H58)*100) &lt;&gt; 0), (AQ58/$H58)*100, ""))</f>
        <v/>
      </c>
      <c r="AS58" s="33"/>
      <c r="AT58" s="36" t="str">
        <f>IF((ISERROR((AS58/$H58)*100)), "", IF(AND(NOT(ISERROR((AS58/$H58)*100)),((AS58/$H58)*100) &lt;&gt; 0), (AS58/$H58)*100, ""))</f>
        <v/>
      </c>
      <c r="AU58" s="33"/>
      <c r="AV58" s="36" t="str">
        <f>IF((ISERROR((AU58/$H58)*100)), "", IF(AND(NOT(ISERROR((AU58/$H58)*100)),((AU58/$H58)*100) &lt;&gt; 0), (AU58/$H58)*100, ""))</f>
        <v/>
      </c>
      <c r="AW58" s="30">
        <v>5</v>
      </c>
      <c r="AX58" s="36">
        <f>IF((ISERROR((AW58/$H58)*100)), "", IF(AND(NOT(ISERROR((AW58/$H58)*100)),((AW58/$H58)*100) &lt;&gt; 0), (AW58/$H58)*100, ""))</f>
        <v>17.241379310344829</v>
      </c>
      <c r="AY58" s="59"/>
      <c r="AZ58" s="36" t="str">
        <f>IF((ISERROR((AY58/$H58)*100)), "", IF(AND(NOT(ISERROR((AY58/$H58)*100)),((AY58/$H58)*100) &lt;&gt; 0), (AY58/$H58)*100, ""))</f>
        <v/>
      </c>
      <c r="BA58" s="23" t="s">
        <v>480</v>
      </c>
    </row>
    <row r="59" spans="1:53" ht="20" customHeight="1" x14ac:dyDescent="0.2">
      <c r="A59" s="61"/>
      <c r="B59" s="24"/>
      <c r="C59" s="24" t="s">
        <v>85</v>
      </c>
      <c r="D59" s="23" t="s">
        <v>127</v>
      </c>
      <c r="E59" s="23" t="s">
        <v>128</v>
      </c>
      <c r="F59" s="24">
        <v>2000</v>
      </c>
      <c r="G59" s="24">
        <v>252</v>
      </c>
      <c r="H59" s="89">
        <v>30</v>
      </c>
      <c r="I59" s="85" t="s">
        <v>218</v>
      </c>
      <c r="J59" s="86" t="s">
        <v>169</v>
      </c>
      <c r="K59" s="33"/>
      <c r="L59" s="36" t="str">
        <f>IF((ISERROR((K59/$H59)*100)), "", IF(AND(NOT(ISERROR((K59/$H59)*100)),((K59/$H59)*100) &lt;&gt; 0), (K59/$H59)*100, ""))</f>
        <v/>
      </c>
      <c r="M59" s="33"/>
      <c r="N59" s="36" t="str">
        <f>IF((ISERROR((M59/$H59)*100)), "", IF(AND(NOT(ISERROR((M59/$H59)*100)),((M59/$H59)*100) &lt;&gt; 0), (M59/$H59)*100, ""))</f>
        <v/>
      </c>
      <c r="O59" s="33"/>
      <c r="P59" s="36" t="str">
        <f>IF((ISERROR((O59/$H59)*100)), "", IF(AND(NOT(ISERROR((O59/$H59)*100)),((O59/$H59)*100) &lt;&gt; 0), (O59/$H59)*100, ""))</f>
        <v/>
      </c>
      <c r="Q59" s="33"/>
      <c r="R59" s="36" t="str">
        <f>IF((ISERROR((Q59/$H59)*100)), "", IF(AND(NOT(ISERROR((Q59/$H59)*100)),((Q59/$H59)*100) &lt;&gt; 0), (Q59/$H59)*100, ""))</f>
        <v/>
      </c>
      <c r="S59" s="33"/>
      <c r="T59" s="36" t="str">
        <f>IF((ISERROR((S59/$H59)*100)), "", IF(AND(NOT(ISERROR((S59/$H59)*100)),((S59/$H59)*100) &lt;&gt; 0), (S59/$H59)*100, ""))</f>
        <v/>
      </c>
      <c r="U59" s="33"/>
      <c r="V59" s="36" t="str">
        <f>IF((ISERROR((U59/$H59)*100)), "", IF(AND(NOT(ISERROR((U59/$H59)*100)),((U59/$H59)*100) &lt;&gt; 0), (U59/$H59)*100, ""))</f>
        <v/>
      </c>
      <c r="W59" s="33"/>
      <c r="X59" s="36" t="str">
        <f>IF((ISERROR((W59/$H59)*100)), "", IF(AND(NOT(ISERROR((W59/$H59)*100)),((W59/$H59)*100) &lt;&gt; 0), (W59/$H59)*100, ""))</f>
        <v/>
      </c>
      <c r="Y59" s="33"/>
      <c r="Z59" s="36" t="str">
        <f>IF((ISERROR((Y59/$H59)*100)), "", IF(AND(NOT(ISERROR((Y59/$H59)*100)),((Y59/$H59)*100) &lt;&gt; 0), (Y59/$H59)*100, ""))</f>
        <v/>
      </c>
      <c r="AA59" s="33"/>
      <c r="AB59" s="36" t="str">
        <f>IF((ISERROR((AA59/$H59)*100)), "", IF(AND(NOT(ISERROR((AA59/$H59)*100)),((AA59/$H59)*100) &lt;&gt; 0), (AA59/$H59)*100, ""))</f>
        <v/>
      </c>
      <c r="AC59" s="33"/>
      <c r="AD59" s="36" t="str">
        <f>IF((ISERROR((AC59/$H59)*100)), "", IF(AND(NOT(ISERROR((AC59/$H59)*100)),((AC59/$H59)*100) &lt;&gt; 0), (AC59/$H59)*100, ""))</f>
        <v/>
      </c>
      <c r="AE59" s="33"/>
      <c r="AF59" s="36" t="str">
        <f>IF((ISERROR((AE59/$H59)*100)), "", IF(AND(NOT(ISERROR((AE59/$H59)*100)),((AE59/$H59)*100) &lt;&gt; 0), (AE59/$H59)*100, ""))</f>
        <v/>
      </c>
      <c r="AG59" s="33"/>
      <c r="AH59" s="36" t="str">
        <f>IF((ISERROR((AG59/$H59)*100)), "", IF(AND(NOT(ISERROR((AG59/$H59)*100)),((AG59/$H59)*100) &lt;&gt; 0), (AG59/$H59)*100, ""))</f>
        <v/>
      </c>
      <c r="AI59" s="33"/>
      <c r="AJ59" s="36" t="str">
        <f>IF((ISERROR((AI59/$H59)*100)), "", IF(AND(NOT(ISERROR((AI59/$H59)*100)),((AI59/$H59)*100) &lt;&gt; 0), (AI59/$H59)*100, ""))</f>
        <v/>
      </c>
      <c r="AK59" s="33"/>
      <c r="AL59" s="36" t="str">
        <f>IF((ISERROR((AK59/$H59)*100)), "", IF(AND(NOT(ISERROR((AK59/$H59)*100)),((AK59/$H59)*100) &lt;&gt; 0), (AK59/$H59)*100, ""))</f>
        <v/>
      </c>
      <c r="AM59" s="33"/>
      <c r="AN59" s="36" t="str">
        <f>IF((ISERROR((AM59/$H59)*100)), "", IF(AND(NOT(ISERROR((AM59/$H59)*100)),((AM59/$H59)*100) &lt;&gt; 0), (AM59/$H59)*100, ""))</f>
        <v/>
      </c>
      <c r="AO59" s="33"/>
      <c r="AP59" s="36" t="str">
        <f>IF((ISERROR((AO59/$H59)*100)), "", IF(AND(NOT(ISERROR((AO59/$H59)*100)),((AO59/$H59)*100) &lt;&gt; 0), (AO59/$H59)*100, ""))</f>
        <v/>
      </c>
      <c r="AQ59" s="33"/>
      <c r="AR59" s="36" t="str">
        <f>IF((ISERROR((AQ59/$H59)*100)), "", IF(AND(NOT(ISERROR((AQ59/$H59)*100)),((AQ59/$H59)*100) &lt;&gt; 0), (AQ59/$H59)*100, ""))</f>
        <v/>
      </c>
      <c r="AS59" s="33"/>
      <c r="AT59" s="36" t="str">
        <f>IF((ISERROR((AS59/$H59)*100)), "", IF(AND(NOT(ISERROR((AS59/$H59)*100)),((AS59/$H59)*100) &lt;&gt; 0), (AS59/$H59)*100, ""))</f>
        <v/>
      </c>
      <c r="AU59" s="33"/>
      <c r="AV59" s="36" t="str">
        <f>IF((ISERROR((AU59/$H59)*100)), "", IF(AND(NOT(ISERROR((AU59/$H59)*100)),((AU59/$H59)*100) &lt;&gt; 0), (AU59/$H59)*100, ""))</f>
        <v/>
      </c>
      <c r="AW59" s="30"/>
      <c r="AX59" s="36" t="str">
        <f>IF((ISERROR((AW59/$H59)*100)), "", IF(AND(NOT(ISERROR((AW59/$H59)*100)),((AW59/$H59)*100) &lt;&gt; 0), (AW59/$H59)*100, ""))</f>
        <v/>
      </c>
      <c r="AY59" s="59"/>
      <c r="AZ59" s="36" t="str">
        <f>IF((ISERROR((AY59/$H59)*100)), "", IF(AND(NOT(ISERROR((AY59/$H59)*100)),((AY59/$H59)*100) &lt;&gt; 0), (AY59/$H59)*100, ""))</f>
        <v/>
      </c>
      <c r="BA59" s="23" t="s">
        <v>423</v>
      </c>
    </row>
    <row r="60" spans="1:53" ht="20" customHeight="1" x14ac:dyDescent="0.2">
      <c r="A60" s="60"/>
      <c r="B60" s="83"/>
      <c r="C60" s="24" t="s">
        <v>85</v>
      </c>
      <c r="D60" s="23" t="s">
        <v>151</v>
      </c>
      <c r="E60" s="23" t="s">
        <v>150</v>
      </c>
      <c r="F60" s="24">
        <v>1999</v>
      </c>
      <c r="H60" s="89">
        <v>30</v>
      </c>
      <c r="I60" s="85" t="s">
        <v>425</v>
      </c>
      <c r="J60" s="86" t="s">
        <v>220</v>
      </c>
      <c r="K60" s="33"/>
      <c r="L60" s="36"/>
      <c r="M60" s="33"/>
      <c r="N60" s="36"/>
      <c r="O60" s="33"/>
      <c r="P60" s="36"/>
      <c r="Q60" s="33"/>
      <c r="R60" s="36"/>
      <c r="S60" s="33"/>
      <c r="T60" s="36"/>
      <c r="U60" s="33"/>
      <c r="V60" s="36"/>
      <c r="W60" s="33"/>
      <c r="X60" s="36"/>
      <c r="Y60" s="33"/>
      <c r="Z60" s="36"/>
      <c r="AA60" s="33"/>
      <c r="AB60" s="36"/>
      <c r="AC60" s="33"/>
      <c r="AD60" s="36"/>
      <c r="AE60" s="33"/>
      <c r="AF60" s="36"/>
      <c r="AG60" s="33"/>
      <c r="AH60" s="36"/>
      <c r="AI60" s="33"/>
      <c r="AJ60" s="36"/>
      <c r="AK60" s="33"/>
      <c r="AL60" s="36"/>
      <c r="AM60" s="33"/>
      <c r="AN60" s="36"/>
      <c r="AO60" s="33"/>
      <c r="AP60" s="36"/>
      <c r="AQ60" s="33"/>
      <c r="AR60" s="36"/>
      <c r="AS60" s="33"/>
      <c r="AT60" s="36"/>
      <c r="AU60" s="33"/>
      <c r="AV60" s="36"/>
      <c r="AW60" s="30"/>
      <c r="AX60" s="36"/>
      <c r="AY60" s="59"/>
      <c r="AZ60" s="36"/>
      <c r="BA60" s="23" t="s">
        <v>393</v>
      </c>
    </row>
    <row r="61" spans="1:53" ht="20" customHeight="1" x14ac:dyDescent="0.2">
      <c r="A61" s="60"/>
      <c r="B61" s="82"/>
      <c r="C61" s="24" t="s">
        <v>85</v>
      </c>
      <c r="D61" s="23" t="s">
        <v>402</v>
      </c>
      <c r="E61" s="23" t="s">
        <v>403</v>
      </c>
      <c r="F61" s="24">
        <v>2013</v>
      </c>
      <c r="H61" s="89">
        <v>38</v>
      </c>
      <c r="I61" s="85" t="s">
        <v>404</v>
      </c>
      <c r="J61" s="86" t="s">
        <v>169</v>
      </c>
      <c r="K61" s="33"/>
      <c r="L61" s="36" t="str">
        <f>IF((ISERROR((K61/$H61)*100)), "", IF(AND(NOT(ISERROR((K61/$H61)*100)),((K61/$H61)*100) &lt;&gt; 0), (K61/$H61)*100, ""))</f>
        <v/>
      </c>
      <c r="M61" s="33"/>
      <c r="N61" s="36" t="str">
        <f>IF((ISERROR((M61/$H61)*100)), "", IF(AND(NOT(ISERROR((M61/$H61)*100)),((M61/$H61)*100) &lt;&gt; 0), (M61/$H61)*100, ""))</f>
        <v/>
      </c>
      <c r="O61" s="33"/>
      <c r="P61" s="36" t="str">
        <f>IF((ISERROR((O61/$H61)*100)), "", IF(AND(NOT(ISERROR((O61/$H61)*100)),((O61/$H61)*100) &lt;&gt; 0), (O61/$H61)*100, ""))</f>
        <v/>
      </c>
      <c r="Q61" s="33"/>
      <c r="R61" s="36" t="str">
        <f>IF((ISERROR((Q61/$H61)*100)), "", IF(AND(NOT(ISERROR((Q61/$H61)*100)),((Q61/$H61)*100) &lt;&gt; 0), (Q61/$H61)*100, ""))</f>
        <v/>
      </c>
      <c r="S61" s="33"/>
      <c r="T61" s="36" t="str">
        <f>IF((ISERROR((S61/$H61)*100)), "", IF(AND(NOT(ISERROR((S61/$H61)*100)),((S61/$H61)*100) &lt;&gt; 0), (S61/$H61)*100, ""))</f>
        <v/>
      </c>
      <c r="U61" s="33"/>
      <c r="V61" s="36" t="str">
        <f>IF((ISERROR((U61/$H61)*100)), "", IF(AND(NOT(ISERROR((U61/$H61)*100)),((U61/$H61)*100) &lt;&gt; 0), (U61/$H61)*100, ""))</f>
        <v/>
      </c>
      <c r="W61" s="33"/>
      <c r="X61" s="36" t="str">
        <f>IF((ISERROR((W61/$H61)*100)), "", IF(AND(NOT(ISERROR((W61/$H61)*100)),((W61/$H61)*100) &lt;&gt; 0), (W61/$H61)*100, ""))</f>
        <v/>
      </c>
      <c r="Y61" s="33"/>
      <c r="Z61" s="36" t="str">
        <f>IF((ISERROR((Y61/$H61)*100)), "", IF(AND(NOT(ISERROR((Y61/$H61)*100)),((Y61/$H61)*100) &lt;&gt; 0), (Y61/$H61)*100, ""))</f>
        <v/>
      </c>
      <c r="AA61" s="33"/>
      <c r="AB61" s="36" t="str">
        <f>IF((ISERROR((AA61/$H61)*100)), "", IF(AND(NOT(ISERROR((AA61/$H61)*100)),((AA61/$H61)*100) &lt;&gt; 0), (AA61/$H61)*100, ""))</f>
        <v/>
      </c>
      <c r="AC61" s="33"/>
      <c r="AD61" s="36" t="str">
        <f>IF((ISERROR((AC61/$H61)*100)), "", IF(AND(NOT(ISERROR((AC61/$H61)*100)),((AC61/$H61)*100) &lt;&gt; 0), (AC61/$H61)*100, ""))</f>
        <v/>
      </c>
      <c r="AE61" s="33"/>
      <c r="AF61" s="36" t="str">
        <f>IF((ISERROR((AE61/$H61)*100)), "", IF(AND(NOT(ISERROR((AE61/$H61)*100)),((AE61/$H61)*100) &lt;&gt; 0), (AE61/$H61)*100, ""))</f>
        <v/>
      </c>
      <c r="AG61" s="33"/>
      <c r="AH61" s="36" t="str">
        <f>IF((ISERROR((AG61/$H61)*100)), "", IF(AND(NOT(ISERROR((AG61/$H61)*100)),((AG61/$H61)*100) &lt;&gt; 0), (AG61/$H61)*100, ""))</f>
        <v/>
      </c>
      <c r="AI61" s="33"/>
      <c r="AJ61" s="36" t="str">
        <f>IF((ISERROR((AI61/$H61)*100)), "", IF(AND(NOT(ISERROR((AI61/$H61)*100)),((AI61/$H61)*100) &lt;&gt; 0), (AI61/$H61)*100, ""))</f>
        <v/>
      </c>
      <c r="AK61" s="33"/>
      <c r="AL61" s="36" t="str">
        <f>IF((ISERROR((AK61/$H61)*100)), "", IF(AND(NOT(ISERROR((AK61/$H61)*100)),((AK61/$H61)*100) &lt;&gt; 0), (AK61/$H61)*100, ""))</f>
        <v/>
      </c>
      <c r="AM61" s="33"/>
      <c r="AN61" s="36" t="str">
        <f>IF((ISERROR((AM61/$H61)*100)), "", IF(AND(NOT(ISERROR((AM61/$H61)*100)),((AM61/$H61)*100) &lt;&gt; 0), (AM61/$H61)*100, ""))</f>
        <v/>
      </c>
      <c r="AO61" s="33"/>
      <c r="AP61" s="36" t="str">
        <f>IF((ISERROR((AO61/$H61)*100)), "", IF(AND(NOT(ISERROR((AO61/$H61)*100)),((AO61/$H61)*100) &lt;&gt; 0), (AO61/$H61)*100, ""))</f>
        <v/>
      </c>
      <c r="AQ61" s="33"/>
      <c r="AR61" s="36" t="str">
        <f>IF((ISERROR((AQ61/$H61)*100)), "", IF(AND(NOT(ISERROR((AQ61/$H61)*100)),((AQ61/$H61)*100) &lt;&gt; 0), (AQ61/$H61)*100, ""))</f>
        <v/>
      </c>
      <c r="AS61" s="33"/>
      <c r="AT61" s="36" t="str">
        <f>IF((ISERROR((AS61/$H61)*100)), "", IF(AND(NOT(ISERROR((AS61/$H61)*100)),((AS61/$H61)*100) &lt;&gt; 0), (AS61/$H61)*100, ""))</f>
        <v/>
      </c>
      <c r="AU61" s="33"/>
      <c r="AV61" s="36" t="str">
        <f>IF((ISERROR((AU61/$H61)*100)), "", IF(AND(NOT(ISERROR((AU61/$H61)*100)),((AU61/$H61)*100) &lt;&gt; 0), (AU61/$H61)*100, ""))</f>
        <v/>
      </c>
      <c r="AW61" s="76"/>
      <c r="AX61" s="36" t="str">
        <f>IF((ISERROR((AW61/$H61)*100)), "", IF(AND(NOT(ISERROR((AW61/$H61)*100)),((AW61/$H61)*100) &lt;&gt; 0), (AW61/$H61)*100, ""))</f>
        <v/>
      </c>
      <c r="AY61" s="59">
        <v>37</v>
      </c>
      <c r="AZ61" s="36">
        <f>IF((ISERROR((AY61/$H61)*100)), "", IF(AND(NOT(ISERROR((AY61/$H61)*100)),((AY61/$H61)*100) &lt;&gt; 0), (AY61/$H61)*100, ""))</f>
        <v>97.368421052631575</v>
      </c>
      <c r="BA61" s="23" t="s">
        <v>412</v>
      </c>
    </row>
    <row r="62" spans="1:53" ht="20" customHeight="1" x14ac:dyDescent="0.2">
      <c r="A62" s="60"/>
      <c r="B62" s="82"/>
      <c r="C62" s="24" t="s">
        <v>85</v>
      </c>
      <c r="D62" s="23" t="s">
        <v>273</v>
      </c>
      <c r="E62" s="23" t="s">
        <v>274</v>
      </c>
      <c r="F62" s="24">
        <v>2014</v>
      </c>
      <c r="H62" s="89">
        <v>39</v>
      </c>
      <c r="I62" s="85" t="s">
        <v>407</v>
      </c>
      <c r="J62" s="86" t="s">
        <v>343</v>
      </c>
      <c r="K62" s="33"/>
      <c r="L62" s="36" t="str">
        <f>IF((ISERROR((K62/$H62)*100)), "", IF(AND(NOT(ISERROR((K62/$H62)*100)),((K62/$H62)*100) &lt;&gt; 0), (K62/$H62)*100, ""))</f>
        <v/>
      </c>
      <c r="M62" s="33"/>
      <c r="N62" s="36" t="str">
        <f>IF((ISERROR((M62/$H62)*100)), "", IF(AND(NOT(ISERROR((M62/$H62)*100)),((M62/$H62)*100) &lt;&gt; 0), (M62/$H62)*100, ""))</f>
        <v/>
      </c>
      <c r="O62" s="33">
        <v>3</v>
      </c>
      <c r="P62" s="36">
        <f>IF((ISERROR((O62/$H62)*100)), "", IF(AND(NOT(ISERROR((O62/$H62)*100)),((O62/$H62)*100) &lt;&gt; 0), (O62/$H62)*100, ""))</f>
        <v>7.6923076923076925</v>
      </c>
      <c r="Q62" s="33">
        <v>8</v>
      </c>
      <c r="R62" s="36">
        <f>IF((ISERROR((Q62/$H62)*100)), "", IF(AND(NOT(ISERROR((Q62/$H62)*100)),((Q62/$H62)*100) &lt;&gt; 0), (Q62/$H62)*100, ""))</f>
        <v>20.512820512820511</v>
      </c>
      <c r="S62" s="33"/>
      <c r="T62" s="36" t="str">
        <f>IF((ISERROR((S62/$H62)*100)), "", IF(AND(NOT(ISERROR((S62/$H62)*100)),((S62/$H62)*100) &lt;&gt; 0), (S62/$H62)*100, ""))</f>
        <v/>
      </c>
      <c r="U62" s="33">
        <v>22</v>
      </c>
      <c r="V62" s="36">
        <f>IF((ISERROR((U62/$H62)*100)), "", IF(AND(NOT(ISERROR((U62/$H62)*100)),((U62/$H62)*100) &lt;&gt; 0), (U62/$H62)*100, ""))</f>
        <v>56.410256410256409</v>
      </c>
      <c r="W62" s="33">
        <v>22</v>
      </c>
      <c r="X62" s="36">
        <f>IF((ISERROR((W62/$H62)*100)), "", IF(AND(NOT(ISERROR((W62/$H62)*100)),((W62/$H62)*100) &lt;&gt; 0), (W62/$H62)*100, ""))</f>
        <v>56.410256410256409</v>
      </c>
      <c r="Y62" s="33">
        <v>23</v>
      </c>
      <c r="Z62" s="36">
        <f>IF((ISERROR((Y62/$H62)*100)), "", IF(AND(NOT(ISERROR((Y62/$H62)*100)),((Y62/$H62)*100) &lt;&gt; 0), (Y62/$H62)*100, ""))</f>
        <v>58.974358974358978</v>
      </c>
      <c r="AA62" s="33"/>
      <c r="AB62" s="36" t="str">
        <f>IF((ISERROR((AA62/$H62)*100)), "", IF(AND(NOT(ISERROR((AA62/$H62)*100)),((AA62/$H62)*100) &lt;&gt; 0), (AA62/$H62)*100, ""))</f>
        <v/>
      </c>
      <c r="AC62" s="33"/>
      <c r="AD62" s="36" t="str">
        <f>IF((ISERROR((AC62/$H62)*100)), "", IF(AND(NOT(ISERROR((AC62/$H62)*100)),((AC62/$H62)*100) &lt;&gt; 0), (AC62/$H62)*100, ""))</f>
        <v/>
      </c>
      <c r="AE62" s="33"/>
      <c r="AF62" s="36" t="str">
        <f>IF((ISERROR((AE62/$H62)*100)), "", IF(AND(NOT(ISERROR((AE62/$H62)*100)),((AE62/$H62)*100) &lt;&gt; 0), (AE62/$H62)*100, ""))</f>
        <v/>
      </c>
      <c r="AG62" s="33"/>
      <c r="AH62" s="36" t="str">
        <f>IF((ISERROR((AG62/$H62)*100)), "", IF(AND(NOT(ISERROR((AG62/$H62)*100)),((AG62/$H62)*100) &lt;&gt; 0), (AG62/$H62)*100, ""))</f>
        <v/>
      </c>
      <c r="AI62" s="33"/>
      <c r="AJ62" s="36" t="str">
        <f>IF((ISERROR((AI62/$H62)*100)), "", IF(AND(NOT(ISERROR((AI62/$H62)*100)),((AI62/$H62)*100) &lt;&gt; 0), (AI62/$H62)*100, ""))</f>
        <v/>
      </c>
      <c r="AK62" s="33"/>
      <c r="AL62" s="36" t="str">
        <f>IF((ISERROR((AK62/$H62)*100)), "", IF(AND(NOT(ISERROR((AK62/$H62)*100)),((AK62/$H62)*100) &lt;&gt; 0), (AK62/$H62)*100, ""))</f>
        <v/>
      </c>
      <c r="AM62" s="33"/>
      <c r="AN62" s="36" t="str">
        <f>IF((ISERROR((AM62/$H62)*100)), "", IF(AND(NOT(ISERROR((AM62/$H62)*100)),((AM62/$H62)*100) &lt;&gt; 0), (AM62/$H62)*100, ""))</f>
        <v/>
      </c>
      <c r="AO62" s="33"/>
      <c r="AP62" s="36" t="str">
        <f>IF((ISERROR((AO62/$H62)*100)), "", IF(AND(NOT(ISERROR((AO62/$H62)*100)),((AO62/$H62)*100) &lt;&gt; 0), (AO62/$H62)*100, ""))</f>
        <v/>
      </c>
      <c r="AQ62" s="33"/>
      <c r="AR62" s="36" t="str">
        <f>IF((ISERROR((AQ62/$H62)*100)), "", IF(AND(NOT(ISERROR((AQ62/$H62)*100)),((AQ62/$H62)*100) &lt;&gt; 0), (AQ62/$H62)*100, ""))</f>
        <v/>
      </c>
      <c r="AS62" s="33"/>
      <c r="AT62" s="36" t="str">
        <f>IF((ISERROR((AS62/$H62)*100)), "", IF(AND(NOT(ISERROR((AS62/$H62)*100)),((AS62/$H62)*100) &lt;&gt; 0), (AS62/$H62)*100, ""))</f>
        <v/>
      </c>
      <c r="AU62" s="33"/>
      <c r="AV62" s="36" t="str">
        <f>IF((ISERROR((AU62/$H62)*100)), "", IF(AND(NOT(ISERROR((AU62/$H62)*100)),((AU62/$H62)*100) &lt;&gt; 0), (AU62/$H62)*100, ""))</f>
        <v/>
      </c>
      <c r="AW62" s="76"/>
      <c r="AX62" s="36" t="str">
        <f>IF((ISERROR((AW62/$H62)*100)), "", IF(AND(NOT(ISERROR((AW62/$H62)*100)),((AW62/$H62)*100) &lt;&gt; 0), (AW62/$H62)*100, ""))</f>
        <v/>
      </c>
      <c r="AY62" s="76"/>
      <c r="AZ62" s="36" t="str">
        <f>IF((ISERROR((AY62/$H62)*100)), "", IF(AND(NOT(ISERROR((AY62/$H62)*100)),((AY62/$H62)*100) &lt;&gt; 0), (AY62/$H62)*100, ""))</f>
        <v/>
      </c>
      <c r="BA62" s="23" t="s">
        <v>349</v>
      </c>
    </row>
    <row r="63" spans="1:53" ht="20" customHeight="1" x14ac:dyDescent="0.2">
      <c r="A63" s="60"/>
      <c r="B63" s="82"/>
      <c r="C63" s="24" t="s">
        <v>85</v>
      </c>
      <c r="D63" s="23" t="s">
        <v>317</v>
      </c>
      <c r="E63" s="23" t="s">
        <v>318</v>
      </c>
      <c r="F63" s="24">
        <v>2014</v>
      </c>
      <c r="H63" s="89">
        <v>39</v>
      </c>
      <c r="I63" s="85" t="s">
        <v>211</v>
      </c>
      <c r="J63" s="86" t="s">
        <v>373</v>
      </c>
      <c r="K63" s="33"/>
      <c r="L63" s="36" t="str">
        <f>IF((ISERROR((K63/$H63)*100)), "", IF(AND(NOT(ISERROR((K63/$H63)*100)),((K63/$H63)*100) &lt;&gt; 0), (K63/$H63)*100, ""))</f>
        <v/>
      </c>
      <c r="M63" s="33"/>
      <c r="N63" s="36" t="str">
        <f>IF((ISERROR((M63/$H63)*100)), "", IF(AND(NOT(ISERROR((M63/$H63)*100)),((M63/$H63)*100) &lt;&gt; 0), (M63/$H63)*100, ""))</f>
        <v/>
      </c>
      <c r="O63" s="33"/>
      <c r="P63" s="36" t="str">
        <f>IF((ISERROR((O63/$H63)*100)), "", IF(AND(NOT(ISERROR((O63/$H63)*100)),((O63/$H63)*100) &lt;&gt; 0), (O63/$H63)*100, ""))</f>
        <v/>
      </c>
      <c r="Q63" s="33"/>
      <c r="R63" s="36" t="str">
        <f>IF((ISERROR((Q63/$H63)*100)), "", IF(AND(NOT(ISERROR((Q63/$H63)*100)),((Q63/$H63)*100) &lt;&gt; 0), (Q63/$H63)*100, ""))</f>
        <v/>
      </c>
      <c r="S63" s="33"/>
      <c r="T63" s="36" t="str">
        <f>IF((ISERROR((S63/$H63)*100)), "", IF(AND(NOT(ISERROR((S63/$H63)*100)),((S63/$H63)*100) &lt;&gt; 0), (S63/$H63)*100, ""))</f>
        <v/>
      </c>
      <c r="U63" s="33">
        <v>1</v>
      </c>
      <c r="V63" s="36">
        <f>IF((ISERROR((U63/$H63)*100)), "", IF(AND(NOT(ISERROR((U63/$H63)*100)),((U63/$H63)*100) &lt;&gt; 0), (U63/$H63)*100, ""))</f>
        <v>2.5641025641025639</v>
      </c>
      <c r="W63" s="33"/>
      <c r="X63" s="36" t="str">
        <f>IF((ISERROR((W63/$H63)*100)), "", IF(AND(NOT(ISERROR((W63/$H63)*100)),((W63/$H63)*100) &lt;&gt; 0), (W63/$H63)*100, ""))</f>
        <v/>
      </c>
      <c r="Y63" s="33">
        <v>2</v>
      </c>
      <c r="Z63" s="36">
        <f>IF((ISERROR((Y63/$H63)*100)), "", IF(AND(NOT(ISERROR((Y63/$H63)*100)),((Y63/$H63)*100) &lt;&gt; 0), (Y63/$H63)*100, ""))</f>
        <v>5.1282051282051277</v>
      </c>
      <c r="AA63" s="33">
        <v>1</v>
      </c>
      <c r="AB63" s="36">
        <f>IF((ISERROR((AA63/$H63)*100)), "", IF(AND(NOT(ISERROR((AA63/$H63)*100)),((AA63/$H63)*100) &lt;&gt; 0), (AA63/$H63)*100, ""))</f>
        <v>2.5641025641025639</v>
      </c>
      <c r="AC63" s="33"/>
      <c r="AD63" s="36" t="str">
        <f>IF((ISERROR((AC63/$H63)*100)), "", IF(AND(NOT(ISERROR((AC63/$H63)*100)),((AC63/$H63)*100) &lt;&gt; 0), (AC63/$H63)*100, ""))</f>
        <v/>
      </c>
      <c r="AE63" s="33"/>
      <c r="AF63" s="36" t="str">
        <f>IF((ISERROR((AE63/$H63)*100)), "", IF(AND(NOT(ISERROR((AE63/$H63)*100)),((AE63/$H63)*100) &lt;&gt; 0), (AE63/$H63)*100, ""))</f>
        <v/>
      </c>
      <c r="AG63" s="33"/>
      <c r="AH63" s="36" t="str">
        <f>IF((ISERROR((AG63/$H63)*100)), "", IF(AND(NOT(ISERROR((AG63/$H63)*100)),((AG63/$H63)*100) &lt;&gt; 0), (AG63/$H63)*100, ""))</f>
        <v/>
      </c>
      <c r="AI63" s="33"/>
      <c r="AJ63" s="36" t="str">
        <f>IF((ISERROR((AI63/$H63)*100)), "", IF(AND(NOT(ISERROR((AI63/$H63)*100)),((AI63/$H63)*100) &lt;&gt; 0), (AI63/$H63)*100, ""))</f>
        <v/>
      </c>
      <c r="AK63" s="33"/>
      <c r="AL63" s="36" t="str">
        <f>IF((ISERROR((AK63/$H63)*100)), "", IF(AND(NOT(ISERROR((AK63/$H63)*100)),((AK63/$H63)*100) &lt;&gt; 0), (AK63/$H63)*100, ""))</f>
        <v/>
      </c>
      <c r="AM63" s="33"/>
      <c r="AN63" s="36" t="str">
        <f>IF((ISERROR((AM63/$H63)*100)), "", IF(AND(NOT(ISERROR((AM63/$H63)*100)),((AM63/$H63)*100) &lt;&gt; 0), (AM63/$H63)*100, ""))</f>
        <v/>
      </c>
      <c r="AO63" s="33"/>
      <c r="AP63" s="36"/>
      <c r="AQ63" s="33"/>
      <c r="AR63" s="36" t="str">
        <f>IF((ISERROR((AQ63/$H63)*100)), "", IF(AND(NOT(ISERROR((AQ63/$H63)*100)),((AQ63/$H63)*100) &lt;&gt; 0), (AQ63/$H63)*100, ""))</f>
        <v/>
      </c>
      <c r="AS63" s="33"/>
      <c r="AT63" s="36" t="str">
        <f>IF((ISERROR((AS63/$H63)*100)), "", IF(AND(NOT(ISERROR((AS63/$H63)*100)),((AS63/$H63)*100) &lt;&gt; 0), (AS63/$H63)*100, ""))</f>
        <v/>
      </c>
      <c r="AU63" s="33"/>
      <c r="AV63" s="36" t="str">
        <f>IF((ISERROR((AU63/$H63)*100)), "", IF(AND(NOT(ISERROR((AU63/$H63)*100)),((AU63/$H63)*100) &lt;&gt; 0), (AU63/$H63)*100, ""))</f>
        <v/>
      </c>
      <c r="AW63" s="76">
        <v>6</v>
      </c>
      <c r="AX63" s="36">
        <f>IF((ISERROR((AW63/$H63)*100)), "", IF(AND(NOT(ISERROR((AW63/$H63)*100)),((AW63/$H63)*100) &lt;&gt; 0), (AW63/$H63)*100, ""))</f>
        <v>15.384615384615385</v>
      </c>
      <c r="AY63" s="76"/>
      <c r="AZ63" s="36" t="str">
        <f>IF((ISERROR((AY63/$H63)*100)), "", IF(AND(NOT(ISERROR((AY63/$H63)*100)),((AY63/$H63)*100) &lt;&gt; 0), (AY63/$H63)*100, ""))</f>
        <v/>
      </c>
      <c r="BA63" s="23" t="s">
        <v>411</v>
      </c>
    </row>
    <row r="64" spans="1:53" ht="20" customHeight="1" x14ac:dyDescent="0.2">
      <c r="A64" s="60"/>
      <c r="B64" s="84"/>
      <c r="C64" s="63" t="s">
        <v>85</v>
      </c>
      <c r="D64" s="62" t="s">
        <v>249</v>
      </c>
      <c r="E64" s="62" t="s">
        <v>250</v>
      </c>
      <c r="F64" s="63">
        <v>2015</v>
      </c>
      <c r="G64" s="63"/>
      <c r="H64" s="89">
        <v>40</v>
      </c>
      <c r="I64" s="85" t="s">
        <v>328</v>
      </c>
      <c r="J64" s="86" t="s">
        <v>329</v>
      </c>
      <c r="K64" s="326"/>
      <c r="L64" s="711" t="str">
        <f>IF((ISERROR((K64/$H64)*100)), "", IF(AND(NOT(ISERROR((K64/$H64)*100)),((K64/$H64)*100) &lt;&gt; 0), (K64/$H64)*100, ""))</f>
        <v/>
      </c>
      <c r="M64" s="326"/>
      <c r="N64" s="711" t="str">
        <f>IF((ISERROR((M64/$H64)*100)), "", IF(AND(NOT(ISERROR((M64/$H64)*100)),((M64/$H64)*100) &lt;&gt; 0), (M64/$H64)*100, ""))</f>
        <v/>
      </c>
      <c r="O64" s="326"/>
      <c r="P64" s="711" t="str">
        <f>IF((ISERROR((O64/$H64)*100)), "", IF(AND(NOT(ISERROR((O64/$H64)*100)),((O64/$H64)*100) &lt;&gt; 0), (O64/$H64)*100, ""))</f>
        <v/>
      </c>
      <c r="Q64" s="326"/>
      <c r="R64" s="711" t="str">
        <f>IF((ISERROR((Q64/$H64)*100)), "", IF(AND(NOT(ISERROR((Q64/$H64)*100)),((Q64/$H64)*100) &lt;&gt; 0), (Q64/$H64)*100, ""))</f>
        <v/>
      </c>
      <c r="S64" s="326"/>
      <c r="T64" s="711" t="str">
        <f>IF((ISERROR((S64/$H64)*100)), "", IF(AND(NOT(ISERROR((S64/$H64)*100)),((S64/$H64)*100) &lt;&gt; 0), (S64/$H64)*100, ""))</f>
        <v/>
      </c>
      <c r="U64" s="326"/>
      <c r="V64" s="711" t="str">
        <f>IF((ISERROR((U64/$H64)*100)), "", IF(AND(NOT(ISERROR((U64/$H64)*100)),((U64/$H64)*100) &lt;&gt; 0), (U64/$H64)*100, ""))</f>
        <v/>
      </c>
      <c r="W64" s="327"/>
      <c r="X64" s="711" t="str">
        <f>IF((ISERROR((W64/$H64)*100)), "", IF(AND(NOT(ISERROR((W64/$H64)*100)),((W64/$H64)*100) &lt;&gt; 0), (W64/$H64)*100, ""))</f>
        <v/>
      </c>
      <c r="Y64" s="327"/>
      <c r="Z64" s="711" t="str">
        <f>IF((ISERROR((Y64/$H64)*100)), "", IF(AND(NOT(ISERROR((Y64/$H64)*100)),((Y64/$H64)*100) &lt;&gt; 0), (Y64/$H64)*100, ""))</f>
        <v/>
      </c>
      <c r="AA64" s="327"/>
      <c r="AB64" s="711" t="str">
        <f>IF((ISERROR((AA64/$H64)*100)), "", IF(AND(NOT(ISERROR((AA64/$H64)*100)),((AA64/$H64)*100) &lt;&gt; 0), (AA64/$H64)*100, ""))</f>
        <v/>
      </c>
      <c r="AC64" s="326"/>
      <c r="AD64" s="711" t="str">
        <f>IF((ISERROR((AC64/$H64)*100)), "", IF(AND(NOT(ISERROR((AC64/$H64)*100)),((AC64/$H64)*100) &lt;&gt; 0), (AC64/$H64)*100, ""))</f>
        <v/>
      </c>
      <c r="AE64" s="326"/>
      <c r="AF64" s="711" t="str">
        <f>IF((ISERROR((AE64/$H64)*100)), "", IF(AND(NOT(ISERROR((AE64/$H64)*100)),((AE64/$H64)*100) &lt;&gt; 0), (AE64/$H64)*100, ""))</f>
        <v/>
      </c>
      <c r="AG64" s="326"/>
      <c r="AH64" s="711" t="str">
        <f>IF((ISERROR((AG64/$H64)*100)), "", IF(AND(NOT(ISERROR((AG64/$H64)*100)),((AG64/$H64)*100) &lt;&gt; 0), (AG64/$H64)*100, ""))</f>
        <v/>
      </c>
      <c r="AI64" s="326"/>
      <c r="AJ64" s="711" t="str">
        <f>IF((ISERROR((AI64/$H64)*100)), "", IF(AND(NOT(ISERROR((AI64/$H64)*100)),((AI64/$H64)*100) &lt;&gt; 0), (AI64/$H64)*100, ""))</f>
        <v/>
      </c>
      <c r="AK64" s="326"/>
      <c r="AL64" s="711" t="str">
        <f>IF((ISERROR((AK64/$H64)*100)), "", IF(AND(NOT(ISERROR((AK64/$H64)*100)),((AK64/$H64)*100) &lt;&gt; 0), (AK64/$H64)*100, ""))</f>
        <v/>
      </c>
      <c r="AM64" s="326"/>
      <c r="AN64" s="711" t="str">
        <f>IF((ISERROR((AM64/$H64)*100)), "", IF(AND(NOT(ISERROR((AM64/$H64)*100)),((AM64/$H64)*100) &lt;&gt; 0), (AM64/$H64)*100, ""))</f>
        <v/>
      </c>
      <c r="AO64" s="326"/>
      <c r="AP64" s="711" t="str">
        <f>IF((ISERROR((AO64/$H64)*100)), "", IF(AND(NOT(ISERROR((AO64/$H64)*100)),((AO64/$H64)*100) &lt;&gt; 0), (AO64/$H64)*100, ""))</f>
        <v/>
      </c>
      <c r="AQ64" s="326"/>
      <c r="AR64" s="711" t="str">
        <f>IF((ISERROR((AQ64/$H64)*100)), "", IF(AND(NOT(ISERROR((AQ64/$H64)*100)),((AQ64/$H64)*100) &lt;&gt; 0), (AQ64/$H64)*100, ""))</f>
        <v/>
      </c>
      <c r="AS64" s="326"/>
      <c r="AT64" s="711" t="str">
        <f>IF((ISERROR((AS64/$H64)*100)), "", IF(AND(NOT(ISERROR((AS64/$H64)*100)),((AS64/$H64)*100) &lt;&gt; 0), (AS64/$H64)*100, ""))</f>
        <v/>
      </c>
      <c r="AU64" s="326"/>
      <c r="AV64" s="711" t="str">
        <f>IF((ISERROR((AU64/$H64)*100)), "", IF(AND(NOT(ISERROR((AU64/$H64)*100)),((AU64/$H64)*100) &lt;&gt; 0), (AU64/$H64)*100, ""))</f>
        <v/>
      </c>
      <c r="AW64" s="716"/>
      <c r="AX64" s="711" t="str">
        <f>IF((ISERROR((AW64/$H64)*100)), "", IF(AND(NOT(ISERROR((AW64/$H64)*100)),((AW64/$H64)*100) &lt;&gt; 0), (AW64/$H64)*100, ""))</f>
        <v/>
      </c>
      <c r="AY64" s="716"/>
      <c r="AZ64" s="711" t="str">
        <f>IF((ISERROR((AY64/$H64)*100)), "", IF(AND(NOT(ISERROR((AY64/$H64)*100)),((AY64/$H64)*100) &lt;&gt; 0), (AY64/$H64)*100, ""))</f>
        <v/>
      </c>
      <c r="BA64" s="62" t="s">
        <v>330</v>
      </c>
    </row>
    <row r="65" spans="1:53" ht="20" customHeight="1" x14ac:dyDescent="0.2">
      <c r="A65" s="60"/>
      <c r="B65" s="83"/>
      <c r="C65" s="24" t="s">
        <v>85</v>
      </c>
      <c r="D65" s="23" t="s">
        <v>301</v>
      </c>
      <c r="E65" s="23" t="s">
        <v>302</v>
      </c>
      <c r="F65" s="24">
        <v>2015</v>
      </c>
      <c r="H65" s="89">
        <v>41</v>
      </c>
      <c r="I65" s="85" t="s">
        <v>185</v>
      </c>
      <c r="J65" s="86"/>
      <c r="K65" s="33"/>
      <c r="L65" s="36" t="str">
        <f>IF((ISERROR((K65/$H65)*100)), "", IF(AND(NOT(ISERROR((K65/$H65)*100)),((K65/$H65)*100) &lt;&gt; 0), (K65/$H65)*100, ""))</f>
        <v/>
      </c>
      <c r="M65" s="33"/>
      <c r="N65" s="36" t="str">
        <f>IF((ISERROR((M65/$H65)*100)), "", IF(AND(NOT(ISERROR((M65/$H65)*100)),((M65/$H65)*100) &lt;&gt; 0), (M65/$H65)*100, ""))</f>
        <v/>
      </c>
      <c r="O65" s="33"/>
      <c r="P65" s="36" t="str">
        <f>IF((ISERROR((O65/$H65)*100)), "", IF(AND(NOT(ISERROR((O65/$H65)*100)),((O65/$H65)*100) &lt;&gt; 0), (O65/$H65)*100, ""))</f>
        <v/>
      </c>
      <c r="Q65" s="33"/>
      <c r="R65" s="36" t="str">
        <f>IF((ISERROR((Q65/$H65)*100)), "", IF(AND(NOT(ISERROR((Q65/$H65)*100)),((Q65/$H65)*100) &lt;&gt; 0), (Q65/$H65)*100, ""))</f>
        <v/>
      </c>
      <c r="S65" s="33"/>
      <c r="T65" s="36" t="str">
        <f>IF((ISERROR((S65/$H65)*100)), "", IF(AND(NOT(ISERROR((S65/$H65)*100)),((S65/$H65)*100) &lt;&gt; 0), (S65/$H65)*100, ""))</f>
        <v/>
      </c>
      <c r="U65" s="33"/>
      <c r="V65" s="36" t="str">
        <f>IF((ISERROR((U65/$H65)*100)), "", IF(AND(NOT(ISERROR((U65/$H65)*100)),((U65/$H65)*100) &lt;&gt; 0), (U65/$H65)*100, ""))</f>
        <v/>
      </c>
      <c r="W65" s="33"/>
      <c r="X65" s="36" t="str">
        <f>IF((ISERROR((W65/$H65)*100)), "", IF(AND(NOT(ISERROR((W65/$H65)*100)),((W65/$H65)*100) &lt;&gt; 0), (W65/$H65)*100, ""))</f>
        <v/>
      </c>
      <c r="Y65" s="33"/>
      <c r="Z65" s="36" t="str">
        <f>IF((ISERROR((Y65/$H65)*100)), "", IF(AND(NOT(ISERROR((Y65/$H65)*100)),((Y65/$H65)*100) &lt;&gt; 0), (Y65/$H65)*100, ""))</f>
        <v/>
      </c>
      <c r="AA65" s="33"/>
      <c r="AB65" s="36" t="str">
        <f>IF((ISERROR((AA65/$H65)*100)), "", IF(AND(NOT(ISERROR((AA65/$H65)*100)),((AA65/$H65)*100) &lt;&gt; 0), (AA65/$H65)*100, ""))</f>
        <v/>
      </c>
      <c r="AC65" s="33"/>
      <c r="AD65" s="36" t="str">
        <f>IF((ISERROR((AC65/$H65)*100)), "", IF(AND(NOT(ISERROR((AC65/$H65)*100)),((AC65/$H65)*100) &lt;&gt; 0), (AC65/$H65)*100, ""))</f>
        <v/>
      </c>
      <c r="AE65" s="33"/>
      <c r="AF65" s="36" t="str">
        <f>IF((ISERROR((AE65/$H65)*100)), "", IF(AND(NOT(ISERROR((AE65/$H65)*100)),((AE65/$H65)*100) &lt;&gt; 0), (AE65/$H65)*100, ""))</f>
        <v/>
      </c>
      <c r="AG65" s="33"/>
      <c r="AH65" s="36" t="str">
        <f>IF((ISERROR((AG65/$H65)*100)), "", IF(AND(NOT(ISERROR((AG65/$H65)*100)),((AG65/$H65)*100) &lt;&gt; 0), (AG65/$H65)*100, ""))</f>
        <v/>
      </c>
      <c r="AI65" s="33"/>
      <c r="AJ65" s="36" t="str">
        <f>IF((ISERROR((AI65/$H65)*100)), "", IF(AND(NOT(ISERROR((AI65/$H65)*100)),((AI65/$H65)*100) &lt;&gt; 0), (AI65/$H65)*100, ""))</f>
        <v/>
      </c>
      <c r="AK65" s="33"/>
      <c r="AL65" s="36" t="str">
        <f>IF((ISERROR((AK65/$H65)*100)), "", IF(AND(NOT(ISERROR((AK65/$H65)*100)),((AK65/$H65)*100) &lt;&gt; 0), (AK65/$H65)*100, ""))</f>
        <v/>
      </c>
      <c r="AM65" s="33"/>
      <c r="AN65" s="36" t="str">
        <f>IF((ISERROR((AM65/$H65)*100)), "", IF(AND(NOT(ISERROR((AM65/$H65)*100)),((AM65/$H65)*100) &lt;&gt; 0), (AM65/$H65)*100, ""))</f>
        <v/>
      </c>
      <c r="AO65" s="33"/>
      <c r="AP65" s="36" t="str">
        <f>IF((ISERROR((AO65/$H65)*100)), "", IF(AND(NOT(ISERROR((AO65/$H65)*100)),((AO65/$H65)*100) &lt;&gt; 0), (AO65/$H65)*100, ""))</f>
        <v/>
      </c>
      <c r="AQ65" s="33"/>
      <c r="AR65" s="36" t="str">
        <f>IF((ISERROR((AQ65/$H65)*100)), "", IF(AND(NOT(ISERROR((AQ65/$H65)*100)),((AQ65/$H65)*100) &lt;&gt; 0), (AQ65/$H65)*100, ""))</f>
        <v/>
      </c>
      <c r="AS65" s="33"/>
      <c r="AT65" s="36" t="str">
        <f>IF((ISERROR((AS65/$H65)*100)), "", IF(AND(NOT(ISERROR((AS65/$H65)*100)),((AS65/$H65)*100) &lt;&gt; 0), (AS65/$H65)*100, ""))</f>
        <v/>
      </c>
      <c r="AU65" s="33"/>
      <c r="AV65" s="36" t="str">
        <f>IF((ISERROR((AU65/$H65)*100)), "", IF(AND(NOT(ISERROR((AU65/$H65)*100)),((AU65/$H65)*100) &lt;&gt; 0), (AU65/$H65)*100, ""))</f>
        <v/>
      </c>
      <c r="AW65" s="30"/>
      <c r="AX65" s="36" t="str">
        <f>IF((ISERROR((AW65/$H65)*100)), "", IF(AND(NOT(ISERROR((AW65/$H65)*100)),((AW65/$H65)*100) &lt;&gt; 0), (AW65/$H65)*100, ""))</f>
        <v/>
      </c>
      <c r="AY65" s="59"/>
      <c r="AZ65" s="36" t="str">
        <f>IF((ISERROR((AY65/$H65)*100)), "", IF(AND(NOT(ISERROR((AY65/$H65)*100)),((AY65/$H65)*100) &lt;&gt; 0), (AY65/$H65)*100, ""))</f>
        <v/>
      </c>
      <c r="BA65" s="23" t="s">
        <v>364</v>
      </c>
    </row>
    <row r="66" spans="1:53" ht="20" customHeight="1" x14ac:dyDescent="0.2">
      <c r="A66" s="60"/>
      <c r="B66" s="82"/>
      <c r="C66" s="24" t="s">
        <v>85</v>
      </c>
      <c r="D66" s="23" t="s">
        <v>83</v>
      </c>
      <c r="E66" s="23" t="s">
        <v>84</v>
      </c>
      <c r="F66" s="24">
        <v>2000</v>
      </c>
      <c r="G66" s="24">
        <v>146</v>
      </c>
      <c r="H66" s="89">
        <v>42</v>
      </c>
      <c r="I66" s="85" t="s">
        <v>357</v>
      </c>
      <c r="J66" s="86"/>
      <c r="K66" s="33"/>
      <c r="L66" s="36" t="str">
        <f>IF((ISERROR((K66/$H66)*100)), "", IF(AND(NOT(ISERROR((K66/$H66)*100)),((K66/$H66)*100) &lt;&gt; 0), (K66/$H66)*100, ""))</f>
        <v/>
      </c>
      <c r="M66" s="33"/>
      <c r="N66" s="36" t="str">
        <f>IF((ISERROR((M66/$H66)*100)), "", IF(AND(NOT(ISERROR((M66/$H66)*100)),((M66/$H66)*100) &lt;&gt; 0), (M66/$H66)*100, ""))</f>
        <v/>
      </c>
      <c r="O66" s="33"/>
      <c r="P66" s="36" t="str">
        <f>IF((ISERROR((O66/$H66)*100)), "", IF(AND(NOT(ISERROR((O66/$H66)*100)),((O66/$H66)*100) &lt;&gt; 0), (O66/$H66)*100, ""))</f>
        <v/>
      </c>
      <c r="Q66" s="33"/>
      <c r="R66" s="36" t="str">
        <f>IF((ISERROR((Q66/$H66)*100)), "", IF(AND(NOT(ISERROR((Q66/$H66)*100)),((Q66/$H66)*100) &lt;&gt; 0), (Q66/$H66)*100, ""))</f>
        <v/>
      </c>
      <c r="S66" s="33"/>
      <c r="T66" s="36" t="str">
        <f>IF((ISERROR((S66/$H66)*100)), "", IF(AND(NOT(ISERROR((S66/$H66)*100)),((S66/$H66)*100) &lt;&gt; 0), (S66/$H66)*100, ""))</f>
        <v/>
      </c>
      <c r="U66" s="33">
        <v>1</v>
      </c>
      <c r="V66" s="36">
        <f>IF((ISERROR((U66/$H66)*100)), "", IF(AND(NOT(ISERROR((U66/$H66)*100)),((U66/$H66)*100) &lt;&gt; 0), (U66/$H66)*100, ""))</f>
        <v>2.3809523809523809</v>
      </c>
      <c r="W66" s="33"/>
      <c r="X66" s="36" t="str">
        <f>IF((ISERROR((W66/$H66)*100)), "", IF(AND(NOT(ISERROR((W66/$H66)*100)),((W66/$H66)*100) &lt;&gt; 0), (W66/$H66)*100, ""))</f>
        <v/>
      </c>
      <c r="Y66" s="33"/>
      <c r="Z66" s="36" t="str">
        <f>IF((ISERROR((Y66/$H66)*100)), "", IF(AND(NOT(ISERROR((Y66/$H66)*100)),((Y66/$H66)*100) &lt;&gt; 0), (Y66/$H66)*100, ""))</f>
        <v/>
      </c>
      <c r="AA66" s="33"/>
      <c r="AB66" s="36" t="str">
        <f>IF((ISERROR((AA66/$H66)*100)), "", IF(AND(NOT(ISERROR((AA66/$H66)*100)),((AA66/$H66)*100) &lt;&gt; 0), (AA66/$H66)*100, ""))</f>
        <v/>
      </c>
      <c r="AC66" s="33"/>
      <c r="AD66" s="36" t="str">
        <f>IF((ISERROR((AC66/$H66)*100)), "", IF(AND(NOT(ISERROR((AC66/$H66)*100)),((AC66/$H66)*100) &lt;&gt; 0), (AC66/$H66)*100, ""))</f>
        <v/>
      </c>
      <c r="AE66" s="33"/>
      <c r="AF66" s="36" t="str">
        <f>IF((ISERROR((AE66/$H66)*100)), "", IF(AND(NOT(ISERROR((AE66/$H66)*100)),((AE66/$H66)*100) &lt;&gt; 0), (AE66/$H66)*100, ""))</f>
        <v/>
      </c>
      <c r="AG66" s="33"/>
      <c r="AH66" s="36" t="str">
        <f>IF((ISERROR((AG66/$H66)*100)), "", IF(AND(NOT(ISERROR((AG66/$H66)*100)),((AG66/$H66)*100) &lt;&gt; 0), (AG66/$H66)*100, ""))</f>
        <v/>
      </c>
      <c r="AI66" s="33"/>
      <c r="AJ66" s="36" t="str">
        <f>IF((ISERROR((AI66/$H66)*100)), "", IF(AND(NOT(ISERROR((AI66/$H66)*100)),((AI66/$H66)*100) &lt;&gt; 0), (AI66/$H66)*100, ""))</f>
        <v/>
      </c>
      <c r="AK66" s="33"/>
      <c r="AL66" s="36" t="str">
        <f>IF((ISERROR((AK66/$H66)*100)), "", IF(AND(NOT(ISERROR((AK66/$H66)*100)),((AK66/$H66)*100) &lt;&gt; 0), (AK66/$H66)*100, ""))</f>
        <v/>
      </c>
      <c r="AM66" s="33"/>
      <c r="AN66" s="36" t="str">
        <f>IF((ISERROR((AM66/$H66)*100)), "", IF(AND(NOT(ISERROR((AM66/$H66)*100)),((AM66/$H66)*100) &lt;&gt; 0), (AM66/$H66)*100, ""))</f>
        <v/>
      </c>
      <c r="AO66" s="33"/>
      <c r="AP66" s="36" t="str">
        <f>IF((ISERROR((AO66/$H66)*100)), "", IF(AND(NOT(ISERROR((AO66/$H66)*100)),((AO66/$H66)*100) &lt;&gt; 0), (AO66/$H66)*100, ""))</f>
        <v/>
      </c>
      <c r="AQ66" s="33"/>
      <c r="AR66" s="36" t="str">
        <f>IF((ISERROR((AQ66/$H66)*100)), "", IF(AND(NOT(ISERROR((AQ66/$H66)*100)),((AQ66/$H66)*100) &lt;&gt; 0), (AQ66/$H66)*100, ""))</f>
        <v/>
      </c>
      <c r="AS66" s="33"/>
      <c r="AT66" s="36" t="str">
        <f>IF((ISERROR((AS66/$H66)*100)), "", IF(AND(NOT(ISERROR((AS66/$H66)*100)),((AS66/$H66)*100) &lt;&gt; 0), (AS66/$H66)*100, ""))</f>
        <v/>
      </c>
      <c r="AU66" s="33"/>
      <c r="AV66" s="36" t="str">
        <f>IF((ISERROR((AU66/$H66)*100)), "", IF(AND(NOT(ISERROR((AU66/$H66)*100)),((AU66/$H66)*100) &lt;&gt; 0), (AU66/$H66)*100, ""))</f>
        <v/>
      </c>
      <c r="AW66" s="30"/>
      <c r="AX66" s="36" t="str">
        <f>IF((ISERROR((AW66/$H66)*100)), "", IF(AND(NOT(ISERROR((AW66/$H66)*100)),((AW66/$H66)*100) &lt;&gt; 0), (AW66/$H66)*100, ""))</f>
        <v/>
      </c>
      <c r="AY66" s="59"/>
      <c r="AZ66" s="36" t="str">
        <f>IF((ISERROR((AY66/$H66)*100)), "", IF(AND(NOT(ISERROR((AY66/$H66)*100)),((AY66/$H66)*100) &lt;&gt; 0), (AY66/$H66)*100, ""))</f>
        <v/>
      </c>
      <c r="BA66" s="23" t="s">
        <v>486</v>
      </c>
    </row>
    <row r="67" spans="1:53" ht="20" customHeight="1" x14ac:dyDescent="0.2">
      <c r="A67" s="61"/>
      <c r="B67" s="83"/>
      <c r="C67" s="24" t="s">
        <v>85</v>
      </c>
      <c r="D67" s="23" t="s">
        <v>152</v>
      </c>
      <c r="E67" s="23" t="s">
        <v>153</v>
      </c>
      <c r="F67" s="24">
        <v>2007</v>
      </c>
      <c r="H67" s="89">
        <v>44</v>
      </c>
      <c r="I67" s="85"/>
      <c r="J67" s="86"/>
      <c r="K67" s="33"/>
      <c r="L67" s="36" t="str">
        <f>IF((ISERROR((K67/$H67)*100)), "", IF(AND(NOT(ISERROR((K67/$H67)*100)),((K67/$H67)*100) &lt;&gt; 0), (K67/$H67)*100, ""))</f>
        <v/>
      </c>
      <c r="M67" s="33"/>
      <c r="N67" s="36" t="str">
        <f>IF((ISERROR((M67/$H67)*100)), "", IF(AND(NOT(ISERROR((M67/$H67)*100)),((M67/$H67)*100) &lt;&gt; 0), (M67/$H67)*100, ""))</f>
        <v/>
      </c>
      <c r="O67" s="33"/>
      <c r="P67" s="36" t="str">
        <f>IF((ISERROR((O67/$H67)*100)), "", IF(AND(NOT(ISERROR((O67/$H67)*100)),((O67/$H67)*100) &lt;&gt; 0), (O67/$H67)*100, ""))</f>
        <v/>
      </c>
      <c r="Q67" s="33"/>
      <c r="R67" s="36" t="str">
        <f>IF((ISERROR((Q67/$H67)*100)), "", IF(AND(NOT(ISERROR((Q67/$H67)*100)),((Q67/$H67)*100) &lt;&gt; 0), (Q67/$H67)*100, ""))</f>
        <v/>
      </c>
      <c r="S67" s="33"/>
      <c r="T67" s="36" t="str">
        <f>IF((ISERROR((S67/$H67)*100)), "", IF(AND(NOT(ISERROR((S67/$H67)*100)),((S67/$H67)*100) &lt;&gt; 0), (S67/$H67)*100, ""))</f>
        <v/>
      </c>
      <c r="U67" s="33"/>
      <c r="V67" s="36" t="str">
        <f>IF((ISERROR((U67/$H67)*100)), "", IF(AND(NOT(ISERROR((U67/$H67)*100)),((U67/$H67)*100) &lt;&gt; 0), (U67/$H67)*100, ""))</f>
        <v/>
      </c>
      <c r="W67" s="33"/>
      <c r="X67" s="36" t="str">
        <f>IF((ISERROR((W67/$H67)*100)), "", IF(AND(NOT(ISERROR((W67/$H67)*100)),((W67/$H67)*100) &lt;&gt; 0), (W67/$H67)*100, ""))</f>
        <v/>
      </c>
      <c r="Y67" s="33"/>
      <c r="Z67" s="36" t="str">
        <f>IF((ISERROR((Y67/$H67)*100)), "", IF(AND(NOT(ISERROR((Y67/$H67)*100)),((Y67/$H67)*100) &lt;&gt; 0), (Y67/$H67)*100, ""))</f>
        <v/>
      </c>
      <c r="AA67" s="33"/>
      <c r="AB67" s="36" t="str">
        <f>IF((ISERROR((AA67/$H67)*100)), "", IF(AND(NOT(ISERROR((AA67/$H67)*100)),((AA67/$H67)*100) &lt;&gt; 0), (AA67/$H67)*100, ""))</f>
        <v/>
      </c>
      <c r="AC67" s="33"/>
      <c r="AD67" s="36" t="str">
        <f>IF((ISERROR((AC67/$H67)*100)), "", IF(AND(NOT(ISERROR((AC67/$H67)*100)),((AC67/$H67)*100) &lt;&gt; 0), (AC67/$H67)*100, ""))</f>
        <v/>
      </c>
      <c r="AE67" s="33"/>
      <c r="AF67" s="36" t="str">
        <f>IF((ISERROR((AE67/$H67)*100)), "", IF(AND(NOT(ISERROR((AE67/$H67)*100)),((AE67/$H67)*100) &lt;&gt; 0), (AE67/$H67)*100, ""))</f>
        <v/>
      </c>
      <c r="AG67" s="33"/>
      <c r="AH67" s="36" t="str">
        <f>IF((ISERROR((AG67/$H67)*100)), "", IF(AND(NOT(ISERROR((AG67/$H67)*100)),((AG67/$H67)*100) &lt;&gt; 0), (AG67/$H67)*100, ""))</f>
        <v/>
      </c>
      <c r="AI67" s="33"/>
      <c r="AJ67" s="36" t="str">
        <f>IF((ISERROR((AI67/$H67)*100)), "", IF(AND(NOT(ISERROR((AI67/$H67)*100)),((AI67/$H67)*100) &lt;&gt; 0), (AI67/$H67)*100, ""))</f>
        <v/>
      </c>
      <c r="AK67" s="33"/>
      <c r="AL67" s="36" t="str">
        <f>IF((ISERROR((AK67/$H67)*100)), "", IF(AND(NOT(ISERROR((AK67/$H67)*100)),((AK67/$H67)*100) &lt;&gt; 0), (AK67/$H67)*100, ""))</f>
        <v/>
      </c>
      <c r="AM67" s="33"/>
      <c r="AN67" s="36" t="str">
        <f>IF((ISERROR((AM67/$H67)*100)), "", IF(AND(NOT(ISERROR((AM67/$H67)*100)),((AM67/$H67)*100) &lt;&gt; 0), (AM67/$H67)*100, ""))</f>
        <v/>
      </c>
      <c r="AO67" s="33"/>
      <c r="AP67" s="36" t="str">
        <f>IF((ISERROR((AO67/$H67)*100)), "", IF(AND(NOT(ISERROR((AO67/$H67)*100)),((AO67/$H67)*100) &lt;&gt; 0), (AO67/$H67)*100, ""))</f>
        <v/>
      </c>
      <c r="AQ67" s="33"/>
      <c r="AR67" s="36" t="str">
        <f>IF((ISERROR((AQ67/$H67)*100)), "", IF(AND(NOT(ISERROR((AQ67/$H67)*100)),((AQ67/$H67)*100) &lt;&gt; 0), (AQ67/$H67)*100, ""))</f>
        <v/>
      </c>
      <c r="AS67" s="33"/>
      <c r="AT67" s="36" t="str">
        <f>IF((ISERROR((AS67/$H67)*100)), "", IF(AND(NOT(ISERROR((AS67/$H67)*100)),((AS67/$H67)*100) &lt;&gt; 0), (AS67/$H67)*100, ""))</f>
        <v/>
      </c>
      <c r="AU67" s="33"/>
      <c r="AV67" s="36" t="str">
        <f>IF((ISERROR((AU67/$H67)*100)), "", IF(AND(NOT(ISERROR((AU67/$H67)*100)),((AU67/$H67)*100) &lt;&gt; 0), (AU67/$H67)*100, ""))</f>
        <v/>
      </c>
      <c r="AW67" s="30"/>
      <c r="AX67" s="36" t="str">
        <f>IF((ISERROR((AW67/$H67)*100)), "", IF(AND(NOT(ISERROR((AW67/$H67)*100)),((AW67/$H67)*100) &lt;&gt; 0), (AW67/$H67)*100, ""))</f>
        <v/>
      </c>
      <c r="AY67" s="59"/>
      <c r="AZ67" s="36" t="str">
        <f>IF((ISERROR((AY67/$H67)*100)), "", IF(AND(NOT(ISERROR((AY67/$H67)*100)),((AY67/$H67)*100) &lt;&gt; 0), (AY67/$H67)*100, ""))</f>
        <v/>
      </c>
      <c r="BA67" s="23" t="s">
        <v>175</v>
      </c>
    </row>
    <row r="68" spans="1:53" ht="20" customHeight="1" x14ac:dyDescent="0.2">
      <c r="A68" s="60"/>
      <c r="B68" s="83"/>
      <c r="C68" s="24" t="s">
        <v>85</v>
      </c>
      <c r="D68" s="23" t="s">
        <v>255</v>
      </c>
      <c r="E68" s="23" t="s">
        <v>256</v>
      </c>
      <c r="F68" s="24">
        <v>2014</v>
      </c>
      <c r="H68" s="89">
        <v>48</v>
      </c>
      <c r="I68" s="85" t="s">
        <v>214</v>
      </c>
      <c r="J68" s="86" t="s">
        <v>337</v>
      </c>
      <c r="K68" s="38"/>
      <c r="L68" s="710" t="str">
        <f>IF((ISERROR((K68/$H68)*100)), "", IF(AND(NOT(ISERROR((K68/$H68)*100)),((K68/$H68)*100) &lt;&gt; 0), (K68/$H68)*100, ""))</f>
        <v/>
      </c>
      <c r="M68" s="33"/>
      <c r="N68" s="36" t="str">
        <f>IF((ISERROR((M68/$H68)*100)), "", IF(AND(NOT(ISERROR((M68/$H68)*100)),((M68/$H68)*100) &lt;&gt; 0), (M68/$H68)*100, ""))</f>
        <v/>
      </c>
      <c r="O68" s="33"/>
      <c r="P68" s="36" t="str">
        <f>IF((ISERROR((O68/$H68)*100)), "", IF(AND(NOT(ISERROR((O68/$H68)*100)),((O68/$H68)*100) &lt;&gt; 0), (O68/$H68)*100, ""))</f>
        <v/>
      </c>
      <c r="Q68" s="33"/>
      <c r="R68" s="36" t="str">
        <f>IF((ISERROR((Q68/$H68)*100)), "", IF(AND(NOT(ISERROR((Q68/$H68)*100)),((Q68/$H68)*100) &lt;&gt; 0), (Q68/$H68)*100, ""))</f>
        <v/>
      </c>
      <c r="S68" s="33"/>
      <c r="T68" s="36" t="str">
        <f>IF((ISERROR((S68/$H68)*100)), "", IF(AND(NOT(ISERROR((S68/$H68)*100)),((S68/$H68)*100) &lt;&gt; 0), (S68/$H68)*100, ""))</f>
        <v/>
      </c>
      <c r="U68" s="33"/>
      <c r="V68" s="36" t="str">
        <f>IF((ISERROR((U68/$H68)*100)), "", IF(AND(NOT(ISERROR((U68/$H68)*100)),((U68/$H68)*100) &lt;&gt; 0), (U68/$H68)*100, ""))</f>
        <v/>
      </c>
      <c r="W68" s="38"/>
      <c r="X68" s="710" t="str">
        <f>IF((ISERROR((W68/$H68)*100)), "", IF(AND(NOT(ISERROR((W68/$H68)*100)),((W68/$H68)*100) &lt;&gt; 0), (W68/$H68)*100, ""))</f>
        <v/>
      </c>
      <c r="Y68" s="33"/>
      <c r="Z68" s="36" t="str">
        <f>IF((ISERROR((Y68/$H68)*100)), "", IF(AND(NOT(ISERROR((Y68/$H68)*100)),((Y68/$H68)*100) &lt;&gt; 0), (Y68/$H68)*100, ""))</f>
        <v/>
      </c>
      <c r="AA68" s="33"/>
      <c r="AB68" s="36" t="str">
        <f>IF((ISERROR((AA68/$H68)*100)), "", IF(AND(NOT(ISERROR((AA68/$H68)*100)),((AA68/$H68)*100) &lt;&gt; 0), (AA68/$H68)*100, ""))</f>
        <v/>
      </c>
      <c r="AC68" s="33"/>
      <c r="AD68" s="36" t="str">
        <f>IF((ISERROR((AC68/$H68)*100)), "", IF(AND(NOT(ISERROR((AC68/$H68)*100)),((AC68/$H68)*100) &lt;&gt; 0), (AC68/$H68)*100, ""))</f>
        <v/>
      </c>
      <c r="AE68" s="33"/>
      <c r="AF68" s="36" t="str">
        <f>IF((ISERROR((AE68/$H68)*100)), "", IF(AND(NOT(ISERROR((AE68/$H68)*100)),((AE68/$H68)*100) &lt;&gt; 0), (AE68/$H68)*100, ""))</f>
        <v/>
      </c>
      <c r="AG68" s="33"/>
      <c r="AH68" s="36" t="str">
        <f>IF((ISERROR((AG68/$H68)*100)), "", IF(AND(NOT(ISERROR((AG68/$H68)*100)),((AG68/$H68)*100) &lt;&gt; 0), (AG68/$H68)*100, ""))</f>
        <v/>
      </c>
      <c r="AI68" s="33"/>
      <c r="AJ68" s="36" t="str">
        <f>IF((ISERROR((AI68/$H68)*100)), "", IF(AND(NOT(ISERROR((AI68/$H68)*100)),((AI68/$H68)*100) &lt;&gt; 0), (AI68/$H68)*100, ""))</f>
        <v/>
      </c>
      <c r="AK68" s="33"/>
      <c r="AL68" s="36" t="str">
        <f>IF((ISERROR((AK68/$H68)*100)), "", IF(AND(NOT(ISERROR((AK68/$H68)*100)),((AK68/$H68)*100) &lt;&gt; 0), (AK68/$H68)*100, ""))</f>
        <v/>
      </c>
      <c r="AM68" s="33"/>
      <c r="AN68" s="36" t="str">
        <f>IF((ISERROR((AM68/$H68)*100)), "", IF(AND(NOT(ISERROR((AM68/$H68)*100)),((AM68/$H68)*100) &lt;&gt; 0), (AM68/$H68)*100, ""))</f>
        <v/>
      </c>
      <c r="AO68" s="33"/>
      <c r="AP68" s="36" t="str">
        <f>IF((ISERROR((AO68/$H68)*100)), "", IF(AND(NOT(ISERROR((AO68/$H68)*100)),((AO68/$H68)*100) &lt;&gt; 0), (AO68/$H68)*100, ""))</f>
        <v/>
      </c>
      <c r="AQ68" s="33"/>
      <c r="AR68" s="36" t="str">
        <f>IF((ISERROR((AQ68/$H68)*100)), "", IF(AND(NOT(ISERROR((AQ68/$H68)*100)),((AQ68/$H68)*100) &lt;&gt; 0), (AQ68/$H68)*100, ""))</f>
        <v/>
      </c>
      <c r="AS68" s="33"/>
      <c r="AT68" s="36" t="str">
        <f>IF((ISERROR((AS68/$H68)*100)), "", IF(AND(NOT(ISERROR((AS68/$H68)*100)),((AS68/$H68)*100) &lt;&gt; 0), (AS68/$H68)*100, ""))</f>
        <v/>
      </c>
      <c r="AU68" s="33"/>
      <c r="AV68" s="36" t="str">
        <f>IF((ISERROR((AU68/$H68)*100)), "", IF(AND(NOT(ISERROR((AU68/$H68)*100)),((AU68/$H68)*100) &lt;&gt; 0), (AU68/$H68)*100, ""))</f>
        <v/>
      </c>
      <c r="AW68" s="31"/>
      <c r="AX68" s="36" t="str">
        <f>IF((ISERROR((AW68/$H68)*100)), "", IF(AND(NOT(ISERROR((AW68/$H68)*100)),((AW68/$H68)*100) &lt;&gt; 0), (AW68/$H68)*100, ""))</f>
        <v/>
      </c>
      <c r="AY68" s="59"/>
      <c r="AZ68" s="36" t="str">
        <f>IF((ISERROR((AY68/$H68)*100)), "", IF(AND(NOT(ISERROR((AY68/$H68)*100)),((AY68/$H68)*100) &lt;&gt; 0), (AY68/$H68)*100, ""))</f>
        <v/>
      </c>
      <c r="BA68" s="23" t="s">
        <v>400</v>
      </c>
    </row>
    <row r="69" spans="1:53" ht="20" customHeight="1" x14ac:dyDescent="0.2">
      <c r="A69" s="60"/>
      <c r="B69" s="83"/>
      <c r="C69" s="24" t="s">
        <v>85</v>
      </c>
      <c r="D69" s="23" t="s">
        <v>269</v>
      </c>
      <c r="E69" s="23" t="s">
        <v>270</v>
      </c>
      <c r="F69" s="24">
        <v>2016</v>
      </c>
      <c r="H69" s="89">
        <v>49</v>
      </c>
      <c r="I69" s="85" t="s">
        <v>345</v>
      </c>
      <c r="J69" s="86" t="s">
        <v>193</v>
      </c>
      <c r="K69" s="33"/>
      <c r="L69" s="36" t="str">
        <f>IF((ISERROR((K69/$H69)*100)), "", IF(AND(NOT(ISERROR((K69/$H69)*100)),((K69/$H69)*100) &lt;&gt; 0), (K69/$H69)*100, ""))</f>
        <v/>
      </c>
      <c r="M69" s="33"/>
      <c r="N69" s="36" t="str">
        <f>IF((ISERROR((M69/$H69)*100)), "", IF(AND(NOT(ISERROR((M69/$H69)*100)),((M69/$H69)*100) &lt;&gt; 0), (M69/$H69)*100, ""))</f>
        <v/>
      </c>
      <c r="O69" s="33"/>
      <c r="P69" s="36" t="str">
        <f>IF((ISERROR((O69/$H69)*100)), "", IF(AND(NOT(ISERROR((O69/$H69)*100)),((O69/$H69)*100) &lt;&gt; 0), (O69/$H69)*100, ""))</f>
        <v/>
      </c>
      <c r="Q69" s="33"/>
      <c r="R69" s="36" t="str">
        <f>IF((ISERROR((Q69/$H69)*100)), "", IF(AND(NOT(ISERROR((Q69/$H69)*100)),((Q69/$H69)*100) &lt;&gt; 0), (Q69/$H69)*100, ""))</f>
        <v/>
      </c>
      <c r="S69" s="33"/>
      <c r="T69" s="36" t="str">
        <f>IF((ISERROR((S69/$H69)*100)), "", IF(AND(NOT(ISERROR((S69/$H69)*100)),((S69/$H69)*100) &lt;&gt; 0), (S69/$H69)*100, ""))</f>
        <v/>
      </c>
      <c r="U69" s="33"/>
      <c r="V69" s="36" t="str">
        <f>IF((ISERROR((U69/$H69)*100)), "", IF(AND(NOT(ISERROR((U69/$H69)*100)),((U69/$H69)*100) &lt;&gt; 0), (U69/$H69)*100, ""))</f>
        <v/>
      </c>
      <c r="W69" s="33"/>
      <c r="X69" s="36" t="str">
        <f>IF((ISERROR((W69/$H69)*100)), "", IF(AND(NOT(ISERROR((W69/$H69)*100)),((W69/$H69)*100) &lt;&gt; 0), (W69/$H69)*100, ""))</f>
        <v/>
      </c>
      <c r="Y69" s="33"/>
      <c r="Z69" s="36" t="str">
        <f>IF((ISERROR((Y69/$H69)*100)), "", IF(AND(NOT(ISERROR((Y69/$H69)*100)),((Y69/$H69)*100) &lt;&gt; 0), (Y69/$H69)*100, ""))</f>
        <v/>
      </c>
      <c r="AA69" s="33"/>
      <c r="AB69" s="36" t="str">
        <f>IF((ISERROR((AA69/$H69)*100)), "", IF(AND(NOT(ISERROR((AA69/$H69)*100)),((AA69/$H69)*100) &lt;&gt; 0), (AA69/$H69)*100, ""))</f>
        <v/>
      </c>
      <c r="AC69" s="33"/>
      <c r="AD69" s="36" t="str">
        <f>IF((ISERROR((AC69/$H69)*100)), "", IF(AND(NOT(ISERROR((AC69/$H69)*100)),((AC69/$H69)*100) &lt;&gt; 0), (AC69/$H69)*100, ""))</f>
        <v/>
      </c>
      <c r="AE69" s="33"/>
      <c r="AF69" s="36" t="str">
        <f>IF((ISERROR((AE69/$H69)*100)), "", IF(AND(NOT(ISERROR((AE69/$H69)*100)),((AE69/$H69)*100) &lt;&gt; 0), (AE69/$H69)*100, ""))</f>
        <v/>
      </c>
      <c r="AG69" s="33"/>
      <c r="AH69" s="36" t="str">
        <f>IF((ISERROR((AG69/$H69)*100)), "", IF(AND(NOT(ISERROR((AG69/$H69)*100)),((AG69/$H69)*100) &lt;&gt; 0), (AG69/$H69)*100, ""))</f>
        <v/>
      </c>
      <c r="AI69" s="33"/>
      <c r="AJ69" s="36" t="str">
        <f>IF((ISERROR((AI69/$H69)*100)), "", IF(AND(NOT(ISERROR((AI69/$H69)*100)),((AI69/$H69)*100) &lt;&gt; 0), (AI69/$H69)*100, ""))</f>
        <v/>
      </c>
      <c r="AK69" s="33"/>
      <c r="AL69" s="36" t="str">
        <f>IF((ISERROR((AK69/$H69)*100)), "", IF(AND(NOT(ISERROR((AK69/$H69)*100)),((AK69/$H69)*100) &lt;&gt; 0), (AK69/$H69)*100, ""))</f>
        <v/>
      </c>
      <c r="AM69" s="33"/>
      <c r="AN69" s="36" t="str">
        <f>IF((ISERROR((AM69/$H69)*100)), "", IF(AND(NOT(ISERROR((AM69/$H69)*100)),((AM69/$H69)*100) &lt;&gt; 0), (AM69/$H69)*100, ""))</f>
        <v/>
      </c>
      <c r="AO69" s="33"/>
      <c r="AP69" s="36" t="str">
        <f>IF((ISERROR((AO69/$H69)*100)), "", IF(AND(NOT(ISERROR((AO69/$H69)*100)),((AO69/$H69)*100) &lt;&gt; 0), (AO69/$H69)*100, ""))</f>
        <v/>
      </c>
      <c r="AQ69" s="33"/>
      <c r="AR69" s="36" t="str">
        <f>IF((ISERROR((AQ69/$H69)*100)), "", IF(AND(NOT(ISERROR((AQ69/$H69)*100)),((AQ69/$H69)*100) &lt;&gt; 0), (AQ69/$H69)*100, ""))</f>
        <v/>
      </c>
      <c r="AS69" s="33"/>
      <c r="AT69" s="36" t="str">
        <f>IF((ISERROR((AS69/$H69)*100)), "", IF(AND(NOT(ISERROR((AS69/$H69)*100)),((AS69/$H69)*100) &lt;&gt; 0), (AS69/$H69)*100, ""))</f>
        <v/>
      </c>
      <c r="AU69" s="33"/>
      <c r="AV69" s="36" t="str">
        <f>IF((ISERROR((AU69/$H69)*100)), "", IF(AND(NOT(ISERROR((AU69/$H69)*100)),((AU69/$H69)*100) &lt;&gt; 0), (AU69/$H69)*100, ""))</f>
        <v/>
      </c>
      <c r="AW69" s="76"/>
      <c r="AX69" s="36" t="str">
        <f>IF((ISERROR((AW69/$H69)*100)), "", IF(AND(NOT(ISERROR((AW69/$H69)*100)),((AW69/$H69)*100) &lt;&gt; 0), (AW69/$H69)*100, ""))</f>
        <v/>
      </c>
      <c r="AY69" s="76"/>
      <c r="AZ69" s="36" t="str">
        <f>IF((ISERROR((AY69/$H69)*100)), "", IF(AND(NOT(ISERROR((AY69/$H69)*100)),((AY69/$H69)*100) &lt;&gt; 0), (AY69/$H69)*100, ""))</f>
        <v/>
      </c>
      <c r="BA69" s="23" t="s">
        <v>346</v>
      </c>
    </row>
    <row r="70" spans="1:53" ht="20" customHeight="1" x14ac:dyDescent="0.2">
      <c r="A70" s="60"/>
      <c r="B70" s="83"/>
      <c r="C70" s="24" t="s">
        <v>85</v>
      </c>
      <c r="D70" s="23" t="s">
        <v>121</v>
      </c>
      <c r="E70" s="23" t="s">
        <v>122</v>
      </c>
      <c r="F70" s="24">
        <v>2002</v>
      </c>
      <c r="G70" s="24">
        <v>73</v>
      </c>
      <c r="H70" s="89">
        <v>49</v>
      </c>
      <c r="I70" s="85" t="s">
        <v>198</v>
      </c>
      <c r="J70" s="86"/>
      <c r="K70" s="33"/>
      <c r="L70" s="36" t="str">
        <f>IF((ISERROR((K70/$H70)*100)), "", IF(AND(NOT(ISERROR((K70/$H70)*100)),((K70/$H70)*100) &lt;&gt; 0), (K70/$H70)*100, ""))</f>
        <v/>
      </c>
      <c r="M70" s="33"/>
      <c r="N70" s="36" t="str">
        <f>IF((ISERROR((M70/$H70)*100)), "", IF(AND(NOT(ISERROR((M70/$H70)*100)),((M70/$H70)*100) &lt;&gt; 0), (M70/$H70)*100, ""))</f>
        <v/>
      </c>
      <c r="O70" s="33"/>
      <c r="P70" s="36" t="str">
        <f>IF((ISERROR((O70/$H70)*100)), "", IF(AND(NOT(ISERROR((O70/$H70)*100)),((O70/$H70)*100) &lt;&gt; 0), (O70/$H70)*100, ""))</f>
        <v/>
      </c>
      <c r="Q70" s="33"/>
      <c r="R70" s="36" t="str">
        <f>IF((ISERROR((Q70/$H70)*100)), "", IF(AND(NOT(ISERROR((Q70/$H70)*100)),((Q70/$H70)*100) &lt;&gt; 0), (Q70/$H70)*100, ""))</f>
        <v/>
      </c>
      <c r="S70" s="33"/>
      <c r="T70" s="36" t="str">
        <f>IF((ISERROR((S70/$H70)*100)), "", IF(AND(NOT(ISERROR((S70/$H70)*100)),((S70/$H70)*100) &lt;&gt; 0), (S70/$H70)*100, ""))</f>
        <v/>
      </c>
      <c r="U70" s="33"/>
      <c r="V70" s="36" t="str">
        <f>IF((ISERROR((U70/$H70)*100)), "", IF(AND(NOT(ISERROR((U70/$H70)*100)),((U70/$H70)*100) &lt;&gt; 0), (U70/$H70)*100, ""))</f>
        <v/>
      </c>
      <c r="W70" s="33"/>
      <c r="X70" s="36" t="str">
        <f>IF((ISERROR((W70/$H70)*100)), "", IF(AND(NOT(ISERROR((W70/$H70)*100)),((W70/$H70)*100) &lt;&gt; 0), (W70/$H70)*100, ""))</f>
        <v/>
      </c>
      <c r="Y70" s="33"/>
      <c r="Z70" s="36" t="str">
        <f>IF((ISERROR((Y70/$H70)*100)), "", IF(AND(NOT(ISERROR((Y70/$H70)*100)),((Y70/$H70)*100) &lt;&gt; 0), (Y70/$H70)*100, ""))</f>
        <v/>
      </c>
      <c r="AA70" s="33"/>
      <c r="AB70" s="36" t="str">
        <f>IF((ISERROR((AA70/$H70)*100)), "", IF(AND(NOT(ISERROR((AA70/$H70)*100)),((AA70/$H70)*100) &lt;&gt; 0), (AA70/$H70)*100, ""))</f>
        <v/>
      </c>
      <c r="AC70" s="33"/>
      <c r="AD70" s="36" t="str">
        <f>IF((ISERROR((AC70/$H70)*100)), "", IF(AND(NOT(ISERROR((AC70/$H70)*100)),((AC70/$H70)*100) &lt;&gt; 0), (AC70/$H70)*100, ""))</f>
        <v/>
      </c>
      <c r="AE70" s="33"/>
      <c r="AF70" s="36" t="str">
        <f>IF((ISERROR((AE70/$H70)*100)), "", IF(AND(NOT(ISERROR((AE70/$H70)*100)),((AE70/$H70)*100) &lt;&gt; 0), (AE70/$H70)*100, ""))</f>
        <v/>
      </c>
      <c r="AG70" s="33"/>
      <c r="AH70" s="36" t="str">
        <f>IF((ISERROR((AG70/$H70)*100)), "", IF(AND(NOT(ISERROR((AG70/$H70)*100)),((AG70/$H70)*100) &lt;&gt; 0), (AG70/$H70)*100, ""))</f>
        <v/>
      </c>
      <c r="AI70" s="33"/>
      <c r="AJ70" s="36" t="str">
        <f>IF((ISERROR((AI70/$H70)*100)), "", IF(AND(NOT(ISERROR((AI70/$H70)*100)),((AI70/$H70)*100) &lt;&gt; 0), (AI70/$H70)*100, ""))</f>
        <v/>
      </c>
      <c r="AK70" s="33"/>
      <c r="AL70" s="36" t="str">
        <f>IF((ISERROR((AK70/$H70)*100)), "", IF(AND(NOT(ISERROR((AK70/$H70)*100)),((AK70/$H70)*100) &lt;&gt; 0), (AK70/$H70)*100, ""))</f>
        <v/>
      </c>
      <c r="AM70" s="33"/>
      <c r="AN70" s="36" t="str">
        <f>IF((ISERROR((AM70/$H70)*100)), "", IF(AND(NOT(ISERROR((AM70/$H70)*100)),((AM70/$H70)*100) &lt;&gt; 0), (AM70/$H70)*100, ""))</f>
        <v/>
      </c>
      <c r="AO70" s="33"/>
      <c r="AP70" s="36" t="str">
        <f>IF((ISERROR((AO70/$H70)*100)), "", IF(AND(NOT(ISERROR((AO70/$H70)*100)),((AO70/$H70)*100) &lt;&gt; 0), (AO70/$H70)*100, ""))</f>
        <v/>
      </c>
      <c r="AQ70" s="33"/>
      <c r="AR70" s="36" t="str">
        <f>IF((ISERROR((AQ70/$H70)*100)), "", IF(AND(NOT(ISERROR((AQ70/$H70)*100)),((AQ70/$H70)*100) &lt;&gt; 0), (AQ70/$H70)*100, ""))</f>
        <v/>
      </c>
      <c r="AS70" s="33"/>
      <c r="AT70" s="36" t="str">
        <f>IF((ISERROR((AS70/$H70)*100)), "", IF(AND(NOT(ISERROR((AS70/$H70)*100)),((AS70/$H70)*100) &lt;&gt; 0), (AS70/$H70)*100, ""))</f>
        <v/>
      </c>
      <c r="AU70" s="33"/>
      <c r="AV70" s="36" t="str">
        <f>IF((ISERROR((AU70/$H70)*100)), "", IF(AND(NOT(ISERROR((AU70/$H70)*100)),((AU70/$H70)*100) &lt;&gt; 0), (AU70/$H70)*100, ""))</f>
        <v/>
      </c>
      <c r="AW70" s="76"/>
      <c r="AX70" s="36" t="str">
        <f>IF((ISERROR((AW70/$H70)*100)), "", IF(AND(NOT(ISERROR((AW70/$H70)*100)),((AW70/$H70)*100) &lt;&gt; 0), (AW70/$H70)*100, ""))</f>
        <v/>
      </c>
      <c r="AY70" s="76"/>
      <c r="AZ70" s="36" t="str">
        <f>IF((ISERROR((AY70/$H70)*100)), "", IF(AND(NOT(ISERROR((AY70/$H70)*100)),((AY70/$H70)*100) &lt;&gt; 0), (AY70/$H70)*100, ""))</f>
        <v/>
      </c>
      <c r="BA70" s="23" t="s">
        <v>181</v>
      </c>
    </row>
    <row r="71" spans="1:53" ht="20" customHeight="1" x14ac:dyDescent="0.2">
      <c r="A71" s="61"/>
      <c r="B71" s="24"/>
      <c r="C71" s="24" t="s">
        <v>85</v>
      </c>
      <c r="D71" s="23" t="s">
        <v>143</v>
      </c>
      <c r="E71" s="23" t="s">
        <v>144</v>
      </c>
      <c r="F71" s="24">
        <v>2008</v>
      </c>
      <c r="G71" s="24">
        <v>156</v>
      </c>
      <c r="H71" s="89">
        <v>50</v>
      </c>
      <c r="I71" s="85" t="s">
        <v>176</v>
      </c>
      <c r="J71" s="86"/>
      <c r="K71" s="33"/>
      <c r="L71" s="36" t="str">
        <f>IF((ISERROR((K71/$H71)*100)), "", IF(AND(NOT(ISERROR((K71/$H71)*100)),((K71/$H71)*100) &lt;&gt; 0), (K71/$H71)*100, ""))</f>
        <v/>
      </c>
      <c r="M71" s="33"/>
      <c r="N71" s="36" t="str">
        <f>IF((ISERROR((M71/$H71)*100)), "", IF(AND(NOT(ISERROR((M71/$H71)*100)),((M71/$H71)*100) &lt;&gt; 0), (M71/$H71)*100, ""))</f>
        <v/>
      </c>
      <c r="O71" s="33"/>
      <c r="P71" s="36" t="str">
        <f>IF((ISERROR((O71/$H71)*100)), "", IF(AND(NOT(ISERROR((O71/$H71)*100)),((O71/$H71)*100) &lt;&gt; 0), (O71/$H71)*100, ""))</f>
        <v/>
      </c>
      <c r="Q71" s="33"/>
      <c r="R71" s="36" t="str">
        <f>IF((ISERROR((Q71/$H71)*100)), "", IF(AND(NOT(ISERROR((Q71/$H71)*100)),((Q71/$H71)*100) &lt;&gt; 0), (Q71/$H71)*100, ""))</f>
        <v/>
      </c>
      <c r="S71" s="33"/>
      <c r="T71" s="36" t="str">
        <f>IF((ISERROR((S71/$H71)*100)), "", IF(AND(NOT(ISERROR((S71/$H71)*100)),((S71/$H71)*100) &lt;&gt; 0), (S71/$H71)*100, ""))</f>
        <v/>
      </c>
      <c r="U71" s="33"/>
      <c r="V71" s="36" t="str">
        <f>IF((ISERROR((U71/$H71)*100)), "", IF(AND(NOT(ISERROR((U71/$H71)*100)),((U71/$H71)*100) &lt;&gt; 0), (U71/$H71)*100, ""))</f>
        <v/>
      </c>
      <c r="W71" s="33"/>
      <c r="X71" s="36" t="str">
        <f>IF((ISERROR((W71/$H71)*100)), "", IF(AND(NOT(ISERROR((W71/$H71)*100)),((W71/$H71)*100) &lt;&gt; 0), (W71/$H71)*100, ""))</f>
        <v/>
      </c>
      <c r="Y71" s="33"/>
      <c r="Z71" s="36" t="str">
        <f>IF((ISERROR((Y71/$H71)*100)), "", IF(AND(NOT(ISERROR((Y71/$H71)*100)),((Y71/$H71)*100) &lt;&gt; 0), (Y71/$H71)*100, ""))</f>
        <v/>
      </c>
      <c r="AA71" s="33"/>
      <c r="AB71" s="36" t="str">
        <f>IF((ISERROR((AA71/$H71)*100)), "", IF(AND(NOT(ISERROR((AA71/$H71)*100)),((AA71/$H71)*100) &lt;&gt; 0), (AA71/$H71)*100, ""))</f>
        <v/>
      </c>
      <c r="AC71" s="33"/>
      <c r="AD71" s="36" t="str">
        <f>IF((ISERROR((AC71/$H71)*100)), "", IF(AND(NOT(ISERROR((AC71/$H71)*100)),((AC71/$H71)*100) &lt;&gt; 0), (AC71/$H71)*100, ""))</f>
        <v/>
      </c>
      <c r="AE71" s="33"/>
      <c r="AF71" s="36" t="str">
        <f>IF((ISERROR((AE71/$H71)*100)), "", IF(AND(NOT(ISERROR((AE71/$H71)*100)),((AE71/$H71)*100) &lt;&gt; 0), (AE71/$H71)*100, ""))</f>
        <v/>
      </c>
      <c r="AG71" s="33"/>
      <c r="AH71" s="36" t="str">
        <f>IF((ISERROR((AG71/$H71)*100)), "", IF(AND(NOT(ISERROR((AG71/$H71)*100)),((AG71/$H71)*100) &lt;&gt; 0), (AG71/$H71)*100, ""))</f>
        <v/>
      </c>
      <c r="AI71" s="33"/>
      <c r="AJ71" s="36" t="str">
        <f>IF((ISERROR((AI71/$H71)*100)), "", IF(AND(NOT(ISERROR((AI71/$H71)*100)),((AI71/$H71)*100) &lt;&gt; 0), (AI71/$H71)*100, ""))</f>
        <v/>
      </c>
      <c r="AK71" s="33"/>
      <c r="AL71" s="36" t="str">
        <f>IF((ISERROR((AK71/$H71)*100)), "", IF(AND(NOT(ISERROR((AK71/$H71)*100)),((AK71/$H71)*100) &lt;&gt; 0), (AK71/$H71)*100, ""))</f>
        <v/>
      </c>
      <c r="AM71" s="33"/>
      <c r="AN71" s="36" t="str">
        <f>IF((ISERROR((AM71/$H71)*100)), "", IF(AND(NOT(ISERROR((AM71/$H71)*100)),((AM71/$H71)*100) &lt;&gt; 0), (AM71/$H71)*100, ""))</f>
        <v/>
      </c>
      <c r="AO71" s="33"/>
      <c r="AP71" s="36" t="str">
        <f>IF((ISERROR((AO71/$H71)*100)), "", IF(AND(NOT(ISERROR((AO71/$H71)*100)),((AO71/$H71)*100) &lt;&gt; 0), (AO71/$H71)*100, ""))</f>
        <v/>
      </c>
      <c r="AQ71" s="33"/>
      <c r="AR71" s="36" t="str">
        <f>IF((ISERROR((AQ71/$H71)*100)), "", IF(AND(NOT(ISERROR((AQ71/$H71)*100)),((AQ71/$H71)*100) &lt;&gt; 0), (AQ71/$H71)*100, ""))</f>
        <v/>
      </c>
      <c r="AS71" s="33"/>
      <c r="AT71" s="36" t="str">
        <f>IF((ISERROR((AS71/$H71)*100)), "", IF(AND(NOT(ISERROR((AS71/$H71)*100)),((AS71/$H71)*100) &lt;&gt; 0), (AS71/$H71)*100, ""))</f>
        <v/>
      </c>
      <c r="AU71" s="33"/>
      <c r="AV71" s="36" t="str">
        <f>IF((ISERROR((AU71/$H71)*100)), "", IF(AND(NOT(ISERROR((AU71/$H71)*100)),((AU71/$H71)*100) &lt;&gt; 0), (AU71/$H71)*100, ""))</f>
        <v/>
      </c>
      <c r="AW71" s="76"/>
      <c r="AX71" s="36" t="str">
        <f>IF((ISERROR((AW71/$H71)*100)), "", IF(AND(NOT(ISERROR((AW71/$H71)*100)),((AW71/$H71)*100) &lt;&gt; 0), (AW71/$H71)*100, ""))</f>
        <v/>
      </c>
      <c r="AY71" s="76"/>
      <c r="AZ71" s="36" t="str">
        <f>IF((ISERROR((AY71/$H71)*100)), "", IF(AND(NOT(ISERROR((AY71/$H71)*100)),((AY71/$H71)*100) &lt;&gt; 0), (AY71/$H71)*100, ""))</f>
        <v/>
      </c>
      <c r="BA71" s="23" t="s">
        <v>229</v>
      </c>
    </row>
    <row r="72" spans="1:53" ht="20" customHeight="1" x14ac:dyDescent="0.2">
      <c r="A72" s="60"/>
      <c r="B72" s="82"/>
      <c r="C72" s="24" t="s">
        <v>85</v>
      </c>
      <c r="D72" s="23" t="s">
        <v>137</v>
      </c>
      <c r="E72" s="23" t="s">
        <v>138</v>
      </c>
      <c r="F72" s="24">
        <v>2011</v>
      </c>
      <c r="G72" s="24">
        <v>42</v>
      </c>
      <c r="H72" s="89">
        <v>51</v>
      </c>
      <c r="I72" s="85" t="s">
        <v>223</v>
      </c>
      <c r="J72" s="86" t="s">
        <v>224</v>
      </c>
      <c r="K72" s="38">
        <v>21</v>
      </c>
      <c r="L72" s="39">
        <f>IF((ISERROR((K72/$H72)*100)), "", IF(AND(NOT(ISERROR((K72/$H72)*100)),((K72/$H72)*100) &lt;&gt; 0), (K72/$H72)*100, ""))</f>
        <v>41.17647058823529</v>
      </c>
      <c r="M72" s="33"/>
      <c r="N72" s="36" t="str">
        <f>IF((ISERROR((M72/$H72)*100)), "", IF(AND(NOT(ISERROR((M72/$H72)*100)),((M72/$H72)*100) &lt;&gt; 0), (M72/$H72)*100, ""))</f>
        <v/>
      </c>
      <c r="O72" s="38">
        <v>1</v>
      </c>
      <c r="P72" s="39">
        <f>IF((ISERROR((O72/$H72)*100)), "", IF(AND(NOT(ISERROR((O72/$H72)*100)),((O72/$H72)*100) &lt;&gt; 0), (O72/$H72)*100, ""))</f>
        <v>1.9607843137254901</v>
      </c>
      <c r="Q72" s="33"/>
      <c r="R72" s="36" t="str">
        <f>IF((ISERROR((Q72/$H72)*100)), "", IF(AND(NOT(ISERROR((Q72/$H72)*100)),((Q72/$H72)*100) &lt;&gt; 0), (Q72/$H72)*100, ""))</f>
        <v/>
      </c>
      <c r="S72" s="33"/>
      <c r="T72" s="36" t="str">
        <f>IF((ISERROR((S72/$H72)*100)), "", IF(AND(NOT(ISERROR((S72/$H72)*100)),((S72/$H72)*100) &lt;&gt; 0), (S72/$H72)*100, ""))</f>
        <v/>
      </c>
      <c r="U72" s="33"/>
      <c r="V72" s="36" t="str">
        <f>IF((ISERROR((U72/$H72)*100)), "", IF(AND(NOT(ISERROR((U72/$H72)*100)),((U72/$H72)*100) &lt;&gt; 0), (U72/$H72)*100, ""))</f>
        <v/>
      </c>
      <c r="W72" s="33"/>
      <c r="X72" s="36" t="str">
        <f>IF((ISERROR((W72/$H72)*100)), "", IF(AND(NOT(ISERROR((W72/$H72)*100)),((W72/$H72)*100) &lt;&gt; 0), (W72/$H72)*100, ""))</f>
        <v/>
      </c>
      <c r="Y72" s="33"/>
      <c r="Z72" s="36" t="str">
        <f>IF((ISERROR((Y72/$H72)*100)), "", IF(AND(NOT(ISERROR((Y72/$H72)*100)),((Y72/$H72)*100) &lt;&gt; 0), (Y72/$H72)*100, ""))</f>
        <v/>
      </c>
      <c r="AA72" s="33"/>
      <c r="AB72" s="36" t="str">
        <f>IF((ISERROR((AA72/$H72)*100)), "", IF(AND(NOT(ISERROR((AA72/$H72)*100)),((AA72/$H72)*100) &lt;&gt; 0), (AA72/$H72)*100, ""))</f>
        <v/>
      </c>
      <c r="AC72" s="33"/>
      <c r="AD72" s="36" t="str">
        <f>IF((ISERROR((AC72/$H72)*100)), "", IF(AND(NOT(ISERROR((AC72/$H72)*100)),((AC72/$H72)*100) &lt;&gt; 0), (AC72/$H72)*100, ""))</f>
        <v/>
      </c>
      <c r="AE72" s="33"/>
      <c r="AF72" s="36" t="str">
        <f>IF((ISERROR((AE72/$H72)*100)), "", IF(AND(NOT(ISERROR((AE72/$H72)*100)),((AE72/$H72)*100) &lt;&gt; 0), (AE72/$H72)*100, ""))</f>
        <v/>
      </c>
      <c r="AG72" s="33"/>
      <c r="AH72" s="36" t="str">
        <f>IF((ISERROR((AG72/$H72)*100)), "", IF(AND(NOT(ISERROR((AG72/$H72)*100)),((AG72/$H72)*100) &lt;&gt; 0), (AG72/$H72)*100, ""))</f>
        <v/>
      </c>
      <c r="AI72" s="33"/>
      <c r="AJ72" s="36" t="str">
        <f>IF((ISERROR((AI72/$H72)*100)), "", IF(AND(NOT(ISERROR((AI72/$H72)*100)),((AI72/$H72)*100) &lt;&gt; 0), (AI72/$H72)*100, ""))</f>
        <v/>
      </c>
      <c r="AK72" s="33"/>
      <c r="AL72" s="36" t="str">
        <f>IF((ISERROR((AK72/$H72)*100)), "", IF(AND(NOT(ISERROR((AK72/$H72)*100)),((AK72/$H72)*100) &lt;&gt; 0), (AK72/$H72)*100, ""))</f>
        <v/>
      </c>
      <c r="AM72" s="33"/>
      <c r="AN72" s="36" t="str">
        <f>IF((ISERROR((AM72/$H72)*100)), "", IF(AND(NOT(ISERROR((AM72/$H72)*100)),((AM72/$H72)*100) &lt;&gt; 0), (AM72/$H72)*100, ""))</f>
        <v/>
      </c>
      <c r="AO72" s="33"/>
      <c r="AP72" s="36" t="str">
        <f>IF((ISERROR((AO72/$H72)*100)), "", IF(AND(NOT(ISERROR((AO72/$H72)*100)),((AO72/$H72)*100) &lt;&gt; 0), (AO72/$H72)*100, ""))</f>
        <v/>
      </c>
      <c r="AQ72" s="33"/>
      <c r="AR72" s="36" t="str">
        <f>IF((ISERROR((AQ72/$H72)*100)), "", IF(AND(NOT(ISERROR((AQ72/$H72)*100)),((AQ72/$H72)*100) &lt;&gt; 0), (AQ72/$H72)*100, ""))</f>
        <v/>
      </c>
      <c r="AS72" s="33"/>
      <c r="AT72" s="36" t="str">
        <f>IF((ISERROR((AS72/$H72)*100)), "", IF(AND(NOT(ISERROR((AS72/$H72)*100)),((AS72/$H72)*100) &lt;&gt; 0), (AS72/$H72)*100, ""))</f>
        <v/>
      </c>
      <c r="AU72" s="38" t="s">
        <v>225</v>
      </c>
      <c r="AV72" s="39" t="str">
        <f>IF((ISERROR((AU72/$H72)*100)), "", IF(AND(NOT(ISERROR((AU72/$H72)*100)),((AU72/$H72)*100) &lt;&gt; 0), (AU72/$H72)*100, ""))</f>
        <v/>
      </c>
      <c r="AW72" s="40">
        <v>4</v>
      </c>
      <c r="AX72" s="39">
        <f>IF((ISERROR((AW72/$H72)*100)), "", IF(AND(NOT(ISERROR((AW72/$H72)*100)),((AW72/$H72)*100) &lt;&gt; 0), (AW72/$H72)*100, ""))</f>
        <v>7.8431372549019605</v>
      </c>
      <c r="AY72" s="76"/>
      <c r="AZ72" s="36" t="str">
        <f>IF((ISERROR((AY72/$H72)*100)), "", IF(AND(NOT(ISERROR((AY72/$H72)*100)),((AY72/$H72)*100) &lt;&gt; 0), (AY72/$H72)*100, ""))</f>
        <v/>
      </c>
      <c r="BA72" s="23" t="s">
        <v>394</v>
      </c>
    </row>
    <row r="73" spans="1:53" ht="20" customHeight="1" x14ac:dyDescent="0.2">
      <c r="A73" s="60"/>
      <c r="B73" s="82"/>
      <c r="C73" s="24" t="s">
        <v>85</v>
      </c>
      <c r="D73" s="23" t="s">
        <v>315</v>
      </c>
      <c r="E73" s="23" t="s">
        <v>316</v>
      </c>
      <c r="F73" s="24">
        <v>2010</v>
      </c>
      <c r="H73" s="89">
        <v>53</v>
      </c>
      <c r="I73" s="111" t="s">
        <v>371</v>
      </c>
      <c r="J73" s="86" t="s">
        <v>410</v>
      </c>
      <c r="K73" s="33">
        <v>2</v>
      </c>
      <c r="L73" s="36">
        <f>IF((ISERROR((K73/$H73)*100)), "", IF(AND(NOT(ISERROR((K73/$H73)*100)),((K73/$H73)*100) &lt;&gt; 0), (K73/$H73)*100, ""))</f>
        <v>3.7735849056603774</v>
      </c>
      <c r="M73" s="33"/>
      <c r="N73" s="36" t="str">
        <f>IF((ISERROR((M73/$H73)*100)), "", IF(AND(NOT(ISERROR((M73/$H73)*100)),((M73/$H73)*100) &lt;&gt; 0), (M73/$H73)*100, ""))</f>
        <v/>
      </c>
      <c r="O73" s="33">
        <v>2</v>
      </c>
      <c r="P73" s="36">
        <f>IF((ISERROR((O73/$H73)*100)), "", IF(AND(NOT(ISERROR((O73/$H73)*100)),((O73/$H73)*100) &lt;&gt; 0), (O73/$H73)*100, ""))</f>
        <v>3.7735849056603774</v>
      </c>
      <c r="Q73" s="33">
        <v>9</v>
      </c>
      <c r="R73" s="36">
        <f>IF((ISERROR((Q73/$H73)*100)), "", IF(AND(NOT(ISERROR((Q73/$H73)*100)),((Q73/$H73)*100) &lt;&gt; 0), (Q73/$H73)*100, ""))</f>
        <v>16.981132075471699</v>
      </c>
      <c r="S73" s="33"/>
      <c r="T73" s="36" t="str">
        <f>IF((ISERROR((S73/$H73)*100)), "", IF(AND(NOT(ISERROR((S73/$H73)*100)),((S73/$H73)*100) &lt;&gt; 0), (S73/$H73)*100, ""))</f>
        <v/>
      </c>
      <c r="U73" s="33">
        <v>15</v>
      </c>
      <c r="V73" s="36">
        <f>IF((ISERROR((U73/$H73)*100)), "", IF(AND(NOT(ISERROR((U73/$H73)*100)),((U73/$H73)*100) &lt;&gt; 0), (U73/$H73)*100, ""))</f>
        <v>28.30188679245283</v>
      </c>
      <c r="W73" s="33"/>
      <c r="X73" s="36" t="str">
        <f>IF((ISERROR((W73/$H73)*100)), "", IF(AND(NOT(ISERROR((W73/$H73)*100)),((W73/$H73)*100) &lt;&gt; 0), (W73/$H73)*100, ""))</f>
        <v/>
      </c>
      <c r="Y73" s="33"/>
      <c r="Z73" s="36" t="str">
        <f>IF((ISERROR((Y73/$H73)*100)), "", IF(AND(NOT(ISERROR((Y73/$H73)*100)),((Y73/$H73)*100) &lt;&gt; 0), (Y73/$H73)*100, ""))</f>
        <v/>
      </c>
      <c r="AA73" s="33"/>
      <c r="AB73" s="36" t="str">
        <f>IF((ISERROR((AA73/$H73)*100)), "", IF(AND(NOT(ISERROR((AA73/$H73)*100)),((AA73/$H73)*100) &lt;&gt; 0), (AA73/$H73)*100, ""))</f>
        <v/>
      </c>
      <c r="AC73" s="33"/>
      <c r="AD73" s="36" t="str">
        <f>IF((ISERROR((AC73/$H73)*100)), "", IF(AND(NOT(ISERROR((AC73/$H73)*100)),((AC73/$H73)*100) &lt;&gt; 0), (AC73/$H73)*100, ""))</f>
        <v/>
      </c>
      <c r="AE73" s="33"/>
      <c r="AF73" s="36" t="str">
        <f>IF((ISERROR((AE73/$H73)*100)), "", IF(AND(NOT(ISERROR((AE73/$H73)*100)),((AE73/$H73)*100) &lt;&gt; 0), (AE73/$H73)*100, ""))</f>
        <v/>
      </c>
      <c r="AG73" s="33"/>
      <c r="AH73" s="36" t="str">
        <f>IF((ISERROR((AG73/$H73)*100)), "", IF(AND(NOT(ISERROR((AG73/$H73)*100)),((AG73/$H73)*100) &lt;&gt; 0), (AG73/$H73)*100, ""))</f>
        <v/>
      </c>
      <c r="AI73" s="33"/>
      <c r="AJ73" s="36" t="str">
        <f>IF((ISERROR((AI73/$H73)*100)), "", IF(AND(NOT(ISERROR((AI73/$H73)*100)),((AI73/$H73)*100) &lt;&gt; 0), (AI73/$H73)*100, ""))</f>
        <v/>
      </c>
      <c r="AK73" s="33">
        <v>3</v>
      </c>
      <c r="AL73" s="36">
        <f>IF((ISERROR((AK73/$H73)*100)), "", IF(AND(NOT(ISERROR((AK73/$H73)*100)),((AK73/$H73)*100) &lt;&gt; 0), (AK73/$H73)*100, ""))</f>
        <v>5.6603773584905666</v>
      </c>
      <c r="AM73" s="33"/>
      <c r="AN73" s="36" t="str">
        <f>IF((ISERROR((AM73/$H73)*100)), "", IF(AND(NOT(ISERROR((AM73/$H73)*100)),((AM73/$H73)*100) &lt;&gt; 0), (AM73/$H73)*100, ""))</f>
        <v/>
      </c>
      <c r="AO73" s="33"/>
      <c r="AP73" s="36" t="str">
        <f>IF((ISERROR((AO73/$H73)*100)), "", IF(AND(NOT(ISERROR((AO73/$H73)*100)),((AO73/$H73)*100) &lt;&gt; 0), (AO73/$H73)*100, ""))</f>
        <v/>
      </c>
      <c r="AQ73" s="33"/>
      <c r="AR73" s="36" t="str">
        <f>IF((ISERROR((AQ73/$H73)*100)), "", IF(AND(NOT(ISERROR((AQ73/$H73)*100)),((AQ73/$H73)*100) &lt;&gt; 0), (AQ73/$H73)*100, ""))</f>
        <v/>
      </c>
      <c r="AS73" s="33"/>
      <c r="AT73" s="36" t="str">
        <f>IF((ISERROR((AS73/$H73)*100)), "", IF(AND(NOT(ISERROR((AS73/$H73)*100)),((AS73/$H73)*100) &lt;&gt; 0), (AS73/$H73)*100, ""))</f>
        <v/>
      </c>
      <c r="AU73" s="33"/>
      <c r="AV73" s="36" t="str">
        <f>IF((ISERROR((AU73/$H73)*100)), "", IF(AND(NOT(ISERROR((AU73/$H73)*100)),((AU73/$H73)*100) &lt;&gt; 0), (AU73/$H73)*100, ""))</f>
        <v/>
      </c>
      <c r="AW73" s="31">
        <v>15</v>
      </c>
      <c r="AX73" s="36">
        <f>IF((ISERROR((AW73/$H73)*100)), "", IF(AND(NOT(ISERROR((AW73/$H73)*100)),((AW73/$H73)*100) &lt;&gt; 0), (AW73/$H73)*100, ""))</f>
        <v>28.30188679245283</v>
      </c>
      <c r="AY73" s="59"/>
      <c r="AZ73" s="36" t="str">
        <f>IF((ISERROR((AY73/$H73)*100)), "", IF(AND(NOT(ISERROR((AY73/$H73)*100)),((AY73/$H73)*100) &lt;&gt; 0), (AY73/$H73)*100, ""))</f>
        <v/>
      </c>
      <c r="BA73" s="23" t="s">
        <v>372</v>
      </c>
    </row>
    <row r="74" spans="1:53" ht="20" customHeight="1" x14ac:dyDescent="0.2">
      <c r="A74" s="61"/>
      <c r="B74" s="84"/>
      <c r="C74" s="24" t="s">
        <v>85</v>
      </c>
      <c r="D74" s="23" t="s">
        <v>45</v>
      </c>
      <c r="E74" s="23" t="s">
        <v>46</v>
      </c>
      <c r="F74" s="24">
        <v>1998</v>
      </c>
      <c r="G74" s="24">
        <v>96</v>
      </c>
      <c r="H74" s="89">
        <v>61</v>
      </c>
      <c r="I74" s="85" t="s">
        <v>176</v>
      </c>
      <c r="J74" s="86" t="s">
        <v>188</v>
      </c>
      <c r="K74" s="33"/>
      <c r="L74" s="36" t="str">
        <f>IF((ISERROR((K74/$H74)*100)), "", IF(AND(NOT(ISERROR((K74/$H74)*100)),((K74/$H74)*100) &lt;&gt; 0), (K74/$H74)*100, ""))</f>
        <v/>
      </c>
      <c r="M74" s="33"/>
      <c r="N74" s="36" t="str">
        <f>IF((ISERROR((M74/$H74)*100)), "", IF(AND(NOT(ISERROR((M74/$H74)*100)),((M74/$H74)*100) &lt;&gt; 0), (M74/$H74)*100, ""))</f>
        <v/>
      </c>
      <c r="O74" s="33"/>
      <c r="P74" s="36" t="str">
        <f>IF((ISERROR((O74/$H74)*100)), "", IF(AND(NOT(ISERROR((O74/$H74)*100)),((O74/$H74)*100) &lt;&gt; 0), (O74/$H74)*100, ""))</f>
        <v/>
      </c>
      <c r="Q74" s="33"/>
      <c r="R74" s="36" t="str">
        <f>IF((ISERROR((Q74/$H74)*100)), "", IF(AND(NOT(ISERROR((Q74/$H74)*100)),((Q74/$H74)*100) &lt;&gt; 0), (Q74/$H74)*100, ""))</f>
        <v/>
      </c>
      <c r="S74" s="33"/>
      <c r="T74" s="36" t="str">
        <f>IF((ISERROR((S74/$H74)*100)), "", IF(AND(NOT(ISERROR((S74/$H74)*100)),((S74/$H74)*100) &lt;&gt; 0), (S74/$H74)*100, ""))</f>
        <v/>
      </c>
      <c r="U74" s="33"/>
      <c r="V74" s="36" t="str">
        <f>IF((ISERROR((U74/$H74)*100)), "", IF(AND(NOT(ISERROR((U74/$H74)*100)),((U74/$H74)*100) &lt;&gt; 0), (U74/$H74)*100, ""))</f>
        <v/>
      </c>
      <c r="W74" s="33"/>
      <c r="X74" s="36" t="str">
        <f>IF((ISERROR((W74/$H74)*100)), "", IF(AND(NOT(ISERROR((W74/$H74)*100)),((W74/$H74)*100) &lt;&gt; 0), (W74/$H74)*100, ""))</f>
        <v/>
      </c>
      <c r="Y74" s="33"/>
      <c r="Z74" s="36" t="str">
        <f>IF((ISERROR((Y74/$H74)*100)), "", IF(AND(NOT(ISERROR((Y74/$H74)*100)),((Y74/$H74)*100) &lt;&gt; 0), (Y74/$H74)*100, ""))</f>
        <v/>
      </c>
      <c r="AA74" s="33"/>
      <c r="AB74" s="36" t="str">
        <f>IF((ISERROR((AA74/$H74)*100)), "", IF(AND(NOT(ISERROR((AA74/$H74)*100)),((AA74/$H74)*100) &lt;&gt; 0), (AA74/$H74)*100, ""))</f>
        <v/>
      </c>
      <c r="AC74" s="33"/>
      <c r="AD74" s="36" t="str">
        <f>IF((ISERROR((AC74/$H74)*100)), "", IF(AND(NOT(ISERROR((AC74/$H74)*100)),((AC74/$H74)*100) &lt;&gt; 0), (AC74/$H74)*100, ""))</f>
        <v/>
      </c>
      <c r="AE74" s="33"/>
      <c r="AF74" s="36" t="str">
        <f>IF((ISERROR((AE74/$H74)*100)), "", IF(AND(NOT(ISERROR((AE74/$H74)*100)),((AE74/$H74)*100) &lt;&gt; 0), (AE74/$H74)*100, ""))</f>
        <v/>
      </c>
      <c r="AG74" s="33"/>
      <c r="AH74" s="36" t="str">
        <f>IF((ISERROR((AG74/$H74)*100)), "", IF(AND(NOT(ISERROR((AG74/$H74)*100)),((AG74/$H74)*100) &lt;&gt; 0), (AG74/$H74)*100, ""))</f>
        <v/>
      </c>
      <c r="AI74" s="33"/>
      <c r="AJ74" s="36" t="str">
        <f>IF((ISERROR((AI74/$H74)*100)), "", IF(AND(NOT(ISERROR((AI74/$H74)*100)),((AI74/$H74)*100) &lt;&gt; 0), (AI74/$H74)*100, ""))</f>
        <v/>
      </c>
      <c r="AK74" s="33"/>
      <c r="AL74" s="36" t="str">
        <f>IF((ISERROR((AK74/$H74)*100)), "", IF(AND(NOT(ISERROR((AK74/$H74)*100)),((AK74/$H74)*100) &lt;&gt; 0), (AK74/$H74)*100, ""))</f>
        <v/>
      </c>
      <c r="AM74" s="33"/>
      <c r="AN74" s="36" t="str">
        <f>IF((ISERROR((AM74/$H74)*100)), "", IF(AND(NOT(ISERROR((AM74/$H74)*100)),((AM74/$H74)*100) &lt;&gt; 0), (AM74/$H74)*100, ""))</f>
        <v/>
      </c>
      <c r="AO74" s="33"/>
      <c r="AP74" s="36" t="str">
        <f>IF((ISERROR((AO74/$H74)*100)), "", IF(AND(NOT(ISERROR((AO74/$H74)*100)),((AO74/$H74)*100) &lt;&gt; 0), (AO74/$H74)*100, ""))</f>
        <v/>
      </c>
      <c r="AQ74" s="33"/>
      <c r="AR74" s="36" t="str">
        <f>IF((ISERROR((AQ74/$H74)*100)), "", IF(AND(NOT(ISERROR((AQ74/$H74)*100)),((AQ74/$H74)*100) &lt;&gt; 0), (AQ74/$H74)*100, ""))</f>
        <v/>
      </c>
      <c r="AS74" s="33"/>
      <c r="AT74" s="36" t="str">
        <f>IF((ISERROR((AS74/$H74)*100)), "", IF(AND(NOT(ISERROR((AS74/$H74)*100)),((AS74/$H74)*100) &lt;&gt; 0), (AS74/$H74)*100, ""))</f>
        <v/>
      </c>
      <c r="AU74" s="33"/>
      <c r="AV74" s="36" t="str">
        <f>IF((ISERROR((AU74/$H74)*100)), "", IF(AND(NOT(ISERROR((AU74/$H74)*100)),((AU74/$H74)*100) &lt;&gt; 0), (AU74/$H74)*100, ""))</f>
        <v/>
      </c>
      <c r="AW74" s="30"/>
      <c r="AX74" s="36" t="str">
        <f>IF((ISERROR((AW74/$H74)*100)), "", IF(AND(NOT(ISERROR((AW74/$H74)*100)),((AW74/$H74)*100) &lt;&gt; 0), (AW74/$H74)*100, ""))</f>
        <v/>
      </c>
      <c r="AY74" s="59"/>
      <c r="AZ74" s="36" t="str">
        <f>IF((ISERROR((AY74/$H74)*100)), "", IF(AND(NOT(ISERROR((AY74/$H74)*100)),((AY74/$H74)*100) &lt;&gt; 0), (AY74/$H74)*100, ""))</f>
        <v/>
      </c>
      <c r="BA74" s="23" t="s">
        <v>177</v>
      </c>
    </row>
    <row r="75" spans="1:53" ht="20" customHeight="1" x14ac:dyDescent="0.2">
      <c r="A75" s="60"/>
      <c r="B75" s="83"/>
      <c r="C75" s="24" t="s">
        <v>85</v>
      </c>
      <c r="D75" s="23" t="s">
        <v>303</v>
      </c>
      <c r="E75" s="23" t="s">
        <v>304</v>
      </c>
      <c r="F75" s="24">
        <v>2009</v>
      </c>
      <c r="H75" s="89">
        <v>68</v>
      </c>
      <c r="I75" s="85" t="s">
        <v>214</v>
      </c>
      <c r="J75" s="86" t="s">
        <v>365</v>
      </c>
      <c r="K75" s="33"/>
      <c r="L75" s="36" t="str">
        <f>IF((ISERROR((K75/$H75)*100)), "", IF(AND(NOT(ISERROR((K75/$H75)*100)),((K75/$H75)*100) &lt;&gt; 0), (K75/$H75)*100, ""))</f>
        <v/>
      </c>
      <c r="M75" s="33"/>
      <c r="N75" s="36" t="str">
        <f>IF((ISERROR((M75/$H75)*100)), "", IF(AND(NOT(ISERROR((M75/$H75)*100)),((M75/$H75)*100) &lt;&gt; 0), (M75/$H75)*100, ""))</f>
        <v/>
      </c>
      <c r="O75" s="33"/>
      <c r="P75" s="36" t="str">
        <f>IF((ISERROR((O75/$H75)*100)), "", IF(AND(NOT(ISERROR((O75/$H75)*100)),((O75/$H75)*100) &lt;&gt; 0), (O75/$H75)*100, ""))</f>
        <v/>
      </c>
      <c r="Q75" s="33"/>
      <c r="R75" s="36" t="str">
        <f>IF((ISERROR((Q75/$H75)*100)), "", IF(AND(NOT(ISERROR((Q75/$H75)*100)),((Q75/$H75)*100) &lt;&gt; 0), (Q75/$H75)*100, ""))</f>
        <v/>
      </c>
      <c r="S75" s="33"/>
      <c r="T75" s="36" t="str">
        <f>IF((ISERROR((S75/$H75)*100)), "", IF(AND(NOT(ISERROR((S75/$H75)*100)),((S75/$H75)*100) &lt;&gt; 0), (S75/$H75)*100, ""))</f>
        <v/>
      </c>
      <c r="U75" s="33"/>
      <c r="V75" s="36" t="str">
        <f>IF((ISERROR((U75/$H75)*100)), "", IF(AND(NOT(ISERROR((U75/$H75)*100)),((U75/$H75)*100) &lt;&gt; 0), (U75/$H75)*100, ""))</f>
        <v/>
      </c>
      <c r="W75" s="33"/>
      <c r="X75" s="36" t="str">
        <f>IF((ISERROR((W75/$H75)*100)), "", IF(AND(NOT(ISERROR((W75/$H75)*100)),((W75/$H75)*100) &lt;&gt; 0), (W75/$H75)*100, ""))</f>
        <v/>
      </c>
      <c r="Y75" s="33"/>
      <c r="Z75" s="36" t="str">
        <f>IF((ISERROR((Y75/$H75)*100)), "", IF(AND(NOT(ISERROR((Y75/$H75)*100)),((Y75/$H75)*100) &lt;&gt; 0), (Y75/$H75)*100, ""))</f>
        <v/>
      </c>
      <c r="AA75" s="33"/>
      <c r="AB75" s="36" t="str">
        <f>IF((ISERROR((AA75/$H75)*100)), "", IF(AND(NOT(ISERROR((AA75/$H75)*100)),((AA75/$H75)*100) &lt;&gt; 0), (AA75/$H75)*100, ""))</f>
        <v/>
      </c>
      <c r="AC75" s="33"/>
      <c r="AD75" s="36" t="str">
        <f>IF((ISERROR((AC75/$H75)*100)), "", IF(AND(NOT(ISERROR((AC75/$H75)*100)),((AC75/$H75)*100) &lt;&gt; 0), (AC75/$H75)*100, ""))</f>
        <v/>
      </c>
      <c r="AE75" s="33"/>
      <c r="AF75" s="36" t="str">
        <f>IF((ISERROR((AE75/$H75)*100)), "", IF(AND(NOT(ISERROR((AE75/$H75)*100)),((AE75/$H75)*100) &lt;&gt; 0), (AE75/$H75)*100, ""))</f>
        <v/>
      </c>
      <c r="AG75" s="33"/>
      <c r="AH75" s="36" t="str">
        <f>IF((ISERROR((AG75/$H75)*100)), "", IF(AND(NOT(ISERROR((AG75/$H75)*100)),((AG75/$H75)*100) &lt;&gt; 0), (AG75/$H75)*100, ""))</f>
        <v/>
      </c>
      <c r="AI75" s="33"/>
      <c r="AJ75" s="36" t="str">
        <f>IF((ISERROR((AI75/$H75)*100)), "", IF(AND(NOT(ISERROR((AI75/$H75)*100)),((AI75/$H75)*100) &lt;&gt; 0), (AI75/$H75)*100, ""))</f>
        <v/>
      </c>
      <c r="AK75" s="33"/>
      <c r="AL75" s="36" t="str">
        <f>IF((ISERROR((AK75/$H75)*100)), "", IF(AND(NOT(ISERROR((AK75/$H75)*100)),((AK75/$H75)*100) &lt;&gt; 0), (AK75/$H75)*100, ""))</f>
        <v/>
      </c>
      <c r="AM75" s="33"/>
      <c r="AN75" s="36" t="str">
        <f>IF((ISERROR((AM75/$H75)*100)), "", IF(AND(NOT(ISERROR((AM75/$H75)*100)),((AM75/$H75)*100) &lt;&gt; 0), (AM75/$H75)*100, ""))</f>
        <v/>
      </c>
      <c r="AO75" s="33"/>
      <c r="AP75" s="36" t="str">
        <f>IF((ISERROR((AO75/$H75)*100)), "", IF(AND(NOT(ISERROR((AO75/$H75)*100)),((AO75/$H75)*100) &lt;&gt; 0), (AO75/$H75)*100, ""))</f>
        <v/>
      </c>
      <c r="AQ75" s="33"/>
      <c r="AR75" s="36" t="str">
        <f>IF((ISERROR((AQ75/$H75)*100)), "", IF(AND(NOT(ISERROR((AQ75/$H75)*100)),((AQ75/$H75)*100) &lt;&gt; 0), (AQ75/$H75)*100, ""))</f>
        <v/>
      </c>
      <c r="AS75" s="33"/>
      <c r="AT75" s="36" t="str">
        <f>IF((ISERROR((AS75/$H75)*100)), "", IF(AND(NOT(ISERROR((AS75/$H75)*100)),((AS75/$H75)*100) &lt;&gt; 0), (AS75/$H75)*100, ""))</f>
        <v/>
      </c>
      <c r="AU75" s="33"/>
      <c r="AV75" s="36" t="str">
        <f>IF((ISERROR((AU75/$H75)*100)), "", IF(AND(NOT(ISERROR((AU75/$H75)*100)),((AU75/$H75)*100) &lt;&gt; 0), (AU75/$H75)*100, ""))</f>
        <v/>
      </c>
      <c r="AW75" s="30"/>
      <c r="AX75" s="36"/>
      <c r="AY75" s="59"/>
      <c r="AZ75" s="36" t="str">
        <f>IF((ISERROR((AY75/$H75)*100)), "", IF(AND(NOT(ISERROR((AY75/$H75)*100)),((AY75/$H75)*100) &lt;&gt; 0), (AY75/$H75)*100, ""))</f>
        <v/>
      </c>
      <c r="BA75" s="23" t="s">
        <v>419</v>
      </c>
    </row>
    <row r="76" spans="1:53" ht="20" customHeight="1" x14ac:dyDescent="0.2">
      <c r="A76" s="60"/>
      <c r="B76" s="82"/>
      <c r="C76" s="24" t="s">
        <v>85</v>
      </c>
      <c r="D76" s="23" t="s">
        <v>63</v>
      </c>
      <c r="E76" s="23" t="s">
        <v>64</v>
      </c>
      <c r="F76" s="24">
        <v>2012</v>
      </c>
      <c r="G76" s="24">
        <v>83</v>
      </c>
      <c r="H76" s="89">
        <v>70</v>
      </c>
      <c r="I76" s="85" t="s">
        <v>182</v>
      </c>
      <c r="J76" s="86" t="s">
        <v>191</v>
      </c>
      <c r="K76" s="33">
        <v>10</v>
      </c>
      <c r="L76" s="36">
        <f>IF((ISERROR((K76/$H76)*100)), "", IF(AND(NOT(ISERROR((K76/$H76)*100)),((K76/$H76)*100) &lt;&gt; 0), (K76/$H76)*100, ""))</f>
        <v>14.285714285714285</v>
      </c>
      <c r="M76" s="33"/>
      <c r="N76" s="36" t="str">
        <f>IF((ISERROR((M76/$H76)*100)), "", IF(AND(NOT(ISERROR((M76/$H76)*100)),((M76/$H76)*100) &lt;&gt; 0), (M76/$H76)*100, ""))</f>
        <v/>
      </c>
      <c r="O76" s="33">
        <v>3</v>
      </c>
      <c r="P76" s="36">
        <f>IF((ISERROR((O76/$H76)*100)), "", IF(AND(NOT(ISERROR((O76/$H76)*100)),((O76/$H76)*100) &lt;&gt; 0), (O76/$H76)*100, ""))</f>
        <v>4.2857142857142856</v>
      </c>
      <c r="Q76" s="33">
        <v>1</v>
      </c>
      <c r="R76" s="36">
        <f>IF((ISERROR((Q76/$H76)*100)), "", IF(AND(NOT(ISERROR((Q76/$H76)*100)),((Q76/$H76)*100) &lt;&gt; 0), (Q76/$H76)*100, ""))</f>
        <v>1.4285714285714286</v>
      </c>
      <c r="S76" s="33"/>
      <c r="T76" s="36" t="str">
        <f>IF((ISERROR((S76/$H76)*100)), "", IF(AND(NOT(ISERROR((S76/$H76)*100)),((S76/$H76)*100) &lt;&gt; 0), (S76/$H76)*100, ""))</f>
        <v/>
      </c>
      <c r="U76" s="33">
        <v>9</v>
      </c>
      <c r="V76" s="36">
        <f>IF((ISERROR((U76/$H76)*100)), "", IF(AND(NOT(ISERROR((U76/$H76)*100)),((U76/$H76)*100) &lt;&gt; 0), (U76/$H76)*100, ""))</f>
        <v>12.857142857142856</v>
      </c>
      <c r="W76" s="33"/>
      <c r="X76" s="36" t="str">
        <f>IF((ISERROR((W76/$H76)*100)), "", IF(AND(NOT(ISERROR((W76/$H76)*100)),((W76/$H76)*100) &lt;&gt; 0), (W76/$H76)*100, ""))</f>
        <v/>
      </c>
      <c r="Y76" s="33">
        <v>8</v>
      </c>
      <c r="Z76" s="36">
        <f>IF((ISERROR((Y76/$H76)*100)), "", IF(AND(NOT(ISERROR((Y76/$H76)*100)),((Y76/$H76)*100) &lt;&gt; 0), (Y76/$H76)*100, ""))</f>
        <v>11.428571428571429</v>
      </c>
      <c r="AA76" s="33"/>
      <c r="AB76" s="36" t="str">
        <f>IF((ISERROR((AA76/$H76)*100)), "", IF(AND(NOT(ISERROR((AA76/$H76)*100)),((AA76/$H76)*100) &lt;&gt; 0), (AA76/$H76)*100, ""))</f>
        <v/>
      </c>
      <c r="AC76" s="33"/>
      <c r="AD76" s="36" t="str">
        <f>IF((ISERROR((AC76/$H76)*100)), "", IF(AND(NOT(ISERROR((AC76/$H76)*100)),((AC76/$H76)*100) &lt;&gt; 0), (AC76/$H76)*100, ""))</f>
        <v/>
      </c>
      <c r="AE76" s="33"/>
      <c r="AF76" s="36" t="str">
        <f>IF((ISERROR((AE76/$H76)*100)), "", IF(AND(NOT(ISERROR((AE76/$H76)*100)),((AE76/$H76)*100) &lt;&gt; 0), (AE76/$H76)*100, ""))</f>
        <v/>
      </c>
      <c r="AG76" s="33"/>
      <c r="AH76" s="36" t="str">
        <f>IF((ISERROR((AG76/$H76)*100)), "", IF(AND(NOT(ISERROR((AG76/$H76)*100)),((AG76/$H76)*100) &lt;&gt; 0), (AG76/$H76)*100, ""))</f>
        <v/>
      </c>
      <c r="AI76" s="33"/>
      <c r="AJ76" s="36" t="str">
        <f>IF((ISERROR((AI76/$H76)*100)), "", IF(AND(NOT(ISERROR((AI76/$H76)*100)),((AI76/$H76)*100) &lt;&gt; 0), (AI76/$H76)*100, ""))</f>
        <v/>
      </c>
      <c r="AK76" s="33"/>
      <c r="AL76" s="36" t="str">
        <f>IF((ISERROR((AK76/$H76)*100)), "", IF(AND(NOT(ISERROR((AK76/$H76)*100)),((AK76/$H76)*100) &lt;&gt; 0), (AK76/$H76)*100, ""))</f>
        <v/>
      </c>
      <c r="AM76" s="33"/>
      <c r="AN76" s="36" t="str">
        <f>IF((ISERROR((AM76/$H76)*100)), "", IF(AND(NOT(ISERROR((AM76/$H76)*100)),((AM76/$H76)*100) &lt;&gt; 0), (AM76/$H76)*100, ""))</f>
        <v/>
      </c>
      <c r="AO76" s="33"/>
      <c r="AP76" s="36" t="str">
        <f>IF((ISERROR((AO76/$H76)*100)), "", IF(AND(NOT(ISERROR((AO76/$H76)*100)),((AO76/$H76)*100) &lt;&gt; 0), (AO76/$H76)*100, ""))</f>
        <v/>
      </c>
      <c r="AQ76" s="33"/>
      <c r="AR76" s="36" t="str">
        <f>IF((ISERROR((AQ76/$H76)*100)), "", IF(AND(NOT(ISERROR((AQ76/$H76)*100)),((AQ76/$H76)*100) &lt;&gt; 0), (AQ76/$H76)*100, ""))</f>
        <v/>
      </c>
      <c r="AS76" s="33"/>
      <c r="AT76" s="36" t="str">
        <f>IF((ISERROR((AS76/$H76)*100)), "", IF(AND(NOT(ISERROR((AS76/$H76)*100)),((AS76/$H76)*100) &lt;&gt; 0), (AS76/$H76)*100, ""))</f>
        <v/>
      </c>
      <c r="AU76" s="33"/>
      <c r="AV76" s="36" t="str">
        <f>IF((ISERROR((AU76/$H76)*100)), "", IF(AND(NOT(ISERROR((AU76/$H76)*100)),((AU76/$H76)*100) &lt;&gt; 0), (AU76/$H76)*100, ""))</f>
        <v/>
      </c>
      <c r="AW76" s="30">
        <v>31</v>
      </c>
      <c r="AX76" s="36">
        <f>IF((ISERROR((AW76/$H76)*100)), "", IF(AND(NOT(ISERROR((AW76/$H76)*100)),((AW76/$H76)*100) &lt;&gt; 0), (AW76/$H76)*100, ""))</f>
        <v>44.285714285714285</v>
      </c>
      <c r="AY76" s="59">
        <v>1</v>
      </c>
      <c r="AZ76" s="36">
        <f>IF((ISERROR((AY76/$H76)*100)), "", IF(AND(NOT(ISERROR((AY76/$H76)*100)),((AY76/$H76)*100) &lt;&gt; 0), (AY76/$H76)*100, ""))</f>
        <v>1.4285714285714286</v>
      </c>
      <c r="BA76" s="23" t="s">
        <v>414</v>
      </c>
    </row>
    <row r="77" spans="1:53" ht="20" customHeight="1" x14ac:dyDescent="0.2">
      <c r="A77" s="60"/>
      <c r="B77" s="83"/>
      <c r="C77" s="24" t="s">
        <v>85</v>
      </c>
      <c r="D77" s="23" t="s">
        <v>259</v>
      </c>
      <c r="E77" s="23" t="s">
        <v>260</v>
      </c>
      <c r="F77" s="24">
        <v>2012</v>
      </c>
      <c r="H77" s="89">
        <v>80</v>
      </c>
      <c r="I77" s="85" t="s">
        <v>214</v>
      </c>
      <c r="J77" s="86" t="s">
        <v>191</v>
      </c>
      <c r="K77" s="33"/>
      <c r="L77" s="36" t="str">
        <f>IF((ISERROR((K77/$H77)*100)), "", IF(AND(NOT(ISERROR((K77/$H77)*100)),((K77/$H77)*100) &lt;&gt; 0), (K77/$H77)*100, ""))</f>
        <v/>
      </c>
      <c r="M77" s="33"/>
      <c r="N77" s="36" t="str">
        <f>IF((ISERROR((M77/$H77)*100)), "", IF(AND(NOT(ISERROR((M77/$H77)*100)),((M77/$H77)*100) &lt;&gt; 0), (M77/$H77)*100, ""))</f>
        <v/>
      </c>
      <c r="O77" s="33"/>
      <c r="P77" s="36" t="str">
        <f>IF((ISERROR((O77/$H77)*100)), "", IF(AND(NOT(ISERROR((O77/$H77)*100)),((O77/$H77)*100) &lt;&gt; 0), (O77/$H77)*100, ""))</f>
        <v/>
      </c>
      <c r="Q77" s="33"/>
      <c r="R77" s="36" t="str">
        <f>IF((ISERROR((Q77/$H77)*100)), "", IF(AND(NOT(ISERROR((Q77/$H77)*100)),((Q77/$H77)*100) &lt;&gt; 0), (Q77/$H77)*100, ""))</f>
        <v/>
      </c>
      <c r="S77" s="33"/>
      <c r="T77" s="36" t="str">
        <f>IF((ISERROR((S77/$H77)*100)), "", IF(AND(NOT(ISERROR((S77/$H77)*100)),((S77/$H77)*100) &lt;&gt; 0), (S77/$H77)*100, ""))</f>
        <v/>
      </c>
      <c r="U77" s="33"/>
      <c r="V77" s="36" t="str">
        <f>IF((ISERROR((U77/$H77)*100)), "", IF(AND(NOT(ISERROR((U77/$H77)*100)),((U77/$H77)*100) &lt;&gt; 0), (U77/$H77)*100, ""))</f>
        <v/>
      </c>
      <c r="W77" s="33"/>
      <c r="X77" s="36" t="str">
        <f>IF((ISERROR((W77/$H77)*100)), "", IF(AND(NOT(ISERROR((W77/$H77)*100)),((W77/$H77)*100) &lt;&gt; 0), (W77/$H77)*100, ""))</f>
        <v/>
      </c>
      <c r="Y77" s="33"/>
      <c r="Z77" s="36" t="str">
        <f>IF((ISERROR((Y77/$H77)*100)), "", IF(AND(NOT(ISERROR((Y77/$H77)*100)),((Y77/$H77)*100) &lt;&gt; 0), (Y77/$H77)*100, ""))</f>
        <v/>
      </c>
      <c r="AA77" s="33"/>
      <c r="AB77" s="36" t="str">
        <f>IF((ISERROR((AA77/$H77)*100)), "", IF(AND(NOT(ISERROR((AA77/$H77)*100)),((AA77/$H77)*100) &lt;&gt; 0), (AA77/$H77)*100, ""))</f>
        <v/>
      </c>
      <c r="AC77" s="33"/>
      <c r="AD77" s="36" t="str">
        <f>IF((ISERROR((AC77/$H77)*100)), "", IF(AND(NOT(ISERROR((AC77/$H77)*100)),((AC77/$H77)*100) &lt;&gt; 0), (AC77/$H77)*100, ""))</f>
        <v/>
      </c>
      <c r="AE77" s="33"/>
      <c r="AF77" s="36" t="str">
        <f>IF((ISERROR((AE77/$H77)*100)), "", IF(AND(NOT(ISERROR((AE77/$H77)*100)),((AE77/$H77)*100) &lt;&gt; 0), (AE77/$H77)*100, ""))</f>
        <v/>
      </c>
      <c r="AG77" s="33"/>
      <c r="AH77" s="36" t="str">
        <f>IF((ISERROR((AG77/$H77)*100)), "", IF(AND(NOT(ISERROR((AG77/$H77)*100)),((AG77/$H77)*100) &lt;&gt; 0), (AG77/$H77)*100, ""))</f>
        <v/>
      </c>
      <c r="AI77" s="33"/>
      <c r="AJ77" s="36" t="str">
        <f>IF((ISERROR((AI77/$H77)*100)), "", IF(AND(NOT(ISERROR((AI77/$H77)*100)),((AI77/$H77)*100) &lt;&gt; 0), (AI77/$H77)*100, ""))</f>
        <v/>
      </c>
      <c r="AK77" s="33"/>
      <c r="AL77" s="36" t="str">
        <f>IF((ISERROR((AK77/$H77)*100)), "", IF(AND(NOT(ISERROR((AK77/$H77)*100)),((AK77/$H77)*100) &lt;&gt; 0), (AK77/$H77)*100, ""))</f>
        <v/>
      </c>
      <c r="AM77" s="33"/>
      <c r="AN77" s="36" t="str">
        <f>IF((ISERROR((AM77/$H77)*100)), "", IF(AND(NOT(ISERROR((AM77/$H77)*100)),((AM77/$H77)*100) &lt;&gt; 0), (AM77/$H77)*100, ""))</f>
        <v/>
      </c>
      <c r="AO77" s="33"/>
      <c r="AP77" s="36" t="str">
        <f>IF((ISERROR((AO77/$H77)*100)), "", IF(AND(NOT(ISERROR((AO77/$H77)*100)),((AO77/$H77)*100) &lt;&gt; 0), (AO77/$H77)*100, ""))</f>
        <v/>
      </c>
      <c r="AQ77" s="33"/>
      <c r="AR77" s="36" t="str">
        <f>IF((ISERROR((AQ77/$H77)*100)), "", IF(AND(NOT(ISERROR((AQ77/$H77)*100)),((AQ77/$H77)*100) &lt;&gt; 0), (AQ77/$H77)*100, ""))</f>
        <v/>
      </c>
      <c r="AS77" s="33"/>
      <c r="AT77" s="36" t="str">
        <f>IF((ISERROR((AS77/$H77)*100)), "", IF(AND(NOT(ISERROR((AS77/$H77)*100)),((AS77/$H77)*100) &lt;&gt; 0), (AS77/$H77)*100, ""))</f>
        <v/>
      </c>
      <c r="AU77" s="33"/>
      <c r="AV77" s="36" t="str">
        <f>IF((ISERROR((AU77/$H77)*100)), "", IF(AND(NOT(ISERROR((AU77/$H77)*100)),((AU77/$H77)*100) &lt;&gt; 0), (AU77/$H77)*100, ""))</f>
        <v/>
      </c>
      <c r="AW77" s="76"/>
      <c r="AX77" s="36" t="str">
        <f>IF((ISERROR((AW77/$H77)*100)), "", IF(AND(NOT(ISERROR((AW77/$H77)*100)),((AW77/$H77)*100) &lt;&gt; 0), (AW77/$H77)*100, ""))</f>
        <v/>
      </c>
      <c r="AY77" s="76"/>
      <c r="AZ77" s="36" t="str">
        <f>IF((ISERROR((AY77/$H77)*100)), "", IF(AND(NOT(ISERROR((AY77/$H77)*100)),((AY77/$H77)*100) &lt;&gt; 0), (AY77/$H77)*100, ""))</f>
        <v/>
      </c>
    </row>
    <row r="78" spans="1:53" ht="20" customHeight="1" x14ac:dyDescent="0.2">
      <c r="A78" s="60"/>
      <c r="B78" s="83"/>
      <c r="C78" s="24" t="s">
        <v>85</v>
      </c>
      <c r="D78" s="23" t="s">
        <v>311</v>
      </c>
      <c r="E78" s="23" t="s">
        <v>312</v>
      </c>
      <c r="F78" s="24">
        <v>2008</v>
      </c>
      <c r="H78" s="89">
        <v>86</v>
      </c>
      <c r="I78" s="85" t="s">
        <v>176</v>
      </c>
      <c r="J78" s="86"/>
      <c r="K78" s="33"/>
      <c r="L78" s="36" t="str">
        <f>IF((ISERROR((K78/$H78)*100)), "", IF(AND(NOT(ISERROR((K78/$H78)*100)),((K78/$H78)*100) &lt;&gt; 0), (K78/$H78)*100, ""))</f>
        <v/>
      </c>
      <c r="M78" s="33"/>
      <c r="N78" s="36" t="str">
        <f>IF((ISERROR((M78/$H78)*100)), "", IF(AND(NOT(ISERROR((M78/$H78)*100)),((M78/$H78)*100) &lt;&gt; 0), (M78/$H78)*100, ""))</f>
        <v/>
      </c>
      <c r="O78" s="33"/>
      <c r="P78" s="36" t="str">
        <f>IF((ISERROR((O78/$H78)*100)), "", IF(AND(NOT(ISERROR((O78/$H78)*100)),((O78/$H78)*100) &lt;&gt; 0), (O78/$H78)*100, ""))</f>
        <v/>
      </c>
      <c r="Q78" s="33"/>
      <c r="R78" s="36" t="str">
        <f>IF((ISERROR((Q78/$H78)*100)), "", IF(AND(NOT(ISERROR((Q78/$H78)*100)),((Q78/$H78)*100) &lt;&gt; 0), (Q78/$H78)*100, ""))</f>
        <v/>
      </c>
      <c r="S78" s="33"/>
      <c r="T78" s="36" t="str">
        <f>IF((ISERROR((S78/$H78)*100)), "", IF(AND(NOT(ISERROR((S78/$H78)*100)),((S78/$H78)*100) &lt;&gt; 0), (S78/$H78)*100, ""))</f>
        <v/>
      </c>
      <c r="U78" s="33"/>
      <c r="V78" s="36" t="str">
        <f>IF((ISERROR((U78/$H78)*100)), "", IF(AND(NOT(ISERROR((U78/$H78)*100)),((U78/$H78)*100) &lt;&gt; 0), (U78/$H78)*100, ""))</f>
        <v/>
      </c>
      <c r="W78" s="33"/>
      <c r="X78" s="36" t="str">
        <f>IF((ISERROR((W78/$H78)*100)), "", IF(AND(NOT(ISERROR((W78/$H78)*100)),((W78/$H78)*100) &lt;&gt; 0), (W78/$H78)*100, ""))</f>
        <v/>
      </c>
      <c r="Y78" s="33"/>
      <c r="Z78" s="36" t="str">
        <f>IF((ISERROR((Y78/$H78)*100)), "", IF(AND(NOT(ISERROR((Y78/$H78)*100)),((Y78/$H78)*100) &lt;&gt; 0), (Y78/$H78)*100, ""))</f>
        <v/>
      </c>
      <c r="AA78" s="33"/>
      <c r="AB78" s="36" t="str">
        <f>IF((ISERROR((AA78/$H78)*100)), "", IF(AND(NOT(ISERROR((AA78/$H78)*100)),((AA78/$H78)*100) &lt;&gt; 0), (AA78/$H78)*100, ""))</f>
        <v/>
      </c>
      <c r="AC78" s="33"/>
      <c r="AD78" s="36" t="str">
        <f>IF((ISERROR((AC78/$H78)*100)), "", IF(AND(NOT(ISERROR((AC78/$H78)*100)),((AC78/$H78)*100) &lt;&gt; 0), (AC78/$H78)*100, ""))</f>
        <v/>
      </c>
      <c r="AE78" s="33"/>
      <c r="AF78" s="36" t="str">
        <f>IF((ISERROR((AE78/$H78)*100)), "", IF(AND(NOT(ISERROR((AE78/$H78)*100)),((AE78/$H78)*100) &lt;&gt; 0), (AE78/$H78)*100, ""))</f>
        <v/>
      </c>
      <c r="AG78" s="33"/>
      <c r="AH78" s="36" t="str">
        <f>IF((ISERROR((AG78/$H78)*100)), "", IF(AND(NOT(ISERROR((AG78/$H78)*100)),((AG78/$H78)*100) &lt;&gt; 0), (AG78/$H78)*100, ""))</f>
        <v/>
      </c>
      <c r="AI78" s="33"/>
      <c r="AJ78" s="36" t="str">
        <f>IF((ISERROR((AI78/$H78)*100)), "", IF(AND(NOT(ISERROR((AI78/$H78)*100)),((AI78/$H78)*100) &lt;&gt; 0), (AI78/$H78)*100, ""))</f>
        <v/>
      </c>
      <c r="AK78" s="33"/>
      <c r="AL78" s="36" t="str">
        <f>IF((ISERROR((AK78/$H78)*100)), "", IF(AND(NOT(ISERROR((AK78/$H78)*100)),((AK78/$H78)*100) &lt;&gt; 0), (AK78/$H78)*100, ""))</f>
        <v/>
      </c>
      <c r="AM78" s="33"/>
      <c r="AN78" s="36" t="str">
        <f>IF((ISERROR((AM78/$H78)*100)), "", IF(AND(NOT(ISERROR((AM78/$H78)*100)),((AM78/$H78)*100) &lt;&gt; 0), (AM78/$H78)*100, ""))</f>
        <v/>
      </c>
      <c r="AO78" s="33"/>
      <c r="AP78" s="36" t="str">
        <f>IF((ISERROR((AO78/$H78)*100)), "", IF(AND(NOT(ISERROR((AO78/$H78)*100)),((AO78/$H78)*100) &lt;&gt; 0), (AO78/$H78)*100, ""))</f>
        <v/>
      </c>
      <c r="AQ78" s="33"/>
      <c r="AR78" s="36" t="str">
        <f>IF((ISERROR((AQ78/$H78)*100)), "", IF(AND(NOT(ISERROR((AQ78/$H78)*100)),((AQ78/$H78)*100) &lt;&gt; 0), (AQ78/$H78)*100, ""))</f>
        <v/>
      </c>
      <c r="AS78" s="33"/>
      <c r="AT78" s="36" t="str">
        <f>IF((ISERROR((AS78/$H78)*100)), "", IF(AND(NOT(ISERROR((AS78/$H78)*100)),((AS78/$H78)*100) &lt;&gt; 0), (AS78/$H78)*100, ""))</f>
        <v/>
      </c>
      <c r="AU78" s="33"/>
      <c r="AV78" s="36" t="str">
        <f>IF((ISERROR((AU78/$H78)*100)), "", IF(AND(NOT(ISERROR((AU78/$H78)*100)),((AU78/$H78)*100) &lt;&gt; 0), (AU78/$H78)*100, ""))</f>
        <v/>
      </c>
      <c r="AW78" s="30"/>
      <c r="AX78" s="36" t="str">
        <f>IF((ISERROR((AW78/$H78)*100)), "", IF(AND(NOT(ISERROR((AW78/$H78)*100)),((AW78/$H78)*100) &lt;&gt; 0), (AW78/$H78)*100, ""))</f>
        <v/>
      </c>
      <c r="AY78" s="59"/>
      <c r="AZ78" s="36" t="str">
        <f>IF((ISERROR((AY78/$H78)*100)), "", IF(AND(NOT(ISERROR((AY78/$H78)*100)),((AY78/$H78)*100) &lt;&gt; 0), (AY78/$H78)*100, ""))</f>
        <v/>
      </c>
      <c r="BA78" s="23" t="s">
        <v>369</v>
      </c>
    </row>
    <row r="79" spans="1:53" ht="20" customHeight="1" x14ac:dyDescent="0.2">
      <c r="A79" s="60"/>
      <c r="B79" s="82"/>
      <c r="C79" s="24" t="s">
        <v>484</v>
      </c>
      <c r="D79" s="23" t="s">
        <v>77</v>
      </c>
      <c r="E79" s="23" t="s">
        <v>78</v>
      </c>
      <c r="F79" s="24">
        <v>2009</v>
      </c>
      <c r="G79" s="24">
        <v>134</v>
      </c>
      <c r="H79" s="89">
        <v>94</v>
      </c>
      <c r="I79" s="85" t="s">
        <v>482</v>
      </c>
      <c r="J79" s="86" t="s">
        <v>483</v>
      </c>
      <c r="K79" s="33">
        <v>2</v>
      </c>
      <c r="L79" s="36">
        <f>IF((ISERROR((K79/$H79)*100)), "", IF(AND(NOT(ISERROR((K79/$H79)*100)),((K79/$H79)*100) &lt;&gt; 0), (K79/$H79)*100, ""))</f>
        <v>2.1276595744680851</v>
      </c>
      <c r="M79" s="33"/>
      <c r="N79" s="36" t="str">
        <f>IF((ISERROR((M79/$H79)*100)), "", IF(AND(NOT(ISERROR((M79/$H79)*100)),((M79/$H79)*100) &lt;&gt; 0), (M79/$H79)*100, ""))</f>
        <v/>
      </c>
      <c r="O79" s="33">
        <v>2</v>
      </c>
      <c r="P79" s="36">
        <f>IF((ISERROR((O79/$H79)*100)), "", IF(AND(NOT(ISERROR((O79/$H79)*100)),((O79/$H79)*100) &lt;&gt; 0), (O79/$H79)*100, ""))</f>
        <v>2.1276595744680851</v>
      </c>
      <c r="Q79" s="33">
        <v>4</v>
      </c>
      <c r="R79" s="36">
        <f>IF((ISERROR((Q79/$H79)*100)), "", IF(AND(NOT(ISERROR((Q79/$H79)*100)),((Q79/$H79)*100) &lt;&gt; 0), (Q79/$H79)*100, ""))</f>
        <v>4.2553191489361701</v>
      </c>
      <c r="S79" s="33"/>
      <c r="T79" s="36" t="str">
        <f>IF((ISERROR((S79/$H79)*100)), "", IF(AND(NOT(ISERROR((S79/$H79)*100)),((S79/$H79)*100) &lt;&gt; 0), (S79/$H79)*100, ""))</f>
        <v/>
      </c>
      <c r="U79" s="33">
        <v>2</v>
      </c>
      <c r="V79" s="36">
        <f>IF((ISERROR((U79/$H79)*100)), "", IF(AND(NOT(ISERROR((U79/$H79)*100)),((U79/$H79)*100) &lt;&gt; 0), (U79/$H79)*100, ""))</f>
        <v>2.1276595744680851</v>
      </c>
      <c r="W79" s="33">
        <v>3</v>
      </c>
      <c r="X79" s="36">
        <f>IF((ISERROR((W79/$H79)*100)), "", IF(AND(NOT(ISERROR((W79/$H79)*100)),((W79/$H79)*100) &lt;&gt; 0), (W79/$H79)*100, ""))</f>
        <v>3.1914893617021276</v>
      </c>
      <c r="Y79" s="33">
        <v>1</v>
      </c>
      <c r="Z79" s="36">
        <f>IF((ISERROR((Y79/$H79)*100)), "", IF(AND(NOT(ISERROR((Y79/$H79)*100)),((Y79/$H79)*100) &lt;&gt; 0), (Y79/$H79)*100, ""))</f>
        <v>1.0638297872340425</v>
      </c>
      <c r="AA79" s="33"/>
      <c r="AB79" s="36" t="str">
        <f>IF((ISERROR((AA79/$H79)*100)), "", IF(AND(NOT(ISERROR((AA79/$H79)*100)),((AA79/$H79)*100) &lt;&gt; 0), (AA79/$H79)*100, ""))</f>
        <v/>
      </c>
      <c r="AC79" s="33">
        <v>2</v>
      </c>
      <c r="AD79" s="36">
        <f>IF((ISERROR((AC79/$H79)*100)), "", IF(AND(NOT(ISERROR((AC79/$H79)*100)),((AC79/$H79)*100) &lt;&gt; 0), (AC79/$H79)*100, ""))</f>
        <v>2.1276595744680851</v>
      </c>
      <c r="AE79" s="33"/>
      <c r="AF79" s="36" t="str">
        <f>IF((ISERROR((AE79/$H79)*100)), "", IF(AND(NOT(ISERROR((AE79/$H79)*100)),((AE79/$H79)*100) &lt;&gt; 0), (AE79/$H79)*100, ""))</f>
        <v/>
      </c>
      <c r="AG79" s="33"/>
      <c r="AH79" s="36" t="str">
        <f>IF((ISERROR((AG79/$H79)*100)), "", IF(AND(NOT(ISERROR((AG79/$H79)*100)),((AG79/$H79)*100) &lt;&gt; 0), (AG79/$H79)*100, ""))</f>
        <v/>
      </c>
      <c r="AI79" s="33"/>
      <c r="AJ79" s="36" t="str">
        <f>IF((ISERROR((AI79/$H79)*100)), "", IF(AND(NOT(ISERROR((AI79/$H79)*100)),((AI79/$H79)*100) &lt;&gt; 0), (AI79/$H79)*100, ""))</f>
        <v/>
      </c>
      <c r="AK79" s="33">
        <v>3</v>
      </c>
      <c r="AL79" s="36">
        <f>IF((ISERROR((AK79/$H79)*100)), "", IF(AND(NOT(ISERROR((AK79/$H79)*100)),((AK79/$H79)*100) &lt;&gt; 0), (AK79/$H79)*100, ""))</f>
        <v>3.1914893617021276</v>
      </c>
      <c r="AM79" s="33"/>
      <c r="AN79" s="36" t="str">
        <f>IF((ISERROR((AM79/$H79)*100)), "", IF(AND(NOT(ISERROR((AM79/$H79)*100)),((AM79/$H79)*100) &lt;&gt; 0), (AM79/$H79)*100, ""))</f>
        <v/>
      </c>
      <c r="AO79" s="33"/>
      <c r="AP79" s="36" t="str">
        <f>IF((ISERROR((AO79/$H79)*100)), "", IF(AND(NOT(ISERROR((AO79/$H79)*100)),((AO79/$H79)*100) &lt;&gt; 0), (AO79/$H79)*100, ""))</f>
        <v/>
      </c>
      <c r="AQ79" s="33"/>
      <c r="AR79" s="36" t="str">
        <f>IF((ISERROR((AQ79/$H79)*100)), "", IF(AND(NOT(ISERROR((AQ79/$H79)*100)),((AQ79/$H79)*100) &lt;&gt; 0), (AQ79/$H79)*100, ""))</f>
        <v/>
      </c>
      <c r="AS79" s="33"/>
      <c r="AT79" s="36" t="str">
        <f>IF((ISERROR((AS79/$H79)*100)), "", IF(AND(NOT(ISERROR((AS79/$H79)*100)),((AS79/$H79)*100) &lt;&gt; 0), (AS79/$H79)*100, ""))</f>
        <v/>
      </c>
      <c r="AU79" s="33"/>
      <c r="AV79" s="36" t="str">
        <f>IF((ISERROR((AU79/$H79)*100)), "", IF(AND(NOT(ISERROR((AU79/$H79)*100)),((AU79/$H79)*100) &lt;&gt; 0), (AU79/$H79)*100, ""))</f>
        <v/>
      </c>
      <c r="AW79" s="31">
        <v>8</v>
      </c>
      <c r="AX79" s="36">
        <f>IF((ISERROR((AW79/$H79)*100)), "", IF(AND(NOT(ISERROR((AW79/$H79)*100)),((AW79/$H79)*100) &lt;&gt; 0), (AW79/$H79)*100, ""))</f>
        <v>8.5106382978723403</v>
      </c>
      <c r="AY79" s="59"/>
      <c r="AZ79" s="36" t="str">
        <f>IF((ISERROR((AY79/$H79)*100)), "", IF(AND(NOT(ISERROR((AY79/$H79)*100)),((AY79/$H79)*100) &lt;&gt; 0), (AY79/$H79)*100, ""))</f>
        <v/>
      </c>
      <c r="BA79" s="23" t="s">
        <v>485</v>
      </c>
    </row>
    <row r="80" spans="1:53" ht="20" customHeight="1" x14ac:dyDescent="0.2">
      <c r="A80" s="60"/>
      <c r="B80" s="82"/>
      <c r="C80" s="24" t="s">
        <v>85</v>
      </c>
      <c r="D80" s="23" t="s">
        <v>103</v>
      </c>
      <c r="E80" s="23" t="s">
        <v>104</v>
      </c>
      <c r="F80" s="24">
        <v>1996</v>
      </c>
      <c r="G80" s="24">
        <v>12</v>
      </c>
      <c r="H80" s="89">
        <v>97</v>
      </c>
      <c r="I80" s="85" t="s">
        <v>203</v>
      </c>
      <c r="J80" s="86" t="s">
        <v>204</v>
      </c>
      <c r="K80" s="33">
        <v>3</v>
      </c>
      <c r="L80" s="36">
        <f>IF((ISERROR((K80/$H80)*100)), "", IF(AND(NOT(ISERROR((K80/$H80)*100)),((K80/$H80)*100) &lt;&gt; 0), (K80/$H80)*100, ""))</f>
        <v>3.0927835051546393</v>
      </c>
      <c r="M80" s="33">
        <v>6</v>
      </c>
      <c r="N80" s="36">
        <f>IF((ISERROR((M80/$H80)*100)), "", IF(AND(NOT(ISERROR((M80/$H80)*100)),((M80/$H80)*100) &lt;&gt; 0), (M80/$H80)*100, ""))</f>
        <v>6.1855670103092786</v>
      </c>
      <c r="O80" s="33"/>
      <c r="P80" s="36" t="str">
        <f>IF((ISERROR((O80/$H80)*100)), "", IF(AND(NOT(ISERROR((O80/$H80)*100)),((O80/$H80)*100) &lt;&gt; 0), (O80/$H80)*100, ""))</f>
        <v/>
      </c>
      <c r="Q80" s="33">
        <v>4</v>
      </c>
      <c r="R80" s="36">
        <f>IF((ISERROR((Q80/$H80)*100)), "", IF(AND(NOT(ISERROR((Q80/$H80)*100)),((Q80/$H80)*100) &lt;&gt; 0), (Q80/$H80)*100, ""))</f>
        <v>4.1237113402061851</v>
      </c>
      <c r="S80" s="33"/>
      <c r="T80" s="36" t="str">
        <f>IF((ISERROR((S80/$H80)*100)), "", IF(AND(NOT(ISERROR((S80/$H80)*100)),((S80/$H80)*100) &lt;&gt; 0), (S80/$H80)*100, ""))</f>
        <v/>
      </c>
      <c r="U80" s="33"/>
      <c r="V80" s="36" t="str">
        <f>IF((ISERROR((U80/$H80)*100)), "", IF(AND(NOT(ISERROR((U80/$H80)*100)),((U80/$H80)*100) &lt;&gt; 0), (U80/$H80)*100, ""))</f>
        <v/>
      </c>
      <c r="W80" s="33"/>
      <c r="X80" s="36" t="str">
        <f>IF((ISERROR((W80/$H80)*100)), "", IF(AND(NOT(ISERROR((W80/$H80)*100)),((W80/$H80)*100) &lt;&gt; 0), (W80/$H80)*100, ""))</f>
        <v/>
      </c>
      <c r="Y80" s="33"/>
      <c r="Z80" s="36" t="str">
        <f>IF((ISERROR((Y80/$H80)*100)), "", IF(AND(NOT(ISERROR((Y80/$H80)*100)),((Y80/$H80)*100) &lt;&gt; 0), (Y80/$H80)*100, ""))</f>
        <v/>
      </c>
      <c r="AA80" s="33"/>
      <c r="AB80" s="36" t="str">
        <f>IF((ISERROR((AA80/$H80)*100)), "", IF(AND(NOT(ISERROR((AA80/$H80)*100)),((AA80/$H80)*100) &lt;&gt; 0), (AA80/$H80)*100, ""))</f>
        <v/>
      </c>
      <c r="AC80" s="33">
        <v>1</v>
      </c>
      <c r="AD80" s="36">
        <f>IF((ISERROR((AC80/$H80)*100)), "", IF(AND(NOT(ISERROR((AC80/$H80)*100)),((AC80/$H80)*100) &lt;&gt; 0), (AC80/$H80)*100, ""))</f>
        <v>1.0309278350515463</v>
      </c>
      <c r="AE80" s="33"/>
      <c r="AF80" s="36" t="str">
        <f>IF((ISERROR((AE80/$H80)*100)), "", IF(AND(NOT(ISERROR((AE80/$H80)*100)),((AE80/$H80)*100) &lt;&gt; 0), (AE80/$H80)*100, ""))</f>
        <v/>
      </c>
      <c r="AG80" s="33"/>
      <c r="AH80" s="36" t="str">
        <f>IF((ISERROR((AG80/$H80)*100)), "", IF(AND(NOT(ISERROR((AG80/$H80)*100)),((AG80/$H80)*100) &lt;&gt; 0), (AG80/$H80)*100, ""))</f>
        <v/>
      </c>
      <c r="AI80" s="33">
        <v>1</v>
      </c>
      <c r="AJ80" s="36">
        <f>IF((ISERROR((AI80/$H80)*100)), "", IF(AND(NOT(ISERROR((AI80/$H80)*100)),((AI80/$H80)*100) &lt;&gt; 0), (AI80/$H80)*100, ""))</f>
        <v>1.0309278350515463</v>
      </c>
      <c r="AK80" s="33"/>
      <c r="AL80" s="36" t="str">
        <f>IF((ISERROR((AK80/$H80)*100)), "", IF(AND(NOT(ISERROR((AK80/$H80)*100)),((AK80/$H80)*100) &lt;&gt; 0), (AK80/$H80)*100, ""))</f>
        <v/>
      </c>
      <c r="AM80" s="33"/>
      <c r="AN80" s="36" t="str">
        <f>IF((ISERROR((AM80/$H80)*100)), "", IF(AND(NOT(ISERROR((AM80/$H80)*100)),((AM80/$H80)*100) &lt;&gt; 0), (AM80/$H80)*100, ""))</f>
        <v/>
      </c>
      <c r="AO80" s="33"/>
      <c r="AP80" s="36" t="str">
        <f>IF((ISERROR((AO80/$H80)*100)), "", IF(AND(NOT(ISERROR((AO80/$H80)*100)),((AO80/$H80)*100) &lt;&gt; 0), (AO80/$H80)*100, ""))</f>
        <v/>
      </c>
      <c r="AQ80" s="33"/>
      <c r="AR80" s="36" t="str">
        <f>IF((ISERROR((AQ80/$H80)*100)), "", IF(AND(NOT(ISERROR((AQ80/$H80)*100)),((AQ80/$H80)*100) &lt;&gt; 0), (AQ80/$H80)*100, ""))</f>
        <v/>
      </c>
      <c r="AS80" s="33"/>
      <c r="AT80" s="36" t="str">
        <f>IF((ISERROR((AS80/$H80)*100)), "", IF(AND(NOT(ISERROR((AS80/$H80)*100)),((AS80/$H80)*100) &lt;&gt; 0), (AS80/$H80)*100, ""))</f>
        <v/>
      </c>
      <c r="AU80" s="33"/>
      <c r="AV80" s="36" t="str">
        <f>IF((ISERROR((AU80/$H80)*100)), "", IF(AND(NOT(ISERROR((AU80/$H80)*100)),((AU80/$H80)*100) &lt;&gt; 0), (AU80/$H80)*100, ""))</f>
        <v/>
      </c>
      <c r="AW80" s="76">
        <v>16</v>
      </c>
      <c r="AX80" s="36">
        <f>IF((ISERROR((AW80/$H80)*100)), "", IF(AND(NOT(ISERROR((AW80/$H80)*100)),((AW80/$H80)*100) &lt;&gt; 0), (AW80/$H80)*100, ""))</f>
        <v>16.494845360824741</v>
      </c>
      <c r="AY80" s="76"/>
      <c r="AZ80" s="36" t="str">
        <f>IF((ISERROR((AY80/$H80)*100)), "", IF(AND(NOT(ISERROR((AY80/$H80)*100)),((AY80/$H80)*100) &lt;&gt; 0), (AY80/$H80)*100, ""))</f>
        <v/>
      </c>
      <c r="BA80" s="23" t="s">
        <v>387</v>
      </c>
    </row>
    <row r="81" spans="1:53" ht="20" customHeight="1" x14ac:dyDescent="0.2">
      <c r="A81" s="61"/>
      <c r="B81" s="83"/>
      <c r="C81" s="50" t="s">
        <v>35</v>
      </c>
      <c r="D81" s="49" t="s">
        <v>87</v>
      </c>
      <c r="E81" s="49" t="s">
        <v>88</v>
      </c>
      <c r="F81" s="50">
        <v>1996</v>
      </c>
      <c r="G81" s="50">
        <v>187</v>
      </c>
      <c r="H81" s="89">
        <v>100</v>
      </c>
      <c r="I81" s="85" t="s">
        <v>198</v>
      </c>
      <c r="J81" s="86"/>
      <c r="K81" s="33"/>
      <c r="L81" s="36" t="str">
        <f>IF((ISERROR((K81/$H81)*100)), "", IF(AND(NOT(ISERROR((K81/$H81)*100)),((K81/$H81)*100) &lt;&gt; 0), (K81/$H81)*100, ""))</f>
        <v/>
      </c>
      <c r="M81" s="33"/>
      <c r="N81" s="36" t="str">
        <f>IF((ISERROR((M81/$H81)*100)), "", IF(AND(NOT(ISERROR((M81/$H81)*100)),((M81/$H81)*100) &lt;&gt; 0), (M81/$H81)*100, ""))</f>
        <v/>
      </c>
      <c r="O81" s="33"/>
      <c r="P81" s="36" t="str">
        <f>IF((ISERROR((O81/$H81)*100)), "", IF(AND(NOT(ISERROR((O81/$H81)*100)),((O81/$H81)*100) &lt;&gt; 0), (O81/$H81)*100, ""))</f>
        <v/>
      </c>
      <c r="Q81" s="33"/>
      <c r="R81" s="36" t="str">
        <f>IF((ISERROR((Q81/$H81)*100)), "", IF(AND(NOT(ISERROR((Q81/$H81)*100)),((Q81/$H81)*100) &lt;&gt; 0), (Q81/$H81)*100, ""))</f>
        <v/>
      </c>
      <c r="S81" s="33"/>
      <c r="T81" s="36" t="str">
        <f>IF((ISERROR((S81/$H81)*100)), "", IF(AND(NOT(ISERROR((S81/$H81)*100)),((S81/$H81)*100) &lt;&gt; 0), (S81/$H81)*100, ""))</f>
        <v/>
      </c>
      <c r="U81" s="33"/>
      <c r="V81" s="36" t="str">
        <f>IF((ISERROR((U81/$H81)*100)), "", IF(AND(NOT(ISERROR((U81/$H81)*100)),((U81/$H81)*100) &lt;&gt; 0), (U81/$H81)*100, ""))</f>
        <v/>
      </c>
      <c r="W81" s="33"/>
      <c r="X81" s="36" t="str">
        <f>IF((ISERROR((W81/$H81)*100)), "", IF(AND(NOT(ISERROR((W81/$H81)*100)),((W81/$H81)*100) &lt;&gt; 0), (W81/$H81)*100, ""))</f>
        <v/>
      </c>
      <c r="Y81" s="33"/>
      <c r="Z81" s="36" t="str">
        <f>IF((ISERROR((Y81/$H81)*100)), "", IF(AND(NOT(ISERROR((Y81/$H81)*100)),((Y81/$H81)*100) &lt;&gt; 0), (Y81/$H81)*100, ""))</f>
        <v/>
      </c>
      <c r="AA81" s="33"/>
      <c r="AB81" s="36" t="str">
        <f>IF((ISERROR((AA81/$H81)*100)), "", IF(AND(NOT(ISERROR((AA81/$H81)*100)),((AA81/$H81)*100) &lt;&gt; 0), (AA81/$H81)*100, ""))</f>
        <v/>
      </c>
      <c r="AC81" s="33"/>
      <c r="AD81" s="36" t="str">
        <f>IF((ISERROR((AC81/$H81)*100)), "", IF(AND(NOT(ISERROR((AC81/$H81)*100)),((AC81/$H81)*100) &lt;&gt; 0), (AC81/$H81)*100, ""))</f>
        <v/>
      </c>
      <c r="AE81" s="33"/>
      <c r="AF81" s="36" t="str">
        <f>IF((ISERROR((AE81/$H81)*100)), "", IF(AND(NOT(ISERROR((AE81/$H81)*100)),((AE81/$H81)*100) &lt;&gt; 0), (AE81/$H81)*100, ""))</f>
        <v/>
      </c>
      <c r="AG81" s="33"/>
      <c r="AH81" s="36" t="str">
        <f>IF((ISERROR((AG81/$H81)*100)), "", IF(AND(NOT(ISERROR((AG81/$H81)*100)),((AG81/$H81)*100) &lt;&gt; 0), (AG81/$H81)*100, ""))</f>
        <v/>
      </c>
      <c r="AI81" s="33"/>
      <c r="AJ81" s="36" t="str">
        <f>IF((ISERROR((AI81/$H81)*100)), "", IF(AND(NOT(ISERROR((AI81/$H81)*100)),((AI81/$H81)*100) &lt;&gt; 0), (AI81/$H81)*100, ""))</f>
        <v/>
      </c>
      <c r="AK81" s="33"/>
      <c r="AL81" s="36" t="str">
        <f>IF((ISERROR((AK81/$H81)*100)), "", IF(AND(NOT(ISERROR((AK81/$H81)*100)),((AK81/$H81)*100) &lt;&gt; 0), (AK81/$H81)*100, ""))</f>
        <v/>
      </c>
      <c r="AM81" s="33"/>
      <c r="AN81" s="36" t="str">
        <f>IF((ISERROR((AM81/$H81)*100)), "", IF(AND(NOT(ISERROR((AM81/$H81)*100)),((AM81/$H81)*100) &lt;&gt; 0), (AM81/$H81)*100, ""))</f>
        <v/>
      </c>
      <c r="AO81" s="33"/>
      <c r="AP81" s="36" t="str">
        <f>IF((ISERROR((AO81/$H81)*100)), "", IF(AND(NOT(ISERROR((AO81/$H81)*100)),((AO81/$H81)*100) &lt;&gt; 0), (AO81/$H81)*100, ""))</f>
        <v/>
      </c>
      <c r="AQ81" s="33"/>
      <c r="AR81" s="36" t="str">
        <f>IF((ISERROR((AQ81/$H81)*100)), "", IF(AND(NOT(ISERROR((AQ81/$H81)*100)),((AQ81/$H81)*100) &lt;&gt; 0), (AQ81/$H81)*100, ""))</f>
        <v/>
      </c>
      <c r="AS81" s="33"/>
      <c r="AT81" s="36" t="str">
        <f>IF((ISERROR((AS81/$H81)*100)), "", IF(AND(NOT(ISERROR((AS81/$H81)*100)),((AS81/$H81)*100) &lt;&gt; 0), (AS81/$H81)*100, ""))</f>
        <v/>
      </c>
      <c r="AU81" s="33"/>
      <c r="AV81" s="36" t="str">
        <f>IF((ISERROR((AU81/$H81)*100)), "", IF(AND(NOT(ISERROR((AU81/$H81)*100)),((AU81/$H81)*100) &lt;&gt; 0), (AU81/$H81)*100, ""))</f>
        <v/>
      </c>
      <c r="AW81" s="30"/>
      <c r="AX81" s="36" t="str">
        <f>IF((ISERROR((AW81/$H81)*100)), "", IF(AND(NOT(ISERROR((AW81/$H81)*100)),((AW81/$H81)*100) &lt;&gt; 0), (AW81/$H81)*100, ""))</f>
        <v/>
      </c>
      <c r="AY81" s="59"/>
      <c r="AZ81" s="36" t="str">
        <f>IF((ISERROR((AY81/$H81)*100)), "", IF(AND(NOT(ISERROR((AY81/$H81)*100)),((AY81/$H81)*100) &lt;&gt; 0), (AY81/$H81)*100, ""))</f>
        <v/>
      </c>
      <c r="BA81" s="23" t="s">
        <v>199</v>
      </c>
    </row>
    <row r="82" spans="1:53" ht="20" customHeight="1" x14ac:dyDescent="0.2">
      <c r="A82" s="60"/>
      <c r="B82" s="82"/>
      <c r="C82" s="24" t="s">
        <v>85</v>
      </c>
      <c r="D82" s="23" t="s">
        <v>26</v>
      </c>
      <c r="E82" s="23" t="s">
        <v>27</v>
      </c>
      <c r="F82" s="24">
        <v>2008</v>
      </c>
      <c r="G82" s="24">
        <v>165</v>
      </c>
      <c r="H82" s="89">
        <v>107</v>
      </c>
      <c r="I82" s="85" t="s">
        <v>166</v>
      </c>
      <c r="J82" s="86"/>
      <c r="K82" s="33"/>
      <c r="L82" s="36" t="str">
        <f>IF((ISERROR((K82/$H82)*100)), "", IF(AND(NOT(ISERROR((K82/$H82)*100)),((K82/$H82)*100) &lt;&gt; 0), (K82/$H82)*100, ""))</f>
        <v/>
      </c>
      <c r="M82" s="33"/>
      <c r="N82" s="36" t="str">
        <f>IF((ISERROR((M82/$H82)*100)), "", IF(AND(NOT(ISERROR((M82/$H82)*100)),((M82/$H82)*100) &lt;&gt; 0), (M82/$H82)*100, ""))</f>
        <v/>
      </c>
      <c r="O82" s="33"/>
      <c r="P82" s="36" t="str">
        <f>IF((ISERROR((O82/$H82)*100)), "", IF(AND(NOT(ISERROR((O82/$H82)*100)),((O82/$H82)*100) &lt;&gt; 0), (O82/$H82)*100, ""))</f>
        <v/>
      </c>
      <c r="Q82" s="33"/>
      <c r="R82" s="36" t="str">
        <f>IF((ISERROR((Q82/$H82)*100)), "", IF(AND(NOT(ISERROR((Q82/$H82)*100)),((Q82/$H82)*100) &lt;&gt; 0), (Q82/$H82)*100, ""))</f>
        <v/>
      </c>
      <c r="S82" s="33"/>
      <c r="T82" s="36" t="str">
        <f>IF((ISERROR((S82/$H82)*100)), "", IF(AND(NOT(ISERROR((S82/$H82)*100)),((S82/$H82)*100) &lt;&gt; 0), (S82/$H82)*100, ""))</f>
        <v/>
      </c>
      <c r="U82" s="33">
        <v>1</v>
      </c>
      <c r="V82" s="36">
        <f>IF((ISERROR((U82/$H82)*100)), "", IF(AND(NOT(ISERROR((U82/$H82)*100)),((U82/$H82)*100) &lt;&gt; 0), (U82/$H82)*100, ""))</f>
        <v>0.93457943925233633</v>
      </c>
      <c r="W82" s="33"/>
      <c r="X82" s="36" t="str">
        <f>IF((ISERROR((W82/$H82)*100)), "", IF(AND(NOT(ISERROR((W82/$H82)*100)),((W82/$H82)*100) &lt;&gt; 0), (W82/$H82)*100, ""))</f>
        <v/>
      </c>
      <c r="Y82" s="33"/>
      <c r="Z82" s="36" t="str">
        <f>IF((ISERROR((Y82/$H82)*100)), "", IF(AND(NOT(ISERROR((Y82/$H82)*100)),((Y82/$H82)*100) &lt;&gt; 0), (Y82/$H82)*100, ""))</f>
        <v/>
      </c>
      <c r="AA82" s="33"/>
      <c r="AB82" s="36" t="str">
        <f>IF((ISERROR((AA82/$H82)*100)), "", IF(AND(NOT(ISERROR((AA82/$H82)*100)),((AA82/$H82)*100) &lt;&gt; 0), (AA82/$H82)*100, ""))</f>
        <v/>
      </c>
      <c r="AC82" s="33"/>
      <c r="AD82" s="36" t="str">
        <f>IF((ISERROR((AC82/$H82)*100)), "", IF(AND(NOT(ISERROR((AC82/$H82)*100)),((AC82/$H82)*100) &lt;&gt; 0), (AC82/$H82)*100, ""))</f>
        <v/>
      </c>
      <c r="AE82" s="33"/>
      <c r="AF82" s="36" t="str">
        <f>IF((ISERROR((AE82/$H82)*100)), "", IF(AND(NOT(ISERROR((AE82/$H82)*100)),((AE82/$H82)*100) &lt;&gt; 0), (AE82/$H82)*100, ""))</f>
        <v/>
      </c>
      <c r="AG82" s="33"/>
      <c r="AH82" s="36" t="str">
        <f>IF((ISERROR((AG82/$H82)*100)), "", IF(AND(NOT(ISERROR((AG82/$H82)*100)),((AG82/$H82)*100) &lt;&gt; 0), (AG82/$H82)*100, ""))</f>
        <v/>
      </c>
      <c r="AI82" s="33"/>
      <c r="AJ82" s="36" t="str">
        <f>IF((ISERROR((AI82/$H82)*100)), "", IF(AND(NOT(ISERROR((AI82/$H82)*100)),((AI82/$H82)*100) &lt;&gt; 0), (AI82/$H82)*100, ""))</f>
        <v/>
      </c>
      <c r="AK82" s="33">
        <v>1</v>
      </c>
      <c r="AL82" s="36">
        <f>IF((ISERROR((AK82/$H82)*100)), "", IF(AND(NOT(ISERROR((AK82/$H82)*100)),((AK82/$H82)*100) &lt;&gt; 0), (AK82/$H82)*100, ""))</f>
        <v>0.93457943925233633</v>
      </c>
      <c r="AM82" s="33"/>
      <c r="AN82" s="36" t="str">
        <f>IF((ISERROR((AM82/$H82)*100)), "", IF(AND(NOT(ISERROR((AM82/$H82)*100)),((AM82/$H82)*100) &lt;&gt; 0), (AM82/$H82)*100, ""))</f>
        <v/>
      </c>
      <c r="AO82" s="33"/>
      <c r="AP82" s="36" t="str">
        <f>IF((ISERROR((AO82/$H82)*100)), "", IF(AND(NOT(ISERROR((AO82/$H82)*100)),((AO82/$H82)*100) &lt;&gt; 0), (AO82/$H82)*100, ""))</f>
        <v/>
      </c>
      <c r="AQ82" s="33"/>
      <c r="AR82" s="36" t="str">
        <f>IF((ISERROR((AQ82/$H82)*100)), "", IF(AND(NOT(ISERROR((AQ82/$H82)*100)),((AQ82/$H82)*100) &lt;&gt; 0), (AQ82/$H82)*100, ""))</f>
        <v/>
      </c>
      <c r="AS82" s="33"/>
      <c r="AT82" s="36" t="str">
        <f>IF((ISERROR((AS82/$H82)*100)), "", IF(AND(NOT(ISERROR((AS82/$H82)*100)),((AS82/$H82)*100) &lt;&gt; 0), (AS82/$H82)*100, ""))</f>
        <v/>
      </c>
      <c r="AU82" s="33"/>
      <c r="AV82" s="36" t="str">
        <f>IF((ISERROR((AU82/$H82)*100)), "", IF(AND(NOT(ISERROR((AU82/$H82)*100)),((AU82/$H82)*100) &lt;&gt; 0), (AU82/$H82)*100, ""))</f>
        <v/>
      </c>
      <c r="AW82" s="76">
        <v>1</v>
      </c>
      <c r="AX82" s="36">
        <f>IF((ISERROR((AW82/$H82)*100)), "", IF(AND(NOT(ISERROR((AW82/$H82)*100)),((AW82/$H82)*100) &lt;&gt; 0), (AW82/$H82)*100, ""))</f>
        <v>0.93457943925233633</v>
      </c>
      <c r="AY82" s="76"/>
      <c r="AZ82" s="36" t="str">
        <f>IF((ISERROR((AY82/$H82)*100)), "", IF(AND(NOT(ISERROR((AY82/$H82)*100)),((AY82/$H82)*100) &lt;&gt; 0), (AY82/$H82)*100, ""))</f>
        <v/>
      </c>
      <c r="BA82" s="23" t="s">
        <v>562</v>
      </c>
    </row>
    <row r="83" spans="1:53" ht="20" customHeight="1" x14ac:dyDescent="0.2">
      <c r="A83" s="61"/>
      <c r="B83" s="24"/>
      <c r="C83" s="24" t="s">
        <v>35</v>
      </c>
      <c r="D83" s="23" t="s">
        <v>141</v>
      </c>
      <c r="E83" s="23" t="s">
        <v>142</v>
      </c>
      <c r="F83" s="24">
        <v>2015</v>
      </c>
      <c r="G83" s="24">
        <v>1</v>
      </c>
      <c r="H83" s="89">
        <v>119</v>
      </c>
      <c r="I83" s="85"/>
      <c r="J83" s="86"/>
      <c r="K83" s="33"/>
      <c r="L83" s="36" t="str">
        <f>IF((ISERROR((K83/$H83)*100)), "", IF(AND(NOT(ISERROR((K83/$H83)*100)),((K83/$H83)*100) &lt;&gt; 0), (K83/$H83)*100, ""))</f>
        <v/>
      </c>
      <c r="M83" s="33"/>
      <c r="N83" s="36" t="str">
        <f>IF((ISERROR((M83/$H83)*100)), "", IF(AND(NOT(ISERROR((M83/$H83)*100)),((M83/$H83)*100) &lt;&gt; 0), (M83/$H83)*100, ""))</f>
        <v/>
      </c>
      <c r="O83" s="33"/>
      <c r="P83" s="36" t="str">
        <f>IF((ISERROR((O83/$H83)*100)), "", IF(AND(NOT(ISERROR((O83/$H83)*100)),((O83/$H83)*100) &lt;&gt; 0), (O83/$H83)*100, ""))</f>
        <v/>
      </c>
      <c r="Q83" s="33"/>
      <c r="R83" s="36" t="str">
        <f>IF((ISERROR((Q83/$H83)*100)), "", IF(AND(NOT(ISERROR((Q83/$H83)*100)),((Q83/$H83)*100) &lt;&gt; 0), (Q83/$H83)*100, ""))</f>
        <v/>
      </c>
      <c r="S83" s="33"/>
      <c r="T83" s="36" t="str">
        <f>IF((ISERROR((S83/$H83)*100)), "", IF(AND(NOT(ISERROR((S83/$H83)*100)),((S83/$H83)*100) &lt;&gt; 0), (S83/$H83)*100, ""))</f>
        <v/>
      </c>
      <c r="U83" s="33"/>
      <c r="V83" s="36" t="str">
        <f>IF((ISERROR((U83/$H83)*100)), "", IF(AND(NOT(ISERROR((U83/$H83)*100)),((U83/$H83)*100) &lt;&gt; 0), (U83/$H83)*100, ""))</f>
        <v/>
      </c>
      <c r="W83" s="33"/>
      <c r="X83" s="36" t="str">
        <f>IF((ISERROR((W83/$H83)*100)), "", IF(AND(NOT(ISERROR((W83/$H83)*100)),((W83/$H83)*100) &lt;&gt; 0), (W83/$H83)*100, ""))</f>
        <v/>
      </c>
      <c r="Y83" s="33"/>
      <c r="Z83" s="36" t="str">
        <f>IF((ISERROR((Y83/$H83)*100)), "", IF(AND(NOT(ISERROR((Y83/$H83)*100)),((Y83/$H83)*100) &lt;&gt; 0), (Y83/$H83)*100, ""))</f>
        <v/>
      </c>
      <c r="AA83" s="33"/>
      <c r="AB83" s="36" t="str">
        <f>IF((ISERROR((AA83/$H83)*100)), "", IF(AND(NOT(ISERROR((AA83/$H83)*100)),((AA83/$H83)*100) &lt;&gt; 0), (AA83/$H83)*100, ""))</f>
        <v/>
      </c>
      <c r="AC83" s="33"/>
      <c r="AD83" s="36" t="str">
        <f>IF((ISERROR((AC83/$H83)*100)), "", IF(AND(NOT(ISERROR((AC83/$H83)*100)),((AC83/$H83)*100) &lt;&gt; 0), (AC83/$H83)*100, ""))</f>
        <v/>
      </c>
      <c r="AE83" s="33"/>
      <c r="AF83" s="36" t="str">
        <f>IF((ISERROR((AE83/$H83)*100)), "", IF(AND(NOT(ISERROR((AE83/$H83)*100)),((AE83/$H83)*100) &lt;&gt; 0), (AE83/$H83)*100, ""))</f>
        <v/>
      </c>
      <c r="AG83" s="33"/>
      <c r="AH83" s="36" t="str">
        <f>IF((ISERROR((AG83/$H83)*100)), "", IF(AND(NOT(ISERROR((AG83/$H83)*100)),((AG83/$H83)*100) &lt;&gt; 0), (AG83/$H83)*100, ""))</f>
        <v/>
      </c>
      <c r="AI83" s="33"/>
      <c r="AJ83" s="36" t="str">
        <f>IF((ISERROR((AI83/$H83)*100)), "", IF(AND(NOT(ISERROR((AI83/$H83)*100)),((AI83/$H83)*100) &lt;&gt; 0), (AI83/$H83)*100, ""))</f>
        <v/>
      </c>
      <c r="AK83" s="33"/>
      <c r="AL83" s="36" t="str">
        <f>IF((ISERROR((AK83/$H83)*100)), "", IF(AND(NOT(ISERROR((AK83/$H83)*100)),((AK83/$H83)*100) &lt;&gt; 0), (AK83/$H83)*100, ""))</f>
        <v/>
      </c>
      <c r="AM83" s="33"/>
      <c r="AN83" s="36" t="str">
        <f>IF((ISERROR((AM83/$H83)*100)), "", IF(AND(NOT(ISERROR((AM83/$H83)*100)),((AM83/$H83)*100) &lt;&gt; 0), (AM83/$H83)*100, ""))</f>
        <v/>
      </c>
      <c r="AO83" s="33"/>
      <c r="AP83" s="36" t="str">
        <f>IF((ISERROR((AO83/$H83)*100)), "", IF(AND(NOT(ISERROR((AO83/$H83)*100)),((AO83/$H83)*100) &lt;&gt; 0), (AO83/$H83)*100, ""))</f>
        <v/>
      </c>
      <c r="AQ83" s="33"/>
      <c r="AR83" s="36" t="str">
        <f>IF((ISERROR((AQ83/$H83)*100)), "", IF(AND(NOT(ISERROR((AQ83/$H83)*100)),((AQ83/$H83)*100) &lt;&gt; 0), (AQ83/$H83)*100, ""))</f>
        <v/>
      </c>
      <c r="AS83" s="33"/>
      <c r="AT83" s="36" t="str">
        <f>IF((ISERROR((AS83/$H83)*100)), "", IF(AND(NOT(ISERROR((AS83/$H83)*100)),((AS83/$H83)*100) &lt;&gt; 0), (AS83/$H83)*100, ""))</f>
        <v/>
      </c>
      <c r="AU83" s="33"/>
      <c r="AV83" s="36" t="str">
        <f>IF((ISERROR((AU83/$H83)*100)), "", IF(AND(NOT(ISERROR((AU83/$H83)*100)),((AU83/$H83)*100) &lt;&gt; 0), (AU83/$H83)*100, ""))</f>
        <v/>
      </c>
      <c r="AW83" s="76"/>
      <c r="AX83" s="36" t="str">
        <f>IF((ISERROR((AW83/$H83)*100)), "", IF(AND(NOT(ISERROR((AW83/$H83)*100)),((AW83/$H83)*100) &lt;&gt; 0), (AW83/$H83)*100, ""))</f>
        <v/>
      </c>
      <c r="AY83" s="76"/>
      <c r="AZ83" s="36" t="str">
        <f>IF((ISERROR((AY83/$H83)*100)), "", IF(AND(NOT(ISERROR((AY83/$H83)*100)),((AY83/$H83)*100) &lt;&gt; 0), (AY83/$H83)*100, ""))</f>
        <v/>
      </c>
      <c r="BA83" s="23" t="s">
        <v>228</v>
      </c>
    </row>
    <row r="84" spans="1:53" ht="20" customHeight="1" x14ac:dyDescent="0.2">
      <c r="A84" s="60"/>
      <c r="B84" s="83"/>
      <c r="C84" s="50" t="s">
        <v>30</v>
      </c>
      <c r="D84" s="49" t="s">
        <v>97</v>
      </c>
      <c r="E84" s="49" t="s">
        <v>98</v>
      </c>
      <c r="F84" s="50">
        <v>2011</v>
      </c>
      <c r="G84" s="50">
        <v>74</v>
      </c>
      <c r="H84" s="89">
        <v>221</v>
      </c>
      <c r="I84" s="85"/>
      <c r="J84" s="86"/>
      <c r="K84" s="33"/>
      <c r="L84" s="36" t="str">
        <f>IF((ISERROR((K84/$H84)*100)), "", IF(AND(NOT(ISERROR((K84/$H84)*100)),((K84/$H84)*100) &lt;&gt; 0), (K84/$H84)*100, ""))</f>
        <v/>
      </c>
      <c r="M84" s="33"/>
      <c r="N84" s="36" t="str">
        <f>IF((ISERROR((M84/$H84)*100)), "", IF(AND(NOT(ISERROR((M84/$H84)*100)),((M84/$H84)*100) &lt;&gt; 0), (M84/$H84)*100, ""))</f>
        <v/>
      </c>
      <c r="O84" s="33"/>
      <c r="P84" s="36" t="str">
        <f>IF((ISERROR((O84/$H84)*100)), "", IF(AND(NOT(ISERROR((O84/$H84)*100)),((O84/$H84)*100) &lt;&gt; 0), (O84/$H84)*100, ""))</f>
        <v/>
      </c>
      <c r="Q84" s="33"/>
      <c r="R84" s="36" t="str">
        <f>IF((ISERROR((Q84/$H84)*100)), "", IF(AND(NOT(ISERROR((Q84/$H84)*100)),((Q84/$H84)*100) &lt;&gt; 0), (Q84/$H84)*100, ""))</f>
        <v/>
      </c>
      <c r="S84" s="33"/>
      <c r="T84" s="36" t="str">
        <f>IF((ISERROR((S84/$H84)*100)), "", IF(AND(NOT(ISERROR((S84/$H84)*100)),((S84/$H84)*100) &lt;&gt; 0), (S84/$H84)*100, ""))</f>
        <v/>
      </c>
      <c r="U84" s="33"/>
      <c r="V84" s="36" t="str">
        <f>IF((ISERROR((U84/$H84)*100)), "", IF(AND(NOT(ISERROR((U84/$H84)*100)),((U84/$H84)*100) &lt;&gt; 0), (U84/$H84)*100, ""))</f>
        <v/>
      </c>
      <c r="W84" s="33"/>
      <c r="X84" s="36" t="str">
        <f>IF((ISERROR((W84/$H84)*100)), "", IF(AND(NOT(ISERROR((W84/$H84)*100)),((W84/$H84)*100) &lt;&gt; 0), (W84/$H84)*100, ""))</f>
        <v/>
      </c>
      <c r="Y84" s="33"/>
      <c r="Z84" s="36" t="str">
        <f>IF((ISERROR((Y84/$H84)*100)), "", IF(AND(NOT(ISERROR((Y84/$H84)*100)),((Y84/$H84)*100) &lt;&gt; 0), (Y84/$H84)*100, ""))</f>
        <v/>
      </c>
      <c r="AA84" s="33"/>
      <c r="AB84" s="36" t="str">
        <f>IF((ISERROR((AA84/$H84)*100)), "", IF(AND(NOT(ISERROR((AA84/$H84)*100)),((AA84/$H84)*100) &lt;&gt; 0), (AA84/$H84)*100, ""))</f>
        <v/>
      </c>
      <c r="AC84" s="33"/>
      <c r="AD84" s="36" t="str">
        <f>IF((ISERROR((AC84/$H84)*100)), "", IF(AND(NOT(ISERROR((AC84/$H84)*100)),((AC84/$H84)*100) &lt;&gt; 0), (AC84/$H84)*100, ""))</f>
        <v/>
      </c>
      <c r="AE84" s="33"/>
      <c r="AF84" s="36" t="str">
        <f>IF((ISERROR((AE84/$H84)*100)), "", IF(AND(NOT(ISERROR((AE84/$H84)*100)),((AE84/$H84)*100) &lt;&gt; 0), (AE84/$H84)*100, ""))</f>
        <v/>
      </c>
      <c r="AG84" s="33"/>
      <c r="AH84" s="36" t="str">
        <f>IF((ISERROR((AG84/$H84)*100)), "", IF(AND(NOT(ISERROR((AG84/$H84)*100)),((AG84/$H84)*100) &lt;&gt; 0), (AG84/$H84)*100, ""))</f>
        <v/>
      </c>
      <c r="AI84" s="33"/>
      <c r="AJ84" s="36" t="str">
        <f>IF((ISERROR((AI84/$H84)*100)), "", IF(AND(NOT(ISERROR((AI84/$H84)*100)),((AI84/$H84)*100) &lt;&gt; 0), (AI84/$H84)*100, ""))</f>
        <v/>
      </c>
      <c r="AK84" s="33"/>
      <c r="AL84" s="36" t="str">
        <f>IF((ISERROR((AK84/$H84)*100)), "", IF(AND(NOT(ISERROR((AK84/$H84)*100)),((AK84/$H84)*100) &lt;&gt; 0), (AK84/$H84)*100, ""))</f>
        <v/>
      </c>
      <c r="AM84" s="33"/>
      <c r="AN84" s="36" t="str">
        <f>IF((ISERROR((AM84/$H84)*100)), "", IF(AND(NOT(ISERROR((AM84/$H84)*100)),((AM84/$H84)*100) &lt;&gt; 0), (AM84/$H84)*100, ""))</f>
        <v/>
      </c>
      <c r="AO84" s="33"/>
      <c r="AP84" s="36" t="str">
        <f>IF((ISERROR((AO84/$H84)*100)), "", IF(AND(NOT(ISERROR((AO84/$H84)*100)),((AO84/$H84)*100) &lt;&gt; 0), (AO84/$H84)*100, ""))</f>
        <v/>
      </c>
      <c r="AQ84" s="33"/>
      <c r="AR84" s="36" t="str">
        <f>IF((ISERROR((AQ84/$H84)*100)), "", IF(AND(NOT(ISERROR((AQ84/$H84)*100)),((AQ84/$H84)*100) &lt;&gt; 0), (AQ84/$H84)*100, ""))</f>
        <v/>
      </c>
      <c r="AS84" s="33"/>
      <c r="AT84" s="36" t="str">
        <f>IF((ISERROR((AS84/$H84)*100)), "", IF(AND(NOT(ISERROR((AS84/$H84)*100)),((AS84/$H84)*100) &lt;&gt; 0), (AS84/$H84)*100, ""))</f>
        <v/>
      </c>
      <c r="AU84" s="33"/>
      <c r="AV84" s="36" t="str">
        <f>IF((ISERROR((AU84/$H84)*100)), "", IF(AND(NOT(ISERROR((AU84/$H84)*100)),((AU84/$H84)*100) &lt;&gt; 0), (AU84/$H84)*100, ""))</f>
        <v/>
      </c>
      <c r="AW84" s="76"/>
      <c r="AX84" s="36" t="str">
        <f>IF((ISERROR((AW84/$H84)*100)), "", IF(AND(NOT(ISERROR((AW84/$H84)*100)),((AW84/$H84)*100) &lt;&gt; 0), (AW84/$H84)*100, ""))</f>
        <v/>
      </c>
      <c r="AY84" s="76"/>
      <c r="AZ84" s="36" t="str">
        <f>IF((ISERROR((AY84/$H84)*100)), "", IF(AND(NOT(ISERROR((AY84/$H84)*100)),((AY84/$H84)*100) &lt;&gt; 0), (AY84/$H84)*100, ""))</f>
        <v/>
      </c>
      <c r="BA84" s="23" t="s">
        <v>385</v>
      </c>
    </row>
    <row r="85" spans="1:53" ht="20" customHeight="1" x14ac:dyDescent="0.2">
      <c r="A85" s="60"/>
      <c r="B85" s="82"/>
      <c r="C85" s="24" t="s">
        <v>85</v>
      </c>
      <c r="D85" s="23" t="s">
        <v>295</v>
      </c>
      <c r="E85" s="23" t="s">
        <v>296</v>
      </c>
      <c r="F85" s="24">
        <v>2011</v>
      </c>
      <c r="H85" s="89">
        <v>244</v>
      </c>
      <c r="I85" s="85" t="s">
        <v>211</v>
      </c>
      <c r="J85" s="86" t="s">
        <v>190</v>
      </c>
      <c r="K85" s="33">
        <v>3</v>
      </c>
      <c r="L85" s="36">
        <f>IF((ISERROR((K85/$H85)*100)), "", IF(AND(NOT(ISERROR((K85/$H85)*100)),((K85/$H85)*100) &lt;&gt; 0), (K85/$H85)*100, ""))</f>
        <v>1.2295081967213115</v>
      </c>
      <c r="M85" s="33"/>
      <c r="N85" s="36" t="str">
        <f>IF((ISERROR((M85/$H85)*100)), "", IF(AND(NOT(ISERROR((M85/$H85)*100)),((M85/$H85)*100) &lt;&gt; 0), (M85/$H85)*100, ""))</f>
        <v/>
      </c>
      <c r="O85" s="33"/>
      <c r="P85" s="36" t="str">
        <f>IF((ISERROR((O85/$H85)*100)), "", IF(AND(NOT(ISERROR((O85/$H85)*100)),((O85/$H85)*100) &lt;&gt; 0), (O85/$H85)*100, ""))</f>
        <v/>
      </c>
      <c r="Q85" s="33">
        <v>4</v>
      </c>
      <c r="R85" s="36">
        <f>IF((ISERROR((Q85/$H85)*100)), "", IF(AND(NOT(ISERROR((Q85/$H85)*100)),((Q85/$H85)*100) &lt;&gt; 0), (Q85/$H85)*100, ""))</f>
        <v>1.639344262295082</v>
      </c>
      <c r="S85" s="33"/>
      <c r="T85" s="36" t="str">
        <f>IF((ISERROR((S85/$H85)*100)), "", IF(AND(NOT(ISERROR((S85/$H85)*100)),((S85/$H85)*100) &lt;&gt; 0), (S85/$H85)*100, ""))</f>
        <v/>
      </c>
      <c r="U85" s="33"/>
      <c r="V85" s="36" t="str">
        <f>IF((ISERROR((U85/$H85)*100)), "", IF(AND(NOT(ISERROR((U85/$H85)*100)),((U85/$H85)*100) &lt;&gt; 0), (U85/$H85)*100, ""))</f>
        <v/>
      </c>
      <c r="W85" s="33"/>
      <c r="X85" s="36" t="str">
        <f>IF((ISERROR((W85/$H85)*100)), "", IF(AND(NOT(ISERROR((W85/$H85)*100)),((W85/$H85)*100) &lt;&gt; 0), (W85/$H85)*100, ""))</f>
        <v/>
      </c>
      <c r="Y85" s="33"/>
      <c r="Z85" s="36" t="str">
        <f>IF((ISERROR((Y85/$H85)*100)), "", IF(AND(NOT(ISERROR((Y85/$H85)*100)),((Y85/$H85)*100) &lt;&gt; 0), (Y85/$H85)*100, ""))</f>
        <v/>
      </c>
      <c r="AA85" s="33"/>
      <c r="AB85" s="36" t="str">
        <f>IF((ISERROR((AA85/$H85)*100)), "", IF(AND(NOT(ISERROR((AA85/$H85)*100)),((AA85/$H85)*100) &lt;&gt; 0), (AA85/$H85)*100, ""))</f>
        <v/>
      </c>
      <c r="AC85" s="33"/>
      <c r="AD85" s="36" t="str">
        <f>IF((ISERROR((AC85/$H85)*100)), "", IF(AND(NOT(ISERROR((AC85/$H85)*100)),((AC85/$H85)*100) &lt;&gt; 0), (AC85/$H85)*100, ""))</f>
        <v/>
      </c>
      <c r="AE85" s="33"/>
      <c r="AF85" s="36" t="str">
        <f>IF((ISERROR((AE85/$H85)*100)), "", IF(AND(NOT(ISERROR((AE85/$H85)*100)),((AE85/$H85)*100) &lt;&gt; 0), (AE85/$H85)*100, ""))</f>
        <v/>
      </c>
      <c r="AG85" s="33"/>
      <c r="AH85" s="36" t="str">
        <f>IF((ISERROR((AG85/$H85)*100)), "", IF(AND(NOT(ISERROR((AG85/$H85)*100)),((AG85/$H85)*100) &lt;&gt; 0), (AG85/$H85)*100, ""))</f>
        <v/>
      </c>
      <c r="AI85" s="33"/>
      <c r="AJ85" s="36" t="str">
        <f>IF((ISERROR((AI85/$H85)*100)), "", IF(AND(NOT(ISERROR((AI85/$H85)*100)),((AI85/$H85)*100) &lt;&gt; 0), (AI85/$H85)*100, ""))</f>
        <v/>
      </c>
      <c r="AK85" s="33"/>
      <c r="AL85" s="36" t="str">
        <f>IF((ISERROR((AK85/$H85)*100)), "", IF(AND(NOT(ISERROR((AK85/$H85)*100)),((AK85/$H85)*100) &lt;&gt; 0), (AK85/$H85)*100, ""))</f>
        <v/>
      </c>
      <c r="AM85" s="33"/>
      <c r="AN85" s="36" t="str">
        <f>IF((ISERROR((AM85/$H85)*100)), "", IF(AND(NOT(ISERROR((AM85/$H85)*100)),((AM85/$H85)*100) &lt;&gt; 0), (AM85/$H85)*100, ""))</f>
        <v/>
      </c>
      <c r="AO85" s="33"/>
      <c r="AP85" s="36" t="str">
        <f>IF((ISERROR((AO85/$H85)*100)), "", IF(AND(NOT(ISERROR((AO85/$H85)*100)),((AO85/$H85)*100) &lt;&gt; 0), (AO85/$H85)*100, ""))</f>
        <v/>
      </c>
      <c r="AQ85" s="33"/>
      <c r="AR85" s="36" t="str">
        <f>IF((ISERROR((AQ85/$H85)*100)), "", IF(AND(NOT(ISERROR((AQ85/$H85)*100)),((AQ85/$H85)*100) &lt;&gt; 0), (AQ85/$H85)*100, ""))</f>
        <v/>
      </c>
      <c r="AS85" s="33"/>
      <c r="AT85" s="36" t="str">
        <f>IF((ISERROR((AS85/$H85)*100)), "", IF(AND(NOT(ISERROR((AS85/$H85)*100)),((AS85/$H85)*100) &lt;&gt; 0), (AS85/$H85)*100, ""))</f>
        <v/>
      </c>
      <c r="AU85" s="33"/>
      <c r="AV85" s="36" t="str">
        <f>IF((ISERROR((AU85/$H85)*100)), "", IF(AND(NOT(ISERROR((AU85/$H85)*100)),((AU85/$H85)*100) &lt;&gt; 0), (AU85/$H85)*100, ""))</f>
        <v/>
      </c>
      <c r="AW85" s="31"/>
      <c r="AX85" s="36" t="str">
        <f>IF((ISERROR((AW85/$H85)*100)), "", IF(AND(NOT(ISERROR((AW85/$H85)*100)),((AW85/$H85)*100) &lt;&gt; 0), (AW85/$H85)*100, ""))</f>
        <v/>
      </c>
      <c r="AY85" s="59"/>
      <c r="AZ85" s="36" t="str">
        <f>IF((ISERROR((AY85/$H85)*100)), "", IF(AND(NOT(ISERROR((AY85/$H85)*100)),((AY85/$H85)*100) &lt;&gt; 0), (AY85/$H85)*100, ""))</f>
        <v/>
      </c>
    </row>
    <row r="86" spans="1:53" ht="20" customHeight="1" x14ac:dyDescent="0.2">
      <c r="A86" s="60"/>
      <c r="B86" s="82"/>
      <c r="C86" s="24" t="s">
        <v>85</v>
      </c>
      <c r="D86" s="23" t="s">
        <v>319</v>
      </c>
      <c r="E86" s="23" t="s">
        <v>320</v>
      </c>
      <c r="F86" s="24">
        <v>2010</v>
      </c>
      <c r="H86" s="89">
        <v>789</v>
      </c>
      <c r="I86" s="85" t="s">
        <v>211</v>
      </c>
      <c r="J86" s="86" t="s">
        <v>375</v>
      </c>
      <c r="K86" s="33"/>
      <c r="L86" s="36" t="str">
        <f>IF((ISERROR((K86/$H86)*100)), "", IF(AND(NOT(ISERROR((K86/$H86)*100)),((K86/$H86)*100) &lt;&gt; 0), (K86/$H86)*100, ""))</f>
        <v/>
      </c>
      <c r="M86" s="33"/>
      <c r="N86" s="36" t="str">
        <f>IF((ISERROR((M86/$H86)*100)), "", IF(AND(NOT(ISERROR((M86/$H86)*100)),((M86/$H86)*100) &lt;&gt; 0), (M86/$H86)*100, ""))</f>
        <v/>
      </c>
      <c r="O86" s="33"/>
      <c r="P86" s="36" t="str">
        <f>IF((ISERROR((O86/$H86)*100)), "", IF(AND(NOT(ISERROR((O86/$H86)*100)),((O86/$H86)*100) &lt;&gt; 0), (O86/$H86)*100, ""))</f>
        <v/>
      </c>
      <c r="Q86" s="33"/>
      <c r="R86" s="36" t="str">
        <f>IF((ISERROR((Q86/$H86)*100)), "", IF(AND(NOT(ISERROR((Q86/$H86)*100)),((Q86/$H86)*100) &lt;&gt; 0), (Q86/$H86)*100, ""))</f>
        <v/>
      </c>
      <c r="S86" s="33"/>
      <c r="T86" s="36" t="str">
        <f>IF((ISERROR((S86/$H86)*100)), "", IF(AND(NOT(ISERROR((S86/$H86)*100)),((S86/$H86)*100) &lt;&gt; 0), (S86/$H86)*100, ""))</f>
        <v/>
      </c>
      <c r="U86" s="33"/>
      <c r="V86" s="36" t="str">
        <f>IF((ISERROR((U86/$H86)*100)), "", IF(AND(NOT(ISERROR((U86/$H86)*100)),((U86/$H86)*100) &lt;&gt; 0), (U86/$H86)*100, ""))</f>
        <v/>
      </c>
      <c r="W86" s="33"/>
      <c r="X86" s="36" t="str">
        <f>IF((ISERROR((W86/$H86)*100)), "", IF(AND(NOT(ISERROR((W86/$H86)*100)),((W86/$H86)*100) &lt;&gt; 0), (W86/$H86)*100, ""))</f>
        <v/>
      </c>
      <c r="Y86" s="33"/>
      <c r="Z86" s="36" t="str">
        <f>IF((ISERROR((Y86/$H86)*100)), "", IF(AND(NOT(ISERROR((Y86/$H86)*100)),((Y86/$H86)*100) &lt;&gt; 0), (Y86/$H86)*100, ""))</f>
        <v/>
      </c>
      <c r="AA86" s="33"/>
      <c r="AB86" s="36" t="str">
        <f>IF((ISERROR((AA86/$H86)*100)), "", IF(AND(NOT(ISERROR((AA86/$H86)*100)),((AA86/$H86)*100) &lt;&gt; 0), (AA86/$H86)*100, ""))</f>
        <v/>
      </c>
      <c r="AC86" s="33"/>
      <c r="AD86" s="36" t="str">
        <f>IF((ISERROR((AC86/$H86)*100)), "", IF(AND(NOT(ISERROR((AC86/$H86)*100)),((AC86/$H86)*100) &lt;&gt; 0), (AC86/$H86)*100, ""))</f>
        <v/>
      </c>
      <c r="AE86" s="33"/>
      <c r="AF86" s="36" t="str">
        <f>IF((ISERROR((AE86/$H86)*100)), "", IF(AND(NOT(ISERROR((AE86/$H86)*100)),((AE86/$H86)*100) &lt;&gt; 0), (AE86/$H86)*100, ""))</f>
        <v/>
      </c>
      <c r="AG86" s="33"/>
      <c r="AH86" s="36" t="str">
        <f>IF((ISERROR((AG86/$H86)*100)), "", IF(AND(NOT(ISERROR((AG86/$H86)*100)),((AG86/$H86)*100) &lt;&gt; 0), (AG86/$H86)*100, ""))</f>
        <v/>
      </c>
      <c r="AI86" s="33"/>
      <c r="AJ86" s="36" t="str">
        <f>IF((ISERROR((AI86/$H86)*100)), "", IF(AND(NOT(ISERROR((AI86/$H86)*100)),((AI86/$H86)*100) &lt;&gt; 0), (AI86/$H86)*100, ""))</f>
        <v/>
      </c>
      <c r="AK86" s="33"/>
      <c r="AL86" s="36" t="str">
        <f>IF((ISERROR((AK86/$H86)*100)), "", IF(AND(NOT(ISERROR((AK86/$H86)*100)),((AK86/$H86)*100) &lt;&gt; 0), (AK86/$H86)*100, ""))</f>
        <v/>
      </c>
      <c r="AM86" s="33"/>
      <c r="AN86" s="36" t="str">
        <f>IF((ISERROR((AM86/$H86)*100)), "", IF(AND(NOT(ISERROR((AM86/$H86)*100)),((AM86/$H86)*100) &lt;&gt; 0), (AM86/$H86)*100, ""))</f>
        <v/>
      </c>
      <c r="AO86" s="33"/>
      <c r="AP86" s="36" t="str">
        <f>IF((ISERROR((AO86/$H86)*100)), "", IF(AND(NOT(ISERROR((AO86/$H86)*100)),((AO86/$H86)*100) &lt;&gt; 0), (AO86/$H86)*100, ""))</f>
        <v/>
      </c>
      <c r="AQ86" s="33"/>
      <c r="AR86" s="36" t="str">
        <f>IF((ISERROR((AQ86/$H86)*100)), "", IF(AND(NOT(ISERROR((AQ86/$H86)*100)),((AQ86/$H86)*100) &lt;&gt; 0), (AQ86/$H86)*100, ""))</f>
        <v/>
      </c>
      <c r="AS86" s="33"/>
      <c r="AT86" s="36" t="str">
        <f>IF((ISERROR((AS86/$H86)*100)), "", IF(AND(NOT(ISERROR((AS86/$H86)*100)),((AS86/$H86)*100) &lt;&gt; 0), (AS86/$H86)*100, ""))</f>
        <v/>
      </c>
      <c r="AU86" s="33"/>
      <c r="AV86" s="36" t="str">
        <f>IF((ISERROR((AU86/$H86)*100)), "", IF(AND(NOT(ISERROR((AU86/$H86)*100)),((AU86/$H86)*100) &lt;&gt; 0), (AU86/$H86)*100, ""))</f>
        <v/>
      </c>
      <c r="AW86" s="76"/>
      <c r="AX86" s="36" t="str">
        <f>IF((ISERROR((AW86/$H86)*100)), "", IF(AND(NOT(ISERROR((AW86/$H86)*100)),((AW86/$H86)*100) &lt;&gt; 0), (AW86/$H86)*100, ""))</f>
        <v/>
      </c>
      <c r="AY86" s="76">
        <v>43</v>
      </c>
      <c r="AZ86" s="36">
        <f>IF((ISERROR((AY86/$H86)*100)), "", IF(AND(NOT(ISERROR((AY86/$H86)*100)),((AY86/$H86)*100) &lt;&gt; 0), (AY86/$H86)*100, ""))</f>
        <v>5.4499366286438535</v>
      </c>
      <c r="BA86" s="23" t="s">
        <v>374</v>
      </c>
    </row>
    <row r="87" spans="1:53" ht="20" customHeight="1" x14ac:dyDescent="0.2">
      <c r="A87" s="60"/>
      <c r="B87" s="24"/>
      <c r="C87" s="50" t="s">
        <v>30</v>
      </c>
      <c r="D87" s="49" t="s">
        <v>117</v>
      </c>
      <c r="E87" s="49" t="s">
        <v>118</v>
      </c>
      <c r="F87" s="50">
        <v>2004</v>
      </c>
      <c r="G87" s="50">
        <v>100</v>
      </c>
      <c r="H87" s="89" t="s">
        <v>216</v>
      </c>
      <c r="I87" s="85" t="s">
        <v>217</v>
      </c>
      <c r="J87" s="86"/>
      <c r="K87" s="33"/>
      <c r="L87" s="36" t="str">
        <f>IF((ISERROR((K87/$H87)*100)), "", IF(AND(NOT(ISERROR((K87/$H87)*100)),((K87/$H87)*100) &lt;&gt; 0), (K87/$H87)*100, ""))</f>
        <v/>
      </c>
      <c r="M87" s="33"/>
      <c r="N87" s="36" t="str">
        <f>IF((ISERROR((M87/$H87)*100)), "", IF(AND(NOT(ISERROR((M87/$H87)*100)),((M87/$H87)*100) &lt;&gt; 0), (M87/$H87)*100, ""))</f>
        <v/>
      </c>
      <c r="O87" s="33"/>
      <c r="P87" s="36" t="str">
        <f>IF((ISERROR((O87/$H87)*100)), "", IF(AND(NOT(ISERROR((O87/$H87)*100)),((O87/$H87)*100) &lt;&gt; 0), (O87/$H87)*100, ""))</f>
        <v/>
      </c>
      <c r="Q87" s="33"/>
      <c r="R87" s="36" t="str">
        <f>IF((ISERROR((Q87/$H87)*100)), "", IF(AND(NOT(ISERROR((Q87/$H87)*100)),((Q87/$H87)*100) &lt;&gt; 0), (Q87/$H87)*100, ""))</f>
        <v/>
      </c>
      <c r="S87" s="33"/>
      <c r="T87" s="36" t="str">
        <f>IF((ISERROR((S87/$H87)*100)), "", IF(AND(NOT(ISERROR((S87/$H87)*100)),((S87/$H87)*100) &lt;&gt; 0), (S87/$H87)*100, ""))</f>
        <v/>
      </c>
      <c r="U87" s="33"/>
      <c r="V87" s="36" t="str">
        <f>IF((ISERROR((U87/$H87)*100)), "", IF(AND(NOT(ISERROR((U87/$H87)*100)),((U87/$H87)*100) &lt;&gt; 0), (U87/$H87)*100, ""))</f>
        <v/>
      </c>
      <c r="W87" s="33"/>
      <c r="X87" s="36" t="str">
        <f>IF((ISERROR((W87/$H87)*100)), "", IF(AND(NOT(ISERROR((W87/$H87)*100)),((W87/$H87)*100) &lt;&gt; 0), (W87/$H87)*100, ""))</f>
        <v/>
      </c>
      <c r="Y87" s="33"/>
      <c r="Z87" s="36" t="str">
        <f>IF((ISERROR((Y87/$H87)*100)), "", IF(AND(NOT(ISERROR((Y87/$H87)*100)),((Y87/$H87)*100) &lt;&gt; 0), (Y87/$H87)*100, ""))</f>
        <v/>
      </c>
      <c r="AA87" s="33"/>
      <c r="AB87" s="36" t="str">
        <f>IF((ISERROR((AA87/$H87)*100)), "", IF(AND(NOT(ISERROR((AA87/$H87)*100)),((AA87/$H87)*100) &lt;&gt; 0), (AA87/$H87)*100, ""))</f>
        <v/>
      </c>
      <c r="AC87" s="33"/>
      <c r="AD87" s="36" t="str">
        <f>IF((ISERROR((AC87/$H87)*100)), "", IF(AND(NOT(ISERROR((AC87/$H87)*100)),((AC87/$H87)*100) &lt;&gt; 0), (AC87/$H87)*100, ""))</f>
        <v/>
      </c>
      <c r="AE87" s="33"/>
      <c r="AF87" s="36" t="str">
        <f>IF((ISERROR((AE87/$H87)*100)), "", IF(AND(NOT(ISERROR((AE87/$H87)*100)),((AE87/$H87)*100) &lt;&gt; 0), (AE87/$H87)*100, ""))</f>
        <v/>
      </c>
      <c r="AG87" s="33"/>
      <c r="AH87" s="36" t="str">
        <f>IF((ISERROR((AG87/$H87)*100)), "", IF(AND(NOT(ISERROR((AG87/$H87)*100)),((AG87/$H87)*100) &lt;&gt; 0), (AG87/$H87)*100, ""))</f>
        <v/>
      </c>
      <c r="AI87" s="33"/>
      <c r="AJ87" s="36" t="str">
        <f>IF((ISERROR((AI87/$H87)*100)), "", IF(AND(NOT(ISERROR((AI87/$H87)*100)),((AI87/$H87)*100) &lt;&gt; 0), (AI87/$H87)*100, ""))</f>
        <v/>
      </c>
      <c r="AK87" s="33"/>
      <c r="AL87" s="36" t="str">
        <f>IF((ISERROR((AK87/$H87)*100)), "", IF(AND(NOT(ISERROR((AK87/$H87)*100)),((AK87/$H87)*100) &lt;&gt; 0), (AK87/$H87)*100, ""))</f>
        <v/>
      </c>
      <c r="AM87" s="33"/>
      <c r="AN87" s="36" t="str">
        <f>IF((ISERROR((AM87/$H87)*100)), "", IF(AND(NOT(ISERROR((AM87/$H87)*100)),((AM87/$H87)*100) &lt;&gt; 0), (AM87/$H87)*100, ""))</f>
        <v/>
      </c>
      <c r="AO87" s="33"/>
      <c r="AP87" s="36" t="str">
        <f>IF((ISERROR((AO87/$H87)*100)), "", IF(AND(NOT(ISERROR((AO87/$H87)*100)),((AO87/$H87)*100) &lt;&gt; 0), (AO87/$H87)*100, ""))</f>
        <v/>
      </c>
      <c r="AQ87" s="33"/>
      <c r="AR87" s="36" t="str">
        <f>IF((ISERROR((AQ87/$H87)*100)), "", IF(AND(NOT(ISERROR((AQ87/$H87)*100)),((AQ87/$H87)*100) &lt;&gt; 0), (AQ87/$H87)*100, ""))</f>
        <v/>
      </c>
      <c r="AS87" s="33"/>
      <c r="AT87" s="36" t="str">
        <f>IF((ISERROR((AS87/$H87)*100)), "", IF(AND(NOT(ISERROR((AS87/$H87)*100)),((AS87/$H87)*100) &lt;&gt; 0), (AS87/$H87)*100, ""))</f>
        <v/>
      </c>
      <c r="AU87" s="33"/>
      <c r="AV87" s="36" t="str">
        <f>IF((ISERROR((AU87/$H87)*100)), "", IF(AND(NOT(ISERROR((AU87/$H87)*100)),((AU87/$H87)*100) &lt;&gt; 0), (AU87/$H87)*100, ""))</f>
        <v/>
      </c>
      <c r="AW87" s="76">
        <v>1</v>
      </c>
      <c r="AX87" s="36" t="str">
        <f>IF((ISERROR((AW87/$H87)*100)), "", IF(AND(NOT(ISERROR((AW87/$H87)*100)),((AW87/$H87)*100) &lt;&gt; 0), (AW87/$H87)*100, ""))</f>
        <v/>
      </c>
      <c r="AY87" s="76"/>
      <c r="AZ87" s="36" t="str">
        <f>IF((ISERROR((AY87/$H87)*100)), "", IF(AND(NOT(ISERROR((AY87/$H87)*100)),((AY87/$H87)*100) &lt;&gt; 0), (AY87/$H87)*100, ""))</f>
        <v/>
      </c>
      <c r="BA87" s="23" t="s">
        <v>390</v>
      </c>
    </row>
    <row r="88" spans="1:53" ht="20" customHeight="1" x14ac:dyDescent="0.2">
      <c r="A88" s="60"/>
      <c r="B88" s="24"/>
      <c r="C88" s="50" t="s">
        <v>30</v>
      </c>
      <c r="D88" s="49" t="s">
        <v>28</v>
      </c>
      <c r="E88" s="49" t="s">
        <v>29</v>
      </c>
      <c r="F88" s="50">
        <v>2016</v>
      </c>
      <c r="G88" s="50">
        <v>22</v>
      </c>
      <c r="H88" s="89"/>
      <c r="I88" s="85"/>
      <c r="J88" s="86"/>
      <c r="K88" s="33"/>
      <c r="L88" s="36" t="str">
        <f>IF((ISERROR((K88/$H88)*100)), "", IF(AND(NOT(ISERROR((K88/$H88)*100)),((K88/$H88)*100) &lt;&gt; 0), (K88/$H88)*100, ""))</f>
        <v/>
      </c>
      <c r="M88" s="33"/>
      <c r="N88" s="36" t="str">
        <f>IF((ISERROR((M88/$H88)*100)), "", IF(AND(NOT(ISERROR((M88/$H88)*100)),((M88/$H88)*100) &lt;&gt; 0), (M88/$H88)*100, ""))</f>
        <v/>
      </c>
      <c r="O88" s="33"/>
      <c r="P88" s="36" t="str">
        <f>IF((ISERROR((O88/$H88)*100)), "", IF(AND(NOT(ISERROR((O88/$H88)*100)),((O88/$H88)*100) &lt;&gt; 0), (O88/$H88)*100, ""))</f>
        <v/>
      </c>
      <c r="Q88" s="33"/>
      <c r="R88" s="36" t="str">
        <f>IF((ISERROR((Q88/$H88)*100)), "", IF(AND(NOT(ISERROR((Q88/$H88)*100)),((Q88/$H88)*100) &lt;&gt; 0), (Q88/$H88)*100, ""))</f>
        <v/>
      </c>
      <c r="S88" s="33"/>
      <c r="T88" s="36" t="str">
        <f>IF((ISERROR((S88/$H88)*100)), "", IF(AND(NOT(ISERROR((S88/$H88)*100)),((S88/$H88)*100) &lt;&gt; 0), (S88/$H88)*100, ""))</f>
        <v/>
      </c>
      <c r="U88" s="33"/>
      <c r="V88" s="36" t="str">
        <f>IF((ISERROR((U88/$H88)*100)), "", IF(AND(NOT(ISERROR((U88/$H88)*100)),((U88/$H88)*100) &lt;&gt; 0), (U88/$H88)*100, ""))</f>
        <v/>
      </c>
      <c r="W88" s="33"/>
      <c r="X88" s="36" t="str">
        <f>IF((ISERROR((W88/$H88)*100)), "", IF(AND(NOT(ISERROR((W88/$H88)*100)),((W88/$H88)*100) &lt;&gt; 0), (W88/$H88)*100, ""))</f>
        <v/>
      </c>
      <c r="Y88" s="33"/>
      <c r="Z88" s="36" t="str">
        <f>IF((ISERROR((Y88/$H88)*100)), "", IF(AND(NOT(ISERROR((Y88/$H88)*100)),((Y88/$H88)*100) &lt;&gt; 0), (Y88/$H88)*100, ""))</f>
        <v/>
      </c>
      <c r="AA88" s="33"/>
      <c r="AB88" s="36" t="str">
        <f>IF((ISERROR((AA88/$H88)*100)), "", IF(AND(NOT(ISERROR((AA88/$H88)*100)),((AA88/$H88)*100) &lt;&gt; 0), (AA88/$H88)*100, ""))</f>
        <v/>
      </c>
      <c r="AC88" s="33"/>
      <c r="AD88" s="36" t="str">
        <f>IF((ISERROR((AC88/$H88)*100)), "", IF(AND(NOT(ISERROR((AC88/$H88)*100)),((AC88/$H88)*100) &lt;&gt; 0), (AC88/$H88)*100, ""))</f>
        <v/>
      </c>
      <c r="AE88" s="33"/>
      <c r="AF88" s="36" t="str">
        <f>IF((ISERROR((AE88/$H88)*100)), "", IF(AND(NOT(ISERROR((AE88/$H88)*100)),((AE88/$H88)*100) &lt;&gt; 0), (AE88/$H88)*100, ""))</f>
        <v/>
      </c>
      <c r="AG88" s="33"/>
      <c r="AH88" s="36" t="str">
        <f>IF((ISERROR((AG88/$H88)*100)), "", IF(AND(NOT(ISERROR((AG88/$H88)*100)),((AG88/$H88)*100) &lt;&gt; 0), (AG88/$H88)*100, ""))</f>
        <v/>
      </c>
      <c r="AI88" s="33"/>
      <c r="AJ88" s="36" t="str">
        <f>IF((ISERROR((AI88/$H88)*100)), "", IF(AND(NOT(ISERROR((AI88/$H88)*100)),((AI88/$H88)*100) &lt;&gt; 0), (AI88/$H88)*100, ""))</f>
        <v/>
      </c>
      <c r="AK88" s="33"/>
      <c r="AL88" s="36" t="str">
        <f>IF((ISERROR((AK88/$H88)*100)), "", IF(AND(NOT(ISERROR((AK88/$H88)*100)),((AK88/$H88)*100) &lt;&gt; 0), (AK88/$H88)*100, ""))</f>
        <v/>
      </c>
      <c r="AM88" s="33"/>
      <c r="AN88" s="36" t="str">
        <f>IF((ISERROR((AM88/$H88)*100)), "", IF(AND(NOT(ISERROR((AM88/$H88)*100)),((AM88/$H88)*100) &lt;&gt; 0), (AM88/$H88)*100, ""))</f>
        <v/>
      </c>
      <c r="AO88" s="33"/>
      <c r="AP88" s="36" t="str">
        <f>IF((ISERROR((AO88/$H88)*100)), "", IF(AND(NOT(ISERROR((AO88/$H88)*100)),((AO88/$H88)*100) &lt;&gt; 0), (AO88/$H88)*100, ""))</f>
        <v/>
      </c>
      <c r="AQ88" s="33"/>
      <c r="AR88" s="36" t="str">
        <f>IF((ISERROR((AQ88/$H88)*100)), "", IF(AND(NOT(ISERROR((AQ88/$H88)*100)),((AQ88/$H88)*100) &lt;&gt; 0), (AQ88/$H88)*100, ""))</f>
        <v/>
      </c>
      <c r="AS88" s="33"/>
      <c r="AT88" s="36" t="str">
        <f>IF((ISERROR((AS88/$H88)*100)), "", IF(AND(NOT(ISERROR((AS88/$H88)*100)),((AS88/$H88)*100) &lt;&gt; 0), (AS88/$H88)*100, ""))</f>
        <v/>
      </c>
      <c r="AU88" s="33"/>
      <c r="AV88" s="36" t="str">
        <f>IF((ISERROR((AU88/$H88)*100)), "", IF(AND(NOT(ISERROR((AU88/$H88)*100)),((AU88/$H88)*100) &lt;&gt; 0), (AU88/$H88)*100, ""))</f>
        <v/>
      </c>
      <c r="AW88" s="76"/>
      <c r="AX88" s="36" t="str">
        <f>IF((ISERROR((AW88/$H88)*100)), "", IF(AND(NOT(ISERROR((AW88/$H88)*100)),((AW88/$H88)*100) &lt;&gt; 0), (AW88/$H88)*100, ""))</f>
        <v/>
      </c>
      <c r="AY88" s="76"/>
      <c r="AZ88" s="36" t="str">
        <f>IF((ISERROR((AY88/$H88)*100)), "", IF(AND(NOT(ISERROR((AY88/$H88)*100)),((AY88/$H88)*100) &lt;&gt; 0), (AY88/$H88)*100, ""))</f>
        <v/>
      </c>
    </row>
    <row r="89" spans="1:53" ht="20" customHeight="1" x14ac:dyDescent="0.2">
      <c r="A89" s="60"/>
      <c r="B89" s="83"/>
      <c r="C89" s="24" t="s">
        <v>85</v>
      </c>
      <c r="D89" s="23" t="s">
        <v>563</v>
      </c>
      <c r="E89" s="23" t="s">
        <v>497</v>
      </c>
      <c r="F89" s="24">
        <v>2012</v>
      </c>
      <c r="G89"/>
      <c r="H89" s="89"/>
      <c r="I89" s="85" t="s">
        <v>182</v>
      </c>
      <c r="J89" s="86" t="s">
        <v>191</v>
      </c>
      <c r="K89" s="33"/>
      <c r="L89" s="36"/>
      <c r="M89" s="33"/>
      <c r="N89" s="36"/>
      <c r="O89" s="33"/>
      <c r="P89" s="36"/>
      <c r="Q89" s="33"/>
      <c r="R89" s="36"/>
      <c r="S89" s="33"/>
      <c r="T89" s="36"/>
      <c r="U89" s="33"/>
      <c r="V89" s="36"/>
      <c r="W89" s="33"/>
      <c r="X89" s="36"/>
      <c r="Y89" s="33"/>
      <c r="Z89" s="36"/>
      <c r="AA89" s="33"/>
      <c r="AB89" s="36"/>
      <c r="AC89" s="33"/>
      <c r="AD89" s="36"/>
      <c r="AE89" s="33"/>
      <c r="AF89" s="36"/>
      <c r="AG89" s="33"/>
      <c r="AH89" s="36"/>
      <c r="AI89" s="33"/>
      <c r="AJ89" s="36"/>
      <c r="AK89" s="33"/>
      <c r="AL89" s="36"/>
      <c r="AM89" s="33"/>
      <c r="AN89" s="36"/>
      <c r="AO89" s="33"/>
      <c r="AP89" s="36"/>
      <c r="AQ89" s="33"/>
      <c r="AR89" s="36"/>
      <c r="AS89" s="33"/>
      <c r="AT89" s="36"/>
      <c r="AU89" s="33"/>
      <c r="AV89" s="36"/>
      <c r="AW89" s="30"/>
      <c r="AX89" s="36"/>
      <c r="AY89" s="59"/>
      <c r="AZ89" s="36"/>
    </row>
    <row r="90" spans="1:53" ht="20" customHeight="1" x14ac:dyDescent="0.2">
      <c r="A90" s="61"/>
      <c r="B90" s="24"/>
      <c r="C90" s="50"/>
      <c r="D90" s="49" t="s">
        <v>155</v>
      </c>
      <c r="E90" s="49" t="s">
        <v>156</v>
      </c>
      <c r="F90" s="50">
        <v>1997</v>
      </c>
      <c r="G90" s="50"/>
      <c r="H90" s="89"/>
      <c r="I90" s="85"/>
      <c r="J90" s="86"/>
      <c r="K90" s="33"/>
      <c r="L90" s="36" t="str">
        <f>IF((ISERROR((K90/$H90)*100)), "", IF(AND(NOT(ISERROR((K90/$H90)*100)),((K90/$H90)*100) &lt;&gt; 0), (K90/$H90)*100, ""))</f>
        <v/>
      </c>
      <c r="M90" s="33"/>
      <c r="N90" s="36" t="str">
        <f>IF((ISERROR((M90/$H90)*100)), "", IF(AND(NOT(ISERROR((M90/$H90)*100)),((M90/$H90)*100) &lt;&gt; 0), (M90/$H90)*100, ""))</f>
        <v/>
      </c>
      <c r="O90" s="33"/>
      <c r="P90" s="36" t="str">
        <f>IF((ISERROR((O90/$H90)*100)), "", IF(AND(NOT(ISERROR((O90/$H90)*100)),((O90/$H90)*100) &lt;&gt; 0), (O90/$H90)*100, ""))</f>
        <v/>
      </c>
      <c r="Q90" s="33"/>
      <c r="R90" s="36" t="str">
        <f>IF((ISERROR((Q90/$H90)*100)), "", IF(AND(NOT(ISERROR((Q90/$H90)*100)),((Q90/$H90)*100) &lt;&gt; 0), (Q90/$H90)*100, ""))</f>
        <v/>
      </c>
      <c r="S90" s="33"/>
      <c r="T90" s="36" t="str">
        <f>IF((ISERROR((S90/$H90)*100)), "", IF(AND(NOT(ISERROR((S90/$H90)*100)),((S90/$H90)*100) &lt;&gt; 0), (S90/$H90)*100, ""))</f>
        <v/>
      </c>
      <c r="U90" s="33"/>
      <c r="V90" s="36" t="str">
        <f>IF((ISERROR((U90/$H90)*100)), "", IF(AND(NOT(ISERROR((U90/$H90)*100)),((U90/$H90)*100) &lt;&gt; 0), (U90/$H90)*100, ""))</f>
        <v/>
      </c>
      <c r="W90" s="33"/>
      <c r="X90" s="36" t="str">
        <f>IF((ISERROR((W90/$H90)*100)), "", IF(AND(NOT(ISERROR((W90/$H90)*100)),((W90/$H90)*100) &lt;&gt; 0), (W90/$H90)*100, ""))</f>
        <v/>
      </c>
      <c r="Y90" s="33"/>
      <c r="Z90" s="36" t="str">
        <f>IF((ISERROR((Y90/$H90)*100)), "", IF(AND(NOT(ISERROR((Y90/$H90)*100)),((Y90/$H90)*100) &lt;&gt; 0), (Y90/$H90)*100, ""))</f>
        <v/>
      </c>
      <c r="AA90" s="33"/>
      <c r="AB90" s="36" t="str">
        <f>IF((ISERROR((AA90/$H90)*100)), "", IF(AND(NOT(ISERROR((AA90/$H90)*100)),((AA90/$H90)*100) &lt;&gt; 0), (AA90/$H90)*100, ""))</f>
        <v/>
      </c>
      <c r="AC90" s="33"/>
      <c r="AD90" s="36" t="str">
        <f>IF((ISERROR((AC90/$H90)*100)), "", IF(AND(NOT(ISERROR((AC90/$H90)*100)),((AC90/$H90)*100) &lt;&gt; 0), (AC90/$H90)*100, ""))</f>
        <v/>
      </c>
      <c r="AE90" s="33"/>
      <c r="AF90" s="36" t="str">
        <f>IF((ISERROR((AE90/$H90)*100)), "", IF(AND(NOT(ISERROR((AE90/$H90)*100)),((AE90/$H90)*100) &lt;&gt; 0), (AE90/$H90)*100, ""))</f>
        <v/>
      </c>
      <c r="AG90" s="33"/>
      <c r="AH90" s="36" t="str">
        <f>IF((ISERROR((AG90/$H90)*100)), "", IF(AND(NOT(ISERROR((AG90/$H90)*100)),((AG90/$H90)*100) &lt;&gt; 0), (AG90/$H90)*100, ""))</f>
        <v/>
      </c>
      <c r="AI90" s="33"/>
      <c r="AJ90" s="36" t="str">
        <f>IF((ISERROR((AI90/$H90)*100)), "", IF(AND(NOT(ISERROR((AI90/$H90)*100)),((AI90/$H90)*100) &lt;&gt; 0), (AI90/$H90)*100, ""))</f>
        <v/>
      </c>
      <c r="AK90" s="33"/>
      <c r="AL90" s="36" t="str">
        <f>IF((ISERROR((AK90/$H90)*100)), "", IF(AND(NOT(ISERROR((AK90/$H90)*100)),((AK90/$H90)*100) &lt;&gt; 0), (AK90/$H90)*100, ""))</f>
        <v/>
      </c>
      <c r="AM90" s="33"/>
      <c r="AN90" s="36" t="str">
        <f>IF((ISERROR((AM90/$H90)*100)), "", IF(AND(NOT(ISERROR((AM90/$H90)*100)),((AM90/$H90)*100) &lt;&gt; 0), (AM90/$H90)*100, ""))</f>
        <v/>
      </c>
      <c r="AO90" s="33"/>
      <c r="AP90" s="36" t="str">
        <f>IF((ISERROR((AO90/$H90)*100)), "", IF(AND(NOT(ISERROR((AO90/$H90)*100)),((AO90/$H90)*100) &lt;&gt; 0), (AO90/$H90)*100, ""))</f>
        <v/>
      </c>
      <c r="AQ90" s="33"/>
      <c r="AR90" s="36" t="str">
        <f>IF((ISERROR((AQ90/$H90)*100)), "", IF(AND(NOT(ISERROR((AQ90/$H90)*100)),((AQ90/$H90)*100) &lt;&gt; 0), (AQ90/$H90)*100, ""))</f>
        <v/>
      </c>
      <c r="AS90" s="33"/>
      <c r="AT90" s="36" t="str">
        <f>IF((ISERROR((AS90/$H90)*100)), "", IF(AND(NOT(ISERROR((AS90/$H90)*100)),((AS90/$H90)*100) &lt;&gt; 0), (AS90/$H90)*100, ""))</f>
        <v/>
      </c>
      <c r="AU90" s="33"/>
      <c r="AV90" s="36" t="str">
        <f>IF((ISERROR((AU90/$H90)*100)), "", IF(AND(NOT(ISERROR((AU90/$H90)*100)),((AU90/$H90)*100) &lt;&gt; 0), (AU90/$H90)*100, ""))</f>
        <v/>
      </c>
      <c r="AW90" s="30"/>
      <c r="AX90" s="36" t="str">
        <f>IF((ISERROR((AW90/$H90)*100)), "", IF(AND(NOT(ISERROR((AW90/$H90)*100)),((AW90/$H90)*100) &lt;&gt; 0), (AW90/$H90)*100, ""))</f>
        <v/>
      </c>
      <c r="AY90" s="59"/>
      <c r="AZ90" s="36" t="str">
        <f>IF((ISERROR((AY90/$H90)*100)), "", IF(AND(NOT(ISERROR((AY90/$H90)*100)),((AY90/$H90)*100) &lt;&gt; 0), (AY90/$H90)*100, ""))</f>
        <v/>
      </c>
    </row>
    <row r="91" spans="1:53" ht="20" customHeight="1" x14ac:dyDescent="0.2">
      <c r="A91" s="60"/>
      <c r="B91" s="24"/>
      <c r="C91" s="50" t="s">
        <v>30</v>
      </c>
      <c r="D91" s="49" t="s">
        <v>31</v>
      </c>
      <c r="E91" s="49" t="s">
        <v>32</v>
      </c>
      <c r="F91" s="50">
        <v>2004</v>
      </c>
      <c r="G91" s="50">
        <v>21</v>
      </c>
      <c r="H91" s="89"/>
      <c r="I91" s="85"/>
      <c r="J91" s="86"/>
      <c r="K91" s="33"/>
      <c r="L91" s="36" t="str">
        <f>IF((ISERROR((K91/$H91)*100)), "", IF(AND(NOT(ISERROR((K91/$H91)*100)),((K91/$H91)*100) &lt;&gt; 0), (K91/$H91)*100, ""))</f>
        <v/>
      </c>
      <c r="M91" s="33"/>
      <c r="N91" s="36" t="str">
        <f>IF((ISERROR((M91/$H91)*100)), "", IF(AND(NOT(ISERROR((M91/$H91)*100)),((M91/$H91)*100) &lt;&gt; 0), (M91/$H91)*100, ""))</f>
        <v/>
      </c>
      <c r="O91" s="33"/>
      <c r="P91" s="36" t="str">
        <f>IF((ISERROR((O91/$H91)*100)), "", IF(AND(NOT(ISERROR((O91/$H91)*100)),((O91/$H91)*100) &lt;&gt; 0), (O91/$H91)*100, ""))</f>
        <v/>
      </c>
      <c r="Q91" s="33"/>
      <c r="R91" s="36" t="str">
        <f>IF((ISERROR((Q91/$H91)*100)), "", IF(AND(NOT(ISERROR((Q91/$H91)*100)),((Q91/$H91)*100) &lt;&gt; 0), (Q91/$H91)*100, ""))</f>
        <v/>
      </c>
      <c r="S91" s="33"/>
      <c r="T91" s="36" t="str">
        <f>IF((ISERROR((S91/$H91)*100)), "", IF(AND(NOT(ISERROR((S91/$H91)*100)),((S91/$H91)*100) &lt;&gt; 0), (S91/$H91)*100, ""))</f>
        <v/>
      </c>
      <c r="U91" s="33"/>
      <c r="V91" s="36" t="str">
        <f>IF((ISERROR((U91/$H91)*100)), "", IF(AND(NOT(ISERROR((U91/$H91)*100)),((U91/$H91)*100) &lt;&gt; 0), (U91/$H91)*100, ""))</f>
        <v/>
      </c>
      <c r="W91" s="33"/>
      <c r="X91" s="36" t="str">
        <f>IF((ISERROR((W91/$H91)*100)), "", IF(AND(NOT(ISERROR((W91/$H91)*100)),((W91/$H91)*100) &lt;&gt; 0), (W91/$H91)*100, ""))</f>
        <v/>
      </c>
      <c r="Y91" s="33"/>
      <c r="Z91" s="36" t="str">
        <f>IF((ISERROR((Y91/$H91)*100)), "", IF(AND(NOT(ISERROR((Y91/$H91)*100)),((Y91/$H91)*100) &lt;&gt; 0), (Y91/$H91)*100, ""))</f>
        <v/>
      </c>
      <c r="AA91" s="33"/>
      <c r="AB91" s="36" t="str">
        <f>IF((ISERROR((AA91/$H91)*100)), "", IF(AND(NOT(ISERROR((AA91/$H91)*100)),((AA91/$H91)*100) &lt;&gt; 0), (AA91/$H91)*100, ""))</f>
        <v/>
      </c>
      <c r="AC91" s="33"/>
      <c r="AD91" s="36" t="str">
        <f>IF((ISERROR((AC91/$H91)*100)), "", IF(AND(NOT(ISERROR((AC91/$H91)*100)),((AC91/$H91)*100) &lt;&gt; 0), (AC91/$H91)*100, ""))</f>
        <v/>
      </c>
      <c r="AE91" s="33"/>
      <c r="AF91" s="36" t="str">
        <f>IF((ISERROR((AE91/$H91)*100)), "", IF(AND(NOT(ISERROR((AE91/$H91)*100)),((AE91/$H91)*100) &lt;&gt; 0), (AE91/$H91)*100, ""))</f>
        <v/>
      </c>
      <c r="AG91" s="33"/>
      <c r="AH91" s="36" t="str">
        <f>IF((ISERROR((AG91/$H91)*100)), "", IF(AND(NOT(ISERROR((AG91/$H91)*100)),((AG91/$H91)*100) &lt;&gt; 0), (AG91/$H91)*100, ""))</f>
        <v/>
      </c>
      <c r="AI91" s="33"/>
      <c r="AJ91" s="36" t="str">
        <f>IF((ISERROR((AI91/$H91)*100)), "", IF(AND(NOT(ISERROR((AI91/$H91)*100)),((AI91/$H91)*100) &lt;&gt; 0), (AI91/$H91)*100, ""))</f>
        <v/>
      </c>
      <c r="AK91" s="33"/>
      <c r="AL91" s="36" t="str">
        <f>IF((ISERROR((AK91/$H91)*100)), "", IF(AND(NOT(ISERROR((AK91/$H91)*100)),((AK91/$H91)*100) &lt;&gt; 0), (AK91/$H91)*100, ""))</f>
        <v/>
      </c>
      <c r="AM91" s="33"/>
      <c r="AN91" s="36" t="str">
        <f>IF((ISERROR((AM91/$H91)*100)), "", IF(AND(NOT(ISERROR((AM91/$H91)*100)),((AM91/$H91)*100) &lt;&gt; 0), (AM91/$H91)*100, ""))</f>
        <v/>
      </c>
      <c r="AO91" s="33"/>
      <c r="AP91" s="36" t="str">
        <f>IF((ISERROR((AO91/$H91)*100)), "", IF(AND(NOT(ISERROR((AO91/$H91)*100)),((AO91/$H91)*100) &lt;&gt; 0), (AO91/$H91)*100, ""))</f>
        <v/>
      </c>
      <c r="AQ91" s="33"/>
      <c r="AR91" s="36" t="str">
        <f>IF((ISERROR((AQ91/$H91)*100)), "", IF(AND(NOT(ISERROR((AQ91/$H91)*100)),((AQ91/$H91)*100) &lt;&gt; 0), (AQ91/$H91)*100, ""))</f>
        <v/>
      </c>
      <c r="AS91" s="33"/>
      <c r="AT91" s="36" t="str">
        <f>IF((ISERROR((AS91/$H91)*100)), "", IF(AND(NOT(ISERROR((AS91/$H91)*100)),((AS91/$H91)*100) &lt;&gt; 0), (AS91/$H91)*100, ""))</f>
        <v/>
      </c>
      <c r="AU91" s="33"/>
      <c r="AV91" s="36" t="str">
        <f>IF((ISERROR((AU91/$H91)*100)), "", IF(AND(NOT(ISERROR((AU91/$H91)*100)),((AU91/$H91)*100) &lt;&gt; 0), (AU91/$H91)*100, ""))</f>
        <v/>
      </c>
      <c r="AW91" s="30"/>
      <c r="AX91" s="36" t="str">
        <f>IF((ISERROR((AW91/$H91)*100)), "", IF(AND(NOT(ISERROR((AW91/$H91)*100)),((AW91/$H91)*100) &lt;&gt; 0), (AW91/$H91)*100, ""))</f>
        <v/>
      </c>
      <c r="AY91" s="59"/>
      <c r="AZ91" s="36" t="str">
        <f>IF((ISERROR((AY91/$H91)*100)), "", IF(AND(NOT(ISERROR((AY91/$H91)*100)),((AY91/$H91)*100) &lt;&gt; 0), (AY91/$H91)*100, ""))</f>
        <v/>
      </c>
    </row>
    <row r="92" spans="1:53" ht="20" customHeight="1" x14ac:dyDescent="0.2">
      <c r="A92" s="60"/>
      <c r="B92" s="24"/>
      <c r="C92" s="50" t="s">
        <v>30</v>
      </c>
      <c r="D92" s="49" t="s">
        <v>38</v>
      </c>
      <c r="E92" s="49" t="s">
        <v>39</v>
      </c>
      <c r="F92" s="50">
        <v>2005</v>
      </c>
      <c r="G92" s="50">
        <v>282</v>
      </c>
      <c r="H92" s="89"/>
      <c r="I92" s="85"/>
      <c r="J92" s="86"/>
      <c r="K92" s="33"/>
      <c r="L92" s="36" t="str">
        <f>IF((ISERROR((K92/$H92)*100)), "", IF(AND(NOT(ISERROR((K92/$H92)*100)),((K92/$H92)*100) &lt;&gt; 0), (K92/$H92)*100, ""))</f>
        <v/>
      </c>
      <c r="M92" s="33"/>
      <c r="N92" s="36" t="str">
        <f>IF((ISERROR((M92/$H92)*100)), "", IF(AND(NOT(ISERROR((M92/$H92)*100)),((M92/$H92)*100) &lt;&gt; 0), (M92/$H92)*100, ""))</f>
        <v/>
      </c>
      <c r="O92" s="33"/>
      <c r="P92" s="36" t="str">
        <f>IF((ISERROR((O92/$H92)*100)), "", IF(AND(NOT(ISERROR((O92/$H92)*100)),((O92/$H92)*100) &lt;&gt; 0), (O92/$H92)*100, ""))</f>
        <v/>
      </c>
      <c r="Q92" s="33"/>
      <c r="R92" s="36" t="str">
        <f>IF((ISERROR((Q92/$H92)*100)), "", IF(AND(NOT(ISERROR((Q92/$H92)*100)),((Q92/$H92)*100) &lt;&gt; 0), (Q92/$H92)*100, ""))</f>
        <v/>
      </c>
      <c r="S92" s="33"/>
      <c r="T92" s="36" t="str">
        <f>IF((ISERROR((S92/$H92)*100)), "", IF(AND(NOT(ISERROR((S92/$H92)*100)),((S92/$H92)*100) &lt;&gt; 0), (S92/$H92)*100, ""))</f>
        <v/>
      </c>
      <c r="U92" s="33"/>
      <c r="V92" s="36" t="str">
        <f>IF((ISERROR((U92/$H92)*100)), "", IF(AND(NOT(ISERROR((U92/$H92)*100)),((U92/$H92)*100) &lt;&gt; 0), (U92/$H92)*100, ""))</f>
        <v/>
      </c>
      <c r="W92" s="33"/>
      <c r="X92" s="36" t="str">
        <f>IF((ISERROR((W92/$H92)*100)), "", IF(AND(NOT(ISERROR((W92/$H92)*100)),((W92/$H92)*100) &lt;&gt; 0), (W92/$H92)*100, ""))</f>
        <v/>
      </c>
      <c r="Y92" s="33"/>
      <c r="Z92" s="36" t="str">
        <f>IF((ISERROR((Y92/$H92)*100)), "", IF(AND(NOT(ISERROR((Y92/$H92)*100)),((Y92/$H92)*100) &lt;&gt; 0), (Y92/$H92)*100, ""))</f>
        <v/>
      </c>
      <c r="AA92" s="33"/>
      <c r="AB92" s="36" t="str">
        <f>IF((ISERROR((AA92/$H92)*100)), "", IF(AND(NOT(ISERROR((AA92/$H92)*100)),((AA92/$H92)*100) &lt;&gt; 0), (AA92/$H92)*100, ""))</f>
        <v/>
      </c>
      <c r="AC92" s="33"/>
      <c r="AD92" s="36" t="str">
        <f>IF((ISERROR((AC92/$H92)*100)), "", IF(AND(NOT(ISERROR((AC92/$H92)*100)),((AC92/$H92)*100) &lt;&gt; 0), (AC92/$H92)*100, ""))</f>
        <v/>
      </c>
      <c r="AE92" s="33"/>
      <c r="AF92" s="36" t="str">
        <f>IF((ISERROR((AE92/$H92)*100)), "", IF(AND(NOT(ISERROR((AE92/$H92)*100)),((AE92/$H92)*100) &lt;&gt; 0), (AE92/$H92)*100, ""))</f>
        <v/>
      </c>
      <c r="AG92" s="33"/>
      <c r="AH92" s="36" t="str">
        <f>IF((ISERROR((AG92/$H92)*100)), "", IF(AND(NOT(ISERROR((AG92/$H92)*100)),((AG92/$H92)*100) &lt;&gt; 0), (AG92/$H92)*100, ""))</f>
        <v/>
      </c>
      <c r="AI92" s="33"/>
      <c r="AJ92" s="36" t="str">
        <f>IF((ISERROR((AI92/$H92)*100)), "", IF(AND(NOT(ISERROR((AI92/$H92)*100)),((AI92/$H92)*100) &lt;&gt; 0), (AI92/$H92)*100, ""))</f>
        <v/>
      </c>
      <c r="AK92" s="33"/>
      <c r="AL92" s="36" t="str">
        <f>IF((ISERROR((AK92/$H92)*100)), "", IF(AND(NOT(ISERROR((AK92/$H92)*100)),((AK92/$H92)*100) &lt;&gt; 0), (AK92/$H92)*100, ""))</f>
        <v/>
      </c>
      <c r="AM92" s="33"/>
      <c r="AN92" s="36" t="str">
        <f>IF((ISERROR((AM92/$H92)*100)), "", IF(AND(NOT(ISERROR((AM92/$H92)*100)),((AM92/$H92)*100) &lt;&gt; 0), (AM92/$H92)*100, ""))</f>
        <v/>
      </c>
      <c r="AO92" s="33"/>
      <c r="AP92" s="36" t="str">
        <f>IF((ISERROR((AO92/$H92)*100)), "", IF(AND(NOT(ISERROR((AO92/$H92)*100)),((AO92/$H92)*100) &lt;&gt; 0), (AO92/$H92)*100, ""))</f>
        <v/>
      </c>
      <c r="AQ92" s="33"/>
      <c r="AR92" s="36" t="str">
        <f>IF((ISERROR((AQ92/$H92)*100)), "", IF(AND(NOT(ISERROR((AQ92/$H92)*100)),((AQ92/$H92)*100) &lt;&gt; 0), (AQ92/$H92)*100, ""))</f>
        <v/>
      </c>
      <c r="AS92" s="33"/>
      <c r="AT92" s="36" t="str">
        <f>IF((ISERROR((AS92/$H92)*100)), "", IF(AND(NOT(ISERROR((AS92/$H92)*100)),((AS92/$H92)*100) &lt;&gt; 0), (AS92/$H92)*100, ""))</f>
        <v/>
      </c>
      <c r="AU92" s="33"/>
      <c r="AV92" s="36" t="str">
        <f>IF((ISERROR((AU92/$H92)*100)), "", IF(AND(NOT(ISERROR((AU92/$H92)*100)),((AU92/$H92)*100) &lt;&gt; 0), (AU92/$H92)*100, ""))</f>
        <v/>
      </c>
      <c r="AW92" s="33"/>
      <c r="AX92" s="36" t="str">
        <f>IF((ISERROR((AW92/$H92)*100)), "", IF(AND(NOT(ISERROR((AW92/$H92)*100)),((AW92/$H92)*100) &lt;&gt; 0), (AW92/$H92)*100, ""))</f>
        <v/>
      </c>
      <c r="AY92" s="76"/>
      <c r="AZ92" s="36" t="str">
        <f>IF((ISERROR((AY92/$H92)*100)), "", IF(AND(NOT(ISERROR((AY92/$H92)*100)),((AY92/$H92)*100) &lt;&gt; 0), (AY92/$H92)*100, ""))</f>
        <v/>
      </c>
      <c r="BA92" s="23" t="s">
        <v>382</v>
      </c>
    </row>
    <row r="93" spans="1:53" ht="20" customHeight="1" x14ac:dyDescent="0.2">
      <c r="A93" s="60"/>
      <c r="B93" s="24"/>
      <c r="C93" s="50" t="s">
        <v>30</v>
      </c>
      <c r="D93" s="49" t="s">
        <v>40</v>
      </c>
      <c r="E93" s="49" t="s">
        <v>39</v>
      </c>
      <c r="F93" s="50">
        <v>2006</v>
      </c>
      <c r="G93" s="50">
        <v>380</v>
      </c>
      <c r="H93" s="89"/>
      <c r="I93" s="85"/>
      <c r="J93" s="86"/>
      <c r="K93" s="38"/>
      <c r="L93" s="39" t="str">
        <f>IF((ISERROR((K93/$H93)*100)), "", IF(AND(NOT(ISERROR((K93/$H93)*100)),((K93/$H93)*100) &lt;&gt; 0), (K93/$H93)*100, ""))</f>
        <v/>
      </c>
      <c r="M93" s="38"/>
      <c r="N93" s="39" t="str">
        <f>IF((ISERROR((M93/$H93)*100)), "", IF(AND(NOT(ISERROR((M93/$H93)*100)),((M93/$H93)*100) &lt;&gt; 0), (M93/$H93)*100, ""))</f>
        <v/>
      </c>
      <c r="O93" s="38"/>
      <c r="P93" s="39" t="str">
        <f>IF((ISERROR((O93/$H93)*100)), "", IF(AND(NOT(ISERROR((O93/$H93)*100)),((O93/$H93)*100) &lt;&gt; 0), (O93/$H93)*100, ""))</f>
        <v/>
      </c>
      <c r="Q93" s="38"/>
      <c r="R93" s="39" t="str">
        <f>IF((ISERROR((Q93/$H93)*100)), "", IF(AND(NOT(ISERROR((Q93/$H93)*100)),((Q93/$H93)*100) &lt;&gt; 0), (Q93/$H93)*100, ""))</f>
        <v/>
      </c>
      <c r="S93" s="38"/>
      <c r="T93" s="39" t="str">
        <f>IF((ISERROR((S93/$H93)*100)), "", IF(AND(NOT(ISERROR((S93/$H93)*100)),((S93/$H93)*100) &lt;&gt; 0), (S93/$H93)*100, ""))</f>
        <v/>
      </c>
      <c r="U93" s="38"/>
      <c r="V93" s="39" t="str">
        <f>IF((ISERROR((U93/$H93)*100)), "", IF(AND(NOT(ISERROR((U93/$H93)*100)),((U93/$H93)*100) &lt;&gt; 0), (U93/$H93)*100, ""))</f>
        <v/>
      </c>
      <c r="W93" s="38"/>
      <c r="X93" s="39" t="str">
        <f>IF((ISERROR((W93/$H93)*100)), "", IF(AND(NOT(ISERROR((W93/$H93)*100)),((W93/$H93)*100) &lt;&gt; 0), (W93/$H93)*100, ""))</f>
        <v/>
      </c>
      <c r="Y93" s="38"/>
      <c r="Z93" s="39" t="str">
        <f>IF((ISERROR((Y93/$H93)*100)), "", IF(AND(NOT(ISERROR((Y93/$H93)*100)),((Y93/$H93)*100) &lt;&gt; 0), (Y93/$H93)*100, ""))</f>
        <v/>
      </c>
      <c r="AA93" s="33"/>
      <c r="AB93" s="36" t="str">
        <f>IF((ISERROR((AA93/$H93)*100)), "", IF(AND(NOT(ISERROR((AA93/$H93)*100)),((AA93/$H93)*100) &lt;&gt; 0), (AA93/$H93)*100, ""))</f>
        <v/>
      </c>
      <c r="AC93" s="33"/>
      <c r="AD93" s="36" t="str">
        <f>IF((ISERROR((AC93/$H93)*100)), "", IF(AND(NOT(ISERROR((AC93/$H93)*100)),((AC93/$H93)*100) &lt;&gt; 0), (AC93/$H93)*100, ""))</f>
        <v/>
      </c>
      <c r="AE93" s="33"/>
      <c r="AF93" s="36" t="str">
        <f>IF((ISERROR((AE93/$H93)*100)), "", IF(AND(NOT(ISERROR((AE93/$H93)*100)),((AE93/$H93)*100) &lt;&gt; 0), (AE93/$H93)*100, ""))</f>
        <v/>
      </c>
      <c r="AG93" s="33"/>
      <c r="AH93" s="36" t="str">
        <f>IF((ISERROR((AG93/$H93)*100)), "", IF(AND(NOT(ISERROR((AG93/$H93)*100)),((AG93/$H93)*100) &lt;&gt; 0), (AG93/$H93)*100, ""))</f>
        <v/>
      </c>
      <c r="AI93" s="33"/>
      <c r="AJ93" s="36" t="str">
        <f>IF((ISERROR((AI93/$H93)*100)), "", IF(AND(NOT(ISERROR((AI93/$H93)*100)),((AI93/$H93)*100) &lt;&gt; 0), (AI93/$H93)*100, ""))</f>
        <v/>
      </c>
      <c r="AK93" s="33"/>
      <c r="AL93" s="36" t="str">
        <f>IF((ISERROR((AK93/$H93)*100)), "", IF(AND(NOT(ISERROR((AK93/$H93)*100)),((AK93/$H93)*100) &lt;&gt; 0), (AK93/$H93)*100, ""))</f>
        <v/>
      </c>
      <c r="AM93" s="33"/>
      <c r="AN93" s="36" t="str">
        <f>IF((ISERROR((AM93/$H93)*100)), "", IF(AND(NOT(ISERROR((AM93/$H93)*100)),((AM93/$H93)*100) &lt;&gt; 0), (AM93/$H93)*100, ""))</f>
        <v/>
      </c>
      <c r="AO93" s="33"/>
      <c r="AP93" s="36" t="str">
        <f>IF((ISERROR((AO93/$H93)*100)), "", IF(AND(NOT(ISERROR((AO93/$H93)*100)),((AO93/$H93)*100) &lt;&gt; 0), (AO93/$H93)*100, ""))</f>
        <v/>
      </c>
      <c r="AQ93" s="33"/>
      <c r="AR93" s="36" t="str">
        <f>IF((ISERROR((AQ93/$H93)*100)), "", IF(AND(NOT(ISERROR((AQ93/$H93)*100)),((AQ93/$H93)*100) &lt;&gt; 0), (AQ93/$H93)*100, ""))</f>
        <v/>
      </c>
      <c r="AS93" s="33"/>
      <c r="AT93" s="36" t="str">
        <f>IF((ISERROR((AS93/$H93)*100)), "", IF(AND(NOT(ISERROR((AS93/$H93)*100)),((AS93/$H93)*100) &lt;&gt; 0), (AS93/$H93)*100, ""))</f>
        <v/>
      </c>
      <c r="AU93" s="33"/>
      <c r="AV93" s="36" t="str">
        <f>IF((ISERROR((AU93/$H93)*100)), "", IF(AND(NOT(ISERROR((AU93/$H93)*100)),((AU93/$H93)*100) &lt;&gt; 0), (AU93/$H93)*100, ""))</f>
        <v/>
      </c>
      <c r="AW93" s="30"/>
      <c r="AX93" s="36" t="str">
        <f>IF((ISERROR((AW93/$H93)*100)), "", IF(AND(NOT(ISERROR((AW93/$H93)*100)),((AW93/$H93)*100) &lt;&gt; 0), (AW93/$H93)*100, ""))</f>
        <v/>
      </c>
      <c r="AY93" s="59"/>
      <c r="AZ93" s="36" t="str">
        <f>IF((ISERROR((AY93/$H93)*100)), "", IF(AND(NOT(ISERROR((AY93/$H93)*100)),((AY93/$H93)*100) &lt;&gt; 0), (AY93/$H93)*100, ""))</f>
        <v/>
      </c>
      <c r="BA93" s="23" t="s">
        <v>383</v>
      </c>
    </row>
    <row r="94" spans="1:53" ht="20" customHeight="1" x14ac:dyDescent="0.2">
      <c r="A94" s="60"/>
      <c r="B94" s="24"/>
      <c r="D94" s="23" t="s">
        <v>257</v>
      </c>
      <c r="E94" s="23" t="s">
        <v>258</v>
      </c>
      <c r="F94" s="24">
        <v>2015</v>
      </c>
      <c r="H94" s="89"/>
      <c r="I94" s="85"/>
      <c r="J94" s="86"/>
      <c r="K94" s="33"/>
      <c r="L94" s="36" t="str">
        <f>IF((ISERROR((K94/$H94)*100)), "", IF(AND(NOT(ISERROR((K94/$H94)*100)),((K94/$H94)*100) &lt;&gt; 0), (K94/$H94)*100, ""))</f>
        <v/>
      </c>
      <c r="M94" s="33"/>
      <c r="N94" s="36" t="str">
        <f>IF((ISERROR((M94/$H94)*100)), "", IF(AND(NOT(ISERROR((M94/$H94)*100)),((M94/$H94)*100) &lt;&gt; 0), (M94/$H94)*100, ""))</f>
        <v/>
      </c>
      <c r="O94" s="33"/>
      <c r="P94" s="36" t="str">
        <f>IF((ISERROR((O94/$H94)*100)), "", IF(AND(NOT(ISERROR((O94/$H94)*100)),((O94/$H94)*100) &lt;&gt; 0), (O94/$H94)*100, ""))</f>
        <v/>
      </c>
      <c r="Q94" s="33"/>
      <c r="R94" s="36" t="str">
        <f>IF((ISERROR((Q94/$H94)*100)), "", IF(AND(NOT(ISERROR((Q94/$H94)*100)),((Q94/$H94)*100) &lt;&gt; 0), (Q94/$H94)*100, ""))</f>
        <v/>
      </c>
      <c r="S94" s="33"/>
      <c r="T94" s="36" t="str">
        <f>IF((ISERROR((S94/$H94)*100)), "", IF(AND(NOT(ISERROR((S94/$H94)*100)),((S94/$H94)*100) &lt;&gt; 0), (S94/$H94)*100, ""))</f>
        <v/>
      </c>
      <c r="U94" s="33"/>
      <c r="V94" s="36" t="str">
        <f>IF((ISERROR((U94/$H94)*100)), "", IF(AND(NOT(ISERROR((U94/$H94)*100)),((U94/$H94)*100) &lt;&gt; 0), (U94/$H94)*100, ""))</f>
        <v/>
      </c>
      <c r="W94" s="33"/>
      <c r="X94" s="36" t="str">
        <f>IF((ISERROR((W94/$H94)*100)), "", IF(AND(NOT(ISERROR((W94/$H94)*100)),((W94/$H94)*100) &lt;&gt; 0), (W94/$H94)*100, ""))</f>
        <v/>
      </c>
      <c r="Y94" s="33"/>
      <c r="Z94" s="36" t="str">
        <f>IF((ISERROR((Y94/$H94)*100)), "", IF(AND(NOT(ISERROR((Y94/$H94)*100)),((Y94/$H94)*100) &lt;&gt; 0), (Y94/$H94)*100, ""))</f>
        <v/>
      </c>
      <c r="AA94" s="33"/>
      <c r="AB94" s="36" t="str">
        <f>IF((ISERROR((AA94/$H94)*100)), "", IF(AND(NOT(ISERROR((AA94/$H94)*100)),((AA94/$H94)*100) &lt;&gt; 0), (AA94/$H94)*100, ""))</f>
        <v/>
      </c>
      <c r="AC94" s="33"/>
      <c r="AD94" s="36" t="str">
        <f>IF((ISERROR((AC94/$H94)*100)), "", IF(AND(NOT(ISERROR((AC94/$H94)*100)),((AC94/$H94)*100) &lt;&gt; 0), (AC94/$H94)*100, ""))</f>
        <v/>
      </c>
      <c r="AE94" s="33"/>
      <c r="AF94" s="36" t="str">
        <f>IF((ISERROR((AE94/$H94)*100)), "", IF(AND(NOT(ISERROR((AE94/$H94)*100)),((AE94/$H94)*100) &lt;&gt; 0), (AE94/$H94)*100, ""))</f>
        <v/>
      </c>
      <c r="AG94" s="33"/>
      <c r="AH94" s="36" t="str">
        <f>IF((ISERROR((AG94/$H94)*100)), "", IF(AND(NOT(ISERROR((AG94/$H94)*100)),((AG94/$H94)*100) &lt;&gt; 0), (AG94/$H94)*100, ""))</f>
        <v/>
      </c>
      <c r="AI94" s="33"/>
      <c r="AJ94" s="36" t="str">
        <f>IF((ISERROR((AI94/$H94)*100)), "", IF(AND(NOT(ISERROR((AI94/$H94)*100)),((AI94/$H94)*100) &lt;&gt; 0), (AI94/$H94)*100, ""))</f>
        <v/>
      </c>
      <c r="AK94" s="33"/>
      <c r="AL94" s="36" t="str">
        <f>IF((ISERROR((AK94/$H94)*100)), "", IF(AND(NOT(ISERROR((AK94/$H94)*100)),((AK94/$H94)*100) &lt;&gt; 0), (AK94/$H94)*100, ""))</f>
        <v/>
      </c>
      <c r="AM94" s="33"/>
      <c r="AN94" s="36" t="str">
        <f>IF((ISERROR((AM94/$H94)*100)), "", IF(AND(NOT(ISERROR((AM94/$H94)*100)),((AM94/$H94)*100) &lt;&gt; 0), (AM94/$H94)*100, ""))</f>
        <v/>
      </c>
      <c r="AO94" s="33"/>
      <c r="AP94" s="36" t="str">
        <f>IF((ISERROR((AO94/$H94)*100)), "", IF(AND(NOT(ISERROR((AO94/$H94)*100)),((AO94/$H94)*100) &lt;&gt; 0), (AO94/$H94)*100, ""))</f>
        <v/>
      </c>
      <c r="AQ94" s="33"/>
      <c r="AR94" s="36" t="str">
        <f>IF((ISERROR((AQ94/$H94)*100)), "", IF(AND(NOT(ISERROR((AQ94/$H94)*100)),((AQ94/$H94)*100) &lt;&gt; 0), (AQ94/$H94)*100, ""))</f>
        <v/>
      </c>
      <c r="AS94" s="33"/>
      <c r="AT94" s="36" t="str">
        <f>IF((ISERROR((AS94/$H94)*100)), "", IF(AND(NOT(ISERROR((AS94/$H94)*100)),((AS94/$H94)*100) &lt;&gt; 0), (AS94/$H94)*100, ""))</f>
        <v/>
      </c>
      <c r="AU94" s="33"/>
      <c r="AV94" s="36" t="str">
        <f>IF((ISERROR((AU94/$H94)*100)), "", IF(AND(NOT(ISERROR((AU94/$H94)*100)),((AU94/$H94)*100) &lt;&gt; 0), (AU94/$H94)*100, ""))</f>
        <v/>
      </c>
      <c r="AW94" s="76"/>
      <c r="AX94" s="36" t="str">
        <f>IF((ISERROR((AW94/$H94)*100)), "", IF(AND(NOT(ISERROR((AW94/$H94)*100)),((AW94/$H94)*100) &lt;&gt; 0), (AW94/$H94)*100, ""))</f>
        <v/>
      </c>
      <c r="AY94" s="76"/>
      <c r="AZ94" s="36" t="str">
        <f>IF((ISERROR((AY94/$H94)*100)), "", IF(AND(NOT(ISERROR((AY94/$H94)*100)),((AY94/$H94)*100) &lt;&gt; 0), (AY94/$H94)*100, ""))</f>
        <v/>
      </c>
    </row>
    <row r="95" spans="1:53" ht="20" customHeight="1" x14ac:dyDescent="0.2">
      <c r="A95" s="61"/>
      <c r="B95" s="24"/>
      <c r="C95" s="50" t="s">
        <v>49</v>
      </c>
      <c r="D95" s="49" t="s">
        <v>47</v>
      </c>
      <c r="E95" s="49" t="s">
        <v>48</v>
      </c>
      <c r="F95" s="50">
        <v>1997</v>
      </c>
      <c r="G95" s="50">
        <v>91</v>
      </c>
      <c r="H95" s="89"/>
      <c r="I95" s="85"/>
      <c r="J95" s="86"/>
      <c r="K95" s="33"/>
      <c r="L95" s="36" t="str">
        <f>IF((ISERROR((K95/$H95)*100)), "", IF(AND(NOT(ISERROR((K95/$H95)*100)),((K95/$H95)*100) &lt;&gt; 0), (K95/$H95)*100, ""))</f>
        <v/>
      </c>
      <c r="M95" s="33"/>
      <c r="N95" s="36" t="str">
        <f>IF((ISERROR((M95/$H95)*100)), "", IF(AND(NOT(ISERROR((M95/$H95)*100)),((M95/$H95)*100) &lt;&gt; 0), (M95/$H95)*100, ""))</f>
        <v/>
      </c>
      <c r="O95" s="33"/>
      <c r="P95" s="36" t="str">
        <f>IF((ISERROR((O95/$H95)*100)), "", IF(AND(NOT(ISERROR((O95/$H95)*100)),((O95/$H95)*100) &lt;&gt; 0), (O95/$H95)*100, ""))</f>
        <v/>
      </c>
      <c r="Q95" s="33"/>
      <c r="R95" s="36" t="str">
        <f>IF((ISERROR((Q95/$H95)*100)), "", IF(AND(NOT(ISERROR((Q95/$H95)*100)),((Q95/$H95)*100) &lt;&gt; 0), (Q95/$H95)*100, ""))</f>
        <v/>
      </c>
      <c r="S95" s="33"/>
      <c r="T95" s="36" t="str">
        <f>IF((ISERROR((S95/$H95)*100)), "", IF(AND(NOT(ISERROR((S95/$H95)*100)),((S95/$H95)*100) &lt;&gt; 0), (S95/$H95)*100, ""))</f>
        <v/>
      </c>
      <c r="U95" s="33"/>
      <c r="V95" s="36" t="str">
        <f>IF((ISERROR((U95/$H95)*100)), "", IF(AND(NOT(ISERROR((U95/$H95)*100)),((U95/$H95)*100) &lt;&gt; 0), (U95/$H95)*100, ""))</f>
        <v/>
      </c>
      <c r="W95" s="33"/>
      <c r="X95" s="36" t="str">
        <f>IF((ISERROR((W95/$H95)*100)), "", IF(AND(NOT(ISERROR((W95/$H95)*100)),((W95/$H95)*100) &lt;&gt; 0), (W95/$H95)*100, ""))</f>
        <v/>
      </c>
      <c r="Y95" s="33"/>
      <c r="Z95" s="36" t="str">
        <f>IF((ISERROR((Y95/$H95)*100)), "", IF(AND(NOT(ISERROR((Y95/$H95)*100)),((Y95/$H95)*100) &lt;&gt; 0), (Y95/$H95)*100, ""))</f>
        <v/>
      </c>
      <c r="AA95" s="33"/>
      <c r="AB95" s="36" t="str">
        <f>IF((ISERROR((AA95/$H95)*100)), "", IF(AND(NOT(ISERROR((AA95/$H95)*100)),((AA95/$H95)*100) &lt;&gt; 0), (AA95/$H95)*100, ""))</f>
        <v/>
      </c>
      <c r="AC95" s="33"/>
      <c r="AD95" s="36" t="str">
        <f>IF((ISERROR((AC95/$H95)*100)), "", IF(AND(NOT(ISERROR((AC95/$H95)*100)),((AC95/$H95)*100) &lt;&gt; 0), (AC95/$H95)*100, ""))</f>
        <v/>
      </c>
      <c r="AE95" s="33"/>
      <c r="AF95" s="36" t="str">
        <f>IF((ISERROR((AE95/$H95)*100)), "", IF(AND(NOT(ISERROR((AE95/$H95)*100)),((AE95/$H95)*100) &lt;&gt; 0), (AE95/$H95)*100, ""))</f>
        <v/>
      </c>
      <c r="AG95" s="33"/>
      <c r="AH95" s="36" t="str">
        <f>IF((ISERROR((AG95/$H95)*100)), "", IF(AND(NOT(ISERROR((AG95/$H95)*100)),((AG95/$H95)*100) &lt;&gt; 0), (AG95/$H95)*100, ""))</f>
        <v/>
      </c>
      <c r="AI95" s="33"/>
      <c r="AJ95" s="36" t="str">
        <f>IF((ISERROR((AI95/$H95)*100)), "", IF(AND(NOT(ISERROR((AI95/$H95)*100)),((AI95/$H95)*100) &lt;&gt; 0), (AI95/$H95)*100, ""))</f>
        <v/>
      </c>
      <c r="AK95" s="33"/>
      <c r="AL95" s="36" t="str">
        <f>IF((ISERROR((AK95/$H95)*100)), "", IF(AND(NOT(ISERROR((AK95/$H95)*100)),((AK95/$H95)*100) &lt;&gt; 0), (AK95/$H95)*100, ""))</f>
        <v/>
      </c>
      <c r="AM95" s="33"/>
      <c r="AN95" s="36" t="str">
        <f>IF((ISERROR((AM95/$H95)*100)), "", IF(AND(NOT(ISERROR((AM95/$H95)*100)),((AM95/$H95)*100) &lt;&gt; 0), (AM95/$H95)*100, ""))</f>
        <v/>
      </c>
      <c r="AO95" s="33"/>
      <c r="AP95" s="36" t="str">
        <f>IF((ISERROR((AO95/$H95)*100)), "", IF(AND(NOT(ISERROR((AO95/$H95)*100)),((AO95/$H95)*100) &lt;&gt; 0), (AO95/$H95)*100, ""))</f>
        <v/>
      </c>
      <c r="AQ95" s="33"/>
      <c r="AR95" s="36" t="str">
        <f>IF((ISERROR((AQ95/$H95)*100)), "", IF(AND(NOT(ISERROR((AQ95/$H95)*100)),((AQ95/$H95)*100) &lt;&gt; 0), (AQ95/$H95)*100, ""))</f>
        <v/>
      </c>
      <c r="AS95" s="33"/>
      <c r="AT95" s="36" t="str">
        <f>IF((ISERROR((AS95/$H95)*100)), "", IF(AND(NOT(ISERROR((AS95/$H95)*100)),((AS95/$H95)*100) &lt;&gt; 0), (AS95/$H95)*100, ""))</f>
        <v/>
      </c>
      <c r="AU95" s="33"/>
      <c r="AV95" s="36" t="str">
        <f>IF((ISERROR((AU95/$H95)*100)), "", IF(AND(NOT(ISERROR((AU95/$H95)*100)),((AU95/$H95)*100) &lt;&gt; 0), (AU95/$H95)*100, ""))</f>
        <v/>
      </c>
      <c r="AW95" s="76"/>
      <c r="AX95" s="36" t="str">
        <f>IF((ISERROR((AW95/$H95)*100)), "", IF(AND(NOT(ISERROR((AW95/$H95)*100)),((AW95/$H95)*100) &lt;&gt; 0), (AW95/$H95)*100, ""))</f>
        <v/>
      </c>
      <c r="AY95" s="76"/>
      <c r="AZ95" s="36" t="str">
        <f>IF((ISERROR((AY95/$H95)*100)), "", IF(AND(NOT(ISERROR((AY95/$H95)*100)),((AY95/$H95)*100) &lt;&gt; 0), (AY95/$H95)*100, ""))</f>
        <v/>
      </c>
    </row>
    <row r="96" spans="1:53" ht="20" customHeight="1" x14ac:dyDescent="0.2">
      <c r="A96" s="60"/>
      <c r="B96" s="24"/>
      <c r="C96" s="50" t="s">
        <v>30</v>
      </c>
      <c r="D96" s="49" t="s">
        <v>50</v>
      </c>
      <c r="E96" s="49" t="s">
        <v>51</v>
      </c>
      <c r="F96" s="50">
        <v>1993</v>
      </c>
      <c r="G96" s="50">
        <v>306</v>
      </c>
      <c r="H96" s="89"/>
      <c r="I96" s="85"/>
      <c r="J96" s="86"/>
      <c r="K96" s="33"/>
      <c r="L96" s="36" t="str">
        <f>IF((ISERROR((K96/$H96)*100)), "", IF(AND(NOT(ISERROR((K96/$H96)*100)),((K96/$H96)*100) &lt;&gt; 0), (K96/$H96)*100, ""))</f>
        <v/>
      </c>
      <c r="M96" s="33"/>
      <c r="N96" s="36" t="str">
        <f>IF((ISERROR((M96/$H96)*100)), "", IF(AND(NOT(ISERROR((M96/$H96)*100)),((M96/$H96)*100) &lt;&gt; 0), (M96/$H96)*100, ""))</f>
        <v/>
      </c>
      <c r="O96" s="33"/>
      <c r="P96" s="36" t="str">
        <f>IF((ISERROR((O96/$H96)*100)), "", IF(AND(NOT(ISERROR((O96/$H96)*100)),((O96/$H96)*100) &lt;&gt; 0), (O96/$H96)*100, ""))</f>
        <v/>
      </c>
      <c r="Q96" s="33"/>
      <c r="R96" s="36" t="str">
        <f>IF((ISERROR((Q96/$H96)*100)), "", IF(AND(NOT(ISERROR((Q96/$H96)*100)),((Q96/$H96)*100) &lt;&gt; 0), (Q96/$H96)*100, ""))</f>
        <v/>
      </c>
      <c r="S96" s="33"/>
      <c r="T96" s="36" t="str">
        <f>IF((ISERROR((S96/$H96)*100)), "", IF(AND(NOT(ISERROR((S96/$H96)*100)),((S96/$H96)*100) &lt;&gt; 0), (S96/$H96)*100, ""))</f>
        <v/>
      </c>
      <c r="U96" s="33"/>
      <c r="V96" s="36" t="str">
        <f>IF((ISERROR((U96/$H96)*100)), "", IF(AND(NOT(ISERROR((U96/$H96)*100)),((U96/$H96)*100) &lt;&gt; 0), (U96/$H96)*100, ""))</f>
        <v/>
      </c>
      <c r="W96" s="33"/>
      <c r="X96" s="36" t="str">
        <f>IF((ISERROR((W96/$H96)*100)), "", IF(AND(NOT(ISERROR((W96/$H96)*100)),((W96/$H96)*100) &lt;&gt; 0), (W96/$H96)*100, ""))</f>
        <v/>
      </c>
      <c r="Y96" s="33"/>
      <c r="Z96" s="36" t="str">
        <f>IF((ISERROR((Y96/$H96)*100)), "", IF(AND(NOT(ISERROR((Y96/$H96)*100)),((Y96/$H96)*100) &lt;&gt; 0), (Y96/$H96)*100, ""))</f>
        <v/>
      </c>
      <c r="AA96" s="33"/>
      <c r="AB96" s="36" t="str">
        <f>IF((ISERROR((AA96/$H96)*100)), "", IF(AND(NOT(ISERROR((AA96/$H96)*100)),((AA96/$H96)*100) &lt;&gt; 0), (AA96/$H96)*100, ""))</f>
        <v/>
      </c>
      <c r="AC96" s="33"/>
      <c r="AD96" s="36" t="str">
        <f>IF((ISERROR((AC96/$H96)*100)), "", IF(AND(NOT(ISERROR((AC96/$H96)*100)),((AC96/$H96)*100) &lt;&gt; 0), (AC96/$H96)*100, ""))</f>
        <v/>
      </c>
      <c r="AE96" s="33"/>
      <c r="AF96" s="36" t="str">
        <f>IF((ISERROR((AE96/$H96)*100)), "", IF(AND(NOT(ISERROR((AE96/$H96)*100)),((AE96/$H96)*100) &lt;&gt; 0), (AE96/$H96)*100, ""))</f>
        <v/>
      </c>
      <c r="AG96" s="33"/>
      <c r="AH96" s="36" t="str">
        <f>IF((ISERROR((AG96/$H96)*100)), "", IF(AND(NOT(ISERROR((AG96/$H96)*100)),((AG96/$H96)*100) &lt;&gt; 0), (AG96/$H96)*100, ""))</f>
        <v/>
      </c>
      <c r="AI96" s="33"/>
      <c r="AJ96" s="36" t="str">
        <f>IF((ISERROR((AI96/$H96)*100)), "", IF(AND(NOT(ISERROR((AI96/$H96)*100)),((AI96/$H96)*100) &lt;&gt; 0), (AI96/$H96)*100, ""))</f>
        <v/>
      </c>
      <c r="AK96" s="33"/>
      <c r="AL96" s="36" t="str">
        <f>IF((ISERROR((AK96/$H96)*100)), "", IF(AND(NOT(ISERROR((AK96/$H96)*100)),((AK96/$H96)*100) &lt;&gt; 0), (AK96/$H96)*100, ""))</f>
        <v/>
      </c>
      <c r="AM96" s="33"/>
      <c r="AN96" s="36" t="str">
        <f>IF((ISERROR((AM96/$H96)*100)), "", IF(AND(NOT(ISERROR((AM96/$H96)*100)),((AM96/$H96)*100) &lt;&gt; 0), (AM96/$H96)*100, ""))</f>
        <v/>
      </c>
      <c r="AO96" s="33"/>
      <c r="AP96" s="36" t="str">
        <f>IF((ISERROR((AO96/$H96)*100)), "", IF(AND(NOT(ISERROR((AO96/$H96)*100)),((AO96/$H96)*100) &lt;&gt; 0), (AO96/$H96)*100, ""))</f>
        <v/>
      </c>
      <c r="AQ96" s="33"/>
      <c r="AR96" s="36" t="str">
        <f>IF((ISERROR((AQ96/$H96)*100)), "", IF(AND(NOT(ISERROR((AQ96/$H96)*100)),((AQ96/$H96)*100) &lt;&gt; 0), (AQ96/$H96)*100, ""))</f>
        <v/>
      </c>
      <c r="AS96" s="33"/>
      <c r="AT96" s="36" t="str">
        <f>IF((ISERROR((AS96/$H96)*100)), "", IF(AND(NOT(ISERROR((AS96/$H96)*100)),((AS96/$H96)*100) &lt;&gt; 0), (AS96/$H96)*100, ""))</f>
        <v/>
      </c>
      <c r="AU96" s="33"/>
      <c r="AV96" s="36" t="str">
        <f>IF((ISERROR((AU96/$H96)*100)), "", IF(AND(NOT(ISERROR((AU96/$H96)*100)),((AU96/$H96)*100) &lt;&gt; 0), (AU96/$H96)*100, ""))</f>
        <v/>
      </c>
      <c r="AW96" s="76"/>
      <c r="AX96" s="36" t="str">
        <f>IF((ISERROR((AW96/$H96)*100)), "", IF(AND(NOT(ISERROR((AW96/$H96)*100)),((AW96/$H96)*100) &lt;&gt; 0), (AW96/$H96)*100, ""))</f>
        <v/>
      </c>
      <c r="AY96" s="76"/>
      <c r="AZ96" s="36" t="str">
        <f>IF((ISERROR((AY96/$H96)*100)), "", IF(AND(NOT(ISERROR((AY96/$H96)*100)),((AY96/$H96)*100) &lt;&gt; 0), (AY96/$H96)*100, ""))</f>
        <v/>
      </c>
    </row>
    <row r="97" spans="1:53" ht="20" customHeight="1" x14ac:dyDescent="0.2">
      <c r="A97" s="61"/>
      <c r="B97" s="24"/>
      <c r="D97" s="23" t="s">
        <v>271</v>
      </c>
      <c r="E97" s="23" t="s">
        <v>272</v>
      </c>
      <c r="F97" s="24">
        <v>2004</v>
      </c>
      <c r="H97" s="89"/>
      <c r="I97" s="85"/>
      <c r="J97" s="86"/>
      <c r="K97" s="33"/>
      <c r="L97" s="36" t="str">
        <f>IF((ISERROR((K97/$H97)*100)), "", IF(AND(NOT(ISERROR((K97/$H97)*100)),((K97/$H97)*100) &lt;&gt; 0), (K97/$H97)*100, ""))</f>
        <v/>
      </c>
      <c r="M97" s="33"/>
      <c r="N97" s="36" t="str">
        <f>IF((ISERROR((M97/$H97)*100)), "", IF(AND(NOT(ISERROR((M97/$H97)*100)),((M97/$H97)*100) &lt;&gt; 0), (M97/$H97)*100, ""))</f>
        <v/>
      </c>
      <c r="O97" s="33"/>
      <c r="P97" s="36" t="str">
        <f>IF((ISERROR((O97/$H97)*100)), "", IF(AND(NOT(ISERROR((O97/$H97)*100)),((O97/$H97)*100) &lt;&gt; 0), (O97/$H97)*100, ""))</f>
        <v/>
      </c>
      <c r="Q97" s="33"/>
      <c r="R97" s="36" t="str">
        <f>IF((ISERROR((Q97/$H97)*100)), "", IF(AND(NOT(ISERROR((Q97/$H97)*100)),((Q97/$H97)*100) &lt;&gt; 0), (Q97/$H97)*100, ""))</f>
        <v/>
      </c>
      <c r="S97" s="33"/>
      <c r="T97" s="36" t="str">
        <f>IF((ISERROR((S97/$H97)*100)), "", IF(AND(NOT(ISERROR((S97/$H97)*100)),((S97/$H97)*100) &lt;&gt; 0), (S97/$H97)*100, ""))</f>
        <v/>
      </c>
      <c r="U97" s="33"/>
      <c r="V97" s="36" t="str">
        <f>IF((ISERROR((U97/$H97)*100)), "", IF(AND(NOT(ISERROR((U97/$H97)*100)),((U97/$H97)*100) &lt;&gt; 0), (U97/$H97)*100, ""))</f>
        <v/>
      </c>
      <c r="W97" s="33"/>
      <c r="X97" s="36" t="str">
        <f>IF((ISERROR((W97/$H97)*100)), "", IF(AND(NOT(ISERROR((W97/$H97)*100)),((W97/$H97)*100) &lt;&gt; 0), (W97/$H97)*100, ""))</f>
        <v/>
      </c>
      <c r="Y97" s="33"/>
      <c r="Z97" s="36" t="str">
        <f>IF((ISERROR((Y97/$H97)*100)), "", IF(AND(NOT(ISERROR((Y97/$H97)*100)),((Y97/$H97)*100) &lt;&gt; 0), (Y97/$H97)*100, ""))</f>
        <v/>
      </c>
      <c r="AA97" s="33"/>
      <c r="AB97" s="36" t="str">
        <f>IF((ISERROR((AA97/$H97)*100)), "", IF(AND(NOT(ISERROR((AA97/$H97)*100)),((AA97/$H97)*100) &lt;&gt; 0), (AA97/$H97)*100, ""))</f>
        <v/>
      </c>
      <c r="AC97" s="33"/>
      <c r="AD97" s="36" t="str">
        <f>IF((ISERROR((AC97/$H97)*100)), "", IF(AND(NOT(ISERROR((AC97/$H97)*100)),((AC97/$H97)*100) &lt;&gt; 0), (AC97/$H97)*100, ""))</f>
        <v/>
      </c>
      <c r="AE97" s="33"/>
      <c r="AF97" s="36" t="str">
        <f>IF((ISERROR((AE97/$H97)*100)), "", IF(AND(NOT(ISERROR((AE97/$H97)*100)),((AE97/$H97)*100) &lt;&gt; 0), (AE97/$H97)*100, ""))</f>
        <v/>
      </c>
      <c r="AG97" s="33"/>
      <c r="AH97" s="36" t="str">
        <f>IF((ISERROR((AG97/$H97)*100)), "", IF(AND(NOT(ISERROR((AG97/$H97)*100)),((AG97/$H97)*100) &lt;&gt; 0), (AG97/$H97)*100, ""))</f>
        <v/>
      </c>
      <c r="AI97" s="33"/>
      <c r="AJ97" s="36" t="str">
        <f>IF((ISERROR((AI97/$H97)*100)), "", IF(AND(NOT(ISERROR((AI97/$H97)*100)),((AI97/$H97)*100) &lt;&gt; 0), (AI97/$H97)*100, ""))</f>
        <v/>
      </c>
      <c r="AK97" s="33"/>
      <c r="AL97" s="36" t="str">
        <f>IF((ISERROR((AK97/$H97)*100)), "", IF(AND(NOT(ISERROR((AK97/$H97)*100)),((AK97/$H97)*100) &lt;&gt; 0), (AK97/$H97)*100, ""))</f>
        <v/>
      </c>
      <c r="AM97" s="33"/>
      <c r="AN97" s="36" t="str">
        <f>IF((ISERROR((AM97/$H97)*100)), "", IF(AND(NOT(ISERROR((AM97/$H97)*100)),((AM97/$H97)*100) &lt;&gt; 0), (AM97/$H97)*100, ""))</f>
        <v/>
      </c>
      <c r="AO97" s="33"/>
      <c r="AP97" s="36" t="str">
        <f>IF((ISERROR((AO97/$H97)*100)), "", IF(AND(NOT(ISERROR((AO97/$H97)*100)),((AO97/$H97)*100) &lt;&gt; 0), (AO97/$H97)*100, ""))</f>
        <v/>
      </c>
      <c r="AQ97" s="33"/>
      <c r="AR97" s="36" t="str">
        <f>IF((ISERROR((AQ97/$H97)*100)), "", IF(AND(NOT(ISERROR((AQ97/$H97)*100)),((AQ97/$H97)*100) &lt;&gt; 0), (AQ97/$H97)*100, ""))</f>
        <v/>
      </c>
      <c r="AS97" s="33"/>
      <c r="AT97" s="36" t="str">
        <f>IF((ISERROR((AS97/$H97)*100)), "", IF(AND(NOT(ISERROR((AS97/$H97)*100)),((AS97/$H97)*100) &lt;&gt; 0), (AS97/$H97)*100, ""))</f>
        <v/>
      </c>
      <c r="AU97" s="33"/>
      <c r="AV97" s="36" t="str">
        <f>IF((ISERROR((AU97/$H97)*100)), "", IF(AND(NOT(ISERROR((AU97/$H97)*100)),((AU97/$H97)*100) &lt;&gt; 0), (AU97/$H97)*100, ""))</f>
        <v/>
      </c>
      <c r="AW97" s="30"/>
      <c r="AX97" s="36" t="str">
        <f>IF((ISERROR((AW97/$H97)*100)), "", IF(AND(NOT(ISERROR((AW97/$H97)*100)),((AW97/$H97)*100) &lt;&gt; 0), (AW97/$H97)*100, ""))</f>
        <v/>
      </c>
      <c r="AY97" s="59"/>
      <c r="AZ97" s="36" t="str">
        <f>IF((ISERROR((AY97/$H97)*100)), "", IF(AND(NOT(ISERROR((AY97/$H97)*100)),((AY97/$H97)*100) &lt;&gt; 0), (AY97/$H97)*100, ""))</f>
        <v/>
      </c>
    </row>
    <row r="98" spans="1:53" ht="20" customHeight="1" x14ac:dyDescent="0.2">
      <c r="A98" s="61"/>
      <c r="B98" s="24"/>
      <c r="C98" s="50" t="s">
        <v>49</v>
      </c>
      <c r="D98" s="49" t="s">
        <v>65</v>
      </c>
      <c r="E98" s="49" t="s">
        <v>66</v>
      </c>
      <c r="F98" s="50">
        <v>1997</v>
      </c>
      <c r="G98" s="50"/>
      <c r="H98" s="89"/>
      <c r="I98" s="85"/>
      <c r="J98" s="86"/>
      <c r="K98" s="33"/>
      <c r="L98" s="36" t="str">
        <f>IF((ISERROR((K98/$H98)*100)), "", IF(AND(NOT(ISERROR((K98/$H98)*100)),((K98/$H98)*100) &lt;&gt; 0), (K98/$H98)*100, ""))</f>
        <v/>
      </c>
      <c r="M98" s="33"/>
      <c r="N98" s="36" t="str">
        <f>IF((ISERROR((M98/$H98)*100)), "", IF(AND(NOT(ISERROR((M98/$H98)*100)),((M98/$H98)*100) &lt;&gt; 0), (M98/$H98)*100, ""))</f>
        <v/>
      </c>
      <c r="O98" s="33"/>
      <c r="P98" s="36" t="str">
        <f>IF((ISERROR((O98/$H98)*100)), "", IF(AND(NOT(ISERROR((O98/$H98)*100)),((O98/$H98)*100) &lt;&gt; 0), (O98/$H98)*100, ""))</f>
        <v/>
      </c>
      <c r="Q98" s="33"/>
      <c r="R98" s="36" t="str">
        <f>IF((ISERROR((Q98/$H98)*100)), "", IF(AND(NOT(ISERROR((Q98/$H98)*100)),((Q98/$H98)*100) &lt;&gt; 0), (Q98/$H98)*100, ""))</f>
        <v/>
      </c>
      <c r="S98" s="33"/>
      <c r="T98" s="36" t="str">
        <f>IF((ISERROR((S98/$H98)*100)), "", IF(AND(NOT(ISERROR((S98/$H98)*100)),((S98/$H98)*100) &lt;&gt; 0), (S98/$H98)*100, ""))</f>
        <v/>
      </c>
      <c r="U98" s="33"/>
      <c r="V98" s="36" t="str">
        <f>IF((ISERROR((U98/$H98)*100)), "", IF(AND(NOT(ISERROR((U98/$H98)*100)),((U98/$H98)*100) &lt;&gt; 0), (U98/$H98)*100, ""))</f>
        <v/>
      </c>
      <c r="W98" s="33"/>
      <c r="X98" s="36" t="str">
        <f>IF((ISERROR((W98/$H98)*100)), "", IF(AND(NOT(ISERROR((W98/$H98)*100)),((W98/$H98)*100) &lt;&gt; 0), (W98/$H98)*100, ""))</f>
        <v/>
      </c>
      <c r="Y98" s="33"/>
      <c r="Z98" s="36" t="str">
        <f>IF((ISERROR((Y98/$H98)*100)), "", IF(AND(NOT(ISERROR((Y98/$H98)*100)),((Y98/$H98)*100) &lt;&gt; 0), (Y98/$H98)*100, ""))</f>
        <v/>
      </c>
      <c r="AA98" s="33"/>
      <c r="AB98" s="36" t="str">
        <f>IF((ISERROR((AA98/$H98)*100)), "", IF(AND(NOT(ISERROR((AA98/$H98)*100)),((AA98/$H98)*100) &lt;&gt; 0), (AA98/$H98)*100, ""))</f>
        <v/>
      </c>
      <c r="AC98" s="33"/>
      <c r="AD98" s="36" t="str">
        <f>IF((ISERROR((AC98/$H98)*100)), "", IF(AND(NOT(ISERROR((AC98/$H98)*100)),((AC98/$H98)*100) &lt;&gt; 0), (AC98/$H98)*100, ""))</f>
        <v/>
      </c>
      <c r="AE98" s="33"/>
      <c r="AF98" s="36" t="str">
        <f>IF((ISERROR((AE98/$H98)*100)), "", IF(AND(NOT(ISERROR((AE98/$H98)*100)),((AE98/$H98)*100) &lt;&gt; 0), (AE98/$H98)*100, ""))</f>
        <v/>
      </c>
      <c r="AG98" s="33"/>
      <c r="AH98" s="36" t="str">
        <f>IF((ISERROR((AG98/$H98)*100)), "", IF(AND(NOT(ISERROR((AG98/$H98)*100)),((AG98/$H98)*100) &lt;&gt; 0), (AG98/$H98)*100, ""))</f>
        <v/>
      </c>
      <c r="AI98" s="33"/>
      <c r="AJ98" s="36" t="str">
        <f>IF((ISERROR((AI98/$H98)*100)), "", IF(AND(NOT(ISERROR((AI98/$H98)*100)),((AI98/$H98)*100) &lt;&gt; 0), (AI98/$H98)*100, ""))</f>
        <v/>
      </c>
      <c r="AK98" s="33"/>
      <c r="AL98" s="36" t="str">
        <f>IF((ISERROR((AK98/$H98)*100)), "", IF(AND(NOT(ISERROR((AK98/$H98)*100)),((AK98/$H98)*100) &lt;&gt; 0), (AK98/$H98)*100, ""))</f>
        <v/>
      </c>
      <c r="AM98" s="33"/>
      <c r="AN98" s="36" t="str">
        <f>IF((ISERROR((AM98/$H98)*100)), "", IF(AND(NOT(ISERROR((AM98/$H98)*100)),((AM98/$H98)*100) &lt;&gt; 0), (AM98/$H98)*100, ""))</f>
        <v/>
      </c>
      <c r="AO98" s="33"/>
      <c r="AP98" s="36" t="str">
        <f>IF((ISERROR((AO98/$H98)*100)), "", IF(AND(NOT(ISERROR((AO98/$H98)*100)),((AO98/$H98)*100) &lt;&gt; 0), (AO98/$H98)*100, ""))</f>
        <v/>
      </c>
      <c r="AQ98" s="33"/>
      <c r="AR98" s="36" t="str">
        <f>IF((ISERROR((AQ98/$H98)*100)), "", IF(AND(NOT(ISERROR((AQ98/$H98)*100)),((AQ98/$H98)*100) &lt;&gt; 0), (AQ98/$H98)*100, ""))</f>
        <v/>
      </c>
      <c r="AS98" s="33"/>
      <c r="AT98" s="36" t="str">
        <f>IF((ISERROR((AS98/$H98)*100)), "", IF(AND(NOT(ISERROR((AS98/$H98)*100)),((AS98/$H98)*100) &lt;&gt; 0), (AS98/$H98)*100, ""))</f>
        <v/>
      </c>
      <c r="AU98" s="33"/>
      <c r="AV98" s="36" t="str">
        <f>IF((ISERROR((AU98/$H98)*100)), "", IF(AND(NOT(ISERROR((AU98/$H98)*100)),((AU98/$H98)*100) &lt;&gt; 0), (AU98/$H98)*100, ""))</f>
        <v/>
      </c>
      <c r="AW98" s="30"/>
      <c r="AX98" s="36" t="str">
        <f>IF((ISERROR((AW98/$H98)*100)), "", IF(AND(NOT(ISERROR((AW98/$H98)*100)),((AW98/$H98)*100) &lt;&gt; 0), (AW98/$H98)*100, ""))</f>
        <v/>
      </c>
      <c r="AY98" s="59"/>
      <c r="AZ98" s="36" t="str">
        <f>IF((ISERROR((AY98/$H98)*100)), "", IF(AND(NOT(ISERROR((AY98/$H98)*100)),((AY98/$H98)*100) &lt;&gt; 0), (AY98/$H98)*100, ""))</f>
        <v/>
      </c>
    </row>
    <row r="99" spans="1:53" ht="20" customHeight="1" x14ac:dyDescent="0.2">
      <c r="A99" s="61"/>
      <c r="B99" s="24"/>
      <c r="C99" s="50" t="s">
        <v>30</v>
      </c>
      <c r="D99" s="49" t="s">
        <v>67</v>
      </c>
      <c r="E99" s="49" t="s">
        <v>68</v>
      </c>
      <c r="F99" s="50">
        <v>2011</v>
      </c>
      <c r="G99" s="50">
        <v>54</v>
      </c>
      <c r="H99" s="89"/>
      <c r="I99" s="85"/>
      <c r="J99" s="86"/>
      <c r="K99" s="33"/>
      <c r="L99" s="36" t="str">
        <f>IF((ISERROR((K99/$H99)*100)), "", IF(AND(NOT(ISERROR((K99/$H99)*100)),((K99/$H99)*100) &lt;&gt; 0), (K99/$H99)*100, ""))</f>
        <v/>
      </c>
      <c r="M99" s="33"/>
      <c r="N99" s="36" t="str">
        <f>IF((ISERROR((M99/$H99)*100)), "", IF(AND(NOT(ISERROR((M99/$H99)*100)),((M99/$H99)*100) &lt;&gt; 0), (M99/$H99)*100, ""))</f>
        <v/>
      </c>
      <c r="O99" s="33"/>
      <c r="P99" s="36" t="str">
        <f>IF((ISERROR((O99/$H99)*100)), "", IF(AND(NOT(ISERROR((O99/$H99)*100)),((O99/$H99)*100) &lt;&gt; 0), (O99/$H99)*100, ""))</f>
        <v/>
      </c>
      <c r="Q99" s="33"/>
      <c r="R99" s="36" t="str">
        <f>IF((ISERROR((Q99/$H99)*100)), "", IF(AND(NOT(ISERROR((Q99/$H99)*100)),((Q99/$H99)*100) &lt;&gt; 0), (Q99/$H99)*100, ""))</f>
        <v/>
      </c>
      <c r="S99" s="33"/>
      <c r="T99" s="36" t="str">
        <f>IF((ISERROR((S99/$H99)*100)), "", IF(AND(NOT(ISERROR((S99/$H99)*100)),((S99/$H99)*100) &lt;&gt; 0), (S99/$H99)*100, ""))</f>
        <v/>
      </c>
      <c r="U99" s="33"/>
      <c r="V99" s="36" t="str">
        <f>IF((ISERROR((U99/$H99)*100)), "", IF(AND(NOT(ISERROR((U99/$H99)*100)),((U99/$H99)*100) &lt;&gt; 0), (U99/$H99)*100, ""))</f>
        <v/>
      </c>
      <c r="W99" s="33"/>
      <c r="X99" s="36" t="str">
        <f>IF((ISERROR((W99/$H99)*100)), "", IF(AND(NOT(ISERROR((W99/$H99)*100)),((W99/$H99)*100) &lt;&gt; 0), (W99/$H99)*100, ""))</f>
        <v/>
      </c>
      <c r="Y99" s="33"/>
      <c r="Z99" s="36" t="str">
        <f>IF((ISERROR((Y99/$H99)*100)), "", IF(AND(NOT(ISERROR((Y99/$H99)*100)),((Y99/$H99)*100) &lt;&gt; 0), (Y99/$H99)*100, ""))</f>
        <v/>
      </c>
      <c r="AA99" s="33"/>
      <c r="AB99" s="36" t="str">
        <f>IF((ISERROR((AA99/$H99)*100)), "", IF(AND(NOT(ISERROR((AA99/$H99)*100)),((AA99/$H99)*100) &lt;&gt; 0), (AA99/$H99)*100, ""))</f>
        <v/>
      </c>
      <c r="AC99" s="33"/>
      <c r="AD99" s="36" t="str">
        <f>IF((ISERROR((AC99/$H99)*100)), "", IF(AND(NOT(ISERROR((AC99/$H99)*100)),((AC99/$H99)*100) &lt;&gt; 0), (AC99/$H99)*100, ""))</f>
        <v/>
      </c>
      <c r="AE99" s="33"/>
      <c r="AF99" s="36" t="str">
        <f>IF((ISERROR((AE99/$H99)*100)), "", IF(AND(NOT(ISERROR((AE99/$H99)*100)),((AE99/$H99)*100) &lt;&gt; 0), (AE99/$H99)*100, ""))</f>
        <v/>
      </c>
      <c r="AG99" s="33"/>
      <c r="AH99" s="36" t="str">
        <f>IF((ISERROR((AG99/$H99)*100)), "", IF(AND(NOT(ISERROR((AG99/$H99)*100)),((AG99/$H99)*100) &lt;&gt; 0), (AG99/$H99)*100, ""))</f>
        <v/>
      </c>
      <c r="AI99" s="33"/>
      <c r="AJ99" s="36" t="str">
        <f>IF((ISERROR((AI99/$H99)*100)), "", IF(AND(NOT(ISERROR((AI99/$H99)*100)),((AI99/$H99)*100) &lt;&gt; 0), (AI99/$H99)*100, ""))</f>
        <v/>
      </c>
      <c r="AK99" s="33"/>
      <c r="AL99" s="36" t="str">
        <f>IF((ISERROR((AK99/$H99)*100)), "", IF(AND(NOT(ISERROR((AK99/$H99)*100)),((AK99/$H99)*100) &lt;&gt; 0), (AK99/$H99)*100, ""))</f>
        <v/>
      </c>
      <c r="AM99" s="33"/>
      <c r="AN99" s="36" t="str">
        <f>IF((ISERROR((AM99/$H99)*100)), "", IF(AND(NOT(ISERROR((AM99/$H99)*100)),((AM99/$H99)*100) &lt;&gt; 0), (AM99/$H99)*100, ""))</f>
        <v/>
      </c>
      <c r="AO99" s="33"/>
      <c r="AP99" s="36" t="str">
        <f>IF((ISERROR((AO99/$H99)*100)), "", IF(AND(NOT(ISERROR((AO99/$H99)*100)),((AO99/$H99)*100) &lt;&gt; 0), (AO99/$H99)*100, ""))</f>
        <v/>
      </c>
      <c r="AQ99" s="33"/>
      <c r="AR99" s="36" t="str">
        <f>IF((ISERROR((AQ99/$H99)*100)), "", IF(AND(NOT(ISERROR((AQ99/$H99)*100)),((AQ99/$H99)*100) &lt;&gt; 0), (AQ99/$H99)*100, ""))</f>
        <v/>
      </c>
      <c r="AS99" s="33"/>
      <c r="AT99" s="36" t="str">
        <f>IF((ISERROR((AS99/$H99)*100)), "", IF(AND(NOT(ISERROR((AS99/$H99)*100)),((AS99/$H99)*100) &lt;&gt; 0), (AS99/$H99)*100, ""))</f>
        <v/>
      </c>
      <c r="AU99" s="33"/>
      <c r="AV99" s="36" t="str">
        <f>IF((ISERROR((AU99/$H99)*100)), "", IF(AND(NOT(ISERROR((AU99/$H99)*100)),((AU99/$H99)*100) &lt;&gt; 0), (AU99/$H99)*100, ""))</f>
        <v/>
      </c>
      <c r="AW99" s="76"/>
      <c r="AX99" s="36" t="str">
        <f>IF((ISERROR((AW99/$H99)*100)), "", IF(AND(NOT(ISERROR((AW99/$H99)*100)),((AW99/$H99)*100) &lt;&gt; 0), (AW99/$H99)*100, ""))</f>
        <v/>
      </c>
      <c r="AY99" s="76"/>
      <c r="AZ99" s="36" t="str">
        <f>IF((ISERROR((AY99/$H99)*100)), "", IF(AND(NOT(ISERROR((AY99/$H99)*100)),((AY99/$H99)*100) &lt;&gt; 0), (AY99/$H99)*100, ""))</f>
        <v/>
      </c>
      <c r="BA99" s="23" t="s">
        <v>384</v>
      </c>
    </row>
    <row r="100" spans="1:53" ht="20" customHeight="1" x14ac:dyDescent="0.2">
      <c r="A100" s="60"/>
      <c r="B100" s="82"/>
      <c r="D100" s="23" t="s">
        <v>279</v>
      </c>
      <c r="E100" s="23" t="s">
        <v>282</v>
      </c>
      <c r="F100" s="24">
        <v>2008</v>
      </c>
      <c r="H100" s="89"/>
      <c r="I100" s="85"/>
      <c r="J100" s="86" t="s">
        <v>353</v>
      </c>
      <c r="K100" s="33"/>
      <c r="L100" s="36" t="str">
        <f>IF((ISERROR((K100/$H100)*100)), "", IF(AND(NOT(ISERROR((K100/$H100)*100)),((K100/$H100)*100) &lt;&gt; 0), (K100/$H100)*100, ""))</f>
        <v/>
      </c>
      <c r="M100" s="33"/>
      <c r="N100" s="36" t="str">
        <f>IF((ISERROR((M100/$H100)*100)), "", IF(AND(NOT(ISERROR((M100/$H100)*100)),((M100/$H100)*100) &lt;&gt; 0), (M100/$H100)*100, ""))</f>
        <v/>
      </c>
      <c r="O100" s="33"/>
      <c r="P100" s="36" t="str">
        <f>IF((ISERROR((O100/$H100)*100)), "", IF(AND(NOT(ISERROR((O100/$H100)*100)),((O100/$H100)*100) &lt;&gt; 0), (O100/$H100)*100, ""))</f>
        <v/>
      </c>
      <c r="Q100" s="33"/>
      <c r="R100" s="36" t="str">
        <f>IF((ISERROR((Q100/$H100)*100)), "", IF(AND(NOT(ISERROR((Q100/$H100)*100)),((Q100/$H100)*100) &lt;&gt; 0), (Q100/$H100)*100, ""))</f>
        <v/>
      </c>
      <c r="S100" s="33"/>
      <c r="T100" s="36" t="str">
        <f>IF((ISERROR((S100/$H100)*100)), "", IF(AND(NOT(ISERROR((S100/$H100)*100)),((S100/$H100)*100) &lt;&gt; 0), (S100/$H100)*100, ""))</f>
        <v/>
      </c>
      <c r="U100" s="33">
        <v>2</v>
      </c>
      <c r="V100" s="36" t="str">
        <f>IF((ISERROR((U100/$H100)*100)), "", IF(AND(NOT(ISERROR((U100/$H100)*100)),((U100/$H100)*100) &lt;&gt; 0), (U100/$H100)*100, ""))</f>
        <v/>
      </c>
      <c r="W100" s="33"/>
      <c r="X100" s="36" t="str">
        <f>IF((ISERROR((W100/$H100)*100)), "", IF(AND(NOT(ISERROR((W100/$H100)*100)),((W100/$H100)*100) &lt;&gt; 0), (W100/$H100)*100, ""))</f>
        <v/>
      </c>
      <c r="Y100" s="33"/>
      <c r="Z100" s="36" t="str">
        <f>IF((ISERROR((Y100/$H100)*100)), "", IF(AND(NOT(ISERROR((Y100/$H100)*100)),((Y100/$H100)*100) &lt;&gt; 0), (Y100/$H100)*100, ""))</f>
        <v/>
      </c>
      <c r="AA100" s="33"/>
      <c r="AB100" s="36" t="str">
        <f>IF((ISERROR((AA100/$H100)*100)), "", IF(AND(NOT(ISERROR((AA100/$H100)*100)),((AA100/$H100)*100) &lt;&gt; 0), (AA100/$H100)*100, ""))</f>
        <v/>
      </c>
      <c r="AC100" s="33"/>
      <c r="AD100" s="36" t="str">
        <f>IF((ISERROR((AC100/$H100)*100)), "", IF(AND(NOT(ISERROR((AC100/$H100)*100)),((AC100/$H100)*100) &lt;&gt; 0), (AC100/$H100)*100, ""))</f>
        <v/>
      </c>
      <c r="AE100" s="33"/>
      <c r="AF100" s="36" t="str">
        <f>IF((ISERROR((AE100/$H100)*100)), "", IF(AND(NOT(ISERROR((AE100/$H100)*100)),((AE100/$H100)*100) &lt;&gt; 0), (AE100/$H100)*100, ""))</f>
        <v/>
      </c>
      <c r="AG100" s="33"/>
      <c r="AH100" s="36" t="str">
        <f>IF((ISERROR((AG100/$H100)*100)), "", IF(AND(NOT(ISERROR((AG100/$H100)*100)),((AG100/$H100)*100) &lt;&gt; 0), (AG100/$H100)*100, ""))</f>
        <v/>
      </c>
      <c r="AI100" s="33"/>
      <c r="AJ100" s="36" t="str">
        <f>IF((ISERROR((AI100/$H100)*100)), "", IF(AND(NOT(ISERROR((AI100/$H100)*100)),((AI100/$H100)*100) &lt;&gt; 0), (AI100/$H100)*100, ""))</f>
        <v/>
      </c>
      <c r="AK100" s="33"/>
      <c r="AL100" s="36" t="str">
        <f>IF((ISERROR((AK100/$H100)*100)), "", IF(AND(NOT(ISERROR((AK100/$H100)*100)),((AK100/$H100)*100) &lt;&gt; 0), (AK100/$H100)*100, ""))</f>
        <v/>
      </c>
      <c r="AM100" s="33"/>
      <c r="AN100" s="36" t="str">
        <f>IF((ISERROR((AM100/$H100)*100)), "", IF(AND(NOT(ISERROR((AM100/$H100)*100)),((AM100/$H100)*100) &lt;&gt; 0), (AM100/$H100)*100, ""))</f>
        <v/>
      </c>
      <c r="AO100" s="33"/>
      <c r="AP100" s="36" t="str">
        <f>IF((ISERROR((AO100/$H100)*100)), "", IF(AND(NOT(ISERROR((AO100/$H100)*100)),((AO100/$H100)*100) &lt;&gt; 0), (AO100/$H100)*100, ""))</f>
        <v/>
      </c>
      <c r="AQ100" s="33"/>
      <c r="AR100" s="36" t="str">
        <f>IF((ISERROR((AQ100/$H100)*100)), "", IF(AND(NOT(ISERROR((AQ100/$H100)*100)),((AQ100/$H100)*100) &lt;&gt; 0), (AQ100/$H100)*100, ""))</f>
        <v/>
      </c>
      <c r="AS100" s="33"/>
      <c r="AT100" s="36" t="str">
        <f>IF((ISERROR((AS100/$H100)*100)), "", IF(AND(NOT(ISERROR((AS100/$H100)*100)),((AS100/$H100)*100) &lt;&gt; 0), (AS100/$H100)*100, ""))</f>
        <v/>
      </c>
      <c r="AU100" s="33"/>
      <c r="AV100" s="36" t="str">
        <f>IF((ISERROR((AU100/$H100)*100)), "", IF(AND(NOT(ISERROR((AU100/$H100)*100)),((AU100/$H100)*100) &lt;&gt; 0), (AU100/$H100)*100, ""))</f>
        <v/>
      </c>
      <c r="AW100" s="30"/>
      <c r="AX100" s="36" t="str">
        <f>IF((ISERROR((AW100/$H100)*100)), "", IF(AND(NOT(ISERROR((AW100/$H100)*100)),((AW100/$H100)*100) &lt;&gt; 0), (AW100/$H100)*100, ""))</f>
        <v/>
      </c>
      <c r="AY100" s="59"/>
      <c r="AZ100" s="36" t="str">
        <f>IF((ISERROR((AY100/$H100)*100)), "", IF(AND(NOT(ISERROR((AY100/$H100)*100)),((AY100/$H100)*100) &lt;&gt; 0), (AY100/$H100)*100, ""))</f>
        <v/>
      </c>
    </row>
    <row r="101" spans="1:53" ht="20" customHeight="1" x14ac:dyDescent="0.2">
      <c r="A101" s="60"/>
      <c r="B101" s="24"/>
      <c r="C101" s="50" t="s">
        <v>35</v>
      </c>
      <c r="D101" s="49" t="s">
        <v>73</v>
      </c>
      <c r="E101" s="49" t="s">
        <v>74</v>
      </c>
      <c r="F101" s="50">
        <v>2015</v>
      </c>
      <c r="G101" s="50">
        <v>6</v>
      </c>
      <c r="H101" s="89"/>
      <c r="I101" s="85"/>
      <c r="J101" s="86"/>
      <c r="K101" s="33"/>
      <c r="L101" s="36" t="str">
        <f>IF((ISERROR((K101/$H101)*100)), "", IF(AND(NOT(ISERROR((K101/$H101)*100)),((K101/$H101)*100) &lt;&gt; 0), (K101/$H101)*100, ""))</f>
        <v/>
      </c>
      <c r="M101" s="33"/>
      <c r="N101" s="36" t="str">
        <f>IF((ISERROR((M101/$H101)*100)), "", IF(AND(NOT(ISERROR((M101/$H101)*100)),((M101/$H101)*100) &lt;&gt; 0), (M101/$H101)*100, ""))</f>
        <v/>
      </c>
      <c r="O101" s="33"/>
      <c r="P101" s="36" t="str">
        <f>IF((ISERROR((O101/$H101)*100)), "", IF(AND(NOT(ISERROR((O101/$H101)*100)),((O101/$H101)*100) &lt;&gt; 0), (O101/$H101)*100, ""))</f>
        <v/>
      </c>
      <c r="Q101" s="33"/>
      <c r="R101" s="36" t="str">
        <f>IF((ISERROR((Q101/$H101)*100)), "", IF(AND(NOT(ISERROR((Q101/$H101)*100)),((Q101/$H101)*100) &lt;&gt; 0), (Q101/$H101)*100, ""))</f>
        <v/>
      </c>
      <c r="S101" s="33"/>
      <c r="T101" s="36" t="str">
        <f>IF((ISERROR((S101/$H101)*100)), "", IF(AND(NOT(ISERROR((S101/$H101)*100)),((S101/$H101)*100) &lt;&gt; 0), (S101/$H101)*100, ""))</f>
        <v/>
      </c>
      <c r="U101" s="33"/>
      <c r="V101" s="36" t="str">
        <f>IF((ISERROR((U101/$H101)*100)), "", IF(AND(NOT(ISERROR((U101/$H101)*100)),((U101/$H101)*100) &lt;&gt; 0), (U101/$H101)*100, ""))</f>
        <v/>
      </c>
      <c r="W101" s="33"/>
      <c r="X101" s="36" t="str">
        <f>IF((ISERROR((W101/$H101)*100)), "", IF(AND(NOT(ISERROR((W101/$H101)*100)),((W101/$H101)*100) &lt;&gt; 0), (W101/$H101)*100, ""))</f>
        <v/>
      </c>
      <c r="Y101" s="33"/>
      <c r="Z101" s="36" t="str">
        <f>IF((ISERROR((Y101/$H101)*100)), "", IF(AND(NOT(ISERROR((Y101/$H101)*100)),((Y101/$H101)*100) &lt;&gt; 0), (Y101/$H101)*100, ""))</f>
        <v/>
      </c>
      <c r="AA101" s="33"/>
      <c r="AB101" s="36" t="str">
        <f>IF((ISERROR((AA101/$H101)*100)), "", IF(AND(NOT(ISERROR((AA101/$H101)*100)),((AA101/$H101)*100) &lt;&gt; 0), (AA101/$H101)*100, ""))</f>
        <v/>
      </c>
      <c r="AC101" s="33"/>
      <c r="AD101" s="36" t="str">
        <f>IF((ISERROR((AC101/$H101)*100)), "", IF(AND(NOT(ISERROR((AC101/$H101)*100)),((AC101/$H101)*100) &lt;&gt; 0), (AC101/$H101)*100, ""))</f>
        <v/>
      </c>
      <c r="AE101" s="33"/>
      <c r="AF101" s="36" t="str">
        <f>IF((ISERROR((AE101/$H101)*100)), "", IF(AND(NOT(ISERROR((AE101/$H101)*100)),((AE101/$H101)*100) &lt;&gt; 0), (AE101/$H101)*100, ""))</f>
        <v/>
      </c>
      <c r="AG101" s="33"/>
      <c r="AH101" s="36" t="str">
        <f>IF((ISERROR((AG101/$H101)*100)), "", IF(AND(NOT(ISERROR((AG101/$H101)*100)),((AG101/$H101)*100) &lt;&gt; 0), (AG101/$H101)*100, ""))</f>
        <v/>
      </c>
      <c r="AI101" s="33"/>
      <c r="AJ101" s="36" t="str">
        <f>IF((ISERROR((AI101/$H101)*100)), "", IF(AND(NOT(ISERROR((AI101/$H101)*100)),((AI101/$H101)*100) &lt;&gt; 0), (AI101/$H101)*100, ""))</f>
        <v/>
      </c>
      <c r="AK101" s="33"/>
      <c r="AL101" s="36" t="str">
        <f>IF((ISERROR((AK101/$H101)*100)), "", IF(AND(NOT(ISERROR((AK101/$H101)*100)),((AK101/$H101)*100) &lt;&gt; 0), (AK101/$H101)*100, ""))</f>
        <v/>
      </c>
      <c r="AM101" s="33"/>
      <c r="AN101" s="36" t="str">
        <f>IF((ISERROR((AM101/$H101)*100)), "", IF(AND(NOT(ISERROR((AM101/$H101)*100)),((AM101/$H101)*100) &lt;&gt; 0), (AM101/$H101)*100, ""))</f>
        <v/>
      </c>
      <c r="AO101" s="33"/>
      <c r="AP101" s="36" t="str">
        <f>IF((ISERROR((AO101/$H101)*100)), "", IF(AND(NOT(ISERROR((AO101/$H101)*100)),((AO101/$H101)*100) &lt;&gt; 0), (AO101/$H101)*100, ""))</f>
        <v/>
      </c>
      <c r="AQ101" s="33"/>
      <c r="AR101" s="36" t="str">
        <f>IF((ISERROR((AQ101/$H101)*100)), "", IF(AND(NOT(ISERROR((AQ101/$H101)*100)),((AQ101/$H101)*100) &lt;&gt; 0), (AQ101/$H101)*100, ""))</f>
        <v/>
      </c>
      <c r="AS101" s="33"/>
      <c r="AT101" s="36" t="str">
        <f>IF((ISERROR((AS101/$H101)*100)), "", IF(AND(NOT(ISERROR((AS101/$H101)*100)),((AS101/$H101)*100) &lt;&gt; 0), (AS101/$H101)*100, ""))</f>
        <v/>
      </c>
      <c r="AU101" s="33"/>
      <c r="AV101" s="36" t="str">
        <f>IF((ISERROR((AU101/$H101)*100)), "", IF(AND(NOT(ISERROR((AU101/$H101)*100)),((AU101/$H101)*100) &lt;&gt; 0), (AU101/$H101)*100, ""))</f>
        <v/>
      </c>
      <c r="AW101" s="30"/>
      <c r="AX101" s="36" t="str">
        <f>IF((ISERROR((AW101/$H101)*100)), "", IF(AND(NOT(ISERROR((AW101/$H101)*100)),((AW101/$H101)*100) &lt;&gt; 0), (AW101/$H101)*100, ""))</f>
        <v/>
      </c>
      <c r="AY101" s="59"/>
      <c r="AZ101" s="36" t="str">
        <f>IF((ISERROR((AY101/$H101)*100)), "", IF(AND(NOT(ISERROR((AY101/$H101)*100)),((AY101/$H101)*100) &lt;&gt; 0), (AY101/$H101)*100, ""))</f>
        <v/>
      </c>
    </row>
    <row r="102" spans="1:53" ht="20" customHeight="1" x14ac:dyDescent="0.2">
      <c r="A102" s="60"/>
      <c r="B102" s="24"/>
      <c r="C102" s="50" t="s">
        <v>30</v>
      </c>
      <c r="D102" s="49" t="s">
        <v>75</v>
      </c>
      <c r="E102" s="49" t="s">
        <v>76</v>
      </c>
      <c r="F102" s="50">
        <v>2002</v>
      </c>
      <c r="G102" s="50">
        <v>434</v>
      </c>
      <c r="H102" s="89"/>
      <c r="I102" s="85" t="s">
        <v>186</v>
      </c>
      <c r="J102" s="86"/>
      <c r="K102" s="33"/>
      <c r="L102" s="36" t="str">
        <f>IF((ISERROR((K102/$H102)*100)), "", IF(AND(NOT(ISERROR((K102/$H102)*100)),((K102/$H102)*100) &lt;&gt; 0), (K102/$H102)*100, ""))</f>
        <v/>
      </c>
      <c r="M102" s="33"/>
      <c r="N102" s="36" t="str">
        <f>IF((ISERROR((M102/$H102)*100)), "", IF(AND(NOT(ISERROR((M102/$H102)*100)),((M102/$H102)*100) &lt;&gt; 0), (M102/$H102)*100, ""))</f>
        <v/>
      </c>
      <c r="O102" s="33"/>
      <c r="P102" s="36" t="str">
        <f>IF((ISERROR((O102/$H102)*100)), "", IF(AND(NOT(ISERROR((O102/$H102)*100)),((O102/$H102)*100) &lt;&gt; 0), (O102/$H102)*100, ""))</f>
        <v/>
      </c>
      <c r="Q102" s="33"/>
      <c r="R102" s="36" t="str">
        <f>IF((ISERROR((Q102/$H102)*100)), "", IF(AND(NOT(ISERROR((Q102/$H102)*100)),((Q102/$H102)*100) &lt;&gt; 0), (Q102/$H102)*100, ""))</f>
        <v/>
      </c>
      <c r="S102" s="33"/>
      <c r="T102" s="36" t="str">
        <f>IF((ISERROR((S102/$H102)*100)), "", IF(AND(NOT(ISERROR((S102/$H102)*100)),((S102/$H102)*100) &lt;&gt; 0), (S102/$H102)*100, ""))</f>
        <v/>
      </c>
      <c r="U102" s="38"/>
      <c r="V102" s="39" t="str">
        <f>IF((ISERROR((U102/$H102)*100)), "", IF(AND(NOT(ISERROR((U102/$H102)*100)),((U102/$H102)*100) &lt;&gt; 0), (U102/$H102)*100, ""))</f>
        <v/>
      </c>
      <c r="W102" s="33"/>
      <c r="X102" s="36" t="str">
        <f>IF((ISERROR((W102/$H102)*100)), "", IF(AND(NOT(ISERROR((W102/$H102)*100)),((W102/$H102)*100) &lt;&gt; 0), (W102/$H102)*100, ""))</f>
        <v/>
      </c>
      <c r="Y102" s="33"/>
      <c r="Z102" s="36" t="str">
        <f>IF((ISERROR((Y102/$H102)*100)), "", IF(AND(NOT(ISERROR((Y102/$H102)*100)),((Y102/$H102)*100) &lt;&gt; 0), (Y102/$H102)*100, ""))</f>
        <v/>
      </c>
      <c r="AA102" s="33"/>
      <c r="AB102" s="36" t="str">
        <f>IF((ISERROR((AA102/$H102)*100)), "", IF(AND(NOT(ISERROR((AA102/$H102)*100)),((AA102/$H102)*100) &lt;&gt; 0), (AA102/$H102)*100, ""))</f>
        <v/>
      </c>
      <c r="AC102" s="33"/>
      <c r="AD102" s="36" t="str">
        <f>IF((ISERROR((AC102/$H102)*100)), "", IF(AND(NOT(ISERROR((AC102/$H102)*100)),((AC102/$H102)*100) &lt;&gt; 0), (AC102/$H102)*100, ""))</f>
        <v/>
      </c>
      <c r="AE102" s="33"/>
      <c r="AF102" s="36" t="str">
        <f>IF((ISERROR((AE102/$H102)*100)), "", IF(AND(NOT(ISERROR((AE102/$H102)*100)),((AE102/$H102)*100) &lt;&gt; 0), (AE102/$H102)*100, ""))</f>
        <v/>
      </c>
      <c r="AG102" s="33"/>
      <c r="AH102" s="36" t="str">
        <f>IF((ISERROR((AG102/$H102)*100)), "", IF(AND(NOT(ISERROR((AG102/$H102)*100)),((AG102/$H102)*100) &lt;&gt; 0), (AG102/$H102)*100, ""))</f>
        <v/>
      </c>
      <c r="AI102" s="33"/>
      <c r="AJ102" s="36" t="str">
        <f>IF((ISERROR((AI102/$H102)*100)), "", IF(AND(NOT(ISERROR((AI102/$H102)*100)),((AI102/$H102)*100) &lt;&gt; 0), (AI102/$H102)*100, ""))</f>
        <v/>
      </c>
      <c r="AK102" s="33"/>
      <c r="AL102" s="36" t="str">
        <f>IF((ISERROR((AK102/$H102)*100)), "", IF(AND(NOT(ISERROR((AK102/$H102)*100)),((AK102/$H102)*100) &lt;&gt; 0), (AK102/$H102)*100, ""))</f>
        <v/>
      </c>
      <c r="AM102" s="33"/>
      <c r="AN102" s="36" t="str">
        <f>IF((ISERROR((AM102/$H102)*100)), "", IF(AND(NOT(ISERROR((AM102/$H102)*100)),((AM102/$H102)*100) &lt;&gt; 0), (AM102/$H102)*100, ""))</f>
        <v/>
      </c>
      <c r="AO102" s="33"/>
      <c r="AP102" s="36" t="str">
        <f>IF((ISERROR((AO102/$H102)*100)), "", IF(AND(NOT(ISERROR((AO102/$H102)*100)),((AO102/$H102)*100) &lt;&gt; 0), (AO102/$H102)*100, ""))</f>
        <v/>
      </c>
      <c r="AQ102" s="33"/>
      <c r="AR102" s="36" t="str">
        <f>IF((ISERROR((AQ102/$H102)*100)), "", IF(AND(NOT(ISERROR((AQ102/$H102)*100)),((AQ102/$H102)*100) &lt;&gt; 0), (AQ102/$H102)*100, ""))</f>
        <v/>
      </c>
      <c r="AS102" s="33"/>
      <c r="AT102" s="36" t="str">
        <f>IF((ISERROR((AS102/$H102)*100)), "", IF(AND(NOT(ISERROR((AS102/$H102)*100)),((AS102/$H102)*100) &lt;&gt; 0), (AS102/$H102)*100, ""))</f>
        <v/>
      </c>
      <c r="AU102" s="33"/>
      <c r="AV102" s="36" t="str">
        <f>IF((ISERROR((AU102/$H102)*100)), "", IF(AND(NOT(ISERROR((AU102/$H102)*100)),((AU102/$H102)*100) &lt;&gt; 0), (AU102/$H102)*100, ""))</f>
        <v/>
      </c>
      <c r="AW102" s="76"/>
      <c r="AX102" s="36" t="str">
        <f>IF((ISERROR((AW102/$H102)*100)), "", IF(AND(NOT(ISERROR((AW102/$H102)*100)),((AW102/$H102)*100) &lt;&gt; 0), (AW102/$H102)*100, ""))</f>
        <v/>
      </c>
      <c r="AY102" s="76"/>
      <c r="AZ102" s="36" t="str">
        <f>IF((ISERROR((AY102/$H102)*100)), "", IF(AND(NOT(ISERROR((AY102/$H102)*100)),((AY102/$H102)*100) &lt;&gt; 0), (AY102/$H102)*100, ""))</f>
        <v/>
      </c>
      <c r="BA102" s="23" t="s">
        <v>187</v>
      </c>
    </row>
    <row r="103" spans="1:53" ht="20" customHeight="1" x14ac:dyDescent="0.2">
      <c r="A103" s="61"/>
      <c r="B103" s="24"/>
      <c r="C103" s="50" t="s">
        <v>49</v>
      </c>
      <c r="D103" s="49" t="s">
        <v>93</v>
      </c>
      <c r="E103" s="49" t="s">
        <v>94</v>
      </c>
      <c r="F103" s="50">
        <v>2015</v>
      </c>
      <c r="G103" s="50">
        <v>22</v>
      </c>
      <c r="H103" s="89"/>
      <c r="I103" s="85"/>
      <c r="J103" s="86"/>
      <c r="K103" s="33"/>
      <c r="L103" s="36" t="str">
        <f>IF((ISERROR((K103/$H103)*100)), "", IF(AND(NOT(ISERROR((K103/$H103)*100)),((K103/$H103)*100) &lt;&gt; 0), (K103/$H103)*100, ""))</f>
        <v/>
      </c>
      <c r="M103" s="33"/>
      <c r="N103" s="36" t="str">
        <f>IF((ISERROR((M103/$H103)*100)), "", IF(AND(NOT(ISERROR((M103/$H103)*100)),((M103/$H103)*100) &lt;&gt; 0), (M103/$H103)*100, ""))</f>
        <v/>
      </c>
      <c r="O103" s="33"/>
      <c r="P103" s="36" t="str">
        <f>IF((ISERROR((O103/$H103)*100)), "", IF(AND(NOT(ISERROR((O103/$H103)*100)),((O103/$H103)*100) &lt;&gt; 0), (O103/$H103)*100, ""))</f>
        <v/>
      </c>
      <c r="Q103" s="33"/>
      <c r="R103" s="36" t="str">
        <f>IF((ISERROR((Q103/$H103)*100)), "", IF(AND(NOT(ISERROR((Q103/$H103)*100)),((Q103/$H103)*100) &lt;&gt; 0), (Q103/$H103)*100, ""))</f>
        <v/>
      </c>
      <c r="S103" s="33"/>
      <c r="T103" s="36" t="str">
        <f>IF((ISERROR((S103/$H103)*100)), "", IF(AND(NOT(ISERROR((S103/$H103)*100)),((S103/$H103)*100) &lt;&gt; 0), (S103/$H103)*100, ""))</f>
        <v/>
      </c>
      <c r="U103" s="33"/>
      <c r="V103" s="36" t="str">
        <f>IF((ISERROR((U103/$H103)*100)), "", IF(AND(NOT(ISERROR((U103/$H103)*100)),((U103/$H103)*100) &lt;&gt; 0), (U103/$H103)*100, ""))</f>
        <v/>
      </c>
      <c r="W103" s="33"/>
      <c r="X103" s="36" t="str">
        <f>IF((ISERROR((W103/$H103)*100)), "", IF(AND(NOT(ISERROR((W103/$H103)*100)),((W103/$H103)*100) &lt;&gt; 0), (W103/$H103)*100, ""))</f>
        <v/>
      </c>
      <c r="Y103" s="33"/>
      <c r="Z103" s="36" t="str">
        <f>IF((ISERROR((Y103/$H103)*100)), "", IF(AND(NOT(ISERROR((Y103/$H103)*100)),((Y103/$H103)*100) &lt;&gt; 0), (Y103/$H103)*100, ""))</f>
        <v/>
      </c>
      <c r="AA103" s="33"/>
      <c r="AB103" s="36" t="str">
        <f>IF((ISERROR((AA103/$H103)*100)), "", IF(AND(NOT(ISERROR((AA103/$H103)*100)),((AA103/$H103)*100) &lt;&gt; 0), (AA103/$H103)*100, ""))</f>
        <v/>
      </c>
      <c r="AC103" s="33"/>
      <c r="AD103" s="36" t="str">
        <f>IF((ISERROR((AC103/$H103)*100)), "", IF(AND(NOT(ISERROR((AC103/$H103)*100)),((AC103/$H103)*100) &lt;&gt; 0), (AC103/$H103)*100, ""))</f>
        <v/>
      </c>
      <c r="AE103" s="33"/>
      <c r="AF103" s="36" t="str">
        <f>IF((ISERROR((AE103/$H103)*100)), "", IF(AND(NOT(ISERROR((AE103/$H103)*100)),((AE103/$H103)*100) &lt;&gt; 0), (AE103/$H103)*100, ""))</f>
        <v/>
      </c>
      <c r="AG103" s="33"/>
      <c r="AH103" s="36" t="str">
        <f>IF((ISERROR((AG103/$H103)*100)), "", IF(AND(NOT(ISERROR((AG103/$H103)*100)),((AG103/$H103)*100) &lt;&gt; 0), (AG103/$H103)*100, ""))</f>
        <v/>
      </c>
      <c r="AI103" s="33"/>
      <c r="AJ103" s="36" t="str">
        <f>IF((ISERROR((AI103/$H103)*100)), "", IF(AND(NOT(ISERROR((AI103/$H103)*100)),((AI103/$H103)*100) &lt;&gt; 0), (AI103/$H103)*100, ""))</f>
        <v/>
      </c>
      <c r="AK103" s="33"/>
      <c r="AL103" s="36" t="str">
        <f>IF((ISERROR((AK103/$H103)*100)), "", IF(AND(NOT(ISERROR((AK103/$H103)*100)),((AK103/$H103)*100) &lt;&gt; 0), (AK103/$H103)*100, ""))</f>
        <v/>
      </c>
      <c r="AM103" s="33"/>
      <c r="AN103" s="36" t="str">
        <f>IF((ISERROR((AM103/$H103)*100)), "", IF(AND(NOT(ISERROR((AM103/$H103)*100)),((AM103/$H103)*100) &lt;&gt; 0), (AM103/$H103)*100, ""))</f>
        <v/>
      </c>
      <c r="AO103" s="33"/>
      <c r="AP103" s="36" t="str">
        <f>IF((ISERROR((AO103/$H103)*100)), "", IF(AND(NOT(ISERROR((AO103/$H103)*100)),((AO103/$H103)*100) &lt;&gt; 0), (AO103/$H103)*100, ""))</f>
        <v/>
      </c>
      <c r="AQ103" s="33"/>
      <c r="AR103" s="36" t="str">
        <f>IF((ISERROR((AQ103/$H103)*100)), "", IF(AND(NOT(ISERROR((AQ103/$H103)*100)),((AQ103/$H103)*100) &lt;&gt; 0), (AQ103/$H103)*100, ""))</f>
        <v/>
      </c>
      <c r="AS103" s="33"/>
      <c r="AT103" s="36" t="str">
        <f>IF((ISERROR((AS103/$H103)*100)), "", IF(AND(NOT(ISERROR((AS103/$H103)*100)),((AS103/$H103)*100) &lt;&gt; 0), (AS103/$H103)*100, ""))</f>
        <v/>
      </c>
      <c r="AU103" s="33"/>
      <c r="AV103" s="36" t="str">
        <f>IF((ISERROR((AU103/$H103)*100)), "", IF(AND(NOT(ISERROR((AU103/$H103)*100)),((AU103/$H103)*100) &lt;&gt; 0), (AU103/$H103)*100, ""))</f>
        <v/>
      </c>
      <c r="AW103" s="76"/>
      <c r="AX103" s="36" t="str">
        <f>IF((ISERROR((AW103/$H103)*100)), "", IF(AND(NOT(ISERROR((AW103/$H103)*100)),((AW103/$H103)*100) &lt;&gt; 0), (AW103/$H103)*100, ""))</f>
        <v/>
      </c>
      <c r="AY103" s="76"/>
      <c r="AZ103" s="36" t="str">
        <f>IF((ISERROR((AY103/$H103)*100)), "", IF(AND(NOT(ISERROR((AY103/$H103)*100)),((AY103/$H103)*100) &lt;&gt; 0), (AY103/$H103)*100, ""))</f>
        <v/>
      </c>
    </row>
    <row r="104" spans="1:53" ht="20" customHeight="1" x14ac:dyDescent="0.2">
      <c r="A104" s="61"/>
      <c r="B104" s="24"/>
      <c r="C104" s="50" t="s">
        <v>49</v>
      </c>
      <c r="D104" s="49" t="s">
        <v>95</v>
      </c>
      <c r="E104" s="49" t="s">
        <v>96</v>
      </c>
      <c r="F104" s="50">
        <v>1996</v>
      </c>
      <c r="G104" s="50">
        <v>71</v>
      </c>
      <c r="H104" s="89"/>
      <c r="I104" s="85"/>
      <c r="J104" s="86"/>
      <c r="K104" s="33"/>
      <c r="L104" s="36" t="str">
        <f>IF((ISERROR((K104/$H104)*100)), "", IF(AND(NOT(ISERROR((K104/$H104)*100)),((K104/$H104)*100) &lt;&gt; 0), (K104/$H104)*100, ""))</f>
        <v/>
      </c>
      <c r="M104" s="33"/>
      <c r="N104" s="36" t="str">
        <f>IF((ISERROR((M104/$H104)*100)), "", IF(AND(NOT(ISERROR((M104/$H104)*100)),((M104/$H104)*100) &lt;&gt; 0), (M104/$H104)*100, ""))</f>
        <v/>
      </c>
      <c r="O104" s="33"/>
      <c r="P104" s="36" t="str">
        <f>IF((ISERROR((O104/$H104)*100)), "", IF(AND(NOT(ISERROR((O104/$H104)*100)),((O104/$H104)*100) &lt;&gt; 0), (O104/$H104)*100, ""))</f>
        <v/>
      </c>
      <c r="Q104" s="33"/>
      <c r="R104" s="36" t="str">
        <f>IF((ISERROR((Q104/$H104)*100)), "", IF(AND(NOT(ISERROR((Q104/$H104)*100)),((Q104/$H104)*100) &lt;&gt; 0), (Q104/$H104)*100, ""))</f>
        <v/>
      </c>
      <c r="S104" s="33"/>
      <c r="T104" s="36" t="str">
        <f>IF((ISERROR((S104/$H104)*100)), "", IF(AND(NOT(ISERROR((S104/$H104)*100)),((S104/$H104)*100) &lt;&gt; 0), (S104/$H104)*100, ""))</f>
        <v/>
      </c>
      <c r="U104" s="33"/>
      <c r="V104" s="36" t="str">
        <f>IF((ISERROR((U104/$H104)*100)), "", IF(AND(NOT(ISERROR((U104/$H104)*100)),((U104/$H104)*100) &lt;&gt; 0), (U104/$H104)*100, ""))</f>
        <v/>
      </c>
      <c r="W104" s="33"/>
      <c r="X104" s="36" t="str">
        <f>IF((ISERROR((W104/$H104)*100)), "", IF(AND(NOT(ISERROR((W104/$H104)*100)),((W104/$H104)*100) &lt;&gt; 0), (W104/$H104)*100, ""))</f>
        <v/>
      </c>
      <c r="Y104" s="33"/>
      <c r="Z104" s="36" t="str">
        <f>IF((ISERROR((Y104/$H104)*100)), "", IF(AND(NOT(ISERROR((Y104/$H104)*100)),((Y104/$H104)*100) &lt;&gt; 0), (Y104/$H104)*100, ""))</f>
        <v/>
      </c>
      <c r="AA104" s="33"/>
      <c r="AB104" s="36" t="str">
        <f>IF((ISERROR((AA104/$H104)*100)), "", IF(AND(NOT(ISERROR((AA104/$H104)*100)),((AA104/$H104)*100) &lt;&gt; 0), (AA104/$H104)*100, ""))</f>
        <v/>
      </c>
      <c r="AC104" s="33"/>
      <c r="AD104" s="36" t="str">
        <f>IF((ISERROR((AC104/$H104)*100)), "", IF(AND(NOT(ISERROR((AC104/$H104)*100)),((AC104/$H104)*100) &lt;&gt; 0), (AC104/$H104)*100, ""))</f>
        <v/>
      </c>
      <c r="AE104" s="33"/>
      <c r="AF104" s="36" t="str">
        <f>IF((ISERROR((AE104/$H104)*100)), "", IF(AND(NOT(ISERROR((AE104/$H104)*100)),((AE104/$H104)*100) &lt;&gt; 0), (AE104/$H104)*100, ""))</f>
        <v/>
      </c>
      <c r="AG104" s="33"/>
      <c r="AH104" s="36" t="str">
        <f>IF((ISERROR((AG104/$H104)*100)), "", IF(AND(NOT(ISERROR((AG104/$H104)*100)),((AG104/$H104)*100) &lt;&gt; 0), (AG104/$H104)*100, ""))</f>
        <v/>
      </c>
      <c r="AI104" s="33"/>
      <c r="AJ104" s="36" t="str">
        <f>IF((ISERROR((AI104/$H104)*100)), "", IF(AND(NOT(ISERROR((AI104/$H104)*100)),((AI104/$H104)*100) &lt;&gt; 0), (AI104/$H104)*100, ""))</f>
        <v/>
      </c>
      <c r="AK104" s="33"/>
      <c r="AL104" s="36" t="str">
        <f>IF((ISERROR((AK104/$H104)*100)), "", IF(AND(NOT(ISERROR((AK104/$H104)*100)),((AK104/$H104)*100) &lt;&gt; 0), (AK104/$H104)*100, ""))</f>
        <v/>
      </c>
      <c r="AM104" s="33"/>
      <c r="AN104" s="36" t="str">
        <f>IF((ISERROR((AM104/$H104)*100)), "", IF(AND(NOT(ISERROR((AM104/$H104)*100)),((AM104/$H104)*100) &lt;&gt; 0), (AM104/$H104)*100, ""))</f>
        <v/>
      </c>
      <c r="AO104" s="33"/>
      <c r="AP104" s="36" t="str">
        <f>IF((ISERROR((AO104/$H104)*100)), "", IF(AND(NOT(ISERROR((AO104/$H104)*100)),((AO104/$H104)*100) &lt;&gt; 0), (AO104/$H104)*100, ""))</f>
        <v/>
      </c>
      <c r="AQ104" s="33"/>
      <c r="AR104" s="36" t="str">
        <f>IF((ISERROR((AQ104/$H104)*100)), "", IF(AND(NOT(ISERROR((AQ104/$H104)*100)),((AQ104/$H104)*100) &lt;&gt; 0), (AQ104/$H104)*100, ""))</f>
        <v/>
      </c>
      <c r="AS104" s="33"/>
      <c r="AT104" s="36" t="str">
        <f>IF((ISERROR((AS104/$H104)*100)), "", IF(AND(NOT(ISERROR((AS104/$H104)*100)),((AS104/$H104)*100) &lt;&gt; 0), (AS104/$H104)*100, ""))</f>
        <v/>
      </c>
      <c r="AU104" s="33"/>
      <c r="AV104" s="36" t="str">
        <f>IF((ISERROR((AU104/$H104)*100)), "", IF(AND(NOT(ISERROR((AU104/$H104)*100)),((AU104/$H104)*100) &lt;&gt; 0), (AU104/$H104)*100, ""))</f>
        <v/>
      </c>
      <c r="AW104" s="76"/>
      <c r="AX104" s="36" t="str">
        <f>IF((ISERROR((AW104/$H104)*100)), "", IF(AND(NOT(ISERROR((AW104/$H104)*100)),((AW104/$H104)*100) &lt;&gt; 0), (AW104/$H104)*100, ""))</f>
        <v/>
      </c>
      <c r="AY104" s="76"/>
      <c r="AZ104" s="36" t="str">
        <f>IF((ISERROR((AY104/$H104)*100)), "", IF(AND(NOT(ISERROR((AY104/$H104)*100)),((AY104/$H104)*100) &lt;&gt; 0), (AY104/$H104)*100, ""))</f>
        <v/>
      </c>
    </row>
    <row r="105" spans="1:53" ht="20" customHeight="1" x14ac:dyDescent="0.2">
      <c r="A105" s="60"/>
      <c r="B105" s="83"/>
      <c r="C105" s="50" t="s">
        <v>30</v>
      </c>
      <c r="D105" s="49" t="s">
        <v>101</v>
      </c>
      <c r="E105" s="49" t="s">
        <v>102</v>
      </c>
      <c r="F105" s="50">
        <v>2014</v>
      </c>
      <c r="G105" s="50">
        <v>30</v>
      </c>
      <c r="H105" s="89"/>
      <c r="I105" s="85"/>
      <c r="J105" s="86"/>
      <c r="K105" s="33">
        <v>2</v>
      </c>
      <c r="L105" s="36" t="str">
        <f>IF((ISERROR((K105/$H105)*100)), "", IF(AND(NOT(ISERROR((K105/$H105)*100)),((K105/$H105)*100) &lt;&gt; 0), (K105/$H105)*100, ""))</f>
        <v/>
      </c>
      <c r="M105" s="33"/>
      <c r="N105" s="36" t="str">
        <f>IF((ISERROR((M105/$H105)*100)), "", IF(AND(NOT(ISERROR((M105/$H105)*100)),((M105/$H105)*100) &lt;&gt; 0), (M105/$H105)*100, ""))</f>
        <v/>
      </c>
      <c r="O105" s="33"/>
      <c r="P105" s="36" t="str">
        <f>IF((ISERROR((O105/$H105)*100)), "", IF(AND(NOT(ISERROR((O105/$H105)*100)),((O105/$H105)*100) &lt;&gt; 0), (O105/$H105)*100, ""))</f>
        <v/>
      </c>
      <c r="Q105" s="38"/>
      <c r="R105" s="39" t="str">
        <f>IF((ISERROR((Q105/$H105)*100)), "", IF(AND(NOT(ISERROR((Q105/$H105)*100)),((Q105/$H105)*100) &lt;&gt; 0), (Q105/$H105)*100, ""))</f>
        <v/>
      </c>
      <c r="S105" s="38"/>
      <c r="T105" s="39" t="str">
        <f>IF((ISERROR((S105/$H105)*100)), "", IF(AND(NOT(ISERROR((S105/$H105)*100)),((S105/$H105)*100) &lt;&gt; 0), (S105/$H105)*100, ""))</f>
        <v/>
      </c>
      <c r="U105" s="33">
        <v>2</v>
      </c>
      <c r="V105" s="36" t="str">
        <f>IF((ISERROR((U105/$H105)*100)), "", IF(AND(NOT(ISERROR((U105/$H105)*100)),((U105/$H105)*100) &lt;&gt; 0), (U105/$H105)*100, ""))</f>
        <v/>
      </c>
      <c r="W105" s="33"/>
      <c r="X105" s="36" t="str">
        <f>IF((ISERROR((W105/$H105)*100)), "", IF(AND(NOT(ISERROR((W105/$H105)*100)),((W105/$H105)*100) &lt;&gt; 0), (W105/$H105)*100, ""))</f>
        <v/>
      </c>
      <c r="Y105" s="33"/>
      <c r="Z105" s="36" t="str">
        <f>IF((ISERROR((Y105/$H105)*100)), "", IF(AND(NOT(ISERROR((Y105/$H105)*100)),((Y105/$H105)*100) &lt;&gt; 0), (Y105/$H105)*100, ""))</f>
        <v/>
      </c>
      <c r="AA105" s="33">
        <v>1</v>
      </c>
      <c r="AB105" s="36" t="str">
        <f>IF((ISERROR((AA105/$H105)*100)), "", IF(AND(NOT(ISERROR((AA105/$H105)*100)),((AA105/$H105)*100) &lt;&gt; 0), (AA105/$H105)*100, ""))</f>
        <v/>
      </c>
      <c r="AC105" s="33"/>
      <c r="AD105" s="36" t="str">
        <f>IF((ISERROR((AC105/$H105)*100)), "", IF(AND(NOT(ISERROR((AC105/$H105)*100)),((AC105/$H105)*100) &lt;&gt; 0), (AC105/$H105)*100, ""))</f>
        <v/>
      </c>
      <c r="AE105" s="33"/>
      <c r="AF105" s="36" t="str">
        <f>IF((ISERROR((AE105/$H105)*100)), "", IF(AND(NOT(ISERROR((AE105/$H105)*100)),((AE105/$H105)*100) &lt;&gt; 0), (AE105/$H105)*100, ""))</f>
        <v/>
      </c>
      <c r="AG105" s="33"/>
      <c r="AH105" s="36" t="str">
        <f>IF((ISERROR((AG105/$H105)*100)), "", IF(AND(NOT(ISERROR((AG105/$H105)*100)),((AG105/$H105)*100) &lt;&gt; 0), (AG105/$H105)*100, ""))</f>
        <v/>
      </c>
      <c r="AI105" s="33"/>
      <c r="AJ105" s="36" t="str">
        <f>IF((ISERROR((AI105/$H105)*100)), "", IF(AND(NOT(ISERROR((AI105/$H105)*100)),((AI105/$H105)*100) &lt;&gt; 0), (AI105/$H105)*100, ""))</f>
        <v/>
      </c>
      <c r="AK105" s="33"/>
      <c r="AL105" s="36" t="str">
        <f>IF((ISERROR((AK105/$H105)*100)), "", IF(AND(NOT(ISERROR((AK105/$H105)*100)),((AK105/$H105)*100) &lt;&gt; 0), (AK105/$H105)*100, ""))</f>
        <v/>
      </c>
      <c r="AM105" s="33"/>
      <c r="AN105" s="36" t="str">
        <f>IF((ISERROR((AM105/$H105)*100)), "", IF(AND(NOT(ISERROR((AM105/$H105)*100)),((AM105/$H105)*100) &lt;&gt; 0), (AM105/$H105)*100, ""))</f>
        <v/>
      </c>
      <c r="AO105" s="33"/>
      <c r="AP105" s="36" t="str">
        <f>IF((ISERROR((AO105/$H105)*100)), "", IF(AND(NOT(ISERROR((AO105/$H105)*100)),((AO105/$H105)*100) &lt;&gt; 0), (AO105/$H105)*100, ""))</f>
        <v/>
      </c>
      <c r="AQ105" s="33"/>
      <c r="AR105" s="36" t="str">
        <f>IF((ISERROR((AQ105/$H105)*100)), "", IF(AND(NOT(ISERROR((AQ105/$H105)*100)),((AQ105/$H105)*100) &lt;&gt; 0), (AQ105/$H105)*100, ""))</f>
        <v/>
      </c>
      <c r="AS105" s="33"/>
      <c r="AT105" s="36" t="str">
        <f>IF((ISERROR((AS105/$H105)*100)), "", IF(AND(NOT(ISERROR((AS105/$H105)*100)),((AS105/$H105)*100) &lt;&gt; 0), (AS105/$H105)*100, ""))</f>
        <v/>
      </c>
      <c r="AU105" s="33"/>
      <c r="AV105" s="36" t="str">
        <f>IF((ISERROR((AU105/$H105)*100)), "", IF(AND(NOT(ISERROR((AU105/$H105)*100)),((AU105/$H105)*100) &lt;&gt; 0), (AU105/$H105)*100, ""))</f>
        <v/>
      </c>
      <c r="AW105" s="76"/>
      <c r="AX105" s="36" t="str">
        <f>IF((ISERROR((AW105/$H105)*100)), "", IF(AND(NOT(ISERROR((AW105/$H105)*100)),((AW105/$H105)*100) &lt;&gt; 0), (AW105/$H105)*100, ""))</f>
        <v/>
      </c>
      <c r="AY105" s="59"/>
      <c r="AZ105" s="36" t="str">
        <f>IF((ISERROR((AY105/$H105)*100)), "", IF(AND(NOT(ISERROR((AY105/$H105)*100)),((AY105/$H105)*100) &lt;&gt; 0), (AY105/$H105)*100, ""))</f>
        <v/>
      </c>
      <c r="BA105" s="23" t="s">
        <v>386</v>
      </c>
    </row>
    <row r="106" spans="1:53" ht="20" customHeight="1" x14ac:dyDescent="0.2">
      <c r="A106" s="61"/>
      <c r="B106" s="24"/>
      <c r="C106" s="24" t="s">
        <v>85</v>
      </c>
      <c r="D106" s="23" t="s">
        <v>105</v>
      </c>
      <c r="E106" s="23" t="s">
        <v>106</v>
      </c>
      <c r="F106" s="24">
        <v>1989</v>
      </c>
      <c r="G106" s="24">
        <v>27</v>
      </c>
      <c r="H106" s="89"/>
      <c r="I106" s="85" t="s">
        <v>209</v>
      </c>
      <c r="J106" s="86" t="s">
        <v>178</v>
      </c>
      <c r="K106" s="33"/>
      <c r="L106" s="36" t="str">
        <f>IF((ISERROR((K106/$H106)*100)), "", IF(AND(NOT(ISERROR((K106/$H106)*100)),((K106/$H106)*100) &lt;&gt; 0), (K106/$H106)*100, ""))</f>
        <v/>
      </c>
      <c r="M106" s="33"/>
      <c r="N106" s="36" t="str">
        <f>IF((ISERROR((M106/$H106)*100)), "", IF(AND(NOT(ISERROR((M106/$H106)*100)),((M106/$H106)*100) &lt;&gt; 0), (M106/$H106)*100, ""))</f>
        <v/>
      </c>
      <c r="O106" s="33"/>
      <c r="P106" s="36" t="str">
        <f>IF((ISERROR((O106/$H106)*100)), "", IF(AND(NOT(ISERROR((O106/$H106)*100)),((O106/$H106)*100) &lt;&gt; 0), (O106/$H106)*100, ""))</f>
        <v/>
      </c>
      <c r="Q106" s="33"/>
      <c r="R106" s="36" t="str">
        <f>IF((ISERROR((Q106/$H106)*100)), "", IF(AND(NOT(ISERROR((Q106/$H106)*100)),((Q106/$H106)*100) &lt;&gt; 0), (Q106/$H106)*100, ""))</f>
        <v/>
      </c>
      <c r="S106" s="33"/>
      <c r="T106" s="36" t="str">
        <f>IF((ISERROR((S106/$H106)*100)), "", IF(AND(NOT(ISERROR((S106/$H106)*100)),((S106/$H106)*100) &lt;&gt; 0), (S106/$H106)*100, ""))</f>
        <v/>
      </c>
      <c r="U106" s="33"/>
      <c r="V106" s="36" t="str">
        <f>IF((ISERROR((U106/$H106)*100)), "", IF(AND(NOT(ISERROR((U106/$H106)*100)),((U106/$H106)*100) &lt;&gt; 0), (U106/$H106)*100, ""))</f>
        <v/>
      </c>
      <c r="W106" s="33"/>
      <c r="X106" s="36" t="str">
        <f>IF((ISERROR((W106/$H106)*100)), "", IF(AND(NOT(ISERROR((W106/$H106)*100)),((W106/$H106)*100) &lt;&gt; 0), (W106/$H106)*100, ""))</f>
        <v/>
      </c>
      <c r="Y106" s="38"/>
      <c r="Z106" s="39" t="str">
        <f>IF((ISERROR((Y106/$H106)*100)), "", IF(AND(NOT(ISERROR((Y106/$H106)*100)),((Y106/$H106)*100) &lt;&gt; 0), (Y106/$H106)*100, ""))</f>
        <v/>
      </c>
      <c r="AA106" s="33"/>
      <c r="AB106" s="36" t="str">
        <f>IF((ISERROR((AA106/$H106)*100)), "", IF(AND(NOT(ISERROR((AA106/$H106)*100)),((AA106/$H106)*100) &lt;&gt; 0), (AA106/$H106)*100, ""))</f>
        <v/>
      </c>
      <c r="AC106" s="33"/>
      <c r="AD106" s="36" t="str">
        <f>IF((ISERROR((AC106/$H106)*100)), "", IF(AND(NOT(ISERROR((AC106/$H106)*100)),((AC106/$H106)*100) &lt;&gt; 0), (AC106/$H106)*100, ""))</f>
        <v/>
      </c>
      <c r="AE106" s="33"/>
      <c r="AF106" s="36" t="str">
        <f>IF((ISERROR((AE106/$H106)*100)), "", IF(AND(NOT(ISERROR((AE106/$H106)*100)),((AE106/$H106)*100) &lt;&gt; 0), (AE106/$H106)*100, ""))</f>
        <v/>
      </c>
      <c r="AG106" s="33"/>
      <c r="AH106" s="36" t="str">
        <f>IF((ISERROR((AG106/$H106)*100)), "", IF(AND(NOT(ISERROR((AG106/$H106)*100)),((AG106/$H106)*100) &lt;&gt; 0), (AG106/$H106)*100, ""))</f>
        <v/>
      </c>
      <c r="AI106" s="33"/>
      <c r="AJ106" s="36" t="str">
        <f>IF((ISERROR((AI106/$H106)*100)), "", IF(AND(NOT(ISERROR((AI106/$H106)*100)),((AI106/$H106)*100) &lt;&gt; 0), (AI106/$H106)*100, ""))</f>
        <v/>
      </c>
      <c r="AK106" s="33"/>
      <c r="AL106" s="36" t="str">
        <f>IF((ISERROR((AK106/$H106)*100)), "", IF(AND(NOT(ISERROR((AK106/$H106)*100)),((AK106/$H106)*100) &lt;&gt; 0), (AK106/$H106)*100, ""))</f>
        <v/>
      </c>
      <c r="AM106" s="33"/>
      <c r="AN106" s="36" t="str">
        <f>IF((ISERROR((AM106/$H106)*100)), "", IF(AND(NOT(ISERROR((AM106/$H106)*100)),((AM106/$H106)*100) &lt;&gt; 0), (AM106/$H106)*100, ""))</f>
        <v/>
      </c>
      <c r="AO106" s="33"/>
      <c r="AP106" s="36" t="str">
        <f>IF((ISERROR((AO106/$H106)*100)), "", IF(AND(NOT(ISERROR((AO106/$H106)*100)),((AO106/$H106)*100) &lt;&gt; 0), (AO106/$H106)*100, ""))</f>
        <v/>
      </c>
      <c r="AQ106" s="33"/>
      <c r="AR106" s="36" t="str">
        <f>IF((ISERROR((AQ106/$H106)*100)), "", IF(AND(NOT(ISERROR((AQ106/$H106)*100)),((AQ106/$H106)*100) &lt;&gt; 0), (AQ106/$H106)*100, ""))</f>
        <v/>
      </c>
      <c r="AS106" s="33"/>
      <c r="AT106" s="36" t="str">
        <f>IF((ISERROR((AS106/$H106)*100)), "", IF(AND(NOT(ISERROR((AS106/$H106)*100)),((AS106/$H106)*100) &lt;&gt; 0), (AS106/$H106)*100, ""))</f>
        <v/>
      </c>
      <c r="AU106" s="33"/>
      <c r="AV106" s="36" t="str">
        <f>IF((ISERROR((AU106/$H106)*100)), "", IF(AND(NOT(ISERROR((AU106/$H106)*100)),((AU106/$H106)*100) &lt;&gt; 0), (AU106/$H106)*100, ""))</f>
        <v/>
      </c>
      <c r="AW106" s="76"/>
      <c r="AX106" s="36" t="str">
        <f>IF((ISERROR((AW106/$H106)*100)), "", IF(AND(NOT(ISERROR((AW106/$H106)*100)),((AW106/$H106)*100) &lt;&gt; 0), (AW106/$H106)*100, ""))</f>
        <v/>
      </c>
      <c r="AY106" s="76"/>
      <c r="AZ106" s="36" t="str">
        <f>IF((ISERROR((AY106/$H106)*100)), "", IF(AND(NOT(ISERROR((AY106/$H106)*100)),((AY106/$H106)*100) &lt;&gt; 0), (AY106/$H106)*100, ""))</f>
        <v/>
      </c>
    </row>
    <row r="107" spans="1:53" ht="20" customHeight="1" x14ac:dyDescent="0.2">
      <c r="A107" s="61"/>
      <c r="B107" s="83"/>
      <c r="C107" s="24" t="s">
        <v>85</v>
      </c>
      <c r="D107" s="23" t="s">
        <v>305</v>
      </c>
      <c r="E107" s="23" t="s">
        <v>306</v>
      </c>
      <c r="F107" s="24">
        <v>2011</v>
      </c>
      <c r="H107" s="89"/>
      <c r="I107" s="85"/>
      <c r="J107" s="86"/>
      <c r="K107" s="33"/>
      <c r="L107" s="36" t="str">
        <f>IF((ISERROR((K107/$H107)*100)), "", IF(AND(NOT(ISERROR((K107/$H107)*100)),((K107/$H107)*100) &lt;&gt; 0), (K107/$H107)*100, ""))</f>
        <v/>
      </c>
      <c r="M107" s="33"/>
      <c r="N107" s="36" t="str">
        <f>IF((ISERROR((M107/$H107)*100)), "", IF(AND(NOT(ISERROR((M107/$H107)*100)),((M107/$H107)*100) &lt;&gt; 0), (M107/$H107)*100, ""))</f>
        <v/>
      </c>
      <c r="O107" s="33"/>
      <c r="P107" s="36" t="str">
        <f>IF((ISERROR((O107/$H107)*100)), "", IF(AND(NOT(ISERROR((O107/$H107)*100)),((O107/$H107)*100) &lt;&gt; 0), (O107/$H107)*100, ""))</f>
        <v/>
      </c>
      <c r="Q107" s="33"/>
      <c r="R107" s="36" t="str">
        <f>IF((ISERROR((Q107/$H107)*100)), "", IF(AND(NOT(ISERROR((Q107/$H107)*100)),((Q107/$H107)*100) &lt;&gt; 0), (Q107/$H107)*100, ""))</f>
        <v/>
      </c>
      <c r="S107" s="33"/>
      <c r="T107" s="36" t="str">
        <f>IF((ISERROR((S107/$H107)*100)), "", IF(AND(NOT(ISERROR((S107/$H107)*100)),((S107/$H107)*100) &lt;&gt; 0), (S107/$H107)*100, ""))</f>
        <v/>
      </c>
      <c r="U107" s="33"/>
      <c r="V107" s="36" t="str">
        <f>IF((ISERROR((U107/$H107)*100)), "", IF(AND(NOT(ISERROR((U107/$H107)*100)),((U107/$H107)*100) &lt;&gt; 0), (U107/$H107)*100, ""))</f>
        <v/>
      </c>
      <c r="W107" s="33"/>
      <c r="X107" s="36" t="str">
        <f>IF((ISERROR((W107/$H107)*100)), "", IF(AND(NOT(ISERROR((W107/$H107)*100)),((W107/$H107)*100) &lt;&gt; 0), (W107/$H107)*100, ""))</f>
        <v/>
      </c>
      <c r="Y107" s="33"/>
      <c r="Z107" s="36" t="str">
        <f>IF((ISERROR((Y107/$H107)*100)), "", IF(AND(NOT(ISERROR((Y107/$H107)*100)),((Y107/$H107)*100) &lt;&gt; 0), (Y107/$H107)*100, ""))</f>
        <v/>
      </c>
      <c r="AA107" s="33"/>
      <c r="AB107" s="36" t="str">
        <f>IF((ISERROR((AA107/$H107)*100)), "", IF(AND(NOT(ISERROR((AA107/$H107)*100)),((AA107/$H107)*100) &lt;&gt; 0), (AA107/$H107)*100, ""))</f>
        <v/>
      </c>
      <c r="AC107" s="33"/>
      <c r="AD107" s="36" t="str">
        <f>IF((ISERROR((AC107/$H107)*100)), "", IF(AND(NOT(ISERROR((AC107/$H107)*100)),((AC107/$H107)*100) &lt;&gt; 0), (AC107/$H107)*100, ""))</f>
        <v/>
      </c>
      <c r="AE107" s="33"/>
      <c r="AF107" s="36" t="str">
        <f>IF((ISERROR((AE107/$H107)*100)), "", IF(AND(NOT(ISERROR((AE107/$H107)*100)),((AE107/$H107)*100) &lt;&gt; 0), (AE107/$H107)*100, ""))</f>
        <v/>
      </c>
      <c r="AG107" s="33"/>
      <c r="AH107" s="36" t="str">
        <f>IF((ISERROR((AG107/$H107)*100)), "", IF(AND(NOT(ISERROR((AG107/$H107)*100)),((AG107/$H107)*100) &lt;&gt; 0), (AG107/$H107)*100, ""))</f>
        <v/>
      </c>
      <c r="AI107" s="33"/>
      <c r="AJ107" s="36" t="str">
        <f>IF((ISERROR((AI107/$H107)*100)), "", IF(AND(NOT(ISERROR((AI107/$H107)*100)),((AI107/$H107)*100) &lt;&gt; 0), (AI107/$H107)*100, ""))</f>
        <v/>
      </c>
      <c r="AK107" s="33"/>
      <c r="AL107" s="36" t="str">
        <f>IF((ISERROR((AK107/$H107)*100)), "", IF(AND(NOT(ISERROR((AK107/$H107)*100)),((AK107/$H107)*100) &lt;&gt; 0), (AK107/$H107)*100, ""))</f>
        <v/>
      </c>
      <c r="AM107" s="33"/>
      <c r="AN107" s="36" t="str">
        <f>IF((ISERROR((AM107/$H107)*100)), "", IF(AND(NOT(ISERROR((AM107/$H107)*100)),((AM107/$H107)*100) &lt;&gt; 0), (AM107/$H107)*100, ""))</f>
        <v/>
      </c>
      <c r="AO107" s="33"/>
      <c r="AP107" s="36" t="str">
        <f>IF((ISERROR((AO107/$H107)*100)), "", IF(AND(NOT(ISERROR((AO107/$H107)*100)),((AO107/$H107)*100) &lt;&gt; 0), (AO107/$H107)*100, ""))</f>
        <v/>
      </c>
      <c r="AQ107" s="33"/>
      <c r="AR107" s="36" t="str">
        <f>IF((ISERROR((AQ107/$H107)*100)), "", IF(AND(NOT(ISERROR((AQ107/$H107)*100)),((AQ107/$H107)*100) &lt;&gt; 0), (AQ107/$H107)*100, ""))</f>
        <v/>
      </c>
      <c r="AS107" s="33"/>
      <c r="AT107" s="36" t="str">
        <f>IF((ISERROR((AS107/$H107)*100)), "", IF(AND(NOT(ISERROR((AS107/$H107)*100)),((AS107/$H107)*100) &lt;&gt; 0), (AS107/$H107)*100, ""))</f>
        <v/>
      </c>
      <c r="AU107" s="33"/>
      <c r="AV107" s="36" t="str">
        <f>IF((ISERROR((AU107/$H107)*100)), "", IF(AND(NOT(ISERROR((AU107/$H107)*100)),((AU107/$H107)*100) &lt;&gt; 0), (AU107/$H107)*100, ""))</f>
        <v/>
      </c>
      <c r="AW107" s="76"/>
      <c r="AX107" s="36" t="str">
        <f>IF((ISERROR((AW107/$H107)*100)), "", IF(AND(NOT(ISERROR((AW107/$H107)*100)),((AW107/$H107)*100) &lt;&gt; 0), (AW107/$H107)*100, ""))</f>
        <v/>
      </c>
      <c r="AY107" s="76"/>
      <c r="AZ107" s="36" t="str">
        <f>IF((ISERROR((AY107/$H107)*100)), "", IF(AND(NOT(ISERROR((AY107/$H107)*100)),((AY107/$H107)*100) &lt;&gt; 0), (AY107/$H107)*100, ""))</f>
        <v/>
      </c>
      <c r="BA107" s="23" t="s">
        <v>366</v>
      </c>
    </row>
    <row r="108" spans="1:53" ht="20" customHeight="1" x14ac:dyDescent="0.2">
      <c r="A108" s="60"/>
      <c r="B108" s="83"/>
      <c r="C108" s="24" t="s">
        <v>85</v>
      </c>
      <c r="D108" s="23" t="s">
        <v>313</v>
      </c>
      <c r="E108" s="23" t="s">
        <v>314</v>
      </c>
      <c r="F108" s="24">
        <v>2012</v>
      </c>
      <c r="H108" s="89"/>
      <c r="I108" s="85" t="s">
        <v>370</v>
      </c>
      <c r="J108" s="86" t="s">
        <v>210</v>
      </c>
      <c r="K108" s="33"/>
      <c r="L108" s="36" t="str">
        <f>IF((ISERROR((K108/$H108)*100)), "", IF(AND(NOT(ISERROR((K108/$H108)*100)),((K108/$H108)*100) &lt;&gt; 0), (K108/$H108)*100, ""))</f>
        <v/>
      </c>
      <c r="M108" s="33"/>
      <c r="N108" s="36" t="str">
        <f>IF((ISERROR((M108/$H108)*100)), "", IF(AND(NOT(ISERROR((M108/$H108)*100)),((M108/$H108)*100) &lt;&gt; 0), (M108/$H108)*100, ""))</f>
        <v/>
      </c>
      <c r="O108" s="33"/>
      <c r="P108" s="36" t="str">
        <f>IF((ISERROR((O108/$H108)*100)), "", IF(AND(NOT(ISERROR((O108/$H108)*100)),((O108/$H108)*100) &lt;&gt; 0), (O108/$H108)*100, ""))</f>
        <v/>
      </c>
      <c r="Q108" s="33"/>
      <c r="R108" s="36" t="str">
        <f>IF((ISERROR((Q108/$H108)*100)), "", IF(AND(NOT(ISERROR((Q108/$H108)*100)),((Q108/$H108)*100) &lt;&gt; 0), (Q108/$H108)*100, ""))</f>
        <v/>
      </c>
      <c r="S108" s="33"/>
      <c r="T108" s="36" t="str">
        <f>IF((ISERROR((S108/$H108)*100)), "", IF(AND(NOT(ISERROR((S108/$H108)*100)),((S108/$H108)*100) &lt;&gt; 0), (S108/$H108)*100, ""))</f>
        <v/>
      </c>
      <c r="U108" s="33"/>
      <c r="V108" s="36" t="str">
        <f>IF((ISERROR((U108/$H108)*100)), "", IF(AND(NOT(ISERROR((U108/$H108)*100)),((U108/$H108)*100) &lt;&gt; 0), (U108/$H108)*100, ""))</f>
        <v/>
      </c>
      <c r="W108" s="33"/>
      <c r="X108" s="36" t="str">
        <f>IF((ISERROR((W108/$H108)*100)), "", IF(AND(NOT(ISERROR((W108/$H108)*100)),((W108/$H108)*100) &lt;&gt; 0), (W108/$H108)*100, ""))</f>
        <v/>
      </c>
      <c r="Y108" s="33"/>
      <c r="Z108" s="36" t="str">
        <f>IF((ISERROR((Y108/$H108)*100)), "", IF(AND(NOT(ISERROR((Y108/$H108)*100)),((Y108/$H108)*100) &lt;&gt; 0), (Y108/$H108)*100, ""))</f>
        <v/>
      </c>
      <c r="AA108" s="33"/>
      <c r="AB108" s="36" t="str">
        <f>IF((ISERROR((AA108/$H108)*100)), "", IF(AND(NOT(ISERROR((AA108/$H108)*100)),((AA108/$H108)*100) &lt;&gt; 0), (AA108/$H108)*100, ""))</f>
        <v/>
      </c>
      <c r="AC108" s="33"/>
      <c r="AD108" s="36" t="str">
        <f>IF((ISERROR((AC108/$H108)*100)), "", IF(AND(NOT(ISERROR((AC108/$H108)*100)),((AC108/$H108)*100) &lt;&gt; 0), (AC108/$H108)*100, ""))</f>
        <v/>
      </c>
      <c r="AE108" s="33"/>
      <c r="AF108" s="36" t="str">
        <f>IF((ISERROR((AE108/$H108)*100)), "", IF(AND(NOT(ISERROR((AE108/$H108)*100)),((AE108/$H108)*100) &lt;&gt; 0), (AE108/$H108)*100, ""))</f>
        <v/>
      </c>
      <c r="AG108" s="33"/>
      <c r="AH108" s="36" t="str">
        <f>IF((ISERROR((AG108/$H108)*100)), "", IF(AND(NOT(ISERROR((AG108/$H108)*100)),((AG108/$H108)*100) &lt;&gt; 0), (AG108/$H108)*100, ""))</f>
        <v/>
      </c>
      <c r="AI108" s="33"/>
      <c r="AJ108" s="36" t="str">
        <f>IF((ISERROR((AI108/$H108)*100)), "", IF(AND(NOT(ISERROR((AI108/$H108)*100)),((AI108/$H108)*100) &lt;&gt; 0), (AI108/$H108)*100, ""))</f>
        <v/>
      </c>
      <c r="AK108" s="33"/>
      <c r="AL108" s="36" t="str">
        <f>IF((ISERROR((AK108/$H108)*100)), "", IF(AND(NOT(ISERROR((AK108/$H108)*100)),((AK108/$H108)*100) &lt;&gt; 0), (AK108/$H108)*100, ""))</f>
        <v/>
      </c>
      <c r="AM108" s="33"/>
      <c r="AN108" s="36" t="str">
        <f>IF((ISERROR((AM108/$H108)*100)), "", IF(AND(NOT(ISERROR((AM108/$H108)*100)),((AM108/$H108)*100) &lt;&gt; 0), (AM108/$H108)*100, ""))</f>
        <v/>
      </c>
      <c r="AO108" s="33"/>
      <c r="AP108" s="36" t="str">
        <f>IF((ISERROR((AO108/$H108)*100)), "", IF(AND(NOT(ISERROR((AO108/$H108)*100)),((AO108/$H108)*100) &lt;&gt; 0), (AO108/$H108)*100, ""))</f>
        <v/>
      </c>
      <c r="AQ108" s="33"/>
      <c r="AR108" s="36" t="str">
        <f>IF((ISERROR((AQ108/$H108)*100)), "", IF(AND(NOT(ISERROR((AQ108/$H108)*100)),((AQ108/$H108)*100) &lt;&gt; 0), (AQ108/$H108)*100, ""))</f>
        <v/>
      </c>
      <c r="AS108" s="33"/>
      <c r="AT108" s="36" t="str">
        <f>IF((ISERROR((AS108/$H108)*100)), "", IF(AND(NOT(ISERROR((AS108/$H108)*100)),((AS108/$H108)*100) &lt;&gt; 0), (AS108/$H108)*100, ""))</f>
        <v/>
      </c>
      <c r="AU108" s="33"/>
      <c r="AV108" s="36" t="str">
        <f>IF((ISERROR((AU108/$H108)*100)), "", IF(AND(NOT(ISERROR((AU108/$H108)*100)),((AU108/$H108)*100) &lt;&gt; 0), (AU108/$H108)*100, ""))</f>
        <v/>
      </c>
      <c r="AW108" s="76"/>
      <c r="AX108" s="36" t="str">
        <f>IF((ISERROR((AW108/$H108)*100)), "", IF(AND(NOT(ISERROR((AW108/$H108)*100)),((AW108/$H108)*100) &lt;&gt; 0), (AW108/$H108)*100, ""))</f>
        <v/>
      </c>
      <c r="AY108" s="76"/>
      <c r="AZ108" s="36" t="str">
        <f>IF((ISERROR((AY108/$H108)*100)), "", IF(AND(NOT(ISERROR((AY108/$H108)*100)),((AY108/$H108)*100) &lt;&gt; 0), (AY108/$H108)*100, ""))</f>
        <v/>
      </c>
    </row>
    <row r="109" spans="1:53" ht="20" customHeight="1" x14ac:dyDescent="0.2">
      <c r="A109" s="61"/>
      <c r="B109" s="24"/>
      <c r="C109" s="50" t="s">
        <v>35</v>
      </c>
      <c r="D109" s="49" t="s">
        <v>123</v>
      </c>
      <c r="E109" s="49" t="s">
        <v>124</v>
      </c>
      <c r="F109" s="50">
        <v>2007</v>
      </c>
      <c r="G109" s="50">
        <v>60</v>
      </c>
      <c r="H109" s="89"/>
      <c r="I109" s="85"/>
      <c r="J109" s="86"/>
      <c r="K109" s="33"/>
      <c r="L109" s="36" t="str">
        <f>IF((ISERROR((K109/$H109)*100)), "", IF(AND(NOT(ISERROR((K109/$H109)*100)),((K109/$H109)*100) &lt;&gt; 0), (K109/$H109)*100, ""))</f>
        <v/>
      </c>
      <c r="M109" s="33"/>
      <c r="N109" s="36" t="str">
        <f>IF((ISERROR((M109/$H109)*100)), "", IF(AND(NOT(ISERROR((M109/$H109)*100)),((M109/$H109)*100) &lt;&gt; 0), (M109/$H109)*100, ""))</f>
        <v/>
      </c>
      <c r="O109" s="33"/>
      <c r="P109" s="36" t="str">
        <f>IF((ISERROR((O109/$H109)*100)), "", IF(AND(NOT(ISERROR((O109/$H109)*100)),((O109/$H109)*100) &lt;&gt; 0), (O109/$H109)*100, ""))</f>
        <v/>
      </c>
      <c r="Q109" s="33"/>
      <c r="R109" s="36" t="str">
        <f>IF((ISERROR((Q109/$H109)*100)), "", IF(AND(NOT(ISERROR((Q109/$H109)*100)),((Q109/$H109)*100) &lt;&gt; 0), (Q109/$H109)*100, ""))</f>
        <v/>
      </c>
      <c r="S109" s="33"/>
      <c r="T109" s="36" t="str">
        <f>IF((ISERROR((S109/$H109)*100)), "", IF(AND(NOT(ISERROR((S109/$H109)*100)),((S109/$H109)*100) &lt;&gt; 0), (S109/$H109)*100, ""))</f>
        <v/>
      </c>
      <c r="U109" s="33"/>
      <c r="V109" s="36" t="str">
        <f>IF((ISERROR((U109/$H109)*100)), "", IF(AND(NOT(ISERROR((U109/$H109)*100)),((U109/$H109)*100) &lt;&gt; 0), (U109/$H109)*100, ""))</f>
        <v/>
      </c>
      <c r="W109" s="33"/>
      <c r="X109" s="36" t="str">
        <f>IF((ISERROR((W109/$H109)*100)), "", IF(AND(NOT(ISERROR((W109/$H109)*100)),((W109/$H109)*100) &lt;&gt; 0), (W109/$H109)*100, ""))</f>
        <v/>
      </c>
      <c r="Y109" s="33"/>
      <c r="Z109" s="36" t="str">
        <f>IF((ISERROR((Y109/$H109)*100)), "", IF(AND(NOT(ISERROR((Y109/$H109)*100)),((Y109/$H109)*100) &lt;&gt; 0), (Y109/$H109)*100, ""))</f>
        <v/>
      </c>
      <c r="AA109" s="33"/>
      <c r="AB109" s="36" t="str">
        <f>IF((ISERROR((AA109/$H109)*100)), "", IF(AND(NOT(ISERROR((AA109/$H109)*100)),((AA109/$H109)*100) &lt;&gt; 0), (AA109/$H109)*100, ""))</f>
        <v/>
      </c>
      <c r="AC109" s="33"/>
      <c r="AD109" s="36" t="str">
        <f>IF((ISERROR((AC109/$H109)*100)), "", IF(AND(NOT(ISERROR((AC109/$H109)*100)),((AC109/$H109)*100) &lt;&gt; 0), (AC109/$H109)*100, ""))</f>
        <v/>
      </c>
      <c r="AE109" s="33"/>
      <c r="AF109" s="36" t="str">
        <f>IF((ISERROR((AE109/$H109)*100)), "", IF(AND(NOT(ISERROR((AE109/$H109)*100)),((AE109/$H109)*100) &lt;&gt; 0), (AE109/$H109)*100, ""))</f>
        <v/>
      </c>
      <c r="AG109" s="33"/>
      <c r="AH109" s="36" t="str">
        <f>IF((ISERROR((AG109/$H109)*100)), "", IF(AND(NOT(ISERROR((AG109/$H109)*100)),((AG109/$H109)*100) &lt;&gt; 0), (AG109/$H109)*100, ""))</f>
        <v/>
      </c>
      <c r="AI109" s="33"/>
      <c r="AJ109" s="36" t="str">
        <f>IF((ISERROR((AI109/$H109)*100)), "", IF(AND(NOT(ISERROR((AI109/$H109)*100)),((AI109/$H109)*100) &lt;&gt; 0), (AI109/$H109)*100, ""))</f>
        <v/>
      </c>
      <c r="AK109" s="33"/>
      <c r="AL109" s="36" t="str">
        <f>IF((ISERROR((AK109/$H109)*100)), "", IF(AND(NOT(ISERROR((AK109/$H109)*100)),((AK109/$H109)*100) &lt;&gt; 0), (AK109/$H109)*100, ""))</f>
        <v/>
      </c>
      <c r="AM109" s="33"/>
      <c r="AN109" s="36" t="str">
        <f>IF((ISERROR((AM109/$H109)*100)), "", IF(AND(NOT(ISERROR((AM109/$H109)*100)),((AM109/$H109)*100) &lt;&gt; 0), (AM109/$H109)*100, ""))</f>
        <v/>
      </c>
      <c r="AO109" s="33"/>
      <c r="AP109" s="36" t="str">
        <f>IF((ISERROR((AO109/$H109)*100)), "", IF(AND(NOT(ISERROR((AO109/$H109)*100)),((AO109/$H109)*100) &lt;&gt; 0), (AO109/$H109)*100, ""))</f>
        <v/>
      </c>
      <c r="AQ109" s="33"/>
      <c r="AR109" s="36" t="str">
        <f>IF((ISERROR((AQ109/$H109)*100)), "", IF(AND(NOT(ISERROR((AQ109/$H109)*100)),((AQ109/$H109)*100) &lt;&gt; 0), (AQ109/$H109)*100, ""))</f>
        <v/>
      </c>
      <c r="AS109" s="33"/>
      <c r="AT109" s="36" t="str">
        <f>IF((ISERROR((AS109/$H109)*100)), "", IF(AND(NOT(ISERROR((AS109/$H109)*100)),((AS109/$H109)*100) &lt;&gt; 0), (AS109/$H109)*100, ""))</f>
        <v/>
      </c>
      <c r="AU109" s="33"/>
      <c r="AV109" s="36" t="str">
        <f>IF((ISERROR((AU109/$H109)*100)), "", IF(AND(NOT(ISERROR((AU109/$H109)*100)),((AU109/$H109)*100) &lt;&gt; 0), (AU109/$H109)*100, ""))</f>
        <v/>
      </c>
      <c r="AW109" s="31"/>
      <c r="AX109" s="36" t="str">
        <f>IF((ISERROR((AW109/$H109)*100)), "", IF(AND(NOT(ISERROR((AW109/$H109)*100)),((AW109/$H109)*100) &lt;&gt; 0), (AW109/$H109)*100, ""))</f>
        <v/>
      </c>
      <c r="AY109" s="59"/>
      <c r="AZ109" s="36" t="str">
        <f>IF((ISERROR((AY109/$H109)*100)), "", IF(AND(NOT(ISERROR((AY109/$H109)*100)),((AY109/$H109)*100) &lt;&gt; 0), (AY109/$H109)*100, ""))</f>
        <v/>
      </c>
      <c r="BA109" s="23" t="s">
        <v>391</v>
      </c>
    </row>
    <row r="110" spans="1:53" ht="20" customHeight="1" x14ac:dyDescent="0.2">
      <c r="A110" s="61"/>
      <c r="B110" s="24"/>
      <c r="C110" s="50" t="s">
        <v>30</v>
      </c>
      <c r="D110" s="49" t="s">
        <v>125</v>
      </c>
      <c r="E110" s="49" t="s">
        <v>126</v>
      </c>
      <c r="F110" s="50">
        <v>2014</v>
      </c>
      <c r="G110" s="50"/>
      <c r="H110" s="89"/>
      <c r="I110" s="85"/>
      <c r="J110" s="86"/>
      <c r="K110" s="33"/>
      <c r="L110" s="36" t="str">
        <f>IF((ISERROR((K110/$H110)*100)), "", IF(AND(NOT(ISERROR((K110/$H110)*100)),((K110/$H110)*100) &lt;&gt; 0), (K110/$H110)*100, ""))</f>
        <v/>
      </c>
      <c r="M110" s="33"/>
      <c r="N110" s="36" t="str">
        <f>IF((ISERROR((M110/$H110)*100)), "", IF(AND(NOT(ISERROR((M110/$H110)*100)),((M110/$H110)*100) &lt;&gt; 0), (M110/$H110)*100, ""))</f>
        <v/>
      </c>
      <c r="O110" s="33"/>
      <c r="P110" s="36" t="str">
        <f>IF((ISERROR((O110/$H110)*100)), "", IF(AND(NOT(ISERROR((O110/$H110)*100)),((O110/$H110)*100) &lt;&gt; 0), (O110/$H110)*100, ""))</f>
        <v/>
      </c>
      <c r="Q110" s="33"/>
      <c r="R110" s="36" t="str">
        <f>IF((ISERROR((Q110/$H110)*100)), "", IF(AND(NOT(ISERROR((Q110/$H110)*100)),((Q110/$H110)*100) &lt;&gt; 0), (Q110/$H110)*100, ""))</f>
        <v/>
      </c>
      <c r="S110" s="33"/>
      <c r="T110" s="36" t="str">
        <f>IF((ISERROR((S110/$H110)*100)), "", IF(AND(NOT(ISERROR((S110/$H110)*100)),((S110/$H110)*100) &lt;&gt; 0), (S110/$H110)*100, ""))</f>
        <v/>
      </c>
      <c r="U110" s="33"/>
      <c r="V110" s="36" t="str">
        <f>IF((ISERROR((U110/$H110)*100)), "", IF(AND(NOT(ISERROR((U110/$H110)*100)),((U110/$H110)*100) &lt;&gt; 0), (U110/$H110)*100, ""))</f>
        <v/>
      </c>
      <c r="W110" s="33"/>
      <c r="X110" s="36" t="str">
        <f>IF((ISERROR((W110/$H110)*100)), "", IF(AND(NOT(ISERROR((W110/$H110)*100)),((W110/$H110)*100) &lt;&gt; 0), (W110/$H110)*100, ""))</f>
        <v/>
      </c>
      <c r="Y110" s="33"/>
      <c r="Z110" s="36" t="str">
        <f>IF((ISERROR((Y110/$H110)*100)), "", IF(AND(NOT(ISERROR((Y110/$H110)*100)),((Y110/$H110)*100) &lt;&gt; 0), (Y110/$H110)*100, ""))</f>
        <v/>
      </c>
      <c r="AA110" s="33"/>
      <c r="AB110" s="36" t="str">
        <f>IF((ISERROR((AA110/$H110)*100)), "", IF(AND(NOT(ISERROR((AA110/$H110)*100)),((AA110/$H110)*100) &lt;&gt; 0), (AA110/$H110)*100, ""))</f>
        <v/>
      </c>
      <c r="AC110" s="33"/>
      <c r="AD110" s="36" t="str">
        <f>IF((ISERROR((AC110/$H110)*100)), "", IF(AND(NOT(ISERROR((AC110/$H110)*100)),((AC110/$H110)*100) &lt;&gt; 0), (AC110/$H110)*100, ""))</f>
        <v/>
      </c>
      <c r="AE110" s="33"/>
      <c r="AF110" s="36" t="str">
        <f>IF((ISERROR((AE110/$H110)*100)), "", IF(AND(NOT(ISERROR((AE110/$H110)*100)),((AE110/$H110)*100) &lt;&gt; 0), (AE110/$H110)*100, ""))</f>
        <v/>
      </c>
      <c r="AG110" s="33"/>
      <c r="AH110" s="36" t="str">
        <f>IF((ISERROR((AG110/$H110)*100)), "", IF(AND(NOT(ISERROR((AG110/$H110)*100)),((AG110/$H110)*100) &lt;&gt; 0), (AG110/$H110)*100, ""))</f>
        <v/>
      </c>
      <c r="AI110" s="33"/>
      <c r="AJ110" s="36" t="str">
        <f>IF((ISERROR((AI110/$H110)*100)), "", IF(AND(NOT(ISERROR((AI110/$H110)*100)),((AI110/$H110)*100) &lt;&gt; 0), (AI110/$H110)*100, ""))</f>
        <v/>
      </c>
      <c r="AK110" s="33"/>
      <c r="AL110" s="36" t="str">
        <f>IF((ISERROR((AK110/$H110)*100)), "", IF(AND(NOT(ISERROR((AK110/$H110)*100)),((AK110/$H110)*100) &lt;&gt; 0), (AK110/$H110)*100, ""))</f>
        <v/>
      </c>
      <c r="AM110" s="33"/>
      <c r="AN110" s="36" t="str">
        <f>IF((ISERROR((AM110/$H110)*100)), "", IF(AND(NOT(ISERROR((AM110/$H110)*100)),((AM110/$H110)*100) &lt;&gt; 0), (AM110/$H110)*100, ""))</f>
        <v/>
      </c>
      <c r="AO110" s="33"/>
      <c r="AP110" s="36" t="str">
        <f>IF((ISERROR((AO110/$H110)*100)), "", IF(AND(NOT(ISERROR((AO110/$H110)*100)),((AO110/$H110)*100) &lt;&gt; 0), (AO110/$H110)*100, ""))</f>
        <v/>
      </c>
      <c r="AQ110" s="33"/>
      <c r="AR110" s="36" t="str">
        <f>IF((ISERROR((AQ110/$H110)*100)), "", IF(AND(NOT(ISERROR((AQ110/$H110)*100)),((AQ110/$H110)*100) &lt;&gt; 0), (AQ110/$H110)*100, ""))</f>
        <v/>
      </c>
      <c r="AS110" s="33"/>
      <c r="AT110" s="36" t="str">
        <f>IF((ISERROR((AS110/$H110)*100)), "", IF(AND(NOT(ISERROR((AS110/$H110)*100)),((AS110/$H110)*100) &lt;&gt; 0), (AS110/$H110)*100, ""))</f>
        <v/>
      </c>
      <c r="AU110" s="33"/>
      <c r="AV110" s="36" t="str">
        <f>IF((ISERROR((AU110/$H110)*100)), "", IF(AND(NOT(ISERROR((AU110/$H110)*100)),((AU110/$H110)*100) &lt;&gt; 0), (AU110/$H110)*100, ""))</f>
        <v/>
      </c>
      <c r="AW110" s="76"/>
      <c r="AX110" s="36" t="str">
        <f>IF((ISERROR((AW110/$H110)*100)), "", IF(AND(NOT(ISERROR((AW110/$H110)*100)),((AW110/$H110)*100) &lt;&gt; 0), (AW110/$H110)*100, ""))</f>
        <v/>
      </c>
      <c r="AY110" s="59"/>
      <c r="AZ110" s="36" t="str">
        <f>IF((ISERROR((AY110/$H110)*100)), "", IF(AND(NOT(ISERROR((AY110/$H110)*100)),((AY110/$H110)*100) &lt;&gt; 0), (AY110/$H110)*100, ""))</f>
        <v/>
      </c>
    </row>
    <row r="111" spans="1:53" ht="20" customHeight="1" x14ac:dyDescent="0.2">
      <c r="A111" s="60"/>
      <c r="B111" s="24"/>
      <c r="C111" s="50" t="s">
        <v>30</v>
      </c>
      <c r="D111" s="49" t="s">
        <v>129</v>
      </c>
      <c r="E111" s="49" t="s">
        <v>130</v>
      </c>
      <c r="F111" s="50">
        <v>2009</v>
      </c>
      <c r="G111" s="50">
        <v>13</v>
      </c>
      <c r="H111" s="89"/>
      <c r="I111" s="85"/>
      <c r="J111" s="86"/>
      <c r="K111" s="33"/>
      <c r="L111" s="36" t="str">
        <f>IF((ISERROR((K111/$H111)*100)), "", IF(AND(NOT(ISERROR((K111/$H111)*100)),((K111/$H111)*100) &lt;&gt; 0), (K111/$H111)*100, ""))</f>
        <v/>
      </c>
      <c r="M111" s="33"/>
      <c r="N111" s="36" t="str">
        <f>IF((ISERROR((M111/$H111)*100)), "", IF(AND(NOT(ISERROR((M111/$H111)*100)),((M111/$H111)*100) &lt;&gt; 0), (M111/$H111)*100, ""))</f>
        <v/>
      </c>
      <c r="O111" s="33"/>
      <c r="P111" s="36" t="str">
        <f>IF((ISERROR((O111/$H111)*100)), "", IF(AND(NOT(ISERROR((O111/$H111)*100)),((O111/$H111)*100) &lt;&gt; 0), (O111/$H111)*100, ""))</f>
        <v/>
      </c>
      <c r="Q111" s="33"/>
      <c r="R111" s="36" t="str">
        <f>IF((ISERROR((Q111/$H111)*100)), "", IF(AND(NOT(ISERROR((Q111/$H111)*100)),((Q111/$H111)*100) &lt;&gt; 0), (Q111/$H111)*100, ""))</f>
        <v/>
      </c>
      <c r="S111" s="33"/>
      <c r="T111" s="36" t="str">
        <f>IF((ISERROR((S111/$H111)*100)), "", IF(AND(NOT(ISERROR((S111/$H111)*100)),((S111/$H111)*100) &lt;&gt; 0), (S111/$H111)*100, ""))</f>
        <v/>
      </c>
      <c r="U111" s="33"/>
      <c r="V111" s="36" t="str">
        <f>IF((ISERROR((U111/$H111)*100)), "", IF(AND(NOT(ISERROR((U111/$H111)*100)),((U111/$H111)*100) &lt;&gt; 0), (U111/$H111)*100, ""))</f>
        <v/>
      </c>
      <c r="W111" s="33"/>
      <c r="X111" s="36" t="str">
        <f>IF((ISERROR((W111/$H111)*100)), "", IF(AND(NOT(ISERROR((W111/$H111)*100)),((W111/$H111)*100) &lt;&gt; 0), (W111/$H111)*100, ""))</f>
        <v/>
      </c>
      <c r="Y111" s="33"/>
      <c r="Z111" s="36" t="str">
        <f>IF((ISERROR((Y111/$H111)*100)), "", IF(AND(NOT(ISERROR((Y111/$H111)*100)),((Y111/$H111)*100) &lt;&gt; 0), (Y111/$H111)*100, ""))</f>
        <v/>
      </c>
      <c r="AA111" s="33"/>
      <c r="AB111" s="36" t="str">
        <f>IF((ISERROR((AA111/$H111)*100)), "", IF(AND(NOT(ISERROR((AA111/$H111)*100)),((AA111/$H111)*100) &lt;&gt; 0), (AA111/$H111)*100, ""))</f>
        <v/>
      </c>
      <c r="AC111" s="33"/>
      <c r="AD111" s="36" t="str">
        <f>IF((ISERROR((AC111/$H111)*100)), "", IF(AND(NOT(ISERROR((AC111/$H111)*100)),((AC111/$H111)*100) &lt;&gt; 0), (AC111/$H111)*100, ""))</f>
        <v/>
      </c>
      <c r="AE111" s="33"/>
      <c r="AF111" s="36" t="str">
        <f>IF((ISERROR((AE111/$H111)*100)), "", IF(AND(NOT(ISERROR((AE111/$H111)*100)),((AE111/$H111)*100) &lt;&gt; 0), (AE111/$H111)*100, ""))</f>
        <v/>
      </c>
      <c r="AG111" s="33"/>
      <c r="AH111" s="36" t="str">
        <f>IF((ISERROR((AG111/$H111)*100)), "", IF(AND(NOT(ISERROR((AG111/$H111)*100)),((AG111/$H111)*100) &lt;&gt; 0), (AG111/$H111)*100, ""))</f>
        <v/>
      </c>
      <c r="AI111" s="33"/>
      <c r="AJ111" s="36" t="str">
        <f>IF((ISERROR((AI111/$H111)*100)), "", IF(AND(NOT(ISERROR((AI111/$H111)*100)),((AI111/$H111)*100) &lt;&gt; 0), (AI111/$H111)*100, ""))</f>
        <v/>
      </c>
      <c r="AK111" s="33"/>
      <c r="AL111" s="36" t="str">
        <f>IF((ISERROR((AK111/$H111)*100)), "", IF(AND(NOT(ISERROR((AK111/$H111)*100)),((AK111/$H111)*100) &lt;&gt; 0), (AK111/$H111)*100, ""))</f>
        <v/>
      </c>
      <c r="AM111" s="33"/>
      <c r="AN111" s="36" t="str">
        <f>IF((ISERROR((AM111/$H111)*100)), "", IF(AND(NOT(ISERROR((AM111/$H111)*100)),((AM111/$H111)*100) &lt;&gt; 0), (AM111/$H111)*100, ""))</f>
        <v/>
      </c>
      <c r="AO111" s="33"/>
      <c r="AP111" s="36" t="str">
        <f>IF((ISERROR((AO111/$H111)*100)), "", IF(AND(NOT(ISERROR((AO111/$H111)*100)),((AO111/$H111)*100) &lt;&gt; 0), (AO111/$H111)*100, ""))</f>
        <v/>
      </c>
      <c r="AQ111" s="33"/>
      <c r="AR111" s="36" t="str">
        <f>IF((ISERROR((AQ111/$H111)*100)), "", IF(AND(NOT(ISERROR((AQ111/$H111)*100)),((AQ111/$H111)*100) &lt;&gt; 0), (AQ111/$H111)*100, ""))</f>
        <v/>
      </c>
      <c r="AS111" s="33"/>
      <c r="AT111" s="36" t="str">
        <f>IF((ISERROR((AS111/$H111)*100)), "", IF(AND(NOT(ISERROR((AS111/$H111)*100)),((AS111/$H111)*100) &lt;&gt; 0), (AS111/$H111)*100, ""))</f>
        <v/>
      </c>
      <c r="AU111" s="33"/>
      <c r="AV111" s="36" t="str">
        <f>IF((ISERROR((AU111/$H111)*100)), "", IF(AND(NOT(ISERROR((AU111/$H111)*100)),((AU111/$H111)*100) &lt;&gt; 0), (AU111/$H111)*100, ""))</f>
        <v/>
      </c>
      <c r="AW111" s="30"/>
      <c r="AX111" s="36" t="str">
        <f>IF((ISERROR((AW111/$H111)*100)), "", IF(AND(NOT(ISERROR((AW111/$H111)*100)),((AW111/$H111)*100) &lt;&gt; 0), (AW111/$H111)*100, ""))</f>
        <v/>
      </c>
      <c r="AY111" s="59"/>
      <c r="AZ111" s="36" t="str">
        <f>IF((ISERROR((AY111/$H111)*100)), "", IF(AND(NOT(ISERROR((AY111/$H111)*100)),((AY111/$H111)*100) &lt;&gt; 0), (AY111/$H111)*100, ""))</f>
        <v/>
      </c>
    </row>
    <row r="112" spans="1:53" ht="20" customHeight="1" x14ac:dyDescent="0.2">
      <c r="A112" s="61"/>
      <c r="B112" s="82"/>
      <c r="C112" s="24" t="s">
        <v>85</v>
      </c>
      <c r="D112" s="23" t="s">
        <v>133</v>
      </c>
      <c r="E112" s="23" t="s">
        <v>134</v>
      </c>
      <c r="F112" s="24">
        <v>2001</v>
      </c>
      <c r="G112" s="24">
        <v>192</v>
      </c>
      <c r="H112" s="89"/>
      <c r="I112" s="85" t="s">
        <v>176</v>
      </c>
      <c r="J112" s="86" t="s">
        <v>169</v>
      </c>
      <c r="K112" s="33">
        <v>2</v>
      </c>
      <c r="L112" s="36" t="str">
        <f>IF((ISERROR((K112/$H112)*100)), "", IF(AND(NOT(ISERROR((K112/$H112)*100)),((K112/$H112)*100) &lt;&gt; 0), (K112/$H112)*100, ""))</f>
        <v/>
      </c>
      <c r="M112" s="33"/>
      <c r="N112" s="36" t="str">
        <f>IF((ISERROR((M112/$H112)*100)), "", IF(AND(NOT(ISERROR((M112/$H112)*100)),((M112/$H112)*100) &lt;&gt; 0), (M112/$H112)*100, ""))</f>
        <v/>
      </c>
      <c r="O112" s="33"/>
      <c r="P112" s="36" t="str">
        <f>IF((ISERROR((O112/$H112)*100)), "", IF(AND(NOT(ISERROR((O112/$H112)*100)),((O112/$H112)*100) &lt;&gt; 0), (O112/$H112)*100, ""))</f>
        <v/>
      </c>
      <c r="Q112" s="33"/>
      <c r="R112" s="36" t="str">
        <f>IF((ISERROR((Q112/$H112)*100)), "", IF(AND(NOT(ISERROR((Q112/$H112)*100)),((Q112/$H112)*100) &lt;&gt; 0), (Q112/$H112)*100, ""))</f>
        <v/>
      </c>
      <c r="S112" s="33"/>
      <c r="T112" s="36" t="str">
        <f>IF((ISERROR((S112/$H112)*100)), "", IF(AND(NOT(ISERROR((S112/$H112)*100)),((S112/$H112)*100) &lt;&gt; 0), (S112/$H112)*100, ""))</f>
        <v/>
      </c>
      <c r="U112" s="33"/>
      <c r="V112" s="36" t="str">
        <f>IF((ISERROR((U112/$H112)*100)), "", IF(AND(NOT(ISERROR((U112/$H112)*100)),((U112/$H112)*100) &lt;&gt; 0), (U112/$H112)*100, ""))</f>
        <v/>
      </c>
      <c r="W112" s="33"/>
      <c r="X112" s="36" t="str">
        <f>IF((ISERROR((W112/$H112)*100)), "", IF(AND(NOT(ISERROR((W112/$H112)*100)),((W112/$H112)*100) &lt;&gt; 0), (W112/$H112)*100, ""))</f>
        <v/>
      </c>
      <c r="Y112" s="33"/>
      <c r="Z112" s="36" t="str">
        <f>IF((ISERROR((Y112/$H112)*100)), "", IF(AND(NOT(ISERROR((Y112/$H112)*100)),((Y112/$H112)*100) &lt;&gt; 0), (Y112/$H112)*100, ""))</f>
        <v/>
      </c>
      <c r="AA112" s="33"/>
      <c r="AB112" s="36" t="str">
        <f>IF((ISERROR((AA112/$H112)*100)), "", IF(AND(NOT(ISERROR((AA112/$H112)*100)),((AA112/$H112)*100) &lt;&gt; 0), (AA112/$H112)*100, ""))</f>
        <v/>
      </c>
      <c r="AC112" s="33"/>
      <c r="AD112" s="36" t="str">
        <f>IF((ISERROR((AC112/$H112)*100)), "", IF(AND(NOT(ISERROR((AC112/$H112)*100)),((AC112/$H112)*100) &lt;&gt; 0), (AC112/$H112)*100, ""))</f>
        <v/>
      </c>
      <c r="AE112" s="33"/>
      <c r="AF112" s="36" t="str">
        <f>IF((ISERROR((AE112/$H112)*100)), "", IF(AND(NOT(ISERROR((AE112/$H112)*100)),((AE112/$H112)*100) &lt;&gt; 0), (AE112/$H112)*100, ""))</f>
        <v/>
      </c>
      <c r="AG112" s="33"/>
      <c r="AH112" s="36" t="str">
        <f>IF((ISERROR((AG112/$H112)*100)), "", IF(AND(NOT(ISERROR((AG112/$H112)*100)),((AG112/$H112)*100) &lt;&gt; 0), (AG112/$H112)*100, ""))</f>
        <v/>
      </c>
      <c r="AI112" s="33"/>
      <c r="AJ112" s="36" t="str">
        <f>IF((ISERROR((AI112/$H112)*100)), "", IF(AND(NOT(ISERROR((AI112/$H112)*100)),((AI112/$H112)*100) &lt;&gt; 0), (AI112/$H112)*100, ""))</f>
        <v/>
      </c>
      <c r="AK112" s="33"/>
      <c r="AL112" s="36" t="str">
        <f>IF((ISERROR((AK112/$H112)*100)), "", IF(AND(NOT(ISERROR((AK112/$H112)*100)),((AK112/$H112)*100) &lt;&gt; 0), (AK112/$H112)*100, ""))</f>
        <v/>
      </c>
      <c r="AM112" s="33"/>
      <c r="AN112" s="36" t="str">
        <f>IF((ISERROR((AM112/$H112)*100)), "", IF(AND(NOT(ISERROR((AM112/$H112)*100)),((AM112/$H112)*100) &lt;&gt; 0), (AM112/$H112)*100, ""))</f>
        <v/>
      </c>
      <c r="AO112" s="33"/>
      <c r="AP112" s="36" t="str">
        <f>IF((ISERROR((AO112/$H112)*100)), "", IF(AND(NOT(ISERROR((AO112/$H112)*100)),((AO112/$H112)*100) &lt;&gt; 0), (AO112/$H112)*100, ""))</f>
        <v/>
      </c>
      <c r="AQ112" s="33"/>
      <c r="AR112" s="36" t="str">
        <f>IF((ISERROR((AQ112/$H112)*100)), "", IF(AND(NOT(ISERROR((AQ112/$H112)*100)),((AQ112/$H112)*100) &lt;&gt; 0), (AQ112/$H112)*100, ""))</f>
        <v/>
      </c>
      <c r="AS112" s="38">
        <v>1</v>
      </c>
      <c r="AT112" s="39" t="str">
        <f>IF((ISERROR((AS112/$H112)*100)), "", IF(AND(NOT(ISERROR((AS112/$H112)*100)),((AS112/$H112)*100) &lt;&gt; 0), (AS112/$H112)*100, ""))</f>
        <v/>
      </c>
      <c r="AU112" s="33"/>
      <c r="AV112" s="36" t="str">
        <f>IF((ISERROR((AU112/$H112)*100)), "", IF(AND(NOT(ISERROR((AU112/$H112)*100)),((AU112/$H112)*100) &lt;&gt; 0), (AU112/$H112)*100, ""))</f>
        <v/>
      </c>
      <c r="AW112" s="76"/>
      <c r="AX112" s="36" t="str">
        <f>IF((ISERROR((AW112/$H112)*100)), "", IF(AND(NOT(ISERROR((AW112/$H112)*100)),((AW112/$H112)*100) &lt;&gt; 0), (AW112/$H112)*100, ""))</f>
        <v/>
      </c>
      <c r="AY112" s="76"/>
      <c r="AZ112" s="36" t="str">
        <f>IF((ISERROR((AY112/$H112)*100)), "", IF(AND(NOT(ISERROR((AY112/$H112)*100)),((AY112/$H112)*100) &lt;&gt; 0), (AY112/$H112)*100, ""))</f>
        <v/>
      </c>
      <c r="BA112" s="23" t="s">
        <v>392</v>
      </c>
    </row>
    <row r="113" spans="1:53" ht="20" customHeight="1" x14ac:dyDescent="0.2">
      <c r="A113" s="61"/>
      <c r="B113" s="24"/>
      <c r="C113" s="24" t="s">
        <v>85</v>
      </c>
      <c r="D113" s="23" t="s">
        <v>135</v>
      </c>
      <c r="E113" s="23" t="s">
        <v>136</v>
      </c>
      <c r="F113" s="24">
        <v>2007</v>
      </c>
      <c r="G113" s="24">
        <v>240</v>
      </c>
      <c r="H113" s="89"/>
      <c r="I113" s="85" t="s">
        <v>221</v>
      </c>
      <c r="J113" s="86" t="s">
        <v>169</v>
      </c>
      <c r="K113" s="33"/>
      <c r="L113" s="36" t="str">
        <f>IF((ISERROR((K113/$H113)*100)), "", IF(AND(NOT(ISERROR((K113/$H113)*100)),((K113/$H113)*100) &lt;&gt; 0), (K113/$H113)*100, ""))</f>
        <v/>
      </c>
      <c r="M113" s="33"/>
      <c r="N113" s="36" t="str">
        <f>IF((ISERROR((M113/$H113)*100)), "", IF(AND(NOT(ISERROR((M113/$H113)*100)),((M113/$H113)*100) &lt;&gt; 0), (M113/$H113)*100, ""))</f>
        <v/>
      </c>
      <c r="O113" s="33"/>
      <c r="P113" s="36" t="str">
        <f>IF((ISERROR((O113/$H113)*100)), "", IF(AND(NOT(ISERROR((O113/$H113)*100)),((O113/$H113)*100) &lt;&gt; 0), (O113/$H113)*100, ""))</f>
        <v/>
      </c>
      <c r="Q113" s="33"/>
      <c r="R113" s="36" t="str">
        <f>IF((ISERROR((Q113/$H113)*100)), "", IF(AND(NOT(ISERROR((Q113/$H113)*100)),((Q113/$H113)*100) &lt;&gt; 0), (Q113/$H113)*100, ""))</f>
        <v/>
      </c>
      <c r="S113" s="33"/>
      <c r="T113" s="36" t="str">
        <f>IF((ISERROR((S113/$H113)*100)), "", IF(AND(NOT(ISERROR((S113/$H113)*100)),((S113/$H113)*100) &lt;&gt; 0), (S113/$H113)*100, ""))</f>
        <v/>
      </c>
      <c r="U113" s="33"/>
      <c r="V113" s="36" t="str">
        <f>IF((ISERROR((U113/$H113)*100)), "", IF(AND(NOT(ISERROR((U113/$H113)*100)),((U113/$H113)*100) &lt;&gt; 0), (U113/$H113)*100, ""))</f>
        <v/>
      </c>
      <c r="W113" s="33"/>
      <c r="X113" s="36" t="str">
        <f>IF((ISERROR((W113/$H113)*100)), "", IF(AND(NOT(ISERROR((W113/$H113)*100)),((W113/$H113)*100) &lt;&gt; 0), (W113/$H113)*100, ""))</f>
        <v/>
      </c>
      <c r="Y113" s="33"/>
      <c r="Z113" s="36" t="str">
        <f>IF((ISERROR((Y113/$H113)*100)), "", IF(AND(NOT(ISERROR((Y113/$H113)*100)),((Y113/$H113)*100) &lt;&gt; 0), (Y113/$H113)*100, ""))</f>
        <v/>
      </c>
      <c r="AA113" s="33"/>
      <c r="AB113" s="36" t="str">
        <f>IF((ISERROR((AA113/$H113)*100)), "", IF(AND(NOT(ISERROR((AA113/$H113)*100)),((AA113/$H113)*100) &lt;&gt; 0), (AA113/$H113)*100, ""))</f>
        <v/>
      </c>
      <c r="AC113" s="33"/>
      <c r="AD113" s="36" t="str">
        <f>IF((ISERROR((AC113/$H113)*100)), "", IF(AND(NOT(ISERROR((AC113/$H113)*100)),((AC113/$H113)*100) &lt;&gt; 0), (AC113/$H113)*100, ""))</f>
        <v/>
      </c>
      <c r="AE113" s="33"/>
      <c r="AF113" s="36" t="str">
        <f>IF((ISERROR((AE113/$H113)*100)), "", IF(AND(NOT(ISERROR((AE113/$H113)*100)),((AE113/$H113)*100) &lt;&gt; 0), (AE113/$H113)*100, ""))</f>
        <v/>
      </c>
      <c r="AG113" s="33"/>
      <c r="AH113" s="36" t="str">
        <f>IF((ISERROR((AG113/$H113)*100)), "", IF(AND(NOT(ISERROR((AG113/$H113)*100)),((AG113/$H113)*100) &lt;&gt; 0), (AG113/$H113)*100, ""))</f>
        <v/>
      </c>
      <c r="AI113" s="33"/>
      <c r="AJ113" s="36" t="str">
        <f>IF((ISERROR((AI113/$H113)*100)), "", IF(AND(NOT(ISERROR((AI113/$H113)*100)),((AI113/$H113)*100) &lt;&gt; 0), (AI113/$H113)*100, ""))</f>
        <v/>
      </c>
      <c r="AK113" s="33"/>
      <c r="AL113" s="36" t="str">
        <f>IF((ISERROR((AK113/$H113)*100)), "", IF(AND(NOT(ISERROR((AK113/$H113)*100)),((AK113/$H113)*100) &lt;&gt; 0), (AK113/$H113)*100, ""))</f>
        <v/>
      </c>
      <c r="AM113" s="33"/>
      <c r="AN113" s="36" t="str">
        <f>IF((ISERROR((AM113/$H113)*100)), "", IF(AND(NOT(ISERROR((AM113/$H113)*100)),((AM113/$H113)*100) &lt;&gt; 0), (AM113/$H113)*100, ""))</f>
        <v/>
      </c>
      <c r="AO113" s="33"/>
      <c r="AP113" s="36" t="str">
        <f>IF((ISERROR((AO113/$H113)*100)), "", IF(AND(NOT(ISERROR((AO113/$H113)*100)),((AO113/$H113)*100) &lt;&gt; 0), (AO113/$H113)*100, ""))</f>
        <v/>
      </c>
      <c r="AQ113" s="33"/>
      <c r="AR113" s="36" t="str">
        <f>IF((ISERROR((AQ113/$H113)*100)), "", IF(AND(NOT(ISERROR((AQ113/$H113)*100)),((AQ113/$H113)*100) &lt;&gt; 0), (AQ113/$H113)*100, ""))</f>
        <v/>
      </c>
      <c r="AS113" s="33"/>
      <c r="AT113" s="36" t="str">
        <f>IF((ISERROR((AS113/$H113)*100)), "", IF(AND(NOT(ISERROR((AS113/$H113)*100)),((AS113/$H113)*100) &lt;&gt; 0), (AS113/$H113)*100, ""))</f>
        <v/>
      </c>
      <c r="AU113" s="33"/>
      <c r="AV113" s="36" t="str">
        <f>IF((ISERROR((AU113/$H113)*100)), "", IF(AND(NOT(ISERROR((AU113/$H113)*100)),((AU113/$H113)*100) &lt;&gt; 0), (AU113/$H113)*100, ""))</f>
        <v/>
      </c>
      <c r="AW113" s="30"/>
      <c r="AX113" s="36" t="str">
        <f>IF((ISERROR((AW113/$H113)*100)), "", IF(AND(NOT(ISERROR((AW113/$H113)*100)),((AW113/$H113)*100) &lt;&gt; 0), (AW113/$H113)*100, ""))</f>
        <v/>
      </c>
      <c r="AY113" s="59"/>
      <c r="AZ113" s="36" t="str">
        <f>IF((ISERROR((AY113/$H113)*100)), "", IF(AND(NOT(ISERROR((AY113/$H113)*100)),((AY113/$H113)*100) &lt;&gt; 0), (AY113/$H113)*100, ""))</f>
        <v/>
      </c>
      <c r="BA113" s="23" t="s">
        <v>222</v>
      </c>
    </row>
    <row r="114" spans="1:53" ht="20" customHeight="1" x14ac:dyDescent="0.2">
      <c r="A114" s="60"/>
      <c r="B114" s="82"/>
      <c r="C114" s="81" t="s">
        <v>381</v>
      </c>
      <c r="D114" s="49" t="s">
        <v>139</v>
      </c>
      <c r="E114" s="49" t="s">
        <v>140</v>
      </c>
      <c r="F114" s="50">
        <v>2005</v>
      </c>
      <c r="G114" s="50">
        <v>21</v>
      </c>
      <c r="H114" s="89"/>
      <c r="I114" s="85" t="s">
        <v>226</v>
      </c>
      <c r="J114" s="86"/>
      <c r="K114" s="73"/>
      <c r="L114" s="74" t="str">
        <f>IF((ISERROR((K114/$H114)*100)), "", IF(AND(NOT(ISERROR((K114/$H114)*100)),((K114/$H114)*100) &lt;&gt; 0), (K114/$H114)*100, ""))</f>
        <v/>
      </c>
      <c r="M114" s="73"/>
      <c r="N114" s="74" t="str">
        <f>IF((ISERROR((M114/$H114)*100)), "", IF(AND(NOT(ISERROR((M114/$H114)*100)),((M114/$H114)*100) &lt;&gt; 0), (M114/$H114)*100, ""))</f>
        <v/>
      </c>
      <c r="O114" s="73"/>
      <c r="P114" s="74" t="str">
        <f>IF((ISERROR((O114/$H114)*100)), "", IF(AND(NOT(ISERROR((O114/$H114)*100)),((O114/$H114)*100) &lt;&gt; 0), (O114/$H114)*100, ""))</f>
        <v/>
      </c>
      <c r="Q114" s="73"/>
      <c r="R114" s="74" t="str">
        <f>IF((ISERROR((Q114/$H114)*100)), "", IF(AND(NOT(ISERROR((Q114/$H114)*100)),((Q114/$H114)*100) &lt;&gt; 0), (Q114/$H114)*100, ""))</f>
        <v/>
      </c>
      <c r="S114" s="73"/>
      <c r="T114" s="74" t="str">
        <f>IF((ISERROR((S114/$H114)*100)), "", IF(AND(NOT(ISERROR((S114/$H114)*100)),((S114/$H114)*100) &lt;&gt; 0), (S114/$H114)*100, ""))</f>
        <v/>
      </c>
      <c r="U114" s="73"/>
      <c r="V114" s="74" t="str">
        <f>IF((ISERROR((U114/$H114)*100)), "", IF(AND(NOT(ISERROR((U114/$H114)*100)),((U114/$H114)*100) &lt;&gt; 0), (U114/$H114)*100, ""))</f>
        <v/>
      </c>
      <c r="W114" s="73"/>
      <c r="X114" s="74" t="str">
        <f>IF((ISERROR((W114/$H114)*100)), "", IF(AND(NOT(ISERROR((W114/$H114)*100)),((W114/$H114)*100) &lt;&gt; 0), (W114/$H114)*100, ""))</f>
        <v/>
      </c>
      <c r="Y114" s="73"/>
      <c r="Z114" s="74" t="str">
        <f>IF((ISERROR((Y114/$H114)*100)), "", IF(AND(NOT(ISERROR((Y114/$H114)*100)),((Y114/$H114)*100) &lt;&gt; 0), (Y114/$H114)*100, ""))</f>
        <v/>
      </c>
      <c r="AA114" s="73"/>
      <c r="AB114" s="74" t="str">
        <f>IF((ISERROR((AA114/$H114)*100)), "", IF(AND(NOT(ISERROR((AA114/$H114)*100)),((AA114/$H114)*100) &lt;&gt; 0), (AA114/$H114)*100, ""))</f>
        <v/>
      </c>
      <c r="AC114" s="73"/>
      <c r="AD114" s="74" t="str">
        <f>IF((ISERROR((AC114/$H114)*100)), "", IF(AND(NOT(ISERROR((AC114/$H114)*100)),((AC114/$H114)*100) &lt;&gt; 0), (AC114/$H114)*100, ""))</f>
        <v/>
      </c>
      <c r="AE114" s="73"/>
      <c r="AF114" s="74" t="str">
        <f>IF((ISERROR((AE114/$H114)*100)), "", IF(AND(NOT(ISERROR((AE114/$H114)*100)),((AE114/$H114)*100) &lt;&gt; 0), (AE114/$H114)*100, ""))</f>
        <v/>
      </c>
      <c r="AG114" s="73"/>
      <c r="AH114" s="74" t="str">
        <f>IF((ISERROR((AG114/$H114)*100)), "", IF(AND(NOT(ISERROR((AG114/$H114)*100)),((AG114/$H114)*100) &lt;&gt; 0), (AG114/$H114)*100, ""))</f>
        <v/>
      </c>
      <c r="AI114" s="712">
        <v>5</v>
      </c>
      <c r="AJ114" s="713" t="str">
        <f>IF((ISERROR((AI114/$H114)*100)), "", IF(AND(NOT(ISERROR((AI114/$H114)*100)),((AI114/$H114)*100) &lt;&gt; 0), (AI114/$H114)*100, ""))</f>
        <v/>
      </c>
      <c r="AK114" s="73"/>
      <c r="AL114" s="74" t="str">
        <f>IF((ISERROR((AK114/$H114)*100)), "", IF(AND(NOT(ISERROR((AK114/$H114)*100)),((AK114/$H114)*100) &lt;&gt; 0), (AK114/$H114)*100, ""))</f>
        <v/>
      </c>
      <c r="AM114" s="73"/>
      <c r="AN114" s="74" t="str">
        <f>IF((ISERROR((AM114/$H114)*100)), "", IF(AND(NOT(ISERROR((AM114/$H114)*100)),((AM114/$H114)*100) &lt;&gt; 0), (AM114/$H114)*100, ""))</f>
        <v/>
      </c>
      <c r="AO114" s="73"/>
      <c r="AP114" s="74" t="str">
        <f>IF((ISERROR((AO114/$H114)*100)), "", IF(AND(NOT(ISERROR((AO114/$H114)*100)),((AO114/$H114)*100) &lt;&gt; 0), (AO114/$H114)*100, ""))</f>
        <v/>
      </c>
      <c r="AQ114" s="73"/>
      <c r="AR114" s="74" t="str">
        <f>IF((ISERROR((AQ114/$H114)*100)), "", IF(AND(NOT(ISERROR((AQ114/$H114)*100)),((AQ114/$H114)*100) &lt;&gt; 0), (AQ114/$H114)*100, ""))</f>
        <v/>
      </c>
      <c r="AS114" s="712">
        <v>5</v>
      </c>
      <c r="AT114" s="713" t="str">
        <f>IF((ISERROR((AS114/$H114)*100)), "", IF(AND(NOT(ISERROR((AS114/$H114)*100)),((AS114/$H114)*100) &lt;&gt; 0), (AS114/$H114)*100, ""))</f>
        <v/>
      </c>
      <c r="AU114" s="73"/>
      <c r="AV114" s="74" t="str">
        <f>IF((ISERROR((AU114/$H114)*100)), "", IF(AND(NOT(ISERROR((AU114/$H114)*100)),((AU114/$H114)*100) &lt;&gt; 0), (AU114/$H114)*100, ""))</f>
        <v/>
      </c>
      <c r="AW114" s="715">
        <v>16</v>
      </c>
      <c r="AX114" s="713" t="str">
        <f>IF((ISERROR((AW114/$H114)*100)), "", IF(AND(NOT(ISERROR((AW114/$H114)*100)),((AW114/$H114)*100) &lt;&gt; 0), (AW114/$H114)*100, ""))</f>
        <v/>
      </c>
      <c r="AY114" s="75"/>
      <c r="AZ114" s="74" t="str">
        <f>IF((ISERROR((AY114/$H114)*100)), "", IF(AND(NOT(ISERROR((AY114/$H114)*100)),((AY114/$H114)*100) &lt;&gt; 0), (AY114/$H114)*100, ""))</f>
        <v/>
      </c>
      <c r="BA114" s="23" t="s">
        <v>227</v>
      </c>
    </row>
    <row r="115" spans="1:53" ht="20" customHeight="1" thickBot="1" x14ac:dyDescent="0.25">
      <c r="A115" s="61"/>
      <c r="B115" s="24"/>
      <c r="C115" s="50" t="s">
        <v>49</v>
      </c>
      <c r="D115" s="49" t="s">
        <v>145</v>
      </c>
      <c r="E115" s="49" t="s">
        <v>146</v>
      </c>
      <c r="F115" s="50">
        <v>1997</v>
      </c>
      <c r="G115" s="50">
        <v>47</v>
      </c>
      <c r="H115" s="90"/>
      <c r="I115" s="87"/>
      <c r="J115" s="88"/>
      <c r="K115" s="34"/>
      <c r="L115" s="37" t="str">
        <f>IF((ISERROR((K115/$H115)*100)), "", IF(AND(NOT(ISERROR((K115/$H115)*100)),((K115/$H115)*100) &lt;&gt; 0), (K115/$H115)*100, ""))</f>
        <v/>
      </c>
      <c r="M115" s="34"/>
      <c r="N115" s="37" t="str">
        <f>IF((ISERROR((M115/$H115)*100)), "", IF(AND(NOT(ISERROR((M115/$H115)*100)),((M115/$H115)*100) &lt;&gt; 0), (M115/$H115)*100, ""))</f>
        <v/>
      </c>
      <c r="O115" s="34"/>
      <c r="P115" s="37" t="str">
        <f>IF((ISERROR((O115/$H115)*100)), "", IF(AND(NOT(ISERROR((O115/$H115)*100)),((O115/$H115)*100) &lt;&gt; 0), (O115/$H115)*100, ""))</f>
        <v/>
      </c>
      <c r="Q115" s="34"/>
      <c r="R115" s="37" t="str">
        <f>IF((ISERROR((Q115/$H115)*100)), "", IF(AND(NOT(ISERROR((Q115/$H115)*100)),((Q115/$H115)*100) &lt;&gt; 0), (Q115/$H115)*100, ""))</f>
        <v/>
      </c>
      <c r="S115" s="34"/>
      <c r="T115" s="37" t="str">
        <f>IF((ISERROR((S115/$H115)*100)), "", IF(AND(NOT(ISERROR((S115/$H115)*100)),((S115/$H115)*100) &lt;&gt; 0), (S115/$H115)*100, ""))</f>
        <v/>
      </c>
      <c r="U115" s="34"/>
      <c r="V115" s="37" t="str">
        <f>IF((ISERROR((U115/$H115)*100)), "", IF(AND(NOT(ISERROR((U115/$H115)*100)),((U115/$H115)*100) &lt;&gt; 0), (U115/$H115)*100, ""))</f>
        <v/>
      </c>
      <c r="W115" s="34"/>
      <c r="X115" s="37" t="str">
        <f>IF((ISERROR((W115/$H115)*100)), "", IF(AND(NOT(ISERROR((W115/$H115)*100)),((W115/$H115)*100) &lt;&gt; 0), (W115/$H115)*100, ""))</f>
        <v/>
      </c>
      <c r="Y115" s="34"/>
      <c r="Z115" s="37" t="str">
        <f>IF((ISERROR((Y115/$H115)*100)), "", IF(AND(NOT(ISERROR((Y115/$H115)*100)),((Y115/$H115)*100) &lt;&gt; 0), (Y115/$H115)*100, ""))</f>
        <v/>
      </c>
      <c r="AA115" s="34"/>
      <c r="AB115" s="37" t="str">
        <f>IF((ISERROR((AA115/$H115)*100)), "", IF(AND(NOT(ISERROR((AA115/$H115)*100)),((AA115/$H115)*100) &lt;&gt; 0), (AA115/$H115)*100, ""))</f>
        <v/>
      </c>
      <c r="AC115" s="34"/>
      <c r="AD115" s="37" t="str">
        <f>IF((ISERROR((AC115/$H115)*100)), "", IF(AND(NOT(ISERROR((AC115/$H115)*100)),((AC115/$H115)*100) &lt;&gt; 0), (AC115/$H115)*100, ""))</f>
        <v/>
      </c>
      <c r="AE115" s="34"/>
      <c r="AF115" s="37" t="str">
        <f>IF((ISERROR((AE115/$H115)*100)), "", IF(AND(NOT(ISERROR((AE115/$H115)*100)),((AE115/$H115)*100) &lt;&gt; 0), (AE115/$H115)*100, ""))</f>
        <v/>
      </c>
      <c r="AG115" s="34"/>
      <c r="AH115" s="37" t="str">
        <f>IF((ISERROR((AG115/$H115)*100)), "", IF(AND(NOT(ISERROR((AG115/$H115)*100)),((AG115/$H115)*100) &lt;&gt; 0), (AG115/$H115)*100, ""))</f>
        <v/>
      </c>
      <c r="AI115" s="34"/>
      <c r="AJ115" s="37" t="str">
        <f>IF((ISERROR((AI115/$H115)*100)), "", IF(AND(NOT(ISERROR((AI115/$H115)*100)),((AI115/$H115)*100) &lt;&gt; 0), (AI115/$H115)*100, ""))</f>
        <v/>
      </c>
      <c r="AK115" s="34"/>
      <c r="AL115" s="37" t="str">
        <f>IF((ISERROR((AK115/$H115)*100)), "", IF(AND(NOT(ISERROR((AK115/$H115)*100)),((AK115/$H115)*100) &lt;&gt; 0), (AK115/$H115)*100, ""))</f>
        <v/>
      </c>
      <c r="AM115" s="34"/>
      <c r="AN115" s="37" t="str">
        <f>IF((ISERROR((AM115/$H115)*100)), "", IF(AND(NOT(ISERROR((AM115/$H115)*100)),((AM115/$H115)*100) &lt;&gt; 0), (AM115/$H115)*100, ""))</f>
        <v/>
      </c>
      <c r="AO115" s="34"/>
      <c r="AP115" s="37" t="str">
        <f>IF((ISERROR((AO115/$H115)*100)), "", IF(AND(NOT(ISERROR((AO115/$H115)*100)),((AO115/$H115)*100) &lt;&gt; 0), (AO115/$H115)*100, ""))</f>
        <v/>
      </c>
      <c r="AQ115" s="34"/>
      <c r="AR115" s="37" t="str">
        <f>IF((ISERROR((AQ115/$H115)*100)), "", IF(AND(NOT(ISERROR((AQ115/$H115)*100)),((AQ115/$H115)*100) &lt;&gt; 0), (AQ115/$H115)*100, ""))</f>
        <v/>
      </c>
      <c r="AS115" s="34"/>
      <c r="AT115" s="37" t="str">
        <f>IF((ISERROR((AS115/$H115)*100)), "", IF(AND(NOT(ISERROR((AS115/$H115)*100)),((AS115/$H115)*100) &lt;&gt; 0), (AS115/$H115)*100, ""))</f>
        <v/>
      </c>
      <c r="AU115" s="34"/>
      <c r="AV115" s="37" t="str">
        <f>IF((ISERROR((AU115/$H115)*100)), "", IF(AND(NOT(ISERROR((AU115/$H115)*100)),((AU115/$H115)*100) &lt;&gt; 0), (AU115/$H115)*100, ""))</f>
        <v/>
      </c>
      <c r="AW115" s="35"/>
      <c r="AX115" s="37" t="str">
        <f>IF((ISERROR((AW115/$H115)*100)), "", IF(AND(NOT(ISERROR((AW115/$H115)*100)),((AW115/$H115)*100) &lt;&gt; 0), (AW115/$H115)*100, ""))</f>
        <v/>
      </c>
      <c r="AY115" s="35"/>
      <c r="AZ115" s="37" t="str">
        <f>IF((ISERROR((AY115/$H115)*100)), "", IF(AND(NOT(ISERROR((AY115/$H115)*100)),((AY115/$H115)*100) &lt;&gt; 0), (AY115/$H115)*100, ""))</f>
        <v/>
      </c>
      <c r="BA115" s="23" t="s">
        <v>230</v>
      </c>
    </row>
    <row r="117" spans="1:53" ht="17" thickBot="1" x14ac:dyDescent="0.25"/>
    <row r="118" spans="1:53" s="22" customFormat="1" x14ac:dyDescent="0.2">
      <c r="C118" s="41"/>
      <c r="F118" s="24"/>
      <c r="G118" s="43" t="s">
        <v>243</v>
      </c>
      <c r="H118" s="44">
        <f>SUM(H11:H115)</f>
        <v>3466</v>
      </c>
      <c r="I118" s="45" t="s">
        <v>452</v>
      </c>
      <c r="J118" s="46" t="s">
        <v>458</v>
      </c>
      <c r="K118" s="51">
        <f>IF((SUM(K11:K115)&lt;&gt;0), SUMIF($H11:$H115, "&gt;0", K11:K115), "")</f>
        <v>57</v>
      </c>
      <c r="L118" s="52">
        <f>IF(ISERROR((K118/$H118)*100), "", IF(((K118/$H118)*100) &lt;&gt; 0, (K118/$H118)*100, ""))</f>
        <v>1.6445470282746681</v>
      </c>
      <c r="M118" s="51">
        <f>IF((SUM(M11:M115)&lt;&gt;0), SUMIF($H11:$H115, "&gt;0", M11:M115), "")</f>
        <v>6</v>
      </c>
      <c r="N118" s="52">
        <f>IF(ISERROR((M118/$H118)*100), "", IF(((M118/$H118)*100) &lt;&gt; 0, (M118/$H118)*100, ""))</f>
        <v>0.17311021350259664</v>
      </c>
      <c r="O118" s="51">
        <f>IF((SUM(O11:O115)&lt;&gt;0), SUMIF($H11:$H115, "&gt;0", O11:O115), "")</f>
        <v>11</v>
      </c>
      <c r="P118" s="52">
        <f>IF(ISERROR((O118/$H118)*100), "", IF(((O118/$H118)*100) &lt;&gt; 0, (O118/$H118)*100, ""))</f>
        <v>0.31736872475476052</v>
      </c>
      <c r="Q118" s="51">
        <f>IF((SUM(Q11:Q115)&lt;&gt;0), SUMIF($H11:$H115, "&gt;0", Q11:Q115), "")</f>
        <v>34</v>
      </c>
      <c r="R118" s="52">
        <f>IF(ISERROR((Q118/$H118)*100), "", IF(((Q118/$H118)*100) &lt;&gt; 0, (Q118/$H118)*100, ""))</f>
        <v>0.98095787651471433</v>
      </c>
      <c r="S118" s="51" t="str">
        <f>IF((SUM(S11:S115)&lt;&gt;0), SUMIF($H11:$H115, "&gt;0", S11:S115), "")</f>
        <v/>
      </c>
      <c r="T118" s="52" t="str">
        <f>IF(ISERROR((S118/$H118)*100), "", IF(((S118/$H118)*100) &lt;&gt; 0, (S118/$H118)*100, ""))</f>
        <v/>
      </c>
      <c r="U118" s="51">
        <f>IF((SUM(U11:U115)&lt;&gt;0), SUMIF($H11:$H115, "&gt;0", U11:U115), "")</f>
        <v>62</v>
      </c>
      <c r="V118" s="52">
        <f>IF(ISERROR((U118/$H118)*100), "", IF(((U118/$H118)*100) &lt;&gt; 0, (U118/$H118)*100, ""))</f>
        <v>1.7888055395268321</v>
      </c>
      <c r="W118" s="51">
        <f>IF((SUM(W11:W115)&lt;&gt;0), SUMIF($H11:$H115, "&gt;0", W11:W115), "")</f>
        <v>28</v>
      </c>
      <c r="X118" s="52">
        <f>IF(ISERROR((W118/$H118)*100), "", IF(((W118/$H118)*100) &lt;&gt; 0, (W118/$H118)*100, ""))</f>
        <v>0.80784766301211763</v>
      </c>
      <c r="Y118" s="51">
        <f>IF((SUM(Y11:Y115)&lt;&gt;0), SUMIF($H11:$H115, "&gt;0", Y11:Y115), "")</f>
        <v>35</v>
      </c>
      <c r="Z118" s="52">
        <f>IF(ISERROR((Y118/$H118)*100), "", IF(((Y118/$H118)*100) &lt;&gt; 0, (Y118/$H118)*100, ""))</f>
        <v>1.0098095787651471</v>
      </c>
      <c r="AA118" s="51">
        <f>IF((SUM(AA11:AA115)&lt;&gt;0), SUMIF($H11:$H115, "&gt;0", AA11:AA115), "")</f>
        <v>3</v>
      </c>
      <c r="AB118" s="52">
        <f>IF(ISERROR((AA118/$H118)*100), "", IF(((AA118/$H118)*100) &lt;&gt; 0, (AA118/$H118)*100, ""))</f>
        <v>8.6555106751298322E-2</v>
      </c>
      <c r="AC118" s="51">
        <f>IF((SUM(AC11:AC115)&lt;&gt;0), SUMIF($H11:$H115, "&gt;0", AC11:AC115), "")</f>
        <v>3</v>
      </c>
      <c r="AD118" s="52">
        <f>IF(ISERROR((AC118/$H118)*100), "", IF(((AC118/$H118)*100) &lt;&gt; 0, (AC118/$H118)*100, ""))</f>
        <v>8.6555106751298322E-2</v>
      </c>
      <c r="AE118" s="51">
        <f>IF((SUM(AE11:AE115)&lt;&gt;0), SUMIF($H11:$H115, "&gt;0", AE11:AE115), "")</f>
        <v>6</v>
      </c>
      <c r="AF118" s="52">
        <f>IF(ISERROR((AE118/$H118)*100), "", IF(((AE118/$H118)*100) &lt;&gt; 0, (AE118/$H118)*100, ""))</f>
        <v>0.17311021350259664</v>
      </c>
      <c r="AG118" s="51">
        <f>IF((SUM(AG11:AG115)&lt;&gt;0), SUMIF($H11:$H115, "&gt;0", AG11:AG115), "")</f>
        <v>1</v>
      </c>
      <c r="AH118" s="52">
        <f>IF(ISERROR((AG118/$H118)*100), "", IF(((AG118/$H118)*100) &lt;&gt; 0, (AG118/$H118)*100, ""))</f>
        <v>2.8851702250432775E-2</v>
      </c>
      <c r="AI118" s="51">
        <f>IF((SUM(AI11:AI115)&lt;&gt;0), SUMIF($H11:$H115, "&gt;0", AI11:AI115), "")</f>
        <v>1</v>
      </c>
      <c r="AJ118" s="52">
        <f>IF(ISERROR((AI118/$H118)*100), "", IF(((AI118/$H118)*100) &lt;&gt; 0, (AI118/$H118)*100, ""))</f>
        <v>2.8851702250432775E-2</v>
      </c>
      <c r="AK118" s="51">
        <f>IF((SUM(AK11:AK115)&lt;&gt;0), SUMIF($H11:$H115, "&gt;0", AK11:AK115), "")</f>
        <v>8</v>
      </c>
      <c r="AL118" s="52">
        <f>IF(ISERROR((AK118/$H118)*100), "", IF(((AK118/$H118)*100) &lt;&gt; 0, (AK118/$H118)*100, ""))</f>
        <v>0.2308136180034622</v>
      </c>
      <c r="AM118" s="51">
        <f>IF((SUM(AM11:AM115)&lt;&gt;0), SUMIF($H11:$H115, "&gt;0", AM11:AM115), "")</f>
        <v>2</v>
      </c>
      <c r="AN118" s="52">
        <f>IF(ISERROR((AM118/$H118)*100), "", IF(((AM118/$H118)*100) &lt;&gt; 0, (AM118/$H118)*100, ""))</f>
        <v>5.770340450086555E-2</v>
      </c>
      <c r="AO118" s="51">
        <f>IF((SUM(AO11:AO115)&lt;&gt;0), SUMIF($H11:$H115, "&gt;0", AO11:AO115), "")</f>
        <v>6</v>
      </c>
      <c r="AP118" s="52">
        <f>IF(ISERROR((AO118/$H118)*100), "", IF(((AO118/$H118)*100) &lt;&gt; 0, (AO118/$H118)*100, ""))</f>
        <v>0.17311021350259664</v>
      </c>
      <c r="AQ118" s="51">
        <f>IF((SUM(AQ11:AQ115)&lt;&gt;0), SUMIF($H11:$H115, "&gt;0", AQ11:AQ115), "")</f>
        <v>2</v>
      </c>
      <c r="AR118" s="52">
        <f>IF(ISERROR((AQ118/$H118)*100), "", IF(((AQ118/$H118)*100) &lt;&gt; 0, (AQ118/$H118)*100, ""))</f>
        <v>5.770340450086555E-2</v>
      </c>
      <c r="AS118" s="51">
        <f>IF((SUM(AS11:AS115)&lt;&gt;0), SUMIF($H11:$H115, "&gt;0", AS11:AS115), "")</f>
        <v>7</v>
      </c>
      <c r="AT118" s="52">
        <f>IF(ISERROR((AS118/$H118)*100), "", IF(((AS118/$H118)*100) &lt;&gt; 0, (AS118/$H118)*100, ""))</f>
        <v>0.20196191575302941</v>
      </c>
      <c r="AU118" s="51">
        <f>IF((SUM(AU11:AU115)&lt;&gt;0), SUMIF($H11:$H115, "&gt;0", AU11:AU115), "")</f>
        <v>1</v>
      </c>
      <c r="AV118" s="52">
        <f>IF(ISERROR((AU118/$H118)*100), "", IF(((AU118/$H118)*100) &lt;&gt; 0, (AU118/$H118)*100, ""))</f>
        <v>2.8851702250432775E-2</v>
      </c>
      <c r="AW118" s="51">
        <f>IF((SUM(AW11:AW115)&lt;&gt;0), SUMIF($H11:$H115, "&gt;0", AW11:AW115), "")</f>
        <v>109</v>
      </c>
      <c r="AX118" s="52">
        <f>IF(ISERROR((AW118/$H118)*100), "", IF(((AW118/$H118)*100) &lt;&gt; 0, (AW118/$H118)*100, ""))</f>
        <v>3.1448355452971728</v>
      </c>
      <c r="AY118" s="51">
        <f>IF((SUM(AY11:AY115)&lt;&gt;0), SUMIF($H11:$H115, "&gt;0", AY11:AY115), "")</f>
        <v>90</v>
      </c>
      <c r="AZ118" s="52">
        <f>IF(ISERROR((AY118/$H118)*100), "", IF(((AY118/$H118)*100) &lt;&gt; 0, (AY118/$H118)*100, ""))</f>
        <v>2.5966532025389495</v>
      </c>
    </row>
    <row r="119" spans="1:53" s="22" customFormat="1" ht="18" customHeight="1" x14ac:dyDescent="0.2">
      <c r="C119" s="41"/>
      <c r="F119" s="24"/>
      <c r="G119" s="43" t="s">
        <v>244</v>
      </c>
      <c r="H119" s="42" t="s">
        <v>242</v>
      </c>
      <c r="I119" s="47" t="s">
        <v>459</v>
      </c>
      <c r="J119" s="48" t="s">
        <v>460</v>
      </c>
      <c r="K119" s="53">
        <f>IF(SUMIF(K11:K115, "&gt; 0", $H11:$H115) &gt; 0, SUMIF(K11:K115, "&gt; 0", $H11:$H115), "")</f>
        <v>714</v>
      </c>
      <c r="L119" s="54">
        <f>IF(AND(NOT(ISERROR((K118/K119)*100)), K118/K119 &lt;&gt; 0), (K118/K119)*100, "")</f>
        <v>7.9831932773109235</v>
      </c>
      <c r="M119" s="53">
        <f>IF(SUMIF(M11:M115, "&gt; 0", $H11:$H115) &gt; 0, SUMIF(M11:M115, "&gt; 0", $H11:$H115), "")</f>
        <v>97</v>
      </c>
      <c r="N119" s="54">
        <f>IF(AND(NOT(ISERROR((M118/M119)*100)), M118/M119 &lt;&gt; 0), (M118/M119)*100, "")</f>
        <v>6.1855670103092786</v>
      </c>
      <c r="O119" s="53">
        <f>IF(SUMIF(O11:O115, "&gt; 0", $H11:$H115) &gt; 0, SUMIF(O11:O115, "&gt; 0", $H11:$H115), "")</f>
        <v>307</v>
      </c>
      <c r="P119" s="54">
        <f>IF(AND(NOT(ISERROR((O118/O119)*100)), O118/O119 &lt;&gt; 0), (O118/O119)*100, "")</f>
        <v>3.5830618892508146</v>
      </c>
      <c r="Q119" s="53">
        <f>IF(SUMIF(Q11:Q115, "&gt; 0", $H11:$H115) &gt; 0, SUMIF(Q11:Q115, "&gt; 0", $H11:$H115), "")</f>
        <v>625</v>
      </c>
      <c r="R119" s="54">
        <f>IF(AND(NOT(ISERROR((Q118/Q119)*100)), Q118/Q119 &lt;&gt; 0), (Q118/Q119)*100, "")</f>
        <v>5.4399999999999995</v>
      </c>
      <c r="S119" s="53" t="str">
        <f>IF(SUMIF(S11:S115, "&gt; 0", $H11:$H115) &gt; 0, SUMIF(S11:S115, "&gt; 0", $H11:$H115), "")</f>
        <v/>
      </c>
      <c r="T119" s="54"/>
      <c r="U119" s="53">
        <f>IF(SUMIF(U11:U115, "&gt; 0", $H11:$H115) &gt; 0, SUMIF(U11:U115, "&gt; 0", $H11:$H115), "")</f>
        <v>488</v>
      </c>
      <c r="V119" s="54">
        <f>IF(AND(NOT(ISERROR((U118/U119)*100)), U118/U119 &lt;&gt; 0), (U118/U119)*100, "")</f>
        <v>12.704918032786885</v>
      </c>
      <c r="W119" s="53">
        <f>IF(SUMIF(W11:W115, "&gt; 0", $H11:$H115) &gt; 0, SUMIF(W11:W115, "&gt; 0", $H11:$H115), "")</f>
        <v>156</v>
      </c>
      <c r="X119" s="54">
        <f>IF(AND(NOT(ISERROR((W118/W119)*100)), W118/W119 &lt;&gt; 0), (W118/W119)*100, "")</f>
        <v>17.948717948717949</v>
      </c>
      <c r="Y119" s="53">
        <f>IF(SUMIF(Y11:Y115, "&gt; 0", $H11:$H115) &gt; 0, SUMIF(Y11:Y115, "&gt; 0", $H11:$H115), "")</f>
        <v>250</v>
      </c>
      <c r="Z119" s="54">
        <f>IF(AND(NOT(ISERROR((Y118/Y119)*100)), Y118/Y119 &lt;&gt; 0), (Y118/Y119)*100, "")</f>
        <v>14.000000000000002</v>
      </c>
      <c r="AA119" s="53">
        <f>IF(SUMIF(AA11:AA115, "&gt; 0", $H11:$H115) &gt; 0, SUMIF(AA11:AA115, "&gt; 0", $H11:$H115), "")</f>
        <v>61</v>
      </c>
      <c r="AB119" s="54">
        <f>IF(AND(NOT(ISERROR((AA118/AA119)*100)), AA118/AA119 &lt;&gt; 0), (AA118/AA119)*100, "")</f>
        <v>4.918032786885246</v>
      </c>
      <c r="AC119" s="53">
        <f>IF(SUMIF(AC11:AC115, "&gt; 0", $H11:$H115) &gt; 0, SUMIF(AC11:AC115, "&gt; 0", $H11:$H115), "")</f>
        <v>191</v>
      </c>
      <c r="AD119" s="54">
        <f>IF(AND(NOT(ISERROR((AC118/AC119)*100)), AC118/AC119 &lt;&gt; 0), (AC118/AC119)*100, "")</f>
        <v>1.5706806282722512</v>
      </c>
      <c r="AE119" s="53">
        <f>IF(SUMIF(AE11:AE115, "&gt; 0", $H11:$H115) &gt; 0, SUMIF(AE11:AE115, "&gt; 0", $H11:$H115), "")</f>
        <v>17</v>
      </c>
      <c r="AF119" s="54">
        <f>IF(AND(NOT(ISERROR((AE118/AE119)*100)), AE118/AE119 &lt;&gt; 0), (AE118/AE119)*100, "")</f>
        <v>35.294117647058826</v>
      </c>
      <c r="AG119" s="53">
        <f>IF(SUMIF(AG11:AG115, "&gt; 0", $H11:$H115) &gt; 0, SUMIF(AG11:AG115, "&gt; 0", $H11:$H115), "")</f>
        <v>8</v>
      </c>
      <c r="AH119" s="54">
        <f>IF(AND(NOT(ISERROR((AG118/AG119)*100)), AG118/AG119 &lt;&gt; 0), (AG118/AG119)*100, "")</f>
        <v>12.5</v>
      </c>
      <c r="AI119" s="53">
        <f>IF(SUMIF(AI11:AI115, "&gt; 0", $H11:$H115) &gt; 0, SUMIF(AI11:AI115, "&gt; 0", $H11:$H115), "")</f>
        <v>97</v>
      </c>
      <c r="AJ119" s="54">
        <f>IF(AND(NOT(ISERROR((AI118/AI119)*100)), AI118/AI119 &lt;&gt; 0), (AI118/AI119)*100, "")</f>
        <v>1.0309278350515463</v>
      </c>
      <c r="AK119" s="53">
        <f>IF(SUMIF(AK11:AK115, "&gt; 0", $H11:$H115) &gt; 0, SUMIF(AK11:AK115, "&gt; 0", $H11:$H115), "")</f>
        <v>262</v>
      </c>
      <c r="AL119" s="54">
        <f>IF(AND(NOT(ISERROR((AK118/AK119)*100)), AK118/AK119 &lt;&gt; 0), (AK118/AK119)*100, "")</f>
        <v>3.0534351145038165</v>
      </c>
      <c r="AM119" s="53">
        <f>IF(SUMIF(AM11:AM115, "&gt; 0", $H11:$H115) &gt; 0, SUMIF(AM11:AM115, "&gt; 0", $H11:$H115), "")</f>
        <v>27</v>
      </c>
      <c r="AN119" s="54">
        <f>IF(AND(NOT(ISERROR((AM118/AM119)*100)), AM118/AM119 &lt;&gt; 0), (AM118/AM119)*100, "")</f>
        <v>7.4074074074074066</v>
      </c>
      <c r="AO119" s="53">
        <f>IF(SUMIF(AO11:AO115, "&gt; 0", $H11:$H115) &gt; 0, SUMIF(AO11:AO115, "&gt; 0", $H11:$H115), "")</f>
        <v>37</v>
      </c>
      <c r="AP119" s="54">
        <f>IF(AND(NOT(ISERROR((AO118/AO119)*100)), AO118/AO119 &lt;&gt; 0), (AO118/AO119)*100, "")</f>
        <v>16.216216216216218</v>
      </c>
      <c r="AQ119" s="53">
        <f>IF(SUMIF(AQ11:AQ115, "&gt; 0", $H11:$H115) &gt; 0, SUMIF(AQ11:AQ115, "&gt; 0", $H11:$H115), "")</f>
        <v>8</v>
      </c>
      <c r="AR119" s="54">
        <f>IF(AND(NOT(ISERROR((AQ118/AQ119)*100)), AQ118/AQ119 &lt;&gt; 0), (AQ118/AQ119)*100, "")</f>
        <v>25</v>
      </c>
      <c r="AS119" s="53">
        <f>IF(SUMIF(AS11:AS115, "&gt; 0", $H11:$H115) &gt; 0, SUMIF(AS11:AS115, "&gt; 0", $H11:$H115), "")</f>
        <v>19</v>
      </c>
      <c r="AT119" s="54">
        <f>IF(AND(NOT(ISERROR((AS118/AS119)*100)), AS118/AS119 &lt;&gt; 0), (AS118/AS119)*100, "")</f>
        <v>36.84210526315789</v>
      </c>
      <c r="AU119" s="53">
        <f>IF(SUMIF(AU11:AU115, "&gt; 0", $H11:$H115) &gt; 0, SUMIF(AU11:AU115, "&gt; 0", $H11:$H115), "")</f>
        <v>8</v>
      </c>
      <c r="AV119" s="54">
        <f>IF(AND(NOT(ISERROR((AU118/AU119)*100)), AU118/AU119 &lt;&gt; 0), (AU118/AU119)*100, "")</f>
        <v>12.5</v>
      </c>
      <c r="AW119" s="53">
        <f>IF(SUMIF(AW11:AW115, "&gt; 0", $H11:$H115) &gt; 0, SUMIF(AW11:AW115, "&gt; 0", $H11:$H115), "")</f>
        <v>644</v>
      </c>
      <c r="AX119" s="54">
        <f>IF(AND(NOT(ISERROR((AW118/AW119)*100)), AW118/AW119 &lt;&gt; 0), (AW118/AW119)*100, "")</f>
        <v>16.925465838509314</v>
      </c>
      <c r="AY119" s="53">
        <f>IF(SUMIF(AY11:AY115, "&gt; 0", $H11:$H115) &gt; 0, SUMIF(AY11:AY115, "&gt; 0", $H11:$H115), "")</f>
        <v>941</v>
      </c>
      <c r="AZ119" s="54">
        <f>IF(AND(NOT(ISERROR((AY118/AY119)*100)), AY118/AY119 &lt;&gt; 0), (AY118/AY119)*100, "")</f>
        <v>9.5642933049946866</v>
      </c>
    </row>
    <row r="120" spans="1:53" ht="18" customHeight="1" thickBot="1" x14ac:dyDescent="0.25">
      <c r="H120" s="372" t="s">
        <v>453</v>
      </c>
      <c r="I120" s="375"/>
      <c r="J120" s="376"/>
      <c r="K120" s="355" t="s">
        <v>240</v>
      </c>
      <c r="L120" s="354" t="s">
        <v>241</v>
      </c>
      <c r="M120" s="351" t="s">
        <v>240</v>
      </c>
      <c r="N120" s="353" t="s">
        <v>241</v>
      </c>
      <c r="O120" s="351" t="s">
        <v>240</v>
      </c>
      <c r="P120" s="353" t="s">
        <v>241</v>
      </c>
      <c r="Q120" s="351" t="s">
        <v>240</v>
      </c>
      <c r="R120" s="353" t="s">
        <v>241</v>
      </c>
      <c r="S120" s="351" t="s">
        <v>240</v>
      </c>
      <c r="T120" s="353" t="s">
        <v>241</v>
      </c>
      <c r="U120" s="351" t="s">
        <v>240</v>
      </c>
      <c r="V120" s="353" t="s">
        <v>241</v>
      </c>
      <c r="W120" s="351" t="s">
        <v>240</v>
      </c>
      <c r="X120" s="353" t="s">
        <v>241</v>
      </c>
      <c r="Y120" s="351" t="s">
        <v>240</v>
      </c>
      <c r="Z120" s="353" t="s">
        <v>241</v>
      </c>
      <c r="AA120" s="351" t="s">
        <v>240</v>
      </c>
      <c r="AB120" s="353" t="s">
        <v>241</v>
      </c>
      <c r="AC120" s="351" t="s">
        <v>240</v>
      </c>
      <c r="AD120" s="353" t="s">
        <v>241</v>
      </c>
      <c r="AE120" s="351" t="s">
        <v>240</v>
      </c>
      <c r="AF120" s="353" t="s">
        <v>241</v>
      </c>
      <c r="AG120" s="351" t="s">
        <v>240</v>
      </c>
      <c r="AH120" s="353" t="s">
        <v>241</v>
      </c>
      <c r="AI120" s="351" t="s">
        <v>240</v>
      </c>
      <c r="AJ120" s="353" t="s">
        <v>241</v>
      </c>
      <c r="AK120" s="351" t="s">
        <v>240</v>
      </c>
      <c r="AL120" s="353" t="s">
        <v>241</v>
      </c>
      <c r="AM120" s="351" t="s">
        <v>240</v>
      </c>
      <c r="AN120" s="353" t="s">
        <v>241</v>
      </c>
      <c r="AO120" s="351" t="s">
        <v>240</v>
      </c>
      <c r="AP120" s="353" t="s">
        <v>241</v>
      </c>
      <c r="AQ120" s="351" t="s">
        <v>240</v>
      </c>
      <c r="AR120" s="353" t="s">
        <v>241</v>
      </c>
      <c r="AS120" s="351" t="s">
        <v>240</v>
      </c>
      <c r="AT120" s="353" t="s">
        <v>241</v>
      </c>
      <c r="AU120" s="351" t="s">
        <v>240</v>
      </c>
      <c r="AV120" s="353" t="s">
        <v>241</v>
      </c>
      <c r="AW120" s="351" t="s">
        <v>240</v>
      </c>
      <c r="AX120" s="353" t="s">
        <v>241</v>
      </c>
      <c r="AY120" s="351" t="s">
        <v>240</v>
      </c>
      <c r="AZ120" s="353" t="s">
        <v>241</v>
      </c>
    </row>
    <row r="121" spans="1:53" ht="18" customHeight="1" x14ac:dyDescent="0.2">
      <c r="E121" s="55" t="s">
        <v>246</v>
      </c>
      <c r="F121" s="58">
        <v>1</v>
      </c>
      <c r="H121" s="373"/>
      <c r="I121" s="377"/>
      <c r="J121" s="378"/>
      <c r="K121" s="351"/>
      <c r="L121" s="354"/>
      <c r="M121" s="351"/>
      <c r="N121" s="354"/>
      <c r="O121" s="351"/>
      <c r="P121" s="354"/>
      <c r="Q121" s="351"/>
      <c r="R121" s="354"/>
      <c r="S121" s="351"/>
      <c r="T121" s="354"/>
      <c r="U121" s="351"/>
      <c r="V121" s="354"/>
      <c r="W121" s="351"/>
      <c r="X121" s="354"/>
      <c r="Y121" s="351"/>
      <c r="Z121" s="354"/>
      <c r="AA121" s="351"/>
      <c r="AB121" s="354"/>
      <c r="AC121" s="351"/>
      <c r="AD121" s="354"/>
      <c r="AE121" s="351"/>
      <c r="AF121" s="354"/>
      <c r="AG121" s="351"/>
      <c r="AH121" s="354"/>
      <c r="AI121" s="351"/>
      <c r="AJ121" s="354"/>
      <c r="AK121" s="351"/>
      <c r="AL121" s="354"/>
      <c r="AM121" s="351"/>
      <c r="AN121" s="354"/>
      <c r="AO121" s="351"/>
      <c r="AP121" s="354"/>
      <c r="AQ121" s="351"/>
      <c r="AR121" s="354"/>
      <c r="AS121" s="351"/>
      <c r="AT121" s="354"/>
      <c r="AU121" s="351"/>
      <c r="AV121" s="354"/>
      <c r="AW121" s="351"/>
      <c r="AX121" s="354"/>
      <c r="AY121" s="351"/>
      <c r="AZ121" s="354"/>
    </row>
    <row r="122" spans="1:53" ht="18" customHeight="1" x14ac:dyDescent="0.2">
      <c r="E122" s="56"/>
      <c r="F122" s="57"/>
      <c r="H122" s="373"/>
      <c r="I122" s="377"/>
      <c r="J122" s="378"/>
      <c r="K122" s="351"/>
      <c r="L122" s="354"/>
      <c r="M122" s="351"/>
      <c r="N122" s="354"/>
      <c r="O122" s="351"/>
      <c r="P122" s="354"/>
      <c r="Q122" s="351"/>
      <c r="R122" s="354"/>
      <c r="S122" s="351"/>
      <c r="T122" s="354"/>
      <c r="U122" s="351"/>
      <c r="V122" s="354"/>
      <c r="W122" s="351"/>
      <c r="X122" s="354"/>
      <c r="Y122" s="351"/>
      <c r="Z122" s="354"/>
      <c r="AA122" s="351"/>
      <c r="AB122" s="354"/>
      <c r="AC122" s="351"/>
      <c r="AD122" s="354"/>
      <c r="AE122" s="351"/>
      <c r="AF122" s="354"/>
      <c r="AG122" s="351"/>
      <c r="AH122" s="354"/>
      <c r="AI122" s="351"/>
      <c r="AJ122" s="354"/>
      <c r="AK122" s="351"/>
      <c r="AL122" s="354"/>
      <c r="AM122" s="351"/>
      <c r="AN122" s="354"/>
      <c r="AO122" s="351"/>
      <c r="AP122" s="354"/>
      <c r="AQ122" s="351"/>
      <c r="AR122" s="354"/>
      <c r="AS122" s="351"/>
      <c r="AT122" s="354"/>
      <c r="AU122" s="351"/>
      <c r="AV122" s="354"/>
      <c r="AW122" s="351"/>
      <c r="AX122" s="354"/>
      <c r="AY122" s="351"/>
      <c r="AZ122" s="354"/>
    </row>
    <row r="123" spans="1:53" ht="18" customHeight="1" x14ac:dyDescent="0.2">
      <c r="E123" s="386" t="s">
        <v>247</v>
      </c>
      <c r="F123" s="387"/>
      <c r="H123" s="373"/>
      <c r="I123" s="377"/>
      <c r="J123" s="378"/>
      <c r="K123" s="351"/>
      <c r="L123" s="354"/>
      <c r="M123" s="351"/>
      <c r="N123" s="354"/>
      <c r="O123" s="351"/>
      <c r="P123" s="354"/>
      <c r="Q123" s="351"/>
      <c r="R123" s="354"/>
      <c r="S123" s="351"/>
      <c r="T123" s="354"/>
      <c r="U123" s="351"/>
      <c r="V123" s="354"/>
      <c r="W123" s="351"/>
      <c r="X123" s="354"/>
      <c r="Y123" s="351"/>
      <c r="Z123" s="354"/>
      <c r="AA123" s="351"/>
      <c r="AB123" s="354"/>
      <c r="AC123" s="351"/>
      <c r="AD123" s="354"/>
      <c r="AE123" s="351"/>
      <c r="AF123" s="354"/>
      <c r="AG123" s="351"/>
      <c r="AH123" s="354"/>
      <c r="AI123" s="351"/>
      <c r="AJ123" s="354"/>
      <c r="AK123" s="351"/>
      <c r="AL123" s="354"/>
      <c r="AM123" s="351"/>
      <c r="AN123" s="354"/>
      <c r="AO123" s="351"/>
      <c r="AP123" s="354"/>
      <c r="AQ123" s="351"/>
      <c r="AR123" s="354"/>
      <c r="AS123" s="351"/>
      <c r="AT123" s="354"/>
      <c r="AU123" s="351"/>
      <c r="AV123" s="354"/>
      <c r="AW123" s="351"/>
      <c r="AX123" s="354"/>
      <c r="AY123" s="351"/>
      <c r="AZ123" s="354"/>
    </row>
    <row r="124" spans="1:53" ht="18" customHeight="1" x14ac:dyDescent="0.2">
      <c r="E124" s="386"/>
      <c r="F124" s="387"/>
      <c r="H124" s="373"/>
      <c r="I124" s="377"/>
      <c r="J124" s="378"/>
      <c r="K124" s="352"/>
      <c r="L124" s="354"/>
      <c r="M124" s="352"/>
      <c r="N124" s="354"/>
      <c r="O124" s="352"/>
      <c r="P124" s="354"/>
      <c r="Q124" s="352"/>
      <c r="R124" s="354"/>
      <c r="S124" s="352"/>
      <c r="T124" s="354"/>
      <c r="U124" s="352"/>
      <c r="V124" s="354"/>
      <c r="W124" s="352"/>
      <c r="X124" s="354"/>
      <c r="Y124" s="352"/>
      <c r="Z124" s="354"/>
      <c r="AA124" s="352"/>
      <c r="AB124" s="354"/>
      <c r="AC124" s="352"/>
      <c r="AD124" s="354"/>
      <c r="AE124" s="352"/>
      <c r="AF124" s="354"/>
      <c r="AG124" s="352"/>
      <c r="AH124" s="354"/>
      <c r="AI124" s="352"/>
      <c r="AJ124" s="354"/>
      <c r="AK124" s="352"/>
      <c r="AL124" s="354"/>
      <c r="AM124" s="352"/>
      <c r="AN124" s="354"/>
      <c r="AO124" s="352"/>
      <c r="AP124" s="354"/>
      <c r="AQ124" s="352"/>
      <c r="AR124" s="354"/>
      <c r="AS124" s="352"/>
      <c r="AT124" s="354"/>
      <c r="AU124" s="352"/>
      <c r="AV124" s="354"/>
      <c r="AW124" s="352"/>
      <c r="AX124" s="354"/>
      <c r="AY124" s="352"/>
      <c r="AZ124" s="354"/>
    </row>
    <row r="125" spans="1:53" ht="18" customHeight="1" x14ac:dyDescent="0.2">
      <c r="E125" s="386"/>
      <c r="F125" s="387"/>
      <c r="H125" s="373"/>
      <c r="I125" s="377"/>
      <c r="J125" s="378"/>
      <c r="K125" s="381" t="s">
        <v>157</v>
      </c>
      <c r="L125" s="382"/>
      <c r="M125" s="381" t="s">
        <v>207</v>
      </c>
      <c r="N125" s="382"/>
      <c r="O125" s="381" t="s">
        <v>159</v>
      </c>
      <c r="P125" s="382"/>
      <c r="Q125" s="381" t="s">
        <v>158</v>
      </c>
      <c r="R125" s="382"/>
      <c r="S125" s="381" t="s">
        <v>202</v>
      </c>
      <c r="T125" s="382"/>
      <c r="U125" s="381" t="s">
        <v>164</v>
      </c>
      <c r="V125" s="382"/>
      <c r="W125" s="385" t="s">
        <v>237</v>
      </c>
      <c r="X125" s="382"/>
      <c r="Y125" s="381" t="s">
        <v>173</v>
      </c>
      <c r="Z125" s="382"/>
      <c r="AA125" s="385" t="s">
        <v>238</v>
      </c>
      <c r="AB125" s="382"/>
      <c r="AC125" s="381" t="s">
        <v>206</v>
      </c>
      <c r="AD125" s="382"/>
      <c r="AE125" s="385" t="s">
        <v>239</v>
      </c>
      <c r="AF125" s="382"/>
      <c r="AG125" s="381" t="s">
        <v>171</v>
      </c>
      <c r="AH125" s="382"/>
      <c r="AI125" s="381" t="s">
        <v>205</v>
      </c>
      <c r="AJ125" s="382"/>
      <c r="AK125" s="381" t="s">
        <v>163</v>
      </c>
      <c r="AL125" s="382"/>
      <c r="AM125" s="385" t="s">
        <v>236</v>
      </c>
      <c r="AN125" s="382"/>
      <c r="AO125" s="381" t="s">
        <v>174</v>
      </c>
      <c r="AP125" s="382"/>
      <c r="AQ125" s="381" t="s">
        <v>172</v>
      </c>
      <c r="AR125" s="382"/>
      <c r="AS125" s="381" t="s">
        <v>160</v>
      </c>
      <c r="AT125" s="382"/>
      <c r="AU125" s="381" t="s">
        <v>161</v>
      </c>
      <c r="AV125" s="382"/>
      <c r="AW125" s="401" t="s">
        <v>208</v>
      </c>
      <c r="AX125" s="382"/>
      <c r="AY125" s="401" t="s">
        <v>376</v>
      </c>
      <c r="AZ125" s="382"/>
    </row>
    <row r="126" spans="1:53" ht="18" customHeight="1" x14ac:dyDescent="0.2">
      <c r="E126" s="386"/>
      <c r="F126" s="387"/>
      <c r="H126" s="373"/>
      <c r="I126" s="377"/>
      <c r="J126" s="378"/>
      <c r="K126" s="358"/>
      <c r="L126" s="359"/>
      <c r="M126" s="358"/>
      <c r="N126" s="359"/>
      <c r="O126" s="358"/>
      <c r="P126" s="359"/>
      <c r="Q126" s="358"/>
      <c r="R126" s="359"/>
      <c r="S126" s="358"/>
      <c r="T126" s="359"/>
      <c r="U126" s="358"/>
      <c r="V126" s="359"/>
      <c r="W126" s="358"/>
      <c r="X126" s="359"/>
      <c r="Y126" s="358"/>
      <c r="Z126" s="359"/>
      <c r="AA126" s="358"/>
      <c r="AB126" s="359"/>
      <c r="AC126" s="358"/>
      <c r="AD126" s="359"/>
      <c r="AE126" s="358"/>
      <c r="AF126" s="359"/>
      <c r="AG126" s="358"/>
      <c r="AH126" s="359"/>
      <c r="AI126" s="358"/>
      <c r="AJ126" s="359"/>
      <c r="AK126" s="358"/>
      <c r="AL126" s="359"/>
      <c r="AM126" s="358"/>
      <c r="AN126" s="359"/>
      <c r="AO126" s="358"/>
      <c r="AP126" s="359"/>
      <c r="AQ126" s="358"/>
      <c r="AR126" s="359"/>
      <c r="AS126" s="358"/>
      <c r="AT126" s="359"/>
      <c r="AU126" s="358"/>
      <c r="AV126" s="359"/>
      <c r="AW126" s="402"/>
      <c r="AX126" s="359"/>
      <c r="AY126" s="402"/>
      <c r="AZ126" s="359"/>
    </row>
    <row r="127" spans="1:53" ht="18" customHeight="1" thickBot="1" x14ac:dyDescent="0.25">
      <c r="E127" s="386"/>
      <c r="F127" s="387"/>
      <c r="H127" s="373"/>
      <c r="I127" s="377"/>
      <c r="J127" s="378"/>
      <c r="K127" s="383"/>
      <c r="L127" s="384"/>
      <c r="M127" s="383"/>
      <c r="N127" s="384"/>
      <c r="O127" s="383"/>
      <c r="P127" s="384"/>
      <c r="Q127" s="383"/>
      <c r="R127" s="384"/>
      <c r="S127" s="383"/>
      <c r="T127" s="384"/>
      <c r="U127" s="383"/>
      <c r="V127" s="384"/>
      <c r="W127" s="383"/>
      <c r="X127" s="384"/>
      <c r="Y127" s="383"/>
      <c r="Z127" s="384"/>
      <c r="AA127" s="383"/>
      <c r="AB127" s="384"/>
      <c r="AC127" s="383"/>
      <c r="AD127" s="384"/>
      <c r="AE127" s="383"/>
      <c r="AF127" s="384"/>
      <c r="AG127" s="383"/>
      <c r="AH127" s="384"/>
      <c r="AI127" s="383"/>
      <c r="AJ127" s="384"/>
      <c r="AK127" s="383"/>
      <c r="AL127" s="384"/>
      <c r="AM127" s="383"/>
      <c r="AN127" s="384"/>
      <c r="AO127" s="383"/>
      <c r="AP127" s="384"/>
      <c r="AQ127" s="383"/>
      <c r="AR127" s="384"/>
      <c r="AS127" s="383"/>
      <c r="AT127" s="384"/>
      <c r="AU127" s="383"/>
      <c r="AV127" s="384"/>
      <c r="AW127" s="403"/>
      <c r="AX127" s="384"/>
      <c r="AY127" s="403"/>
      <c r="AZ127" s="384"/>
    </row>
    <row r="128" spans="1:53" ht="20" customHeight="1" thickBot="1" x14ac:dyDescent="0.3">
      <c r="E128" s="388"/>
      <c r="F128" s="389"/>
      <c r="H128" s="374"/>
      <c r="I128" s="379"/>
      <c r="J128" s="380"/>
      <c r="K128" s="393" t="s">
        <v>162</v>
      </c>
      <c r="L128" s="394"/>
      <c r="M128" s="394"/>
      <c r="N128" s="394"/>
      <c r="O128" s="394"/>
      <c r="P128" s="394"/>
      <c r="Q128" s="394"/>
      <c r="R128" s="394"/>
      <c r="S128" s="394"/>
      <c r="T128" s="394"/>
      <c r="U128" s="394"/>
      <c r="V128" s="394"/>
      <c r="W128" s="394"/>
      <c r="X128" s="394"/>
      <c r="Y128" s="394"/>
      <c r="Z128" s="394"/>
      <c r="AA128" s="394"/>
      <c r="AB128" s="394"/>
      <c r="AC128" s="394"/>
      <c r="AD128" s="394"/>
      <c r="AE128" s="394"/>
      <c r="AF128" s="394"/>
      <c r="AG128" s="394"/>
      <c r="AH128" s="394"/>
      <c r="AI128" s="394"/>
      <c r="AJ128" s="394"/>
      <c r="AK128" s="394"/>
      <c r="AL128" s="394"/>
      <c r="AM128" s="394"/>
      <c r="AN128" s="394"/>
      <c r="AO128" s="394"/>
      <c r="AP128" s="394"/>
      <c r="AQ128" s="394"/>
      <c r="AR128" s="394"/>
      <c r="AS128" s="394"/>
      <c r="AT128" s="394"/>
      <c r="AU128" s="394"/>
      <c r="AV128" s="394"/>
      <c r="AW128" s="394"/>
      <c r="AX128" s="394"/>
      <c r="AY128" s="394"/>
      <c r="AZ128" s="395"/>
    </row>
    <row r="129" spans="8:8" x14ac:dyDescent="0.2">
      <c r="H129" s="155" t="s">
        <v>461</v>
      </c>
    </row>
    <row r="130" spans="8:8" x14ac:dyDescent="0.2">
      <c r="H130" s="156"/>
    </row>
  </sheetData>
  <sortState ref="A11:BA115">
    <sortCondition ref="H11:H115"/>
  </sortState>
  <mergeCells count="139">
    <mergeCell ref="K2:AZ2"/>
    <mergeCell ref="K128:AZ128"/>
    <mergeCell ref="AY3:AZ5"/>
    <mergeCell ref="AY6:AY10"/>
    <mergeCell ref="AZ6:AZ10"/>
    <mergeCell ref="AY120:AY124"/>
    <mergeCell ref="AZ120:AZ124"/>
    <mergeCell ref="AY125:AZ127"/>
    <mergeCell ref="AW125:AX127"/>
    <mergeCell ref="AU3:AV5"/>
    <mergeCell ref="AW3:AX5"/>
    <mergeCell ref="Q3:R5"/>
    <mergeCell ref="S3:T5"/>
    <mergeCell ref="U3:V5"/>
    <mergeCell ref="AN6:AN10"/>
    <mergeCell ref="AP6:AP10"/>
    <mergeCell ref="AR6:AR10"/>
    <mergeCell ref="AT6:AT10"/>
    <mergeCell ref="AV6:AV10"/>
    <mergeCell ref="AX6:AX10"/>
    <mergeCell ref="L6:L10"/>
    <mergeCell ref="N6:N10"/>
    <mergeCell ref="P6:P10"/>
    <mergeCell ref="R6:R10"/>
    <mergeCell ref="E123:F128"/>
    <mergeCell ref="AI125:AJ127"/>
    <mergeCell ref="AK125:AL127"/>
    <mergeCell ref="AM125:AN127"/>
    <mergeCell ref="AO125:AP127"/>
    <mergeCell ref="AQ125:AR127"/>
    <mergeCell ref="AS125:AT127"/>
    <mergeCell ref="AQ3:AR5"/>
    <mergeCell ref="AS3:AT5"/>
    <mergeCell ref="Q125:R127"/>
    <mergeCell ref="S125:T127"/>
    <mergeCell ref="U125:V127"/>
    <mergeCell ref="W125:X127"/>
    <mergeCell ref="Y125:Z127"/>
    <mergeCell ref="AA125:AB127"/>
    <mergeCell ref="W3:X5"/>
    <mergeCell ref="Y3:Z5"/>
    <mergeCell ref="AA3:AB5"/>
    <mergeCell ref="AC3:AD5"/>
    <mergeCell ref="AE3:AF5"/>
    <mergeCell ref="AG3:AH5"/>
    <mergeCell ref="K3:L5"/>
    <mergeCell ref="M3:N5"/>
    <mergeCell ref="O3:P5"/>
    <mergeCell ref="H120:H128"/>
    <mergeCell ref="I120:J128"/>
    <mergeCell ref="AU125:AV127"/>
    <mergeCell ref="AC125:AD127"/>
    <mergeCell ref="AE125:AF127"/>
    <mergeCell ref="AG125:AH127"/>
    <mergeCell ref="AT120:AT124"/>
    <mergeCell ref="AV120:AV124"/>
    <mergeCell ref="AX120:AX124"/>
    <mergeCell ref="K125:L127"/>
    <mergeCell ref="M125:N127"/>
    <mergeCell ref="O125:P127"/>
    <mergeCell ref="AH120:AH124"/>
    <mergeCell ref="AJ120:AJ124"/>
    <mergeCell ref="AL120:AL124"/>
    <mergeCell ref="AN120:AN124"/>
    <mergeCell ref="AP120:AP124"/>
    <mergeCell ref="AR120:AR124"/>
    <mergeCell ref="T120:T124"/>
    <mergeCell ref="V120:V124"/>
    <mergeCell ref="X120:X124"/>
    <mergeCell ref="Z120:Z124"/>
    <mergeCell ref="AB120:AB124"/>
    <mergeCell ref="AD120:AD124"/>
    <mergeCell ref="T6:T10"/>
    <mergeCell ref="V6:V10"/>
    <mergeCell ref="X6:X10"/>
    <mergeCell ref="AU6:AU10"/>
    <mergeCell ref="AW6:AW10"/>
    <mergeCell ref="U6:U10"/>
    <mergeCell ref="W6:W10"/>
    <mergeCell ref="Y6:Y10"/>
    <mergeCell ref="AA6:AA10"/>
    <mergeCell ref="Z6:Z10"/>
    <mergeCell ref="AB6:AB10"/>
    <mergeCell ref="AD6:AD10"/>
    <mergeCell ref="AF6:AF10"/>
    <mergeCell ref="AC6:AC10"/>
    <mergeCell ref="AE6:AE10"/>
    <mergeCell ref="AG6:AG10"/>
    <mergeCell ref="AH6:AH10"/>
    <mergeCell ref="AI3:AJ5"/>
    <mergeCell ref="AK3:AL5"/>
    <mergeCell ref="AM3:AN5"/>
    <mergeCell ref="AO3:AP5"/>
    <mergeCell ref="AU120:AU124"/>
    <mergeCell ref="AW120:AW124"/>
    <mergeCell ref="AI120:AI124"/>
    <mergeCell ref="AK120:AK124"/>
    <mergeCell ref="AM120:AM124"/>
    <mergeCell ref="AO120:AO124"/>
    <mergeCell ref="AQ120:AQ124"/>
    <mergeCell ref="AS120:AS124"/>
    <mergeCell ref="AO6:AO10"/>
    <mergeCell ref="AQ6:AQ10"/>
    <mergeCell ref="AS6:AS10"/>
    <mergeCell ref="AI6:AI10"/>
    <mergeCell ref="AK6:AK10"/>
    <mergeCell ref="AM6:AM10"/>
    <mergeCell ref="AJ6:AJ10"/>
    <mergeCell ref="AL6:AL10"/>
    <mergeCell ref="W120:W124"/>
    <mergeCell ref="Y120:Y124"/>
    <mergeCell ref="AA120:AA124"/>
    <mergeCell ref="AC120:AC124"/>
    <mergeCell ref="AE120:AE124"/>
    <mergeCell ref="AG120:AG124"/>
    <mergeCell ref="AF120:AF124"/>
    <mergeCell ref="K120:K124"/>
    <mergeCell ref="M120:M124"/>
    <mergeCell ref="O120:O124"/>
    <mergeCell ref="Q120:Q124"/>
    <mergeCell ref="S120:S124"/>
    <mergeCell ref="U120:U124"/>
    <mergeCell ref="L120:L124"/>
    <mergeCell ref="N120:N124"/>
    <mergeCell ref="P120:P124"/>
    <mergeCell ref="R120:R124"/>
    <mergeCell ref="A7:A10"/>
    <mergeCell ref="B7:B10"/>
    <mergeCell ref="D5:D7"/>
    <mergeCell ref="D3:D4"/>
    <mergeCell ref="Q6:Q10"/>
    <mergeCell ref="S6:S10"/>
    <mergeCell ref="G6:G10"/>
    <mergeCell ref="H6:H10"/>
    <mergeCell ref="I6:I10"/>
    <mergeCell ref="J6:J10"/>
    <mergeCell ref="K6:K10"/>
    <mergeCell ref="M6:M10"/>
    <mergeCell ref="O6:O1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78"/>
  <sheetViews>
    <sheetView showRuler="0" topLeftCell="A9"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390" t="s">
        <v>162</v>
      </c>
      <c r="L2" s="391"/>
      <c r="M2" s="391"/>
      <c r="N2" s="391"/>
      <c r="O2" s="391"/>
      <c r="P2" s="391"/>
      <c r="Q2" s="391"/>
      <c r="R2" s="391"/>
      <c r="S2" s="391"/>
      <c r="T2" s="391"/>
      <c r="U2" s="391"/>
      <c r="V2" s="391"/>
      <c r="W2" s="391"/>
      <c r="X2" s="391"/>
      <c r="Y2" s="391"/>
      <c r="Z2" s="391"/>
      <c r="AA2" s="391"/>
      <c r="AB2" s="391"/>
      <c r="AC2" s="391"/>
      <c r="AD2" s="391"/>
      <c r="AE2" s="391"/>
      <c r="AF2" s="391"/>
      <c r="AG2" s="391"/>
      <c r="AH2" s="391"/>
      <c r="AI2" s="391"/>
      <c r="AJ2" s="391"/>
      <c r="AK2" s="391"/>
      <c r="AL2" s="391"/>
      <c r="AM2" s="391"/>
      <c r="AN2" s="391"/>
      <c r="AO2" s="391"/>
      <c r="AP2" s="391"/>
      <c r="AQ2" s="391"/>
      <c r="AR2" s="391"/>
      <c r="AS2" s="391"/>
      <c r="AT2" s="391"/>
      <c r="AU2" s="391"/>
      <c r="AV2" s="391"/>
      <c r="AW2" s="391"/>
      <c r="AX2" s="391"/>
      <c r="AY2" s="391"/>
      <c r="AZ2" s="392"/>
    </row>
    <row r="3" spans="1:53" ht="16" customHeight="1" x14ac:dyDescent="0.2">
      <c r="D3" s="334" t="s">
        <v>232</v>
      </c>
      <c r="K3" s="362" t="s">
        <v>239</v>
      </c>
      <c r="L3" s="421"/>
      <c r="M3" s="362" t="s">
        <v>237</v>
      </c>
      <c r="N3" s="421"/>
      <c r="O3" s="356" t="s">
        <v>208</v>
      </c>
      <c r="P3" s="404"/>
      <c r="Q3" s="356" t="s">
        <v>172</v>
      </c>
      <c r="R3" s="404"/>
      <c r="S3" s="356" t="s">
        <v>164</v>
      </c>
      <c r="T3" s="404"/>
      <c r="U3" s="356" t="s">
        <v>173</v>
      </c>
      <c r="V3" s="404"/>
      <c r="W3" s="356" t="s">
        <v>171</v>
      </c>
      <c r="X3" s="404"/>
      <c r="Y3" s="356" t="s">
        <v>174</v>
      </c>
      <c r="Z3" s="404"/>
      <c r="AA3" s="356" t="s">
        <v>157</v>
      </c>
      <c r="AB3" s="404"/>
      <c r="AC3" s="356" t="s">
        <v>158</v>
      </c>
      <c r="AD3" s="404"/>
      <c r="AE3" s="362" t="s">
        <v>376</v>
      </c>
      <c r="AF3" s="421"/>
      <c r="AG3" s="362" t="s">
        <v>236</v>
      </c>
      <c r="AH3" s="421"/>
      <c r="AI3" s="356" t="s">
        <v>163</v>
      </c>
      <c r="AJ3" s="404"/>
      <c r="AK3" s="356" t="s">
        <v>159</v>
      </c>
      <c r="AL3" s="357"/>
      <c r="AM3" s="362" t="s">
        <v>238</v>
      </c>
      <c r="AN3" s="421"/>
      <c r="AO3" s="356" t="s">
        <v>160</v>
      </c>
      <c r="AP3" s="404"/>
      <c r="AQ3" s="356" t="s">
        <v>161</v>
      </c>
      <c r="AR3" s="404"/>
      <c r="AS3" s="356" t="s">
        <v>207</v>
      </c>
      <c r="AT3" s="404"/>
      <c r="AU3" s="356" t="s">
        <v>206</v>
      </c>
      <c r="AV3" s="404"/>
      <c r="AW3" s="356" t="s">
        <v>205</v>
      </c>
      <c r="AX3" s="404"/>
      <c r="AY3" s="356" t="s">
        <v>202</v>
      </c>
      <c r="AZ3" s="357"/>
    </row>
    <row r="4" spans="1:53" ht="20" customHeight="1" x14ac:dyDescent="0.2">
      <c r="B4" s="84"/>
      <c r="D4" s="335"/>
      <c r="K4" s="397"/>
      <c r="L4" s="416"/>
      <c r="M4" s="397"/>
      <c r="N4" s="416"/>
      <c r="O4" s="358"/>
      <c r="P4" s="402"/>
      <c r="Q4" s="358"/>
      <c r="R4" s="402"/>
      <c r="S4" s="358"/>
      <c r="T4" s="402"/>
      <c r="U4" s="358"/>
      <c r="V4" s="402"/>
      <c r="W4" s="358"/>
      <c r="X4" s="402"/>
      <c r="Y4" s="358"/>
      <c r="Z4" s="402"/>
      <c r="AA4" s="358"/>
      <c r="AB4" s="402"/>
      <c r="AC4" s="358"/>
      <c r="AD4" s="402"/>
      <c r="AE4" s="397"/>
      <c r="AF4" s="416"/>
      <c r="AG4" s="397"/>
      <c r="AH4" s="416"/>
      <c r="AI4" s="358"/>
      <c r="AJ4" s="402"/>
      <c r="AK4" s="358"/>
      <c r="AL4" s="359"/>
      <c r="AM4" s="397"/>
      <c r="AN4" s="416"/>
      <c r="AO4" s="358"/>
      <c r="AP4" s="402"/>
      <c r="AQ4" s="358"/>
      <c r="AR4" s="402"/>
      <c r="AS4" s="358"/>
      <c r="AT4" s="402"/>
      <c r="AU4" s="358"/>
      <c r="AV4" s="402"/>
      <c r="AW4" s="358"/>
      <c r="AX4" s="402"/>
      <c r="AY4" s="358"/>
      <c r="AZ4" s="359"/>
    </row>
    <row r="5" spans="1:53" ht="20" customHeight="1" thickBot="1" x14ac:dyDescent="0.25">
      <c r="A5" s="61"/>
      <c r="B5" s="83"/>
      <c r="D5" s="332" t="s">
        <v>245</v>
      </c>
      <c r="I5" s="24"/>
      <c r="J5" s="24"/>
      <c r="K5" s="399"/>
      <c r="L5" s="422"/>
      <c r="M5" s="399"/>
      <c r="N5" s="422"/>
      <c r="O5" s="360"/>
      <c r="P5" s="405"/>
      <c r="Q5" s="360"/>
      <c r="R5" s="405"/>
      <c r="S5" s="360"/>
      <c r="T5" s="405"/>
      <c r="U5" s="360"/>
      <c r="V5" s="405"/>
      <c r="W5" s="360"/>
      <c r="X5" s="405"/>
      <c r="Y5" s="360"/>
      <c r="Z5" s="405"/>
      <c r="AA5" s="360"/>
      <c r="AB5" s="405"/>
      <c r="AC5" s="360"/>
      <c r="AD5" s="405"/>
      <c r="AE5" s="399"/>
      <c r="AF5" s="422"/>
      <c r="AG5" s="399"/>
      <c r="AH5" s="422"/>
      <c r="AI5" s="360"/>
      <c r="AJ5" s="405"/>
      <c r="AK5" s="360"/>
      <c r="AL5" s="361"/>
      <c r="AM5" s="399"/>
      <c r="AN5" s="422"/>
      <c r="AO5" s="360"/>
      <c r="AP5" s="405"/>
      <c r="AQ5" s="360"/>
      <c r="AR5" s="405"/>
      <c r="AS5" s="360"/>
      <c r="AT5" s="405"/>
      <c r="AU5" s="360"/>
      <c r="AV5" s="405"/>
      <c r="AW5" s="360"/>
      <c r="AX5" s="405"/>
      <c r="AY5" s="360"/>
      <c r="AZ5" s="361"/>
    </row>
    <row r="6" spans="1:53" ht="20" customHeight="1" x14ac:dyDescent="0.2">
      <c r="A6" s="60"/>
      <c r="B6" s="82"/>
      <c r="D6" s="332"/>
      <c r="G6" s="328" t="s">
        <v>24</v>
      </c>
      <c r="H6" s="339" t="s">
        <v>327</v>
      </c>
      <c r="I6" s="342" t="s">
        <v>325</v>
      </c>
      <c r="J6" s="345" t="s">
        <v>326</v>
      </c>
      <c r="K6" s="336" t="s">
        <v>240</v>
      </c>
      <c r="L6" s="364" t="s">
        <v>241</v>
      </c>
      <c r="M6" s="363" t="s">
        <v>240</v>
      </c>
      <c r="N6" s="364" t="s">
        <v>241</v>
      </c>
      <c r="O6" s="366" t="s">
        <v>240</v>
      </c>
      <c r="P6" s="364" t="s">
        <v>241</v>
      </c>
      <c r="Q6" s="336" t="s">
        <v>240</v>
      </c>
      <c r="R6" s="364" t="s">
        <v>241</v>
      </c>
      <c r="S6" s="336" t="s">
        <v>240</v>
      </c>
      <c r="T6" s="364" t="s">
        <v>241</v>
      </c>
      <c r="U6" s="369" t="s">
        <v>240</v>
      </c>
      <c r="V6" s="364" t="s">
        <v>241</v>
      </c>
      <c r="W6" s="336" t="s">
        <v>240</v>
      </c>
      <c r="X6" s="364" t="s">
        <v>241</v>
      </c>
      <c r="Y6" s="336" t="s">
        <v>240</v>
      </c>
      <c r="Z6" s="364" t="s">
        <v>241</v>
      </c>
      <c r="AA6" s="348" t="s">
        <v>240</v>
      </c>
      <c r="AB6" s="406" t="s">
        <v>241</v>
      </c>
      <c r="AC6" s="336" t="s">
        <v>240</v>
      </c>
      <c r="AD6" s="364" t="s">
        <v>241</v>
      </c>
      <c r="AE6" s="366" t="s">
        <v>240</v>
      </c>
      <c r="AF6" s="364" t="s">
        <v>241</v>
      </c>
      <c r="AG6" s="363" t="s">
        <v>240</v>
      </c>
      <c r="AH6" s="364" t="s">
        <v>241</v>
      </c>
      <c r="AI6" s="336" t="s">
        <v>240</v>
      </c>
      <c r="AJ6" s="364" t="s">
        <v>241</v>
      </c>
      <c r="AK6" s="348" t="s">
        <v>240</v>
      </c>
      <c r="AL6" s="406" t="s">
        <v>241</v>
      </c>
      <c r="AM6" s="363" t="s">
        <v>240</v>
      </c>
      <c r="AN6" s="364" t="s">
        <v>241</v>
      </c>
      <c r="AO6" s="336" t="s">
        <v>240</v>
      </c>
      <c r="AP6" s="364" t="s">
        <v>241</v>
      </c>
      <c r="AQ6" s="348" t="s">
        <v>240</v>
      </c>
      <c r="AR6" s="364" t="s">
        <v>241</v>
      </c>
      <c r="AS6" s="336" t="s">
        <v>240</v>
      </c>
      <c r="AT6" s="364" t="s">
        <v>241</v>
      </c>
      <c r="AU6" s="336" t="s">
        <v>240</v>
      </c>
      <c r="AV6" s="364" t="s">
        <v>241</v>
      </c>
      <c r="AW6" s="336" t="s">
        <v>240</v>
      </c>
      <c r="AX6" s="364" t="s">
        <v>241</v>
      </c>
      <c r="AY6" s="336" t="s">
        <v>240</v>
      </c>
      <c r="AZ6" s="364" t="s">
        <v>241</v>
      </c>
    </row>
    <row r="7" spans="1:53" ht="23" customHeight="1" thickBot="1" x14ac:dyDescent="0.25">
      <c r="A7" s="328" t="s">
        <v>248</v>
      </c>
      <c r="B7" s="330" t="s">
        <v>487</v>
      </c>
      <c r="D7" s="333"/>
      <c r="G7" s="328"/>
      <c r="H7" s="340"/>
      <c r="I7" s="343"/>
      <c r="J7" s="346"/>
      <c r="K7" s="336"/>
      <c r="L7" s="364"/>
      <c r="M7" s="363"/>
      <c r="N7" s="364"/>
      <c r="O7" s="366"/>
      <c r="P7" s="364"/>
      <c r="Q7" s="336"/>
      <c r="R7" s="364"/>
      <c r="S7" s="336"/>
      <c r="T7" s="364"/>
      <c r="U7" s="370"/>
      <c r="V7" s="364"/>
      <c r="W7" s="336"/>
      <c r="X7" s="364"/>
      <c r="Y7" s="336"/>
      <c r="Z7" s="364"/>
      <c r="AA7" s="349"/>
      <c r="AB7" s="407"/>
      <c r="AC7" s="336"/>
      <c r="AD7" s="364"/>
      <c r="AE7" s="366"/>
      <c r="AF7" s="364"/>
      <c r="AG7" s="336"/>
      <c r="AH7" s="364"/>
      <c r="AI7" s="336"/>
      <c r="AJ7" s="364"/>
      <c r="AK7" s="349"/>
      <c r="AL7" s="407"/>
      <c r="AM7" s="363"/>
      <c r="AN7" s="364"/>
      <c r="AO7" s="336"/>
      <c r="AP7" s="364"/>
      <c r="AQ7" s="349"/>
      <c r="AR7" s="364"/>
      <c r="AS7" s="336"/>
      <c r="AT7" s="364"/>
      <c r="AU7" s="336"/>
      <c r="AV7" s="364"/>
      <c r="AW7" s="336"/>
      <c r="AX7" s="364"/>
      <c r="AY7" s="336"/>
      <c r="AZ7" s="364"/>
    </row>
    <row r="8" spans="1:53" ht="23" customHeight="1" x14ac:dyDescent="0.2">
      <c r="A8" s="328"/>
      <c r="B8" s="330"/>
      <c r="G8" s="328"/>
      <c r="H8" s="340"/>
      <c r="I8" s="343"/>
      <c r="J8" s="346"/>
      <c r="K8" s="336"/>
      <c r="L8" s="364"/>
      <c r="M8" s="363"/>
      <c r="N8" s="364"/>
      <c r="O8" s="366"/>
      <c r="P8" s="364"/>
      <c r="Q8" s="336"/>
      <c r="R8" s="364"/>
      <c r="S8" s="336"/>
      <c r="T8" s="364"/>
      <c r="U8" s="370"/>
      <c r="V8" s="364"/>
      <c r="W8" s="336"/>
      <c r="X8" s="364"/>
      <c r="Y8" s="336"/>
      <c r="Z8" s="364"/>
      <c r="AA8" s="349"/>
      <c r="AB8" s="407"/>
      <c r="AC8" s="336"/>
      <c r="AD8" s="364"/>
      <c r="AE8" s="366"/>
      <c r="AF8" s="364"/>
      <c r="AG8" s="336"/>
      <c r="AH8" s="364"/>
      <c r="AI8" s="336"/>
      <c r="AJ8" s="364"/>
      <c r="AK8" s="349"/>
      <c r="AL8" s="407"/>
      <c r="AM8" s="363"/>
      <c r="AN8" s="364"/>
      <c r="AO8" s="336"/>
      <c r="AP8" s="364"/>
      <c r="AQ8" s="349"/>
      <c r="AR8" s="364"/>
      <c r="AS8" s="336"/>
      <c r="AT8" s="364"/>
      <c r="AU8" s="336"/>
      <c r="AV8" s="364"/>
      <c r="AW8" s="336"/>
      <c r="AX8" s="364"/>
      <c r="AY8" s="336"/>
      <c r="AZ8" s="364"/>
    </row>
    <row r="9" spans="1:53" ht="23" customHeight="1" x14ac:dyDescent="0.2">
      <c r="A9" s="328"/>
      <c r="B9" s="330"/>
      <c r="G9" s="328"/>
      <c r="H9" s="340"/>
      <c r="I9" s="343"/>
      <c r="J9" s="346"/>
      <c r="K9" s="336"/>
      <c r="L9" s="364"/>
      <c r="M9" s="363"/>
      <c r="N9" s="364"/>
      <c r="O9" s="366"/>
      <c r="P9" s="364"/>
      <c r="Q9" s="336"/>
      <c r="R9" s="364"/>
      <c r="S9" s="336"/>
      <c r="T9" s="364"/>
      <c r="U9" s="370"/>
      <c r="V9" s="364"/>
      <c r="W9" s="336"/>
      <c r="X9" s="364"/>
      <c r="Y9" s="336"/>
      <c r="Z9" s="364"/>
      <c r="AA9" s="349"/>
      <c r="AB9" s="407"/>
      <c r="AC9" s="336"/>
      <c r="AD9" s="364"/>
      <c r="AE9" s="366"/>
      <c r="AF9" s="364"/>
      <c r="AG9" s="336"/>
      <c r="AH9" s="364"/>
      <c r="AI9" s="336"/>
      <c r="AJ9" s="364"/>
      <c r="AK9" s="349"/>
      <c r="AL9" s="407"/>
      <c r="AM9" s="363"/>
      <c r="AN9" s="364"/>
      <c r="AO9" s="336"/>
      <c r="AP9" s="364"/>
      <c r="AQ9" s="349"/>
      <c r="AR9" s="364"/>
      <c r="AS9" s="336"/>
      <c r="AT9" s="364"/>
      <c r="AU9" s="336"/>
      <c r="AV9" s="364"/>
      <c r="AW9" s="336"/>
      <c r="AX9" s="364"/>
      <c r="AY9" s="336"/>
      <c r="AZ9" s="364"/>
    </row>
    <row r="10" spans="1:53" s="22" customFormat="1" ht="23" customHeight="1" thickBot="1" x14ac:dyDescent="0.25">
      <c r="A10" s="329"/>
      <c r="B10" s="331"/>
      <c r="C10" s="21" t="s">
        <v>20</v>
      </c>
      <c r="D10" s="20" t="s">
        <v>21</v>
      </c>
      <c r="E10" s="20" t="s">
        <v>22</v>
      </c>
      <c r="F10" s="21" t="s">
        <v>23</v>
      </c>
      <c r="G10" s="338"/>
      <c r="H10" s="341"/>
      <c r="I10" s="344"/>
      <c r="J10" s="347"/>
      <c r="K10" s="337"/>
      <c r="L10" s="365"/>
      <c r="M10" s="368"/>
      <c r="N10" s="365"/>
      <c r="O10" s="367"/>
      <c r="P10" s="365"/>
      <c r="Q10" s="337"/>
      <c r="R10" s="365"/>
      <c r="S10" s="337"/>
      <c r="T10" s="365"/>
      <c r="U10" s="371"/>
      <c r="V10" s="365"/>
      <c r="W10" s="337"/>
      <c r="X10" s="365"/>
      <c r="Y10" s="337"/>
      <c r="Z10" s="365"/>
      <c r="AA10" s="350"/>
      <c r="AB10" s="408"/>
      <c r="AC10" s="337"/>
      <c r="AD10" s="365"/>
      <c r="AE10" s="367"/>
      <c r="AF10" s="365"/>
      <c r="AG10" s="337"/>
      <c r="AH10" s="365"/>
      <c r="AI10" s="337"/>
      <c r="AJ10" s="365"/>
      <c r="AK10" s="350"/>
      <c r="AL10" s="408"/>
      <c r="AM10" s="368"/>
      <c r="AN10" s="365"/>
      <c r="AO10" s="337"/>
      <c r="AP10" s="365"/>
      <c r="AQ10" s="350"/>
      <c r="AR10" s="365"/>
      <c r="AS10" s="337"/>
      <c r="AT10" s="365"/>
      <c r="AU10" s="337"/>
      <c r="AV10" s="365"/>
      <c r="AW10" s="337"/>
      <c r="AX10" s="365"/>
      <c r="AY10" s="337"/>
      <c r="AZ10" s="365"/>
      <c r="BA10" s="20" t="s">
        <v>25</v>
      </c>
    </row>
    <row r="11" spans="1:53" s="22" customFormat="1" ht="20" customHeight="1" x14ac:dyDescent="0.2">
      <c r="A11" s="60"/>
      <c r="B11" s="84"/>
      <c r="C11" s="63" t="s">
        <v>85</v>
      </c>
      <c r="D11" s="62" t="s">
        <v>249</v>
      </c>
      <c r="E11" s="62" t="s">
        <v>250</v>
      </c>
      <c r="F11" s="63">
        <v>2015</v>
      </c>
      <c r="G11" s="63"/>
      <c r="H11" s="114">
        <v>40</v>
      </c>
      <c r="I11" s="109" t="s">
        <v>328</v>
      </c>
      <c r="J11" s="110" t="s">
        <v>329</v>
      </c>
      <c r="K11" s="70"/>
      <c r="L11" s="77" t="str">
        <f t="shared" ref="L11:L55" si="0">IF((ISERROR((K11/$H11)*100)), "", IF(AND(NOT(ISERROR((K11/$H11)*100)),((K11/$H11)*100) &lt;&gt; 0), (K11/$H11)*100, ""))</f>
        <v/>
      </c>
      <c r="M11" s="71"/>
      <c r="N11" s="77" t="str">
        <f t="shared" ref="N11:N55" si="1">IF((ISERROR((M11/$H11)*100)), "", IF(AND(NOT(ISERROR((M11/$H11)*100)),((M11/$H11)*100) &lt;&gt; 0), (M11/$H11)*100, ""))</f>
        <v/>
      </c>
      <c r="O11" s="72"/>
      <c r="P11" s="78" t="str">
        <f t="shared" ref="P11:P43" si="2">IF((ISERROR((O11/$H11)*100)), "", IF(AND(NOT(ISERROR((O11/$H11)*100)),((O11/$H11)*100) &lt;&gt; 0), (O11/$H11)*100, ""))</f>
        <v/>
      </c>
      <c r="Q11" s="70"/>
      <c r="R11" s="77" t="str">
        <f t="shared" ref="R11:R55" si="3">IF((ISERROR((Q11/$H11)*100)), "", IF(AND(NOT(ISERROR((Q11/$H11)*100)),((Q11/$H11)*100) &lt;&gt; 0), (Q11/$H11)*100, ""))</f>
        <v/>
      </c>
      <c r="S11" s="70"/>
      <c r="T11" s="77" t="str">
        <f t="shared" ref="T11:T55" si="4">IF((ISERROR((S11/$H11)*100)), "", IF(AND(NOT(ISERROR((S11/$H11)*100)),((S11/$H11)*100) &lt;&gt; 0), (S11/$H11)*100, ""))</f>
        <v/>
      </c>
      <c r="U11" s="71"/>
      <c r="V11" s="77" t="str">
        <f t="shared" ref="V11:V55" si="5">IF((ISERROR((U11/$H11)*100)), "", IF(AND(NOT(ISERROR((U11/$H11)*100)),((U11/$H11)*100) &lt;&gt; 0), (U11/$H11)*100, ""))</f>
        <v/>
      </c>
      <c r="W11" s="70"/>
      <c r="X11" s="77" t="str">
        <f t="shared" ref="X11:X55" si="6">IF((ISERROR((W11/$H11)*100)), "", IF(AND(NOT(ISERROR((W11/$H11)*100)),((W11/$H11)*100) &lt;&gt; 0), (W11/$H11)*100, ""))</f>
        <v/>
      </c>
      <c r="Y11" s="70"/>
      <c r="Z11" s="77" t="str">
        <f t="shared" ref="Z11:Z55" si="7">IF((ISERROR((Y11/$H11)*100)), "", IF(AND(NOT(ISERROR((Y11/$H11)*100)),((Y11/$H11)*100) &lt;&gt; 0), (Y11/$H11)*100, ""))</f>
        <v/>
      </c>
      <c r="AA11" s="70"/>
      <c r="AB11" s="77" t="str">
        <f t="shared" ref="AB11:AB55" si="8">IF((ISERROR((AA11/$H11)*100)), "", IF(AND(NOT(ISERROR((AA11/$H11)*100)),((AA11/$H11)*100) &lt;&gt; 0), (AA11/$H11)*100, ""))</f>
        <v/>
      </c>
      <c r="AC11" s="70"/>
      <c r="AD11" s="77" t="str">
        <f t="shared" ref="AD11:AD55" si="9">IF((ISERROR((AC11/$H11)*100)), "", IF(AND(NOT(ISERROR((AC11/$H11)*100)),((AC11/$H11)*100) &lt;&gt; 0), (AC11/$H11)*100, ""))</f>
        <v/>
      </c>
      <c r="AE11" s="72"/>
      <c r="AF11" s="78" t="str">
        <f t="shared" ref="AF11:AF55" si="10">IF((ISERROR((AE11/$H11)*100)), "", IF(AND(NOT(ISERROR((AE11/$H11)*100)),((AE11/$H11)*100) &lt;&gt; 0), (AE11/$H11)*100, ""))</f>
        <v/>
      </c>
      <c r="AG11" s="70"/>
      <c r="AH11" s="77" t="str">
        <f t="shared" ref="AH11:AH55" si="11">IF((ISERROR((AG11/$H11)*100)), "", IF(AND(NOT(ISERROR((AG11/$H11)*100)),((AG11/$H11)*100) &lt;&gt; 0), (AG11/$H11)*100, ""))</f>
        <v/>
      </c>
      <c r="AI11" s="70"/>
      <c r="AJ11" s="77" t="str">
        <f t="shared" ref="AJ11:AJ55" si="12">IF((ISERROR((AI11/$H11)*100)), "", IF(AND(NOT(ISERROR((AI11/$H11)*100)),((AI11/$H11)*100) &lt;&gt; 0), (AI11/$H11)*100, ""))</f>
        <v/>
      </c>
      <c r="AK11" s="70"/>
      <c r="AL11" s="77" t="str">
        <f t="shared" ref="AL11:AL55" si="13">IF((ISERROR((AK11/$H11)*100)), "", IF(AND(NOT(ISERROR((AK11/$H11)*100)),((AK11/$H11)*100) &lt;&gt; 0), (AK11/$H11)*100, ""))</f>
        <v/>
      </c>
      <c r="AM11" s="71"/>
      <c r="AN11" s="77" t="str">
        <f t="shared" ref="AN11:AN55" si="14">IF((ISERROR((AM11/$H11)*100)), "", IF(AND(NOT(ISERROR((AM11/$H11)*100)),((AM11/$H11)*100) &lt;&gt; 0), (AM11/$H11)*100, ""))</f>
        <v/>
      </c>
      <c r="AO11" s="70"/>
      <c r="AP11" s="77" t="str">
        <f t="shared" ref="AP11:AP55" si="15">IF((ISERROR((AO11/$H11)*100)), "", IF(AND(NOT(ISERROR((AO11/$H11)*100)),((AO11/$H11)*100) &lt;&gt; 0), (AO11/$H11)*100, ""))</f>
        <v/>
      </c>
      <c r="AQ11" s="70"/>
      <c r="AR11" s="77" t="str">
        <f t="shared" ref="AR11:AR55" si="16">IF((ISERROR((AQ11/$H11)*100)), "", IF(AND(NOT(ISERROR((AQ11/$H11)*100)),((AQ11/$H11)*100) &lt;&gt; 0), (AQ11/$H11)*100, ""))</f>
        <v/>
      </c>
      <c r="AS11" s="70"/>
      <c r="AT11" s="77" t="str">
        <f t="shared" ref="AT11:AT55" si="17">IF((ISERROR((AS11/$H11)*100)), "", IF(AND(NOT(ISERROR((AS11/$H11)*100)),((AS11/$H11)*100) &lt;&gt; 0), (AS11/$H11)*100, ""))</f>
        <v/>
      </c>
      <c r="AU11" s="70"/>
      <c r="AV11" s="77" t="str">
        <f t="shared" ref="AV11:AV63" si="18">IF((ISERROR((AU11/$H11)*100)), "", IF(AND(NOT(ISERROR((AU11/$H11)*100)),((AU11/$H11)*100) &lt;&gt; 0), (AU11/$H11)*100, ""))</f>
        <v/>
      </c>
      <c r="AW11" s="70"/>
      <c r="AX11" s="77" t="str">
        <f t="shared" ref="AX11:AX63" si="19">IF((ISERROR((AW11/$H11)*100)), "", IF(AND(NOT(ISERROR((AW11/$H11)*100)),((AW11/$H11)*100) &lt;&gt; 0), (AW11/$H11)*100, ""))</f>
        <v/>
      </c>
      <c r="AY11" s="70"/>
      <c r="AZ11" s="77" t="str">
        <f t="shared" ref="AZ11:AZ63" si="20">IF((ISERROR((AY11/$H11)*100)), "", IF(AND(NOT(ISERROR((AY11/$H11)*100)),((AY11/$H11)*100) &lt;&gt; 0), (AY11/$H11)*100, ""))</f>
        <v/>
      </c>
      <c r="BA11" s="62" t="s">
        <v>330</v>
      </c>
    </row>
    <row r="12" spans="1:53" customFormat="1" ht="20" customHeight="1" x14ac:dyDescent="0.2">
      <c r="A12" s="61"/>
      <c r="B12" s="83"/>
      <c r="C12" s="24" t="s">
        <v>85</v>
      </c>
      <c r="D12" s="23" t="s">
        <v>251</v>
      </c>
      <c r="E12" s="23" t="s">
        <v>252</v>
      </c>
      <c r="F12" s="24">
        <v>2016</v>
      </c>
      <c r="H12" s="89">
        <v>12</v>
      </c>
      <c r="I12" s="85" t="s">
        <v>332</v>
      </c>
      <c r="J12" s="86"/>
      <c r="K12" s="33"/>
      <c r="L12" s="36" t="str">
        <f t="shared" si="0"/>
        <v/>
      </c>
      <c r="M12" s="33"/>
      <c r="N12" s="36" t="str">
        <f t="shared" si="1"/>
        <v/>
      </c>
      <c r="O12" s="76"/>
      <c r="P12" s="36" t="str">
        <f t="shared" si="2"/>
        <v/>
      </c>
      <c r="Q12" s="33"/>
      <c r="R12" s="36" t="str">
        <f t="shared" si="3"/>
        <v/>
      </c>
      <c r="S12" s="33"/>
      <c r="T12" s="36" t="str">
        <f t="shared" si="4"/>
        <v/>
      </c>
      <c r="U12" s="33"/>
      <c r="V12" s="36" t="str">
        <f t="shared" si="5"/>
        <v/>
      </c>
      <c r="W12" s="33"/>
      <c r="X12" s="36" t="str">
        <f t="shared" si="6"/>
        <v/>
      </c>
      <c r="Y12" s="33"/>
      <c r="Z12" s="36" t="str">
        <f t="shared" si="7"/>
        <v/>
      </c>
      <c r="AA12" s="33"/>
      <c r="AB12" s="36" t="str">
        <f t="shared" si="8"/>
        <v/>
      </c>
      <c r="AC12" s="33"/>
      <c r="AD12" s="36" t="str">
        <f t="shared" si="9"/>
        <v/>
      </c>
      <c r="AE12" s="76"/>
      <c r="AF12" s="36" t="str">
        <f t="shared" si="10"/>
        <v/>
      </c>
      <c r="AG12" s="33"/>
      <c r="AH12" s="36" t="str">
        <f t="shared" si="11"/>
        <v/>
      </c>
      <c r="AI12" s="33"/>
      <c r="AJ12" s="36" t="str">
        <f t="shared" si="12"/>
        <v/>
      </c>
      <c r="AK12" s="33"/>
      <c r="AL12" s="36" t="str">
        <f t="shared" si="13"/>
        <v/>
      </c>
      <c r="AM12" s="33"/>
      <c r="AN12" s="36" t="str">
        <f t="shared" si="14"/>
        <v/>
      </c>
      <c r="AO12" s="33"/>
      <c r="AP12" s="36" t="str">
        <f t="shared" si="15"/>
        <v/>
      </c>
      <c r="AQ12" s="33"/>
      <c r="AR12" s="36" t="str">
        <f t="shared" si="16"/>
        <v/>
      </c>
      <c r="AS12" s="33"/>
      <c r="AT12" s="36" t="str">
        <f t="shared" si="17"/>
        <v/>
      </c>
      <c r="AU12" s="33"/>
      <c r="AV12" s="36" t="str">
        <f t="shared" si="18"/>
        <v/>
      </c>
      <c r="AW12" s="33"/>
      <c r="AX12" s="36" t="str">
        <f t="shared" si="19"/>
        <v/>
      </c>
      <c r="AY12" s="33"/>
      <c r="AZ12" s="36" t="str">
        <f t="shared" si="20"/>
        <v/>
      </c>
      <c r="BA12" s="23" t="s">
        <v>333</v>
      </c>
    </row>
    <row r="13" spans="1:53" ht="20" customHeight="1" x14ac:dyDescent="0.2">
      <c r="A13" s="60"/>
      <c r="B13" s="82"/>
      <c r="C13" s="24" t="s">
        <v>85</v>
      </c>
      <c r="D13" s="23" t="s">
        <v>253</v>
      </c>
      <c r="E13" s="23" t="s">
        <v>254</v>
      </c>
      <c r="F13" s="24">
        <v>2008</v>
      </c>
      <c r="H13" s="89">
        <v>13</v>
      </c>
      <c r="I13" s="85" t="s">
        <v>218</v>
      </c>
      <c r="J13" s="86" t="s">
        <v>335</v>
      </c>
      <c r="K13" s="33"/>
      <c r="L13" s="36" t="str">
        <f t="shared" si="0"/>
        <v/>
      </c>
      <c r="M13" s="33"/>
      <c r="N13" s="36" t="str">
        <f t="shared" si="1"/>
        <v/>
      </c>
      <c r="O13" s="76"/>
      <c r="P13" s="36" t="str">
        <f t="shared" si="2"/>
        <v/>
      </c>
      <c r="Q13" s="33"/>
      <c r="R13" s="36" t="str">
        <f t="shared" si="3"/>
        <v/>
      </c>
      <c r="S13" s="33"/>
      <c r="T13" s="36" t="str">
        <f t="shared" si="4"/>
        <v/>
      </c>
      <c r="U13" s="33"/>
      <c r="V13" s="36" t="str">
        <f t="shared" si="5"/>
        <v/>
      </c>
      <c r="W13" s="33"/>
      <c r="X13" s="36" t="str">
        <f t="shared" si="6"/>
        <v/>
      </c>
      <c r="Y13" s="33"/>
      <c r="Z13" s="36" t="str">
        <f t="shared" si="7"/>
        <v/>
      </c>
      <c r="AA13" s="33">
        <v>1</v>
      </c>
      <c r="AB13" s="36">
        <f t="shared" si="8"/>
        <v>7.6923076923076925</v>
      </c>
      <c r="AC13" s="33"/>
      <c r="AD13" s="36" t="str">
        <f t="shared" si="9"/>
        <v/>
      </c>
      <c r="AE13" s="76"/>
      <c r="AF13" s="36" t="str">
        <f t="shared" si="10"/>
        <v/>
      </c>
      <c r="AG13" s="33"/>
      <c r="AH13" s="36" t="str">
        <f t="shared" si="11"/>
        <v/>
      </c>
      <c r="AI13" s="33"/>
      <c r="AJ13" s="36" t="str">
        <f t="shared" si="12"/>
        <v/>
      </c>
      <c r="AK13" s="33"/>
      <c r="AL13" s="36" t="str">
        <f t="shared" si="13"/>
        <v/>
      </c>
      <c r="AM13" s="33"/>
      <c r="AN13" s="36" t="str">
        <f t="shared" si="14"/>
        <v/>
      </c>
      <c r="AO13" s="33"/>
      <c r="AP13" s="36" t="str">
        <f t="shared" si="15"/>
        <v/>
      </c>
      <c r="AQ13" s="33"/>
      <c r="AR13" s="36" t="str">
        <f t="shared" si="16"/>
        <v/>
      </c>
      <c r="AS13" s="33"/>
      <c r="AT13" s="36" t="str">
        <f t="shared" si="17"/>
        <v/>
      </c>
      <c r="AU13" s="33"/>
      <c r="AV13" s="36" t="str">
        <f t="shared" si="18"/>
        <v/>
      </c>
      <c r="AW13" s="33"/>
      <c r="AX13" s="36" t="str">
        <f t="shared" si="19"/>
        <v/>
      </c>
      <c r="AY13" s="33"/>
      <c r="AZ13" s="36" t="str">
        <f t="shared" si="20"/>
        <v/>
      </c>
    </row>
    <row r="14" spans="1:53" ht="20" customHeight="1" x14ac:dyDescent="0.2">
      <c r="A14" s="61"/>
      <c r="B14" s="82"/>
      <c r="C14" s="24" t="s">
        <v>85</v>
      </c>
      <c r="D14" s="23" t="s">
        <v>36</v>
      </c>
      <c r="E14" s="23" t="s">
        <v>37</v>
      </c>
      <c r="F14" s="24">
        <v>2008</v>
      </c>
      <c r="G14" s="24">
        <v>40</v>
      </c>
      <c r="H14" s="89">
        <v>29</v>
      </c>
      <c r="I14" s="85" t="s">
        <v>176</v>
      </c>
      <c r="J14" s="86" t="s">
        <v>169</v>
      </c>
      <c r="K14" s="33"/>
      <c r="L14" s="36" t="str">
        <f t="shared" si="0"/>
        <v/>
      </c>
      <c r="M14" s="33"/>
      <c r="N14" s="36" t="str">
        <f t="shared" si="1"/>
        <v/>
      </c>
      <c r="O14" s="76">
        <v>5</v>
      </c>
      <c r="P14" s="36">
        <f t="shared" si="2"/>
        <v>17.241379310344829</v>
      </c>
      <c r="Q14" s="33"/>
      <c r="R14" s="36" t="str">
        <f t="shared" si="3"/>
        <v/>
      </c>
      <c r="S14" s="33"/>
      <c r="T14" s="36" t="str">
        <f t="shared" si="4"/>
        <v/>
      </c>
      <c r="U14" s="33"/>
      <c r="V14" s="36" t="str">
        <f t="shared" si="5"/>
        <v/>
      </c>
      <c r="W14" s="33"/>
      <c r="X14" s="36" t="str">
        <f t="shared" si="6"/>
        <v/>
      </c>
      <c r="Y14" s="33">
        <v>5</v>
      </c>
      <c r="Z14" s="36">
        <f t="shared" si="7"/>
        <v>17.241379310344829</v>
      </c>
      <c r="AA14" s="33"/>
      <c r="AB14" s="36" t="str">
        <f t="shared" si="8"/>
        <v/>
      </c>
      <c r="AC14" s="33"/>
      <c r="AD14" s="36" t="str">
        <f t="shared" si="9"/>
        <v/>
      </c>
      <c r="AE14" s="76"/>
      <c r="AF14" s="36" t="str">
        <f t="shared" si="10"/>
        <v/>
      </c>
      <c r="AG14" s="33"/>
      <c r="AH14" s="36" t="str">
        <f t="shared" si="11"/>
        <v/>
      </c>
      <c r="AI14" s="33"/>
      <c r="AJ14" s="36" t="str">
        <f t="shared" si="12"/>
        <v/>
      </c>
      <c r="AK14" s="33"/>
      <c r="AL14" s="36" t="str">
        <f t="shared" si="13"/>
        <v/>
      </c>
      <c r="AM14" s="33"/>
      <c r="AN14" s="36" t="str">
        <f t="shared" si="14"/>
        <v/>
      </c>
      <c r="AO14" s="33"/>
      <c r="AP14" s="36" t="str">
        <f t="shared" si="15"/>
        <v/>
      </c>
      <c r="AQ14" s="33"/>
      <c r="AR14" s="36" t="str">
        <f t="shared" si="16"/>
        <v/>
      </c>
      <c r="AS14" s="33"/>
      <c r="AT14" s="36" t="str">
        <f t="shared" si="17"/>
        <v/>
      </c>
      <c r="AU14" s="33"/>
      <c r="AV14" s="36" t="str">
        <f t="shared" si="18"/>
        <v/>
      </c>
      <c r="AW14" s="33"/>
      <c r="AX14" s="36" t="str">
        <f t="shared" si="19"/>
        <v/>
      </c>
      <c r="AY14" s="33"/>
      <c r="AZ14" s="36" t="str">
        <f t="shared" si="20"/>
        <v/>
      </c>
      <c r="BA14" s="23" t="s">
        <v>480</v>
      </c>
    </row>
    <row r="15" spans="1:53" ht="20" customHeight="1" x14ac:dyDescent="0.2">
      <c r="A15" s="60"/>
      <c r="B15" s="82"/>
      <c r="C15" s="24" t="s">
        <v>85</v>
      </c>
      <c r="D15" s="23" t="s">
        <v>41</v>
      </c>
      <c r="E15" s="23" t="s">
        <v>42</v>
      </c>
      <c r="F15" s="24">
        <v>2004</v>
      </c>
      <c r="G15" s="24">
        <v>79</v>
      </c>
      <c r="H15" s="89">
        <v>12</v>
      </c>
      <c r="I15" s="85" t="s">
        <v>168</v>
      </c>
      <c r="J15" s="86" t="s">
        <v>169</v>
      </c>
      <c r="K15" s="33"/>
      <c r="L15" s="36" t="str">
        <f t="shared" si="0"/>
        <v/>
      </c>
      <c r="M15" s="33"/>
      <c r="N15" s="36" t="str">
        <f t="shared" si="1"/>
        <v/>
      </c>
      <c r="O15" s="76"/>
      <c r="P15" s="36" t="str">
        <f t="shared" si="2"/>
        <v/>
      </c>
      <c r="Q15" s="33"/>
      <c r="R15" s="36" t="str">
        <f t="shared" si="3"/>
        <v/>
      </c>
      <c r="S15" s="33"/>
      <c r="T15" s="36" t="str">
        <f t="shared" si="4"/>
        <v/>
      </c>
      <c r="U15" s="33"/>
      <c r="V15" s="36" t="str">
        <f t="shared" si="5"/>
        <v/>
      </c>
      <c r="W15" s="33"/>
      <c r="X15" s="36" t="str">
        <f t="shared" si="6"/>
        <v/>
      </c>
      <c r="Y15" s="33"/>
      <c r="Z15" s="36" t="str">
        <f t="shared" si="7"/>
        <v/>
      </c>
      <c r="AA15" s="33">
        <v>5</v>
      </c>
      <c r="AB15" s="36">
        <f t="shared" si="8"/>
        <v>41.666666666666671</v>
      </c>
      <c r="AC15" s="33"/>
      <c r="AD15" s="36" t="str">
        <f t="shared" si="9"/>
        <v/>
      </c>
      <c r="AE15" s="76"/>
      <c r="AF15" s="36" t="str">
        <f t="shared" si="10"/>
        <v/>
      </c>
      <c r="AG15" s="33"/>
      <c r="AH15" s="36" t="str">
        <f t="shared" si="11"/>
        <v/>
      </c>
      <c r="AI15" s="33"/>
      <c r="AJ15" s="36" t="str">
        <f t="shared" si="12"/>
        <v/>
      </c>
      <c r="AK15" s="33"/>
      <c r="AL15" s="36" t="str">
        <f t="shared" si="13"/>
        <v/>
      </c>
      <c r="AM15" s="33"/>
      <c r="AN15" s="36" t="str">
        <f t="shared" si="14"/>
        <v/>
      </c>
      <c r="AO15" s="33"/>
      <c r="AP15" s="36" t="str">
        <f t="shared" si="15"/>
        <v/>
      </c>
      <c r="AQ15" s="33"/>
      <c r="AR15" s="36" t="str">
        <f t="shared" si="16"/>
        <v/>
      </c>
      <c r="AS15" s="33"/>
      <c r="AT15" s="36" t="str">
        <f t="shared" si="17"/>
        <v/>
      </c>
      <c r="AU15" s="33"/>
      <c r="AV15" s="36" t="str">
        <f t="shared" si="18"/>
        <v/>
      </c>
      <c r="AW15" s="33"/>
      <c r="AX15" s="36" t="str">
        <f t="shared" si="19"/>
        <v/>
      </c>
      <c r="AY15" s="33"/>
      <c r="AZ15" s="36" t="str">
        <f t="shared" si="20"/>
        <v/>
      </c>
      <c r="BA15" s="23" t="s">
        <v>170</v>
      </c>
    </row>
    <row r="16" spans="1:53" ht="20" customHeight="1" x14ac:dyDescent="0.2">
      <c r="A16" s="60"/>
      <c r="B16" s="82"/>
      <c r="C16" s="24" t="s">
        <v>85</v>
      </c>
      <c r="D16" s="23" t="s">
        <v>43</v>
      </c>
      <c r="E16" s="23" t="s">
        <v>44</v>
      </c>
      <c r="F16" s="24">
        <v>1976</v>
      </c>
      <c r="G16" s="24">
        <v>179</v>
      </c>
      <c r="H16" s="89">
        <v>8</v>
      </c>
      <c r="I16" s="111" t="s">
        <v>336</v>
      </c>
      <c r="J16" s="86"/>
      <c r="K16" s="38">
        <v>5</v>
      </c>
      <c r="L16" s="39">
        <f t="shared" si="0"/>
        <v>62.5</v>
      </c>
      <c r="M16" s="38">
        <v>2</v>
      </c>
      <c r="N16" s="39">
        <f t="shared" si="1"/>
        <v>25</v>
      </c>
      <c r="O16" s="76">
        <v>1</v>
      </c>
      <c r="P16" s="36">
        <f t="shared" si="2"/>
        <v>12.5</v>
      </c>
      <c r="Q16" s="38">
        <v>2</v>
      </c>
      <c r="R16" s="39">
        <f t="shared" si="3"/>
        <v>25</v>
      </c>
      <c r="S16" s="38">
        <v>1</v>
      </c>
      <c r="T16" s="39">
        <f t="shared" si="4"/>
        <v>12.5</v>
      </c>
      <c r="U16" s="38">
        <v>1</v>
      </c>
      <c r="V16" s="39">
        <f t="shared" si="5"/>
        <v>12.5</v>
      </c>
      <c r="W16" s="38">
        <v>1</v>
      </c>
      <c r="X16" s="39">
        <f t="shared" si="6"/>
        <v>12.5</v>
      </c>
      <c r="Y16" s="38">
        <v>1</v>
      </c>
      <c r="Z16" s="39">
        <f t="shared" si="7"/>
        <v>12.5</v>
      </c>
      <c r="AA16" s="33"/>
      <c r="AB16" s="36" t="str">
        <f t="shared" si="8"/>
        <v/>
      </c>
      <c r="AC16" s="33"/>
      <c r="AD16" s="36" t="str">
        <f t="shared" si="9"/>
        <v/>
      </c>
      <c r="AE16" s="76"/>
      <c r="AF16" s="36" t="str">
        <f t="shared" si="10"/>
        <v/>
      </c>
      <c r="AG16" s="33"/>
      <c r="AH16" s="36" t="str">
        <f t="shared" si="11"/>
        <v/>
      </c>
      <c r="AI16" s="38">
        <v>1</v>
      </c>
      <c r="AJ16" s="39">
        <f t="shared" si="12"/>
        <v>12.5</v>
      </c>
      <c r="AK16" s="33"/>
      <c r="AL16" s="36" t="str">
        <f t="shared" si="13"/>
        <v/>
      </c>
      <c r="AM16" s="38">
        <v>1</v>
      </c>
      <c r="AN16" s="39">
        <f t="shared" si="14"/>
        <v>12.5</v>
      </c>
      <c r="AO16" s="33"/>
      <c r="AP16" s="36" t="str">
        <f t="shared" si="15"/>
        <v/>
      </c>
      <c r="AQ16" s="33"/>
      <c r="AR16" s="36" t="str">
        <f t="shared" si="16"/>
        <v/>
      </c>
      <c r="AS16" s="33"/>
      <c r="AT16" s="36" t="str">
        <f t="shared" si="17"/>
        <v/>
      </c>
      <c r="AU16" s="38"/>
      <c r="AV16" s="39" t="str">
        <f t="shared" si="18"/>
        <v/>
      </c>
      <c r="AW16" s="38"/>
      <c r="AX16" s="39" t="str">
        <f t="shared" si="19"/>
        <v/>
      </c>
      <c r="AY16" s="33"/>
      <c r="AZ16" s="36" t="str">
        <f t="shared" si="20"/>
        <v/>
      </c>
      <c r="BA16" s="23" t="s">
        <v>183</v>
      </c>
    </row>
    <row r="17" spans="1:53" ht="20" customHeight="1" x14ac:dyDescent="0.2">
      <c r="A17" s="60"/>
      <c r="B17" s="83"/>
      <c r="C17" s="24" t="s">
        <v>85</v>
      </c>
      <c r="D17" s="23" t="s">
        <v>255</v>
      </c>
      <c r="E17" s="23" t="s">
        <v>256</v>
      </c>
      <c r="F17" s="24">
        <v>2014</v>
      </c>
      <c r="H17" s="89">
        <v>48</v>
      </c>
      <c r="I17" s="85" t="s">
        <v>214</v>
      </c>
      <c r="J17" s="86" t="s">
        <v>337</v>
      </c>
      <c r="K17" s="33"/>
      <c r="L17" s="36" t="str">
        <f t="shared" si="0"/>
        <v/>
      </c>
      <c r="M17" s="38"/>
      <c r="N17" s="38" t="str">
        <f t="shared" si="1"/>
        <v/>
      </c>
      <c r="O17" s="76"/>
      <c r="P17" s="36" t="str">
        <f t="shared" si="2"/>
        <v/>
      </c>
      <c r="Q17" s="33"/>
      <c r="R17" s="36" t="str">
        <f t="shared" si="3"/>
        <v/>
      </c>
      <c r="S17" s="33"/>
      <c r="T17" s="36" t="str">
        <f t="shared" si="4"/>
        <v/>
      </c>
      <c r="U17" s="33"/>
      <c r="V17" s="36" t="str">
        <f t="shared" si="5"/>
        <v/>
      </c>
      <c r="W17" s="33"/>
      <c r="X17" s="36" t="str">
        <f t="shared" si="6"/>
        <v/>
      </c>
      <c r="Y17" s="33"/>
      <c r="Z17" s="36" t="str">
        <f t="shared" si="7"/>
        <v/>
      </c>
      <c r="AA17" s="38"/>
      <c r="AB17" s="38" t="str">
        <f t="shared" si="8"/>
        <v/>
      </c>
      <c r="AC17" s="33"/>
      <c r="AD17" s="36" t="str">
        <f t="shared" si="9"/>
        <v/>
      </c>
      <c r="AE17" s="76"/>
      <c r="AF17" s="36" t="str">
        <f t="shared" si="10"/>
        <v/>
      </c>
      <c r="AG17" s="33"/>
      <c r="AH17" s="36" t="str">
        <f t="shared" si="11"/>
        <v/>
      </c>
      <c r="AI17" s="33"/>
      <c r="AJ17" s="36" t="str">
        <f t="shared" si="12"/>
        <v/>
      </c>
      <c r="AK17" s="33"/>
      <c r="AL17" s="36" t="str">
        <f t="shared" si="13"/>
        <v/>
      </c>
      <c r="AM17" s="33"/>
      <c r="AN17" s="36" t="str">
        <f t="shared" si="14"/>
        <v/>
      </c>
      <c r="AO17" s="33"/>
      <c r="AP17" s="36" t="str">
        <f t="shared" si="15"/>
        <v/>
      </c>
      <c r="AQ17" s="33"/>
      <c r="AR17" s="36" t="str">
        <f t="shared" si="16"/>
        <v/>
      </c>
      <c r="AS17" s="33"/>
      <c r="AT17" s="36" t="str">
        <f t="shared" si="17"/>
        <v/>
      </c>
      <c r="AU17" s="33"/>
      <c r="AV17" s="36" t="str">
        <f t="shared" si="18"/>
        <v/>
      </c>
      <c r="AW17" s="33"/>
      <c r="AX17" s="36" t="str">
        <f t="shared" si="19"/>
        <v/>
      </c>
      <c r="AY17" s="33"/>
      <c r="AZ17" s="36" t="str">
        <f t="shared" si="20"/>
        <v/>
      </c>
      <c r="BA17" s="23" t="s">
        <v>400</v>
      </c>
    </row>
    <row r="18" spans="1:53" ht="20" customHeight="1" x14ac:dyDescent="0.2">
      <c r="A18" s="60"/>
      <c r="B18" s="83"/>
      <c r="C18" s="24" t="s">
        <v>85</v>
      </c>
      <c r="D18" s="23" t="s">
        <v>259</v>
      </c>
      <c r="E18" s="23" t="s">
        <v>260</v>
      </c>
      <c r="F18" s="24">
        <v>2012</v>
      </c>
      <c r="H18" s="89">
        <v>80</v>
      </c>
      <c r="I18" s="85" t="s">
        <v>214</v>
      </c>
      <c r="J18" s="86" t="s">
        <v>191</v>
      </c>
      <c r="K18" s="33"/>
      <c r="L18" s="36" t="str">
        <f t="shared" si="0"/>
        <v/>
      </c>
      <c r="M18" s="33"/>
      <c r="N18" s="36" t="str">
        <f t="shared" si="1"/>
        <v/>
      </c>
      <c r="O18" s="76"/>
      <c r="P18" s="36" t="str">
        <f t="shared" si="2"/>
        <v/>
      </c>
      <c r="Q18" s="33"/>
      <c r="R18" s="36" t="str">
        <f t="shared" si="3"/>
        <v/>
      </c>
      <c r="S18" s="33"/>
      <c r="T18" s="36" t="str">
        <f t="shared" si="4"/>
        <v/>
      </c>
      <c r="U18" s="33"/>
      <c r="V18" s="36" t="str">
        <f t="shared" si="5"/>
        <v/>
      </c>
      <c r="W18" s="33"/>
      <c r="X18" s="36" t="str">
        <f t="shared" si="6"/>
        <v/>
      </c>
      <c r="Y18" s="33"/>
      <c r="Z18" s="36" t="str">
        <f t="shared" si="7"/>
        <v/>
      </c>
      <c r="AA18" s="33"/>
      <c r="AB18" s="36" t="str">
        <f t="shared" si="8"/>
        <v/>
      </c>
      <c r="AC18" s="33"/>
      <c r="AD18" s="36" t="str">
        <f t="shared" si="9"/>
        <v/>
      </c>
      <c r="AE18" s="76"/>
      <c r="AF18" s="36" t="str">
        <f t="shared" si="10"/>
        <v/>
      </c>
      <c r="AG18" s="33"/>
      <c r="AH18" s="36" t="str">
        <f t="shared" si="11"/>
        <v/>
      </c>
      <c r="AI18" s="33"/>
      <c r="AJ18" s="36" t="str">
        <f t="shared" si="12"/>
        <v/>
      </c>
      <c r="AK18" s="33"/>
      <c r="AL18" s="36" t="str">
        <f t="shared" si="13"/>
        <v/>
      </c>
      <c r="AM18" s="33"/>
      <c r="AN18" s="36" t="str">
        <f t="shared" si="14"/>
        <v/>
      </c>
      <c r="AO18" s="33"/>
      <c r="AP18" s="36" t="str">
        <f t="shared" si="15"/>
        <v/>
      </c>
      <c r="AQ18" s="33"/>
      <c r="AR18" s="36" t="str">
        <f t="shared" si="16"/>
        <v/>
      </c>
      <c r="AS18" s="33"/>
      <c r="AT18" s="36" t="str">
        <f t="shared" si="17"/>
        <v/>
      </c>
      <c r="AU18" s="33"/>
      <c r="AV18" s="36" t="str">
        <f t="shared" si="18"/>
        <v/>
      </c>
      <c r="AW18" s="33"/>
      <c r="AX18" s="36" t="str">
        <f t="shared" si="19"/>
        <v/>
      </c>
      <c r="AY18" s="33"/>
      <c r="AZ18" s="36" t="str">
        <f t="shared" si="20"/>
        <v/>
      </c>
    </row>
    <row r="19" spans="1:53" ht="20" customHeight="1" x14ac:dyDescent="0.2">
      <c r="A19" s="60"/>
      <c r="B19" s="82"/>
      <c r="C19" s="24" t="s">
        <v>85</v>
      </c>
      <c r="D19" s="23" t="s">
        <v>261</v>
      </c>
      <c r="E19" s="23" t="s">
        <v>262</v>
      </c>
      <c r="F19" s="24">
        <v>2013</v>
      </c>
      <c r="H19" s="89">
        <v>12</v>
      </c>
      <c r="I19" s="85" t="s">
        <v>214</v>
      </c>
      <c r="J19" s="86" t="s">
        <v>338</v>
      </c>
      <c r="K19" s="33"/>
      <c r="L19" s="36" t="str">
        <f t="shared" si="0"/>
        <v/>
      </c>
      <c r="M19" s="33"/>
      <c r="N19" s="36" t="str">
        <f t="shared" si="1"/>
        <v/>
      </c>
      <c r="O19" s="40"/>
      <c r="P19" s="39" t="str">
        <f t="shared" si="2"/>
        <v/>
      </c>
      <c r="Q19" s="33"/>
      <c r="R19" s="36" t="str">
        <f t="shared" si="3"/>
        <v/>
      </c>
      <c r="S19" s="38"/>
      <c r="T19" s="39" t="str">
        <f t="shared" si="4"/>
        <v/>
      </c>
      <c r="U19" s="33"/>
      <c r="V19" s="36" t="str">
        <f t="shared" si="5"/>
        <v/>
      </c>
      <c r="W19" s="33"/>
      <c r="X19" s="36" t="str">
        <f t="shared" si="6"/>
        <v/>
      </c>
      <c r="Y19" s="33"/>
      <c r="Z19" s="36" t="str">
        <f t="shared" si="7"/>
        <v/>
      </c>
      <c r="AA19" s="33"/>
      <c r="AB19" s="36" t="str">
        <f t="shared" si="8"/>
        <v/>
      </c>
      <c r="AC19" s="33"/>
      <c r="AD19" s="36" t="str">
        <f t="shared" si="9"/>
        <v/>
      </c>
      <c r="AE19" s="76"/>
      <c r="AF19" s="36" t="str">
        <f t="shared" si="10"/>
        <v/>
      </c>
      <c r="AG19" s="33"/>
      <c r="AH19" s="36" t="str">
        <f t="shared" si="11"/>
        <v/>
      </c>
      <c r="AI19" s="33"/>
      <c r="AJ19" s="36" t="str">
        <f t="shared" si="12"/>
        <v/>
      </c>
      <c r="AK19" s="33"/>
      <c r="AL19" s="36" t="str">
        <f t="shared" si="13"/>
        <v/>
      </c>
      <c r="AM19" s="33"/>
      <c r="AN19" s="36" t="str">
        <f t="shared" si="14"/>
        <v/>
      </c>
      <c r="AO19" s="33"/>
      <c r="AP19" s="36" t="str">
        <f t="shared" si="15"/>
        <v/>
      </c>
      <c r="AQ19" s="33"/>
      <c r="AR19" s="36" t="str">
        <f t="shared" si="16"/>
        <v/>
      </c>
      <c r="AS19" s="33"/>
      <c r="AT19" s="36" t="str">
        <f t="shared" si="17"/>
        <v/>
      </c>
      <c r="AU19" s="33"/>
      <c r="AV19" s="36" t="str">
        <f t="shared" si="18"/>
        <v/>
      </c>
      <c r="AW19" s="33"/>
      <c r="AX19" s="36" t="str">
        <f t="shared" si="19"/>
        <v/>
      </c>
      <c r="AY19" s="33"/>
      <c r="AZ19" s="36" t="str">
        <f t="shared" si="20"/>
        <v/>
      </c>
      <c r="BA19" s="23" t="s">
        <v>401</v>
      </c>
    </row>
    <row r="20" spans="1:53" ht="20" customHeight="1" x14ac:dyDescent="0.2">
      <c r="A20" s="60"/>
      <c r="B20" s="82"/>
      <c r="C20" s="24" t="s">
        <v>85</v>
      </c>
      <c r="D20" s="23" t="s">
        <v>402</v>
      </c>
      <c r="E20" s="23" t="s">
        <v>403</v>
      </c>
      <c r="F20" s="24">
        <v>2013</v>
      </c>
      <c r="H20" s="89">
        <v>38</v>
      </c>
      <c r="I20" s="85" t="s">
        <v>404</v>
      </c>
      <c r="J20" s="86" t="s">
        <v>169</v>
      </c>
      <c r="K20" s="33"/>
      <c r="L20" s="36" t="str">
        <f t="shared" si="0"/>
        <v/>
      </c>
      <c r="M20" s="33"/>
      <c r="N20" s="36" t="str">
        <f t="shared" si="1"/>
        <v/>
      </c>
      <c r="O20" s="33"/>
      <c r="P20" s="36" t="str">
        <f t="shared" si="2"/>
        <v/>
      </c>
      <c r="Q20" s="33"/>
      <c r="R20" s="36" t="str">
        <f t="shared" si="3"/>
        <v/>
      </c>
      <c r="S20" s="33"/>
      <c r="T20" s="36" t="str">
        <f t="shared" si="4"/>
        <v/>
      </c>
      <c r="U20" s="33"/>
      <c r="V20" s="36" t="str">
        <f t="shared" si="5"/>
        <v/>
      </c>
      <c r="W20" s="33"/>
      <c r="X20" s="36" t="str">
        <f t="shared" si="6"/>
        <v/>
      </c>
      <c r="Y20" s="33"/>
      <c r="Z20" s="36" t="str">
        <f t="shared" si="7"/>
        <v/>
      </c>
      <c r="AA20" s="33"/>
      <c r="AB20" s="36" t="str">
        <f t="shared" si="8"/>
        <v/>
      </c>
      <c r="AC20" s="33"/>
      <c r="AD20" s="36" t="str">
        <f t="shared" si="9"/>
        <v/>
      </c>
      <c r="AE20" s="76">
        <v>37</v>
      </c>
      <c r="AF20" s="36">
        <f t="shared" si="10"/>
        <v>97.368421052631575</v>
      </c>
      <c r="AG20" s="33"/>
      <c r="AH20" s="36" t="str">
        <f t="shared" si="11"/>
        <v/>
      </c>
      <c r="AI20" s="33"/>
      <c r="AJ20" s="36" t="str">
        <f t="shared" si="12"/>
        <v/>
      </c>
      <c r="AK20" s="33"/>
      <c r="AL20" s="36" t="str">
        <f t="shared" si="13"/>
        <v/>
      </c>
      <c r="AM20" s="33"/>
      <c r="AN20" s="36" t="str">
        <f t="shared" si="14"/>
        <v/>
      </c>
      <c r="AO20" s="33"/>
      <c r="AP20" s="36" t="str">
        <f t="shared" si="15"/>
        <v/>
      </c>
      <c r="AQ20" s="33"/>
      <c r="AR20" s="36" t="str">
        <f t="shared" si="16"/>
        <v/>
      </c>
      <c r="AS20" s="33"/>
      <c r="AT20" s="36" t="str">
        <f t="shared" si="17"/>
        <v/>
      </c>
      <c r="AU20" s="33"/>
      <c r="AV20" s="36" t="str">
        <f t="shared" si="18"/>
        <v/>
      </c>
      <c r="AW20" s="33"/>
      <c r="AX20" s="36" t="str">
        <f t="shared" si="19"/>
        <v/>
      </c>
      <c r="AY20" s="33"/>
      <c r="AZ20" s="36" t="str">
        <f t="shared" si="20"/>
        <v/>
      </c>
      <c r="BA20" s="23" t="s">
        <v>412</v>
      </c>
    </row>
    <row r="21" spans="1:53" ht="20" customHeight="1" x14ac:dyDescent="0.2">
      <c r="A21" s="61"/>
      <c r="B21" s="83"/>
      <c r="C21" s="24" t="s">
        <v>85</v>
      </c>
      <c r="D21" s="23" t="s">
        <v>52</v>
      </c>
      <c r="E21" s="23" t="s">
        <v>53</v>
      </c>
      <c r="F21" s="24">
        <v>2001</v>
      </c>
      <c r="G21" s="24">
        <v>118</v>
      </c>
      <c r="H21" s="89">
        <v>20</v>
      </c>
      <c r="I21" s="85"/>
      <c r="J21" s="86" t="s">
        <v>188</v>
      </c>
      <c r="K21" s="33"/>
      <c r="L21" s="36" t="str">
        <f t="shared" si="0"/>
        <v/>
      </c>
      <c r="M21" s="33"/>
      <c r="N21" s="36" t="str">
        <f t="shared" si="1"/>
        <v/>
      </c>
      <c r="O21" s="76"/>
      <c r="P21" s="36" t="str">
        <f t="shared" si="2"/>
        <v/>
      </c>
      <c r="Q21" s="33"/>
      <c r="R21" s="36" t="str">
        <f t="shared" si="3"/>
        <v/>
      </c>
      <c r="S21" s="33"/>
      <c r="T21" s="36" t="str">
        <f t="shared" si="4"/>
        <v/>
      </c>
      <c r="U21" s="33"/>
      <c r="V21" s="36" t="str">
        <f t="shared" si="5"/>
        <v/>
      </c>
      <c r="W21" s="33"/>
      <c r="X21" s="36" t="str">
        <f t="shared" si="6"/>
        <v/>
      </c>
      <c r="Y21" s="33"/>
      <c r="Z21" s="36" t="str">
        <f t="shared" si="7"/>
        <v/>
      </c>
      <c r="AA21" s="33"/>
      <c r="AB21" s="36" t="str">
        <f t="shared" si="8"/>
        <v/>
      </c>
      <c r="AC21" s="33"/>
      <c r="AD21" s="36" t="str">
        <f t="shared" si="9"/>
        <v/>
      </c>
      <c r="AE21" s="76"/>
      <c r="AF21" s="36" t="str">
        <f t="shared" si="10"/>
        <v/>
      </c>
      <c r="AG21" s="33"/>
      <c r="AH21" s="36" t="str">
        <f t="shared" si="11"/>
        <v/>
      </c>
      <c r="AI21" s="33"/>
      <c r="AJ21" s="36" t="str">
        <f t="shared" si="12"/>
        <v/>
      </c>
      <c r="AK21" s="33"/>
      <c r="AL21" s="36" t="str">
        <f t="shared" si="13"/>
        <v/>
      </c>
      <c r="AM21" s="33"/>
      <c r="AN21" s="36" t="str">
        <f t="shared" si="14"/>
        <v/>
      </c>
      <c r="AO21" s="33"/>
      <c r="AP21" s="36" t="str">
        <f t="shared" si="15"/>
        <v/>
      </c>
      <c r="AQ21" s="33"/>
      <c r="AR21" s="36" t="str">
        <f t="shared" si="16"/>
        <v/>
      </c>
      <c r="AS21" s="33"/>
      <c r="AT21" s="36" t="str">
        <f t="shared" si="17"/>
        <v/>
      </c>
      <c r="AU21" s="33"/>
      <c r="AV21" s="36" t="str">
        <f t="shared" si="18"/>
        <v/>
      </c>
      <c r="AW21" s="33"/>
      <c r="AX21" s="36" t="str">
        <f t="shared" si="19"/>
        <v/>
      </c>
      <c r="AY21" s="33"/>
      <c r="AZ21" s="36" t="str">
        <f t="shared" si="20"/>
        <v/>
      </c>
      <c r="BA21" s="23" t="s">
        <v>180</v>
      </c>
    </row>
    <row r="22" spans="1:53" ht="20" customHeight="1" x14ac:dyDescent="0.2">
      <c r="A22" s="60"/>
      <c r="B22" s="82"/>
      <c r="C22" s="24" t="s">
        <v>85</v>
      </c>
      <c r="D22" s="23" t="s">
        <v>267</v>
      </c>
      <c r="E22" s="23" t="s">
        <v>268</v>
      </c>
      <c r="F22" s="24">
        <v>1994</v>
      </c>
      <c r="H22" s="89">
        <v>20</v>
      </c>
      <c r="I22" s="85" t="s">
        <v>340</v>
      </c>
      <c r="J22" s="86"/>
      <c r="K22" s="33"/>
      <c r="L22" s="36" t="str">
        <f t="shared" si="0"/>
        <v/>
      </c>
      <c r="M22" s="33"/>
      <c r="N22" s="36" t="str">
        <f t="shared" si="1"/>
        <v/>
      </c>
      <c r="O22" s="40"/>
      <c r="P22" s="39" t="str">
        <f t="shared" si="2"/>
        <v/>
      </c>
      <c r="Q22" s="33"/>
      <c r="R22" s="36" t="str">
        <f t="shared" si="3"/>
        <v/>
      </c>
      <c r="S22" s="38"/>
      <c r="T22" s="39" t="str">
        <f t="shared" si="4"/>
        <v/>
      </c>
      <c r="U22" s="38"/>
      <c r="V22" s="39" t="str">
        <f t="shared" si="5"/>
        <v/>
      </c>
      <c r="W22" s="33"/>
      <c r="X22" s="36" t="str">
        <f t="shared" si="6"/>
        <v/>
      </c>
      <c r="Y22" s="33"/>
      <c r="Z22" s="36" t="str">
        <f t="shared" si="7"/>
        <v/>
      </c>
      <c r="AA22" s="33"/>
      <c r="AB22" s="36" t="str">
        <f t="shared" si="8"/>
        <v/>
      </c>
      <c r="AC22" s="33"/>
      <c r="AD22" s="36" t="str">
        <f t="shared" si="9"/>
        <v/>
      </c>
      <c r="AE22" s="76"/>
      <c r="AF22" s="36" t="str">
        <f t="shared" si="10"/>
        <v/>
      </c>
      <c r="AG22" s="33"/>
      <c r="AH22" s="36" t="str">
        <f t="shared" si="11"/>
        <v/>
      </c>
      <c r="AI22" s="33"/>
      <c r="AJ22" s="36" t="str">
        <f t="shared" si="12"/>
        <v/>
      </c>
      <c r="AK22" s="33"/>
      <c r="AL22" s="36" t="str">
        <f t="shared" si="13"/>
        <v/>
      </c>
      <c r="AM22" s="33"/>
      <c r="AN22" s="36" t="str">
        <f t="shared" si="14"/>
        <v/>
      </c>
      <c r="AO22" s="33"/>
      <c r="AP22" s="36" t="str">
        <f t="shared" si="15"/>
        <v/>
      </c>
      <c r="AQ22" s="33"/>
      <c r="AR22" s="36" t="str">
        <f t="shared" si="16"/>
        <v/>
      </c>
      <c r="AS22" s="33"/>
      <c r="AT22" s="36" t="str">
        <f t="shared" si="17"/>
        <v/>
      </c>
      <c r="AU22" s="33"/>
      <c r="AV22" s="36" t="str">
        <f t="shared" si="18"/>
        <v/>
      </c>
      <c r="AW22" s="33"/>
      <c r="AX22" s="36" t="str">
        <f t="shared" si="19"/>
        <v/>
      </c>
      <c r="AY22" s="33"/>
      <c r="AZ22" s="36" t="str">
        <f t="shared" si="20"/>
        <v/>
      </c>
      <c r="BA22" s="23" t="s">
        <v>405</v>
      </c>
    </row>
    <row r="23" spans="1:53" ht="20" customHeight="1" x14ac:dyDescent="0.2">
      <c r="A23" s="60"/>
      <c r="B23" s="83"/>
      <c r="C23" s="24" t="s">
        <v>85</v>
      </c>
      <c r="D23" s="23" t="s">
        <v>341</v>
      </c>
      <c r="E23" s="23" t="s">
        <v>342</v>
      </c>
      <c r="F23" s="24">
        <v>2008</v>
      </c>
      <c r="H23" s="89">
        <v>16</v>
      </c>
      <c r="I23" s="85" t="s">
        <v>176</v>
      </c>
      <c r="J23" s="86" t="s">
        <v>343</v>
      </c>
      <c r="K23" s="33"/>
      <c r="L23" s="36" t="str">
        <f t="shared" si="0"/>
        <v/>
      </c>
      <c r="M23" s="33"/>
      <c r="N23" s="36" t="str">
        <f t="shared" si="1"/>
        <v/>
      </c>
      <c r="O23" s="76"/>
      <c r="P23" s="36" t="str">
        <f t="shared" si="2"/>
        <v/>
      </c>
      <c r="Q23" s="33"/>
      <c r="R23" s="36" t="str">
        <f t="shared" si="3"/>
        <v/>
      </c>
      <c r="S23" s="33"/>
      <c r="T23" s="36" t="str">
        <f t="shared" si="4"/>
        <v/>
      </c>
      <c r="U23" s="33"/>
      <c r="V23" s="36" t="str">
        <f t="shared" si="5"/>
        <v/>
      </c>
      <c r="W23" s="33"/>
      <c r="X23" s="36" t="str">
        <f t="shared" si="6"/>
        <v/>
      </c>
      <c r="Y23" s="33"/>
      <c r="Z23" s="36" t="str">
        <f t="shared" si="7"/>
        <v/>
      </c>
      <c r="AA23" s="33"/>
      <c r="AB23" s="36" t="str">
        <f t="shared" si="8"/>
        <v/>
      </c>
      <c r="AC23" s="33"/>
      <c r="AD23" s="36" t="str">
        <f t="shared" si="9"/>
        <v/>
      </c>
      <c r="AE23" s="76"/>
      <c r="AF23" s="36" t="str">
        <f t="shared" si="10"/>
        <v/>
      </c>
      <c r="AG23" s="33"/>
      <c r="AH23" s="36" t="str">
        <f t="shared" si="11"/>
        <v/>
      </c>
      <c r="AI23" s="33"/>
      <c r="AJ23" s="36" t="str">
        <f t="shared" si="12"/>
        <v/>
      </c>
      <c r="AK23" s="33"/>
      <c r="AL23" s="36" t="str">
        <f t="shared" si="13"/>
        <v/>
      </c>
      <c r="AM23" s="33"/>
      <c r="AN23" s="36" t="str">
        <f t="shared" si="14"/>
        <v/>
      </c>
      <c r="AO23" s="33"/>
      <c r="AP23" s="36" t="str">
        <f t="shared" si="15"/>
        <v/>
      </c>
      <c r="AQ23" s="33"/>
      <c r="AR23" s="36" t="str">
        <f t="shared" si="16"/>
        <v/>
      </c>
      <c r="AS23" s="33"/>
      <c r="AT23" s="36" t="str">
        <f t="shared" si="17"/>
        <v/>
      </c>
      <c r="AU23" s="33"/>
      <c r="AV23" s="36" t="str">
        <f t="shared" si="18"/>
        <v/>
      </c>
      <c r="AW23" s="33"/>
      <c r="AX23" s="36" t="str">
        <f t="shared" si="19"/>
        <v/>
      </c>
      <c r="AY23" s="33"/>
      <c r="AZ23" s="36" t="str">
        <f t="shared" si="20"/>
        <v/>
      </c>
      <c r="BA23" s="23" t="s">
        <v>413</v>
      </c>
    </row>
    <row r="24" spans="1:53" ht="20" customHeight="1" x14ac:dyDescent="0.2">
      <c r="A24" s="60"/>
      <c r="B24" s="82"/>
      <c r="C24" s="24" t="s">
        <v>85</v>
      </c>
      <c r="D24" s="23" t="s">
        <v>54</v>
      </c>
      <c r="E24" s="23" t="s">
        <v>55</v>
      </c>
      <c r="F24" s="24">
        <v>1996</v>
      </c>
      <c r="G24" s="24">
        <v>82</v>
      </c>
      <c r="H24" s="89">
        <v>15</v>
      </c>
      <c r="I24" s="85" t="s">
        <v>176</v>
      </c>
      <c r="J24" s="86" t="s">
        <v>178</v>
      </c>
      <c r="K24" s="33"/>
      <c r="L24" s="36" t="str">
        <f t="shared" si="0"/>
        <v/>
      </c>
      <c r="M24" s="33">
        <v>1</v>
      </c>
      <c r="N24" s="36">
        <f t="shared" si="1"/>
        <v>6.666666666666667</v>
      </c>
      <c r="O24" s="76">
        <v>1</v>
      </c>
      <c r="P24" s="36">
        <f t="shared" si="2"/>
        <v>6.666666666666667</v>
      </c>
      <c r="Q24" s="33"/>
      <c r="R24" s="36" t="str">
        <f t="shared" si="3"/>
        <v/>
      </c>
      <c r="S24" s="33"/>
      <c r="T24" s="36" t="str">
        <f t="shared" si="4"/>
        <v/>
      </c>
      <c r="U24" s="33"/>
      <c r="V24" s="36" t="str">
        <f t="shared" si="5"/>
        <v/>
      </c>
      <c r="W24" s="33"/>
      <c r="X24" s="36" t="str">
        <f t="shared" si="6"/>
        <v/>
      </c>
      <c r="Y24" s="33"/>
      <c r="Z24" s="36" t="str">
        <f t="shared" si="7"/>
        <v/>
      </c>
      <c r="AA24" s="33">
        <v>3</v>
      </c>
      <c r="AB24" s="36">
        <f t="shared" si="8"/>
        <v>20</v>
      </c>
      <c r="AC24" s="33"/>
      <c r="AD24" s="36" t="str">
        <f t="shared" si="9"/>
        <v/>
      </c>
      <c r="AE24" s="76"/>
      <c r="AF24" s="36" t="str">
        <f t="shared" si="10"/>
        <v/>
      </c>
      <c r="AG24" s="33">
        <v>1</v>
      </c>
      <c r="AH24" s="36">
        <f t="shared" si="11"/>
        <v>6.666666666666667</v>
      </c>
      <c r="AI24" s="33"/>
      <c r="AJ24" s="36" t="str">
        <f t="shared" si="12"/>
        <v/>
      </c>
      <c r="AK24" s="33"/>
      <c r="AL24" s="36" t="str">
        <f t="shared" si="13"/>
        <v/>
      </c>
      <c r="AM24" s="33"/>
      <c r="AN24" s="36" t="str">
        <f t="shared" si="14"/>
        <v/>
      </c>
      <c r="AO24" s="33"/>
      <c r="AP24" s="36" t="str">
        <f t="shared" si="15"/>
        <v/>
      </c>
      <c r="AQ24" s="33"/>
      <c r="AR24" s="36" t="str">
        <f t="shared" si="16"/>
        <v/>
      </c>
      <c r="AS24" s="33"/>
      <c r="AT24" s="36" t="str">
        <f t="shared" si="17"/>
        <v/>
      </c>
      <c r="AU24" s="33"/>
      <c r="AV24" s="36" t="str">
        <f t="shared" si="18"/>
        <v/>
      </c>
      <c r="AW24" s="33"/>
      <c r="AX24" s="36" t="str">
        <f t="shared" si="19"/>
        <v/>
      </c>
      <c r="AY24" s="33"/>
      <c r="AZ24" s="36" t="str">
        <f t="shared" si="20"/>
        <v/>
      </c>
      <c r="BA24" s="23" t="s">
        <v>344</v>
      </c>
    </row>
    <row r="25" spans="1:53" ht="20" customHeight="1" x14ac:dyDescent="0.2">
      <c r="A25" s="61"/>
      <c r="B25" s="84"/>
      <c r="C25" s="24" t="s">
        <v>85</v>
      </c>
      <c r="D25" s="23" t="s">
        <v>57</v>
      </c>
      <c r="E25" s="23" t="s">
        <v>58</v>
      </c>
      <c r="F25" s="24">
        <v>2006</v>
      </c>
      <c r="G25" s="24">
        <v>132</v>
      </c>
      <c r="H25" s="89">
        <v>7</v>
      </c>
      <c r="I25" s="85" t="s">
        <v>176</v>
      </c>
      <c r="J25" s="86" t="s">
        <v>169</v>
      </c>
      <c r="K25" s="33"/>
      <c r="L25" s="36" t="str">
        <f t="shared" si="0"/>
        <v/>
      </c>
      <c r="M25" s="33"/>
      <c r="N25" s="36" t="str">
        <f t="shared" si="1"/>
        <v/>
      </c>
      <c r="O25" s="76"/>
      <c r="P25" s="36" t="str">
        <f t="shared" si="2"/>
        <v/>
      </c>
      <c r="Q25" s="33"/>
      <c r="R25" s="36" t="str">
        <f t="shared" si="3"/>
        <v/>
      </c>
      <c r="S25" s="33"/>
      <c r="T25" s="36" t="str">
        <f t="shared" si="4"/>
        <v/>
      </c>
      <c r="U25" s="33"/>
      <c r="V25" s="36" t="str">
        <f t="shared" si="5"/>
        <v/>
      </c>
      <c r="W25" s="33"/>
      <c r="X25" s="36" t="str">
        <f t="shared" si="6"/>
        <v/>
      </c>
      <c r="Y25" s="33"/>
      <c r="Z25" s="36" t="str">
        <f t="shared" si="7"/>
        <v/>
      </c>
      <c r="AA25" s="33"/>
      <c r="AB25" s="36" t="str">
        <f t="shared" si="8"/>
        <v/>
      </c>
      <c r="AC25" s="33"/>
      <c r="AD25" s="36" t="str">
        <f t="shared" si="9"/>
        <v/>
      </c>
      <c r="AE25" s="76"/>
      <c r="AF25" s="36" t="str">
        <f t="shared" si="10"/>
        <v/>
      </c>
      <c r="AG25" s="33"/>
      <c r="AH25" s="36" t="str">
        <f t="shared" si="11"/>
        <v/>
      </c>
      <c r="AI25" s="33"/>
      <c r="AJ25" s="36" t="str">
        <f t="shared" si="12"/>
        <v/>
      </c>
      <c r="AK25" s="33"/>
      <c r="AL25" s="36" t="str">
        <f t="shared" si="13"/>
        <v/>
      </c>
      <c r="AM25" s="33"/>
      <c r="AN25" s="36" t="str">
        <f t="shared" si="14"/>
        <v/>
      </c>
      <c r="AO25" s="33"/>
      <c r="AP25" s="36" t="str">
        <f t="shared" si="15"/>
        <v/>
      </c>
      <c r="AQ25" s="33"/>
      <c r="AR25" s="36" t="str">
        <f t="shared" si="16"/>
        <v/>
      </c>
      <c r="AS25" s="33"/>
      <c r="AT25" s="36" t="str">
        <f t="shared" si="17"/>
        <v/>
      </c>
      <c r="AU25" s="33"/>
      <c r="AV25" s="36" t="str">
        <f t="shared" si="18"/>
        <v/>
      </c>
      <c r="AW25" s="33"/>
      <c r="AX25" s="36" t="str">
        <f t="shared" si="19"/>
        <v/>
      </c>
      <c r="AY25" s="33"/>
      <c r="AZ25" s="36" t="str">
        <f t="shared" si="20"/>
        <v/>
      </c>
      <c r="BA25" s="23" t="s">
        <v>481</v>
      </c>
    </row>
    <row r="26" spans="1:53" ht="20" customHeight="1" x14ac:dyDescent="0.2">
      <c r="A26" s="60"/>
      <c r="B26" s="83"/>
      <c r="C26" s="24" t="s">
        <v>85</v>
      </c>
      <c r="D26" s="23" t="s">
        <v>59</v>
      </c>
      <c r="E26" s="23" t="s">
        <v>60</v>
      </c>
      <c r="F26" s="24">
        <v>2009</v>
      </c>
      <c r="G26" s="24">
        <v>49</v>
      </c>
      <c r="H26" s="89">
        <v>22</v>
      </c>
      <c r="I26" s="85" t="s">
        <v>176</v>
      </c>
      <c r="J26" s="86" t="s">
        <v>189</v>
      </c>
      <c r="K26" s="33"/>
      <c r="L26" s="36" t="str">
        <f t="shared" si="0"/>
        <v/>
      </c>
      <c r="M26" s="33"/>
      <c r="N26" s="36" t="str">
        <f t="shared" si="1"/>
        <v/>
      </c>
      <c r="O26" s="76"/>
      <c r="P26" s="36" t="str">
        <f t="shared" si="2"/>
        <v/>
      </c>
      <c r="Q26" s="33"/>
      <c r="R26" s="36" t="str">
        <f t="shared" si="3"/>
        <v/>
      </c>
      <c r="S26" s="33"/>
      <c r="T26" s="36" t="str">
        <f t="shared" si="4"/>
        <v/>
      </c>
      <c r="U26" s="33"/>
      <c r="V26" s="36" t="str">
        <f t="shared" si="5"/>
        <v/>
      </c>
      <c r="W26" s="33"/>
      <c r="X26" s="36" t="str">
        <f t="shared" si="6"/>
        <v/>
      </c>
      <c r="Y26" s="33"/>
      <c r="Z26" s="36" t="str">
        <f t="shared" si="7"/>
        <v/>
      </c>
      <c r="AA26" s="33"/>
      <c r="AB26" s="36" t="str">
        <f t="shared" si="8"/>
        <v/>
      </c>
      <c r="AC26" s="33"/>
      <c r="AD26" s="36" t="str">
        <f t="shared" si="9"/>
        <v/>
      </c>
      <c r="AE26" s="76"/>
      <c r="AF26" s="36" t="str">
        <f t="shared" si="10"/>
        <v/>
      </c>
      <c r="AG26" s="33"/>
      <c r="AH26" s="36" t="str">
        <f t="shared" si="11"/>
        <v/>
      </c>
      <c r="AI26" s="33"/>
      <c r="AJ26" s="36" t="str">
        <f t="shared" si="12"/>
        <v/>
      </c>
      <c r="AK26" s="33"/>
      <c r="AL26" s="36" t="str">
        <f t="shared" si="13"/>
        <v/>
      </c>
      <c r="AM26" s="33"/>
      <c r="AN26" s="36" t="str">
        <f t="shared" si="14"/>
        <v/>
      </c>
      <c r="AO26" s="33"/>
      <c r="AP26" s="36" t="str">
        <f t="shared" si="15"/>
        <v/>
      </c>
      <c r="AQ26" s="33"/>
      <c r="AR26" s="36" t="str">
        <f t="shared" si="16"/>
        <v/>
      </c>
      <c r="AS26" s="33"/>
      <c r="AT26" s="36" t="str">
        <f t="shared" si="17"/>
        <v/>
      </c>
      <c r="AU26" s="33"/>
      <c r="AV26" s="36" t="str">
        <f t="shared" si="18"/>
        <v/>
      </c>
      <c r="AW26" s="33"/>
      <c r="AX26" s="36" t="str">
        <f t="shared" si="19"/>
        <v/>
      </c>
      <c r="AY26" s="33"/>
      <c r="AZ26" s="36" t="str">
        <f t="shared" si="20"/>
        <v/>
      </c>
      <c r="BA26" s="23" t="s">
        <v>406</v>
      </c>
    </row>
    <row r="27" spans="1:53" ht="20" customHeight="1" x14ac:dyDescent="0.2">
      <c r="A27" s="60"/>
      <c r="B27" s="82"/>
      <c r="C27" s="24" t="s">
        <v>85</v>
      </c>
      <c r="D27" s="23" t="s">
        <v>273</v>
      </c>
      <c r="E27" s="23" t="s">
        <v>274</v>
      </c>
      <c r="F27" s="24">
        <v>2014</v>
      </c>
      <c r="H27" s="89">
        <v>39</v>
      </c>
      <c r="I27" s="85" t="s">
        <v>407</v>
      </c>
      <c r="J27" s="86" t="s">
        <v>343</v>
      </c>
      <c r="K27" s="33"/>
      <c r="L27" s="36" t="str">
        <f t="shared" si="0"/>
        <v/>
      </c>
      <c r="M27" s="33">
        <v>22</v>
      </c>
      <c r="N27" s="36">
        <f t="shared" si="1"/>
        <v>56.410256410256409</v>
      </c>
      <c r="O27" s="76"/>
      <c r="P27" s="36" t="str">
        <f t="shared" si="2"/>
        <v/>
      </c>
      <c r="Q27" s="33"/>
      <c r="R27" s="36" t="str">
        <f t="shared" si="3"/>
        <v/>
      </c>
      <c r="S27" s="33">
        <v>22</v>
      </c>
      <c r="T27" s="36">
        <f t="shared" si="4"/>
        <v>56.410256410256409</v>
      </c>
      <c r="U27" s="33">
        <v>23</v>
      </c>
      <c r="V27" s="36">
        <f t="shared" si="5"/>
        <v>58.974358974358978</v>
      </c>
      <c r="W27" s="33"/>
      <c r="X27" s="36" t="str">
        <f t="shared" si="6"/>
        <v/>
      </c>
      <c r="Y27" s="33"/>
      <c r="Z27" s="36" t="str">
        <f t="shared" si="7"/>
        <v/>
      </c>
      <c r="AA27" s="33"/>
      <c r="AB27" s="36" t="str">
        <f t="shared" si="8"/>
        <v/>
      </c>
      <c r="AC27" s="33">
        <v>8</v>
      </c>
      <c r="AD27" s="36">
        <f t="shared" si="9"/>
        <v>20.512820512820511</v>
      </c>
      <c r="AE27" s="76"/>
      <c r="AF27" s="36" t="str">
        <f t="shared" si="10"/>
        <v/>
      </c>
      <c r="AG27" s="33"/>
      <c r="AH27" s="36" t="str">
        <f t="shared" si="11"/>
        <v/>
      </c>
      <c r="AI27" s="33"/>
      <c r="AJ27" s="36" t="str">
        <f t="shared" si="12"/>
        <v/>
      </c>
      <c r="AK27" s="33">
        <v>3</v>
      </c>
      <c r="AL27" s="36">
        <f t="shared" si="13"/>
        <v>7.6923076923076925</v>
      </c>
      <c r="AM27" s="33"/>
      <c r="AN27" s="36" t="str">
        <f t="shared" si="14"/>
        <v/>
      </c>
      <c r="AO27" s="33"/>
      <c r="AP27" s="36" t="str">
        <f t="shared" si="15"/>
        <v/>
      </c>
      <c r="AQ27" s="33"/>
      <c r="AR27" s="36" t="str">
        <f t="shared" si="16"/>
        <v/>
      </c>
      <c r="AS27" s="33"/>
      <c r="AT27" s="36" t="str">
        <f t="shared" si="17"/>
        <v/>
      </c>
      <c r="AU27" s="33"/>
      <c r="AV27" s="36" t="str">
        <f t="shared" si="18"/>
        <v/>
      </c>
      <c r="AW27" s="33"/>
      <c r="AX27" s="36" t="str">
        <f t="shared" si="19"/>
        <v/>
      </c>
      <c r="AY27" s="33"/>
      <c r="AZ27" s="36" t="str">
        <f t="shared" si="20"/>
        <v/>
      </c>
      <c r="BA27" s="23" t="s">
        <v>349</v>
      </c>
    </row>
    <row r="28" spans="1:53" ht="20" customHeight="1" x14ac:dyDescent="0.2">
      <c r="A28" s="60"/>
      <c r="B28" s="24"/>
      <c r="C28" s="24" t="s">
        <v>85</v>
      </c>
      <c r="D28" s="23" t="s">
        <v>275</v>
      </c>
      <c r="E28" s="23" t="s">
        <v>276</v>
      </c>
      <c r="F28" s="24">
        <v>2015</v>
      </c>
      <c r="H28" s="89">
        <v>8</v>
      </c>
      <c r="I28" s="85" t="s">
        <v>214</v>
      </c>
      <c r="J28" s="86" t="s">
        <v>350</v>
      </c>
      <c r="K28" s="33"/>
      <c r="L28" s="36" t="str">
        <f t="shared" si="0"/>
        <v/>
      </c>
      <c r="M28" s="33"/>
      <c r="N28" s="36" t="str">
        <f t="shared" si="1"/>
        <v/>
      </c>
      <c r="O28" s="76"/>
      <c r="P28" s="36" t="str">
        <f t="shared" si="2"/>
        <v/>
      </c>
      <c r="Q28" s="33"/>
      <c r="R28" s="36" t="str">
        <f t="shared" si="3"/>
        <v/>
      </c>
      <c r="S28" s="33">
        <v>2</v>
      </c>
      <c r="T28" s="36">
        <f t="shared" si="4"/>
        <v>25</v>
      </c>
      <c r="U28" s="33"/>
      <c r="V28" s="36" t="str">
        <f t="shared" si="5"/>
        <v/>
      </c>
      <c r="W28" s="33"/>
      <c r="X28" s="36" t="str">
        <f t="shared" si="6"/>
        <v/>
      </c>
      <c r="Y28" s="33"/>
      <c r="Z28" s="36" t="str">
        <f t="shared" si="7"/>
        <v/>
      </c>
      <c r="AA28" s="33"/>
      <c r="AB28" s="36" t="str">
        <f t="shared" si="8"/>
        <v/>
      </c>
      <c r="AC28" s="33"/>
      <c r="AD28" s="36" t="str">
        <f t="shared" si="9"/>
        <v/>
      </c>
      <c r="AE28" s="76"/>
      <c r="AF28" s="36" t="str">
        <f t="shared" si="10"/>
        <v/>
      </c>
      <c r="AG28" s="33"/>
      <c r="AH28" s="36" t="str">
        <f t="shared" si="11"/>
        <v/>
      </c>
      <c r="AI28" s="33"/>
      <c r="AJ28" s="36" t="str">
        <f t="shared" si="12"/>
        <v/>
      </c>
      <c r="AK28" s="33"/>
      <c r="AL28" s="36" t="str">
        <f t="shared" si="13"/>
        <v/>
      </c>
      <c r="AM28" s="33"/>
      <c r="AN28" s="36" t="str">
        <f t="shared" si="14"/>
        <v/>
      </c>
      <c r="AO28" s="33"/>
      <c r="AP28" s="36" t="str">
        <f t="shared" si="15"/>
        <v/>
      </c>
      <c r="AQ28" s="33"/>
      <c r="AR28" s="36" t="str">
        <f t="shared" si="16"/>
        <v/>
      </c>
      <c r="AS28" s="33"/>
      <c r="AT28" s="36" t="str">
        <f t="shared" si="17"/>
        <v/>
      </c>
      <c r="AU28" s="33"/>
      <c r="AV28" s="36" t="str">
        <f t="shared" si="18"/>
        <v/>
      </c>
      <c r="AW28" s="33"/>
      <c r="AX28" s="36" t="str">
        <f t="shared" si="19"/>
        <v/>
      </c>
      <c r="AY28" s="33"/>
      <c r="AZ28" s="36" t="str">
        <f t="shared" si="20"/>
        <v/>
      </c>
      <c r="BA28" s="23" t="s">
        <v>408</v>
      </c>
    </row>
    <row r="29" spans="1:53" ht="20" customHeight="1" x14ac:dyDescent="0.2">
      <c r="A29" s="61"/>
      <c r="B29" s="82"/>
      <c r="C29" s="24" t="s">
        <v>85</v>
      </c>
      <c r="D29" s="23" t="s">
        <v>277</v>
      </c>
      <c r="E29" s="23" t="s">
        <v>278</v>
      </c>
      <c r="F29" s="24">
        <v>2001</v>
      </c>
      <c r="H29" s="89">
        <v>9</v>
      </c>
      <c r="I29" s="85"/>
      <c r="J29" s="86" t="s">
        <v>351</v>
      </c>
      <c r="K29" s="33"/>
      <c r="L29" s="36" t="str">
        <f t="shared" si="0"/>
        <v/>
      </c>
      <c r="M29" s="33"/>
      <c r="N29" s="36" t="str">
        <f t="shared" si="1"/>
        <v/>
      </c>
      <c r="O29" s="40"/>
      <c r="P29" s="39" t="str">
        <f t="shared" si="2"/>
        <v/>
      </c>
      <c r="Q29" s="33"/>
      <c r="R29" s="36" t="str">
        <f t="shared" si="3"/>
        <v/>
      </c>
      <c r="S29" s="33"/>
      <c r="T29" s="36" t="str">
        <f t="shared" si="4"/>
        <v/>
      </c>
      <c r="U29" s="33"/>
      <c r="V29" s="36" t="str">
        <f t="shared" si="5"/>
        <v/>
      </c>
      <c r="W29" s="33"/>
      <c r="X29" s="36" t="str">
        <f t="shared" si="6"/>
        <v/>
      </c>
      <c r="Y29" s="33"/>
      <c r="Z29" s="36" t="str">
        <f t="shared" si="7"/>
        <v/>
      </c>
      <c r="AA29" s="33"/>
      <c r="AB29" s="36" t="str">
        <f t="shared" si="8"/>
        <v/>
      </c>
      <c r="AC29" s="33"/>
      <c r="AD29" s="36" t="str">
        <f t="shared" si="9"/>
        <v/>
      </c>
      <c r="AE29" s="76"/>
      <c r="AF29" s="36" t="str">
        <f t="shared" si="10"/>
        <v/>
      </c>
      <c r="AG29" s="33"/>
      <c r="AH29" s="36" t="str">
        <f t="shared" si="11"/>
        <v/>
      </c>
      <c r="AI29" s="33"/>
      <c r="AJ29" s="36" t="str">
        <f t="shared" si="12"/>
        <v/>
      </c>
      <c r="AK29" s="33"/>
      <c r="AL29" s="36" t="str">
        <f t="shared" si="13"/>
        <v/>
      </c>
      <c r="AM29" s="33"/>
      <c r="AN29" s="36" t="str">
        <f t="shared" si="14"/>
        <v/>
      </c>
      <c r="AO29" s="33"/>
      <c r="AP29" s="36" t="str">
        <f t="shared" si="15"/>
        <v/>
      </c>
      <c r="AQ29" s="33"/>
      <c r="AR29" s="36" t="str">
        <f t="shared" si="16"/>
        <v/>
      </c>
      <c r="AS29" s="33"/>
      <c r="AT29" s="36" t="str">
        <f t="shared" si="17"/>
        <v/>
      </c>
      <c r="AU29" s="33"/>
      <c r="AV29" s="36" t="str">
        <f t="shared" si="18"/>
        <v/>
      </c>
      <c r="AW29" s="33"/>
      <c r="AX29" s="36" t="str">
        <f t="shared" si="19"/>
        <v/>
      </c>
      <c r="AY29" s="33"/>
      <c r="AZ29" s="36" t="str">
        <f t="shared" si="20"/>
        <v/>
      </c>
      <c r="BA29" s="23" t="s">
        <v>352</v>
      </c>
    </row>
    <row r="30" spans="1:53" ht="20" customHeight="1" x14ac:dyDescent="0.2">
      <c r="A30" s="60"/>
      <c r="B30" s="82"/>
      <c r="C30" s="24" t="s">
        <v>85</v>
      </c>
      <c r="D30" s="23" t="s">
        <v>63</v>
      </c>
      <c r="E30" s="23" t="s">
        <v>64</v>
      </c>
      <c r="F30" s="24">
        <v>2012</v>
      </c>
      <c r="G30" s="24">
        <v>83</v>
      </c>
      <c r="H30" s="89">
        <v>70</v>
      </c>
      <c r="I30" s="85" t="s">
        <v>182</v>
      </c>
      <c r="J30" s="86" t="s">
        <v>191</v>
      </c>
      <c r="K30" s="33"/>
      <c r="L30" s="36" t="str">
        <f t="shared" si="0"/>
        <v/>
      </c>
      <c r="M30" s="33"/>
      <c r="N30" s="36" t="str">
        <f t="shared" si="1"/>
        <v/>
      </c>
      <c r="O30" s="76">
        <v>31</v>
      </c>
      <c r="P30" s="36">
        <f t="shared" si="2"/>
        <v>44.285714285714285</v>
      </c>
      <c r="Q30" s="33"/>
      <c r="R30" s="36" t="str">
        <f t="shared" si="3"/>
        <v/>
      </c>
      <c r="S30" s="33">
        <v>9</v>
      </c>
      <c r="T30" s="36">
        <f t="shared" si="4"/>
        <v>12.857142857142856</v>
      </c>
      <c r="U30" s="33">
        <v>8</v>
      </c>
      <c r="V30" s="36">
        <f t="shared" si="5"/>
        <v>11.428571428571429</v>
      </c>
      <c r="W30" s="33"/>
      <c r="X30" s="36" t="str">
        <f t="shared" si="6"/>
        <v/>
      </c>
      <c r="Y30" s="33"/>
      <c r="Z30" s="36" t="str">
        <f t="shared" si="7"/>
        <v/>
      </c>
      <c r="AA30" s="33">
        <v>10</v>
      </c>
      <c r="AB30" s="36">
        <f t="shared" si="8"/>
        <v>14.285714285714285</v>
      </c>
      <c r="AC30" s="33">
        <v>1</v>
      </c>
      <c r="AD30" s="36">
        <f t="shared" si="9"/>
        <v>1.4285714285714286</v>
      </c>
      <c r="AE30" s="76">
        <v>1</v>
      </c>
      <c r="AF30" s="36">
        <f t="shared" si="10"/>
        <v>1.4285714285714286</v>
      </c>
      <c r="AG30" s="33"/>
      <c r="AH30" s="36" t="str">
        <f t="shared" si="11"/>
        <v/>
      </c>
      <c r="AI30" s="33"/>
      <c r="AJ30" s="36" t="str">
        <f t="shared" si="12"/>
        <v/>
      </c>
      <c r="AK30" s="33">
        <v>3</v>
      </c>
      <c r="AL30" s="36">
        <f t="shared" si="13"/>
        <v>4.2857142857142856</v>
      </c>
      <c r="AM30" s="33"/>
      <c r="AN30" s="36" t="str">
        <f t="shared" si="14"/>
        <v/>
      </c>
      <c r="AO30" s="33"/>
      <c r="AP30" s="36" t="str">
        <f t="shared" si="15"/>
        <v/>
      </c>
      <c r="AQ30" s="33"/>
      <c r="AR30" s="36" t="str">
        <f t="shared" si="16"/>
        <v/>
      </c>
      <c r="AS30" s="33"/>
      <c r="AT30" s="36" t="str">
        <f t="shared" si="17"/>
        <v/>
      </c>
      <c r="AU30" s="33"/>
      <c r="AV30" s="36" t="str">
        <f t="shared" si="18"/>
        <v/>
      </c>
      <c r="AW30" s="33"/>
      <c r="AX30" s="36" t="str">
        <f t="shared" si="19"/>
        <v/>
      </c>
      <c r="AY30" s="33"/>
      <c r="AZ30" s="36" t="str">
        <f t="shared" si="20"/>
        <v/>
      </c>
      <c r="BA30" s="23" t="s">
        <v>414</v>
      </c>
    </row>
    <row r="31" spans="1:53" ht="20" customHeight="1" x14ac:dyDescent="0.2">
      <c r="A31" s="60"/>
      <c r="B31" s="84"/>
      <c r="C31" s="24" t="s">
        <v>85</v>
      </c>
      <c r="D31" s="23" t="s">
        <v>69</v>
      </c>
      <c r="E31" s="23" t="s">
        <v>70</v>
      </c>
      <c r="F31" s="24">
        <v>2004</v>
      </c>
      <c r="G31" s="24">
        <v>61</v>
      </c>
      <c r="H31" s="89">
        <v>15</v>
      </c>
      <c r="I31" s="85" t="s">
        <v>184</v>
      </c>
      <c r="J31" s="86" t="s">
        <v>192</v>
      </c>
      <c r="K31" s="33"/>
      <c r="L31" s="36" t="str">
        <f t="shared" si="0"/>
        <v/>
      </c>
      <c r="M31" s="33"/>
      <c r="N31" s="36" t="str">
        <f t="shared" si="1"/>
        <v/>
      </c>
      <c r="O31" s="76">
        <v>13</v>
      </c>
      <c r="P31" s="36">
        <f t="shared" si="2"/>
        <v>86.666666666666671</v>
      </c>
      <c r="Q31" s="33"/>
      <c r="R31" s="36" t="str">
        <f t="shared" si="3"/>
        <v/>
      </c>
      <c r="S31" s="33"/>
      <c r="T31" s="36" t="str">
        <f t="shared" si="4"/>
        <v/>
      </c>
      <c r="U31" s="33"/>
      <c r="V31" s="36" t="str">
        <f t="shared" si="5"/>
        <v/>
      </c>
      <c r="W31" s="33"/>
      <c r="X31" s="36" t="str">
        <f t="shared" si="6"/>
        <v/>
      </c>
      <c r="Y31" s="33"/>
      <c r="Z31" s="36" t="str">
        <f t="shared" si="7"/>
        <v/>
      </c>
      <c r="AA31" s="33"/>
      <c r="AB31" s="36" t="str">
        <f t="shared" si="8"/>
        <v/>
      </c>
      <c r="AC31" s="33"/>
      <c r="AD31" s="36" t="str">
        <f t="shared" si="9"/>
        <v/>
      </c>
      <c r="AE31" s="76"/>
      <c r="AF31" s="36" t="str">
        <f t="shared" si="10"/>
        <v/>
      </c>
      <c r="AG31" s="33"/>
      <c r="AH31" s="36" t="str">
        <f t="shared" si="11"/>
        <v/>
      </c>
      <c r="AI31" s="33"/>
      <c r="AJ31" s="36" t="str">
        <f t="shared" si="12"/>
        <v/>
      </c>
      <c r="AK31" s="33"/>
      <c r="AL31" s="36" t="str">
        <f t="shared" si="13"/>
        <v/>
      </c>
      <c r="AM31" s="33"/>
      <c r="AN31" s="36" t="str">
        <f t="shared" si="14"/>
        <v/>
      </c>
      <c r="AO31" s="33"/>
      <c r="AP31" s="36" t="str">
        <f t="shared" si="15"/>
        <v/>
      </c>
      <c r="AQ31" s="33"/>
      <c r="AR31" s="36" t="str">
        <f t="shared" si="16"/>
        <v/>
      </c>
      <c r="AS31" s="33"/>
      <c r="AT31" s="36" t="str">
        <f t="shared" si="17"/>
        <v/>
      </c>
      <c r="AU31" s="33"/>
      <c r="AV31" s="36" t="str">
        <f t="shared" si="18"/>
        <v/>
      </c>
      <c r="AW31" s="33"/>
      <c r="AX31" s="36" t="str">
        <f t="shared" si="19"/>
        <v/>
      </c>
      <c r="AY31" s="33"/>
      <c r="AZ31" s="36" t="str">
        <f t="shared" si="20"/>
        <v/>
      </c>
      <c r="BA31" s="23" t="s">
        <v>415</v>
      </c>
    </row>
    <row r="32" spans="1:53" ht="20" customHeight="1" x14ac:dyDescent="0.2">
      <c r="A32" s="60"/>
      <c r="B32" s="83"/>
      <c r="C32" s="50" t="s">
        <v>85</v>
      </c>
      <c r="D32" s="49" t="s">
        <v>71</v>
      </c>
      <c r="E32" s="49" t="s">
        <v>70</v>
      </c>
      <c r="F32" s="50">
        <v>2004</v>
      </c>
      <c r="G32" s="50">
        <v>45</v>
      </c>
      <c r="H32" s="89">
        <v>15</v>
      </c>
      <c r="I32" s="85" t="s">
        <v>184</v>
      </c>
      <c r="J32" s="86" t="s">
        <v>192</v>
      </c>
      <c r="K32" s="33"/>
      <c r="L32" s="36" t="str">
        <f t="shared" si="0"/>
        <v/>
      </c>
      <c r="M32" s="33"/>
      <c r="N32" s="36" t="str">
        <f t="shared" si="1"/>
        <v/>
      </c>
      <c r="O32" s="76"/>
      <c r="P32" s="36" t="str">
        <f t="shared" si="2"/>
        <v/>
      </c>
      <c r="Q32" s="33"/>
      <c r="R32" s="36" t="str">
        <f t="shared" si="3"/>
        <v/>
      </c>
      <c r="S32" s="33"/>
      <c r="T32" s="36" t="str">
        <f t="shared" si="4"/>
        <v/>
      </c>
      <c r="U32" s="33"/>
      <c r="V32" s="36" t="str">
        <f t="shared" si="5"/>
        <v/>
      </c>
      <c r="W32" s="33"/>
      <c r="X32" s="36" t="str">
        <f t="shared" si="6"/>
        <v/>
      </c>
      <c r="Y32" s="33"/>
      <c r="Z32" s="36" t="str">
        <f t="shared" si="7"/>
        <v/>
      </c>
      <c r="AA32" s="33"/>
      <c r="AB32" s="36" t="str">
        <f t="shared" si="8"/>
        <v/>
      </c>
      <c r="AC32" s="33"/>
      <c r="AD32" s="36" t="str">
        <f t="shared" si="9"/>
        <v/>
      </c>
      <c r="AE32" s="76"/>
      <c r="AF32" s="36" t="str">
        <f t="shared" si="10"/>
        <v/>
      </c>
      <c r="AG32" s="33"/>
      <c r="AH32" s="36" t="str">
        <f t="shared" si="11"/>
        <v/>
      </c>
      <c r="AI32" s="33"/>
      <c r="AJ32" s="36" t="str">
        <f t="shared" si="12"/>
        <v/>
      </c>
      <c r="AK32" s="33"/>
      <c r="AL32" s="36" t="str">
        <f t="shared" si="13"/>
        <v/>
      </c>
      <c r="AM32" s="33"/>
      <c r="AN32" s="36" t="str">
        <f t="shared" si="14"/>
        <v/>
      </c>
      <c r="AO32" s="33"/>
      <c r="AP32" s="36" t="str">
        <f t="shared" si="15"/>
        <v/>
      </c>
      <c r="AQ32" s="33"/>
      <c r="AR32" s="36" t="str">
        <f t="shared" si="16"/>
        <v/>
      </c>
      <c r="AS32" s="33"/>
      <c r="AT32" s="36" t="str">
        <f t="shared" si="17"/>
        <v/>
      </c>
      <c r="AU32" s="33"/>
      <c r="AV32" s="36" t="str">
        <f t="shared" si="18"/>
        <v/>
      </c>
      <c r="AW32" s="33"/>
      <c r="AX32" s="36" t="str">
        <f t="shared" si="19"/>
        <v/>
      </c>
      <c r="AY32" s="33"/>
      <c r="AZ32" s="36" t="str">
        <f t="shared" si="20"/>
        <v/>
      </c>
      <c r="BA32" s="23" t="s">
        <v>416</v>
      </c>
    </row>
    <row r="33" spans="1:53" ht="20" customHeight="1" x14ac:dyDescent="0.2">
      <c r="A33" s="60"/>
      <c r="B33" s="83"/>
      <c r="C33" s="24" t="s">
        <v>85</v>
      </c>
      <c r="D33" s="23" t="s">
        <v>280</v>
      </c>
      <c r="E33" s="23" t="s">
        <v>281</v>
      </c>
      <c r="F33" s="24">
        <v>2013</v>
      </c>
      <c r="H33" s="89">
        <v>23</v>
      </c>
      <c r="I33" s="85"/>
      <c r="J33" s="86"/>
      <c r="K33" s="33"/>
      <c r="L33" s="36" t="str">
        <f t="shared" si="0"/>
        <v/>
      </c>
      <c r="M33" s="33"/>
      <c r="N33" s="36" t="str">
        <f t="shared" si="1"/>
        <v/>
      </c>
      <c r="O33" s="76"/>
      <c r="P33" s="36" t="str">
        <f t="shared" si="2"/>
        <v/>
      </c>
      <c r="Q33" s="33"/>
      <c r="R33" s="36" t="str">
        <f t="shared" si="3"/>
        <v/>
      </c>
      <c r="S33" s="33"/>
      <c r="T33" s="36" t="str">
        <f t="shared" si="4"/>
        <v/>
      </c>
      <c r="U33" s="33"/>
      <c r="V33" s="36" t="str">
        <f t="shared" si="5"/>
        <v/>
      </c>
      <c r="W33" s="33"/>
      <c r="X33" s="36" t="str">
        <f t="shared" si="6"/>
        <v/>
      </c>
      <c r="Y33" s="33"/>
      <c r="Z33" s="36" t="str">
        <f t="shared" si="7"/>
        <v/>
      </c>
      <c r="AA33" s="33"/>
      <c r="AB33" s="36" t="str">
        <f t="shared" si="8"/>
        <v/>
      </c>
      <c r="AC33" s="33"/>
      <c r="AD33" s="36" t="str">
        <f t="shared" si="9"/>
        <v/>
      </c>
      <c r="AE33" s="76"/>
      <c r="AF33" s="36" t="str">
        <f t="shared" si="10"/>
        <v/>
      </c>
      <c r="AG33" s="33"/>
      <c r="AH33" s="36" t="str">
        <f t="shared" si="11"/>
        <v/>
      </c>
      <c r="AI33" s="33"/>
      <c r="AJ33" s="36" t="str">
        <f t="shared" si="12"/>
        <v/>
      </c>
      <c r="AK33" s="33"/>
      <c r="AL33" s="36" t="str">
        <f t="shared" si="13"/>
        <v/>
      </c>
      <c r="AM33" s="33"/>
      <c r="AN33" s="36" t="str">
        <f t="shared" si="14"/>
        <v/>
      </c>
      <c r="AO33" s="33"/>
      <c r="AP33" s="36" t="str">
        <f t="shared" si="15"/>
        <v/>
      </c>
      <c r="AQ33" s="33"/>
      <c r="AR33" s="36" t="str">
        <f t="shared" si="16"/>
        <v/>
      </c>
      <c r="AS33" s="33"/>
      <c r="AT33" s="36" t="str">
        <f t="shared" si="17"/>
        <v/>
      </c>
      <c r="AU33" s="33"/>
      <c r="AV33" s="36" t="str">
        <f t="shared" si="18"/>
        <v/>
      </c>
      <c r="AW33" s="33"/>
      <c r="AX33" s="36" t="str">
        <f t="shared" si="19"/>
        <v/>
      </c>
      <c r="AY33" s="33"/>
      <c r="AZ33" s="36" t="str">
        <f t="shared" si="20"/>
        <v/>
      </c>
      <c r="BA33" s="23" t="s">
        <v>417</v>
      </c>
    </row>
    <row r="34" spans="1:53" ht="20" customHeight="1" x14ac:dyDescent="0.2">
      <c r="A34" s="61"/>
      <c r="B34" s="24"/>
      <c r="C34" s="50" t="s">
        <v>85</v>
      </c>
      <c r="D34" s="49" t="s">
        <v>354</v>
      </c>
      <c r="E34" s="49" t="s">
        <v>72</v>
      </c>
      <c r="F34" s="50">
        <v>2014</v>
      </c>
      <c r="G34" s="50">
        <v>23</v>
      </c>
      <c r="H34" s="89">
        <v>28</v>
      </c>
      <c r="I34" s="85" t="s">
        <v>185</v>
      </c>
      <c r="J34" s="86" t="s">
        <v>193</v>
      </c>
      <c r="K34" s="33"/>
      <c r="L34" s="36" t="str">
        <f t="shared" si="0"/>
        <v/>
      </c>
      <c r="M34" s="33"/>
      <c r="N34" s="36" t="str">
        <f t="shared" si="1"/>
        <v/>
      </c>
      <c r="O34" s="76"/>
      <c r="P34" s="36" t="str">
        <f t="shared" si="2"/>
        <v/>
      </c>
      <c r="Q34" s="33"/>
      <c r="R34" s="36" t="str">
        <f t="shared" si="3"/>
        <v/>
      </c>
      <c r="S34" s="33"/>
      <c r="T34" s="36" t="str">
        <f t="shared" si="4"/>
        <v/>
      </c>
      <c r="U34" s="33"/>
      <c r="V34" s="36" t="str">
        <f t="shared" si="5"/>
        <v/>
      </c>
      <c r="W34" s="33"/>
      <c r="X34" s="36" t="str">
        <f t="shared" si="6"/>
        <v/>
      </c>
      <c r="Y34" s="33"/>
      <c r="Z34" s="36" t="str">
        <f t="shared" si="7"/>
        <v/>
      </c>
      <c r="AA34" s="33"/>
      <c r="AB34" s="36" t="str">
        <f t="shared" si="8"/>
        <v/>
      </c>
      <c r="AC34" s="33"/>
      <c r="AD34" s="36" t="str">
        <f t="shared" si="9"/>
        <v/>
      </c>
      <c r="AE34" s="76"/>
      <c r="AF34" s="36" t="str">
        <f t="shared" si="10"/>
        <v/>
      </c>
      <c r="AG34" s="33"/>
      <c r="AH34" s="36" t="str">
        <f t="shared" si="11"/>
        <v/>
      </c>
      <c r="AI34" s="33"/>
      <c r="AJ34" s="36" t="str">
        <f t="shared" si="12"/>
        <v/>
      </c>
      <c r="AK34" s="33"/>
      <c r="AL34" s="36" t="str">
        <f t="shared" si="13"/>
        <v/>
      </c>
      <c r="AM34" s="33"/>
      <c r="AN34" s="36" t="str">
        <f t="shared" si="14"/>
        <v/>
      </c>
      <c r="AO34" s="33"/>
      <c r="AP34" s="36" t="str">
        <f t="shared" si="15"/>
        <v/>
      </c>
      <c r="AQ34" s="33"/>
      <c r="AR34" s="36" t="str">
        <f t="shared" si="16"/>
        <v/>
      </c>
      <c r="AS34" s="33"/>
      <c r="AT34" s="36" t="str">
        <f t="shared" si="17"/>
        <v/>
      </c>
      <c r="AU34" s="33"/>
      <c r="AV34" s="36" t="str">
        <f t="shared" si="18"/>
        <v/>
      </c>
      <c r="AW34" s="33"/>
      <c r="AX34" s="36" t="str">
        <f t="shared" si="19"/>
        <v/>
      </c>
      <c r="AY34" s="33"/>
      <c r="AZ34" s="36" t="str">
        <f t="shared" si="20"/>
        <v/>
      </c>
      <c r="BA34" s="23" t="s">
        <v>418</v>
      </c>
    </row>
    <row r="35" spans="1:53" ht="20" customHeight="1" x14ac:dyDescent="0.2">
      <c r="A35" s="60"/>
      <c r="B35" s="82"/>
      <c r="C35" s="24" t="s">
        <v>85</v>
      </c>
      <c r="D35" s="23" t="s">
        <v>283</v>
      </c>
      <c r="E35" s="23" t="s">
        <v>284</v>
      </c>
      <c r="F35" s="24">
        <v>2014</v>
      </c>
      <c r="H35" s="89">
        <v>28</v>
      </c>
      <c r="I35" s="85" t="s">
        <v>185</v>
      </c>
      <c r="J35" s="86" t="s">
        <v>193</v>
      </c>
      <c r="K35" s="33"/>
      <c r="L35" s="36" t="str">
        <f t="shared" si="0"/>
        <v/>
      </c>
      <c r="M35" s="33"/>
      <c r="N35" s="36" t="str">
        <f t="shared" si="1"/>
        <v/>
      </c>
      <c r="O35" s="76">
        <v>3</v>
      </c>
      <c r="P35" s="36">
        <f t="shared" si="2"/>
        <v>10.714285714285714</v>
      </c>
      <c r="Q35" s="33"/>
      <c r="R35" s="36" t="str">
        <f t="shared" si="3"/>
        <v/>
      </c>
      <c r="S35" s="33"/>
      <c r="T35" s="36" t="str">
        <f t="shared" si="4"/>
        <v/>
      </c>
      <c r="U35" s="33"/>
      <c r="V35" s="36" t="str">
        <f t="shared" si="5"/>
        <v/>
      </c>
      <c r="W35" s="33"/>
      <c r="X35" s="36" t="str">
        <f t="shared" si="6"/>
        <v/>
      </c>
      <c r="Y35" s="33"/>
      <c r="Z35" s="36" t="str">
        <f t="shared" si="7"/>
        <v/>
      </c>
      <c r="AA35" s="33">
        <v>3</v>
      </c>
      <c r="AB35" s="36">
        <f t="shared" si="8"/>
        <v>10.714285714285714</v>
      </c>
      <c r="AC35" s="33">
        <v>4</v>
      </c>
      <c r="AD35" s="36">
        <f t="shared" si="9"/>
        <v>14.285714285714285</v>
      </c>
      <c r="AE35" s="76">
        <v>5</v>
      </c>
      <c r="AF35" s="36">
        <f t="shared" si="10"/>
        <v>17.857142857142858</v>
      </c>
      <c r="AG35" s="33"/>
      <c r="AH35" s="36" t="str">
        <f t="shared" si="11"/>
        <v/>
      </c>
      <c r="AI35" s="33"/>
      <c r="AJ35" s="36" t="str">
        <f t="shared" si="12"/>
        <v/>
      </c>
      <c r="AK35" s="33"/>
      <c r="AL35" s="36" t="str">
        <f t="shared" si="13"/>
        <v/>
      </c>
      <c r="AM35" s="33"/>
      <c r="AN35" s="36" t="str">
        <f t="shared" si="14"/>
        <v/>
      </c>
      <c r="AO35" s="33"/>
      <c r="AP35" s="36" t="str">
        <f t="shared" si="15"/>
        <v/>
      </c>
      <c r="AQ35" s="33"/>
      <c r="AR35" s="36" t="str">
        <f t="shared" si="16"/>
        <v/>
      </c>
      <c r="AS35" s="33"/>
      <c r="AT35" s="36" t="str">
        <f t="shared" si="17"/>
        <v/>
      </c>
      <c r="AU35" s="33"/>
      <c r="AV35" s="36" t="str">
        <f t="shared" si="18"/>
        <v/>
      </c>
      <c r="AW35" s="33"/>
      <c r="AX35" s="36" t="str">
        <f t="shared" si="19"/>
        <v/>
      </c>
      <c r="AY35" s="33"/>
      <c r="AZ35" s="36" t="str">
        <f t="shared" si="20"/>
        <v/>
      </c>
      <c r="BA35" s="23" t="s">
        <v>355</v>
      </c>
    </row>
    <row r="36" spans="1:53" ht="20" customHeight="1" x14ac:dyDescent="0.2">
      <c r="A36" s="60"/>
      <c r="B36" s="83"/>
      <c r="C36" s="24" t="s">
        <v>85</v>
      </c>
      <c r="D36" s="23" t="s">
        <v>287</v>
      </c>
      <c r="E36" s="23" t="s">
        <v>288</v>
      </c>
      <c r="F36" s="24">
        <v>2015</v>
      </c>
      <c r="H36" s="89">
        <v>10</v>
      </c>
      <c r="I36" s="85" t="s">
        <v>345</v>
      </c>
      <c r="J36" s="86" t="s">
        <v>356</v>
      </c>
      <c r="K36" s="33"/>
      <c r="L36" s="36" t="str">
        <f t="shared" si="0"/>
        <v/>
      </c>
      <c r="M36" s="33"/>
      <c r="N36" s="36" t="str">
        <f t="shared" si="1"/>
        <v/>
      </c>
      <c r="O36" s="76"/>
      <c r="P36" s="36" t="str">
        <f t="shared" si="2"/>
        <v/>
      </c>
      <c r="Q36" s="33"/>
      <c r="R36" s="36" t="str">
        <f t="shared" si="3"/>
        <v/>
      </c>
      <c r="S36" s="33"/>
      <c r="T36" s="36" t="str">
        <f t="shared" si="4"/>
        <v/>
      </c>
      <c r="U36" s="33"/>
      <c r="V36" s="36" t="str">
        <f t="shared" si="5"/>
        <v/>
      </c>
      <c r="W36" s="33"/>
      <c r="X36" s="36" t="str">
        <f t="shared" si="6"/>
        <v/>
      </c>
      <c r="Y36" s="33"/>
      <c r="Z36" s="36" t="str">
        <f t="shared" si="7"/>
        <v/>
      </c>
      <c r="AA36" s="33"/>
      <c r="AB36" s="36" t="str">
        <f t="shared" si="8"/>
        <v/>
      </c>
      <c r="AC36" s="33"/>
      <c r="AD36" s="36" t="str">
        <f t="shared" si="9"/>
        <v/>
      </c>
      <c r="AE36" s="76"/>
      <c r="AF36" s="36" t="str">
        <f t="shared" si="10"/>
        <v/>
      </c>
      <c r="AG36" s="33"/>
      <c r="AH36" s="36" t="str">
        <f t="shared" si="11"/>
        <v/>
      </c>
      <c r="AI36" s="33"/>
      <c r="AJ36" s="36" t="str">
        <f t="shared" si="12"/>
        <v/>
      </c>
      <c r="AK36" s="33"/>
      <c r="AL36" s="36" t="str">
        <f t="shared" si="13"/>
        <v/>
      </c>
      <c r="AM36" s="33"/>
      <c r="AN36" s="36" t="str">
        <f t="shared" si="14"/>
        <v/>
      </c>
      <c r="AO36" s="33"/>
      <c r="AP36" s="36" t="str">
        <f t="shared" si="15"/>
        <v/>
      </c>
      <c r="AQ36" s="33"/>
      <c r="AR36" s="36" t="str">
        <f t="shared" si="16"/>
        <v/>
      </c>
      <c r="AS36" s="33"/>
      <c r="AT36" s="36" t="str">
        <f t="shared" si="17"/>
        <v/>
      </c>
      <c r="AU36" s="33"/>
      <c r="AV36" s="36" t="str">
        <f t="shared" si="18"/>
        <v/>
      </c>
      <c r="AW36" s="33"/>
      <c r="AX36" s="36" t="str">
        <f t="shared" si="19"/>
        <v/>
      </c>
      <c r="AY36" s="33"/>
      <c r="AZ36" s="36" t="str">
        <f t="shared" si="20"/>
        <v/>
      </c>
    </row>
    <row r="37" spans="1:53" ht="20" customHeight="1" x14ac:dyDescent="0.2">
      <c r="A37" s="60"/>
      <c r="B37" s="82"/>
      <c r="C37" s="24" t="s">
        <v>85</v>
      </c>
      <c r="D37" s="23" t="s">
        <v>79</v>
      </c>
      <c r="E37" s="23" t="s">
        <v>80</v>
      </c>
      <c r="F37" s="24">
        <v>2015</v>
      </c>
      <c r="G37" s="24">
        <v>10</v>
      </c>
      <c r="H37" s="89">
        <v>11</v>
      </c>
      <c r="I37" s="85" t="s">
        <v>195</v>
      </c>
      <c r="J37" s="86" t="s">
        <v>169</v>
      </c>
      <c r="K37" s="33"/>
      <c r="L37" s="36" t="str">
        <f t="shared" si="0"/>
        <v/>
      </c>
      <c r="M37" s="33"/>
      <c r="N37" s="36" t="str">
        <f t="shared" si="1"/>
        <v/>
      </c>
      <c r="O37" s="76"/>
      <c r="P37" s="36" t="str">
        <f t="shared" si="2"/>
        <v/>
      </c>
      <c r="Q37" s="33"/>
      <c r="R37" s="36" t="str">
        <f t="shared" si="3"/>
        <v/>
      </c>
      <c r="S37" s="33"/>
      <c r="T37" s="36" t="str">
        <f t="shared" si="4"/>
        <v/>
      </c>
      <c r="U37" s="33"/>
      <c r="V37" s="36" t="str">
        <f t="shared" si="5"/>
        <v/>
      </c>
      <c r="W37" s="33"/>
      <c r="X37" s="36" t="str">
        <f t="shared" si="6"/>
        <v/>
      </c>
      <c r="Y37" s="33"/>
      <c r="Z37" s="36" t="str">
        <f t="shared" si="7"/>
        <v/>
      </c>
      <c r="AA37" s="38">
        <v>1</v>
      </c>
      <c r="AB37" s="39">
        <f t="shared" si="8"/>
        <v>9.0909090909090917</v>
      </c>
      <c r="AC37" s="33"/>
      <c r="AD37" s="36" t="str">
        <f t="shared" si="9"/>
        <v/>
      </c>
      <c r="AE37" s="76">
        <v>3</v>
      </c>
      <c r="AF37" s="36">
        <f t="shared" si="10"/>
        <v>27.27272727272727</v>
      </c>
      <c r="AG37" s="33"/>
      <c r="AH37" s="36" t="str">
        <f t="shared" si="11"/>
        <v/>
      </c>
      <c r="AI37" s="33"/>
      <c r="AJ37" s="36" t="str">
        <f t="shared" si="12"/>
        <v/>
      </c>
      <c r="AK37" s="33"/>
      <c r="AL37" s="36" t="str">
        <f t="shared" si="13"/>
        <v/>
      </c>
      <c r="AM37" s="33"/>
      <c r="AN37" s="36" t="str">
        <f t="shared" si="14"/>
        <v/>
      </c>
      <c r="AO37" s="33"/>
      <c r="AP37" s="36" t="str">
        <f t="shared" si="15"/>
        <v/>
      </c>
      <c r="AQ37" s="33"/>
      <c r="AR37" s="36" t="str">
        <f t="shared" si="16"/>
        <v/>
      </c>
      <c r="AS37" s="33"/>
      <c r="AT37" s="36" t="str">
        <f t="shared" si="17"/>
        <v/>
      </c>
      <c r="AU37" s="33"/>
      <c r="AV37" s="36" t="str">
        <f t="shared" si="18"/>
        <v/>
      </c>
      <c r="AW37" s="33"/>
      <c r="AX37" s="36" t="str">
        <f t="shared" si="19"/>
        <v/>
      </c>
      <c r="AY37" s="33"/>
      <c r="AZ37" s="36" t="str">
        <f t="shared" si="20"/>
        <v/>
      </c>
      <c r="BA37" s="23" t="s">
        <v>194</v>
      </c>
    </row>
    <row r="38" spans="1:53" ht="20" customHeight="1" x14ac:dyDescent="0.2">
      <c r="A38" s="61"/>
      <c r="B38" s="83"/>
      <c r="C38" s="24" t="s">
        <v>85</v>
      </c>
      <c r="D38" s="23" t="s">
        <v>91</v>
      </c>
      <c r="E38" s="23" t="s">
        <v>92</v>
      </c>
      <c r="F38" s="24">
        <v>2001</v>
      </c>
      <c r="G38" s="24">
        <v>170</v>
      </c>
      <c r="H38" s="89">
        <v>22</v>
      </c>
      <c r="I38" s="85" t="s">
        <v>176</v>
      </c>
      <c r="J38" s="86" t="s">
        <v>169</v>
      </c>
      <c r="K38" s="33"/>
      <c r="L38" s="36" t="str">
        <f t="shared" si="0"/>
        <v/>
      </c>
      <c r="M38" s="33"/>
      <c r="N38" s="36" t="str">
        <f t="shared" si="1"/>
        <v/>
      </c>
      <c r="O38" s="76"/>
      <c r="P38" s="36" t="str">
        <f t="shared" si="2"/>
        <v/>
      </c>
      <c r="Q38" s="33"/>
      <c r="R38" s="36" t="str">
        <f t="shared" si="3"/>
        <v/>
      </c>
      <c r="S38" s="33"/>
      <c r="T38" s="36" t="str">
        <f t="shared" si="4"/>
        <v/>
      </c>
      <c r="U38" s="33"/>
      <c r="V38" s="36" t="str">
        <f t="shared" si="5"/>
        <v/>
      </c>
      <c r="W38" s="33"/>
      <c r="X38" s="36" t="str">
        <f t="shared" si="6"/>
        <v/>
      </c>
      <c r="Y38" s="33"/>
      <c r="Z38" s="36" t="str">
        <f t="shared" si="7"/>
        <v/>
      </c>
      <c r="AA38" s="33"/>
      <c r="AB38" s="36" t="str">
        <f t="shared" si="8"/>
        <v/>
      </c>
      <c r="AC38" s="33"/>
      <c r="AD38" s="36" t="str">
        <f t="shared" si="9"/>
        <v/>
      </c>
      <c r="AE38" s="76"/>
      <c r="AF38" s="36" t="str">
        <f t="shared" si="10"/>
        <v/>
      </c>
      <c r="AG38" s="33"/>
      <c r="AH38" s="36" t="str">
        <f t="shared" si="11"/>
        <v/>
      </c>
      <c r="AI38" s="33"/>
      <c r="AJ38" s="36" t="str">
        <f t="shared" si="12"/>
        <v/>
      </c>
      <c r="AK38" s="33"/>
      <c r="AL38" s="36" t="str">
        <f t="shared" si="13"/>
        <v/>
      </c>
      <c r="AM38" s="33"/>
      <c r="AN38" s="36" t="str">
        <f t="shared" si="14"/>
        <v/>
      </c>
      <c r="AO38" s="33"/>
      <c r="AP38" s="36" t="str">
        <f t="shared" si="15"/>
        <v/>
      </c>
      <c r="AQ38" s="33"/>
      <c r="AR38" s="36" t="str">
        <f t="shared" si="16"/>
        <v/>
      </c>
      <c r="AS38" s="33"/>
      <c r="AT38" s="36" t="str">
        <f t="shared" si="17"/>
        <v/>
      </c>
      <c r="AU38" s="33"/>
      <c r="AV38" s="36" t="str">
        <f t="shared" si="18"/>
        <v/>
      </c>
      <c r="AW38" s="33"/>
      <c r="AX38" s="36" t="str">
        <f t="shared" si="19"/>
        <v/>
      </c>
      <c r="AY38" s="33"/>
      <c r="AZ38" s="36" t="str">
        <f t="shared" si="20"/>
        <v/>
      </c>
      <c r="BA38" s="23" t="s">
        <v>181</v>
      </c>
    </row>
    <row r="39" spans="1:53" ht="20" customHeight="1" x14ac:dyDescent="0.2">
      <c r="A39" s="60"/>
      <c r="B39" s="83"/>
      <c r="C39" s="24" t="s">
        <v>85</v>
      </c>
      <c r="D39" s="23" t="s">
        <v>291</v>
      </c>
      <c r="E39" s="23" t="s">
        <v>292</v>
      </c>
      <c r="F39" s="24">
        <v>2009</v>
      </c>
      <c r="H39" s="89">
        <v>20</v>
      </c>
      <c r="I39" s="85" t="s">
        <v>214</v>
      </c>
      <c r="J39" s="86" t="s">
        <v>191</v>
      </c>
      <c r="K39" s="33"/>
      <c r="L39" s="36" t="str">
        <f t="shared" si="0"/>
        <v/>
      </c>
      <c r="M39" s="33"/>
      <c r="N39" s="36" t="str">
        <f t="shared" si="1"/>
        <v/>
      </c>
      <c r="O39" s="76"/>
      <c r="P39" s="36" t="str">
        <f t="shared" si="2"/>
        <v/>
      </c>
      <c r="Q39" s="33"/>
      <c r="R39" s="36" t="str">
        <f t="shared" si="3"/>
        <v/>
      </c>
      <c r="S39" s="33"/>
      <c r="T39" s="36" t="str">
        <f t="shared" si="4"/>
        <v/>
      </c>
      <c r="U39" s="33"/>
      <c r="V39" s="36" t="str">
        <f t="shared" si="5"/>
        <v/>
      </c>
      <c r="W39" s="33"/>
      <c r="X39" s="36" t="str">
        <f t="shared" si="6"/>
        <v/>
      </c>
      <c r="Y39" s="33"/>
      <c r="Z39" s="36" t="str">
        <f t="shared" si="7"/>
        <v/>
      </c>
      <c r="AA39" s="33"/>
      <c r="AB39" s="36" t="str">
        <f t="shared" si="8"/>
        <v/>
      </c>
      <c r="AC39" s="33"/>
      <c r="AD39" s="36" t="str">
        <f t="shared" si="9"/>
        <v/>
      </c>
      <c r="AE39" s="76"/>
      <c r="AF39" s="36" t="str">
        <f t="shared" si="10"/>
        <v/>
      </c>
      <c r="AG39" s="33"/>
      <c r="AH39" s="36" t="str">
        <f t="shared" si="11"/>
        <v/>
      </c>
      <c r="AI39" s="33"/>
      <c r="AJ39" s="36" t="str">
        <f t="shared" si="12"/>
        <v/>
      </c>
      <c r="AK39" s="33"/>
      <c r="AL39" s="36" t="str">
        <f t="shared" si="13"/>
        <v/>
      </c>
      <c r="AM39" s="33"/>
      <c r="AN39" s="36" t="str">
        <f t="shared" si="14"/>
        <v/>
      </c>
      <c r="AO39" s="33"/>
      <c r="AP39" s="36" t="str">
        <f t="shared" si="15"/>
        <v/>
      </c>
      <c r="AQ39" s="33"/>
      <c r="AR39" s="36" t="str">
        <f t="shared" si="16"/>
        <v/>
      </c>
      <c r="AS39" s="33"/>
      <c r="AT39" s="36" t="str">
        <f t="shared" si="17"/>
        <v/>
      </c>
      <c r="AU39" s="33"/>
      <c r="AV39" s="36" t="str">
        <f t="shared" si="18"/>
        <v/>
      </c>
      <c r="AW39" s="33"/>
      <c r="AX39" s="36" t="str">
        <f t="shared" si="19"/>
        <v/>
      </c>
      <c r="AY39" s="33"/>
      <c r="AZ39" s="36" t="str">
        <f t="shared" si="20"/>
        <v/>
      </c>
      <c r="BA39" s="23" t="s">
        <v>360</v>
      </c>
    </row>
    <row r="40" spans="1:53" ht="20" customHeight="1" x14ac:dyDescent="0.2">
      <c r="A40" s="60"/>
      <c r="B40" s="24"/>
      <c r="C40" s="24" t="s">
        <v>85</v>
      </c>
      <c r="D40" s="23" t="s">
        <v>293</v>
      </c>
      <c r="E40" s="23" t="s">
        <v>294</v>
      </c>
      <c r="F40" s="24">
        <v>2006</v>
      </c>
      <c r="H40" s="89">
        <v>10</v>
      </c>
      <c r="I40" s="85" t="s">
        <v>361</v>
      </c>
      <c r="J40" s="86" t="s">
        <v>169</v>
      </c>
      <c r="K40" s="33"/>
      <c r="L40" s="36" t="str">
        <f t="shared" si="0"/>
        <v/>
      </c>
      <c r="M40" s="33"/>
      <c r="N40" s="36" t="str">
        <f t="shared" si="1"/>
        <v/>
      </c>
      <c r="O40" s="76"/>
      <c r="P40" s="36" t="str">
        <f t="shared" si="2"/>
        <v/>
      </c>
      <c r="Q40" s="33"/>
      <c r="R40" s="36" t="str">
        <f t="shared" si="3"/>
        <v/>
      </c>
      <c r="S40" s="38"/>
      <c r="T40" s="39" t="str">
        <f t="shared" si="4"/>
        <v/>
      </c>
      <c r="U40" s="33"/>
      <c r="V40" s="36" t="str">
        <f t="shared" si="5"/>
        <v/>
      </c>
      <c r="W40" s="33"/>
      <c r="X40" s="36" t="str">
        <f t="shared" si="6"/>
        <v/>
      </c>
      <c r="Y40" s="33"/>
      <c r="Z40" s="36" t="str">
        <f t="shared" si="7"/>
        <v/>
      </c>
      <c r="AA40" s="33"/>
      <c r="AB40" s="36" t="str">
        <f t="shared" si="8"/>
        <v/>
      </c>
      <c r="AC40" s="33"/>
      <c r="AD40" s="36" t="str">
        <f t="shared" si="9"/>
        <v/>
      </c>
      <c r="AE40" s="76"/>
      <c r="AF40" s="36" t="str">
        <f t="shared" si="10"/>
        <v/>
      </c>
      <c r="AG40" s="33"/>
      <c r="AH40" s="36" t="str">
        <f t="shared" si="11"/>
        <v/>
      </c>
      <c r="AI40" s="33"/>
      <c r="AJ40" s="36" t="str">
        <f t="shared" si="12"/>
        <v/>
      </c>
      <c r="AK40" s="33"/>
      <c r="AL40" s="36" t="str">
        <f t="shared" si="13"/>
        <v/>
      </c>
      <c r="AM40" s="33"/>
      <c r="AN40" s="36" t="str">
        <f t="shared" si="14"/>
        <v/>
      </c>
      <c r="AO40" s="33"/>
      <c r="AP40" s="36" t="str">
        <f t="shared" si="15"/>
        <v/>
      </c>
      <c r="AQ40" s="33"/>
      <c r="AR40" s="36" t="str">
        <f t="shared" si="16"/>
        <v/>
      </c>
      <c r="AS40" s="33"/>
      <c r="AT40" s="36" t="str">
        <f t="shared" si="17"/>
        <v/>
      </c>
      <c r="AU40" s="33"/>
      <c r="AV40" s="36" t="str">
        <f t="shared" si="18"/>
        <v/>
      </c>
      <c r="AW40" s="33"/>
      <c r="AX40" s="36" t="str">
        <f t="shared" si="19"/>
        <v/>
      </c>
      <c r="AY40" s="33"/>
      <c r="AZ40" s="36" t="str">
        <f t="shared" si="20"/>
        <v/>
      </c>
      <c r="BA40" s="23" t="s">
        <v>362</v>
      </c>
    </row>
    <row r="41" spans="1:53" ht="20" customHeight="1" x14ac:dyDescent="0.2">
      <c r="A41" s="61"/>
      <c r="B41" s="24"/>
      <c r="C41" s="24" t="s">
        <v>85</v>
      </c>
      <c r="D41" s="23" t="s">
        <v>297</v>
      </c>
      <c r="E41" s="23" t="s">
        <v>298</v>
      </c>
      <c r="F41" s="24">
        <v>2016</v>
      </c>
      <c r="H41" s="89">
        <v>25</v>
      </c>
      <c r="I41" s="85" t="s">
        <v>214</v>
      </c>
      <c r="J41" s="86" t="s">
        <v>192</v>
      </c>
      <c r="K41" s="33"/>
      <c r="L41" s="36" t="str">
        <f t="shared" si="0"/>
        <v/>
      </c>
      <c r="M41" s="33"/>
      <c r="N41" s="36" t="str">
        <f t="shared" si="1"/>
        <v/>
      </c>
      <c r="O41" s="76"/>
      <c r="P41" s="36" t="str">
        <f t="shared" si="2"/>
        <v/>
      </c>
      <c r="Q41" s="33"/>
      <c r="R41" s="36" t="str">
        <f t="shared" si="3"/>
        <v/>
      </c>
      <c r="S41" s="33"/>
      <c r="T41" s="36" t="str">
        <f t="shared" si="4"/>
        <v/>
      </c>
      <c r="U41" s="33"/>
      <c r="V41" s="36" t="str">
        <f t="shared" si="5"/>
        <v/>
      </c>
      <c r="W41" s="33"/>
      <c r="X41" s="36" t="str">
        <f t="shared" si="6"/>
        <v/>
      </c>
      <c r="Y41" s="33"/>
      <c r="Z41" s="36" t="str">
        <f t="shared" si="7"/>
        <v/>
      </c>
      <c r="AA41" s="33"/>
      <c r="AB41" s="36" t="str">
        <f t="shared" si="8"/>
        <v/>
      </c>
      <c r="AC41" s="33"/>
      <c r="AD41" s="36" t="str">
        <f t="shared" si="9"/>
        <v/>
      </c>
      <c r="AE41" s="76"/>
      <c r="AF41" s="36" t="str">
        <f t="shared" si="10"/>
        <v/>
      </c>
      <c r="AG41" s="33"/>
      <c r="AH41" s="36" t="str">
        <f t="shared" si="11"/>
        <v/>
      </c>
      <c r="AI41" s="33"/>
      <c r="AJ41" s="36" t="str">
        <f t="shared" si="12"/>
        <v/>
      </c>
      <c r="AK41" s="33"/>
      <c r="AL41" s="36" t="str">
        <f t="shared" si="13"/>
        <v/>
      </c>
      <c r="AM41" s="33"/>
      <c r="AN41" s="36" t="str">
        <f t="shared" si="14"/>
        <v/>
      </c>
      <c r="AO41" s="33"/>
      <c r="AP41" s="36" t="str">
        <f t="shared" si="15"/>
        <v/>
      </c>
      <c r="AQ41" s="33"/>
      <c r="AR41" s="36" t="str">
        <f t="shared" si="16"/>
        <v/>
      </c>
      <c r="AS41" s="33"/>
      <c r="AT41" s="36" t="str">
        <f t="shared" si="17"/>
        <v/>
      </c>
      <c r="AU41" s="33"/>
      <c r="AV41" s="36" t="str">
        <f t="shared" si="18"/>
        <v/>
      </c>
      <c r="AW41" s="33"/>
      <c r="AX41" s="36" t="str">
        <f t="shared" si="19"/>
        <v/>
      </c>
      <c r="AY41" s="33"/>
      <c r="AZ41" s="36" t="str">
        <f t="shared" si="20"/>
        <v/>
      </c>
    </row>
    <row r="42" spans="1:53" ht="20" customHeight="1" x14ac:dyDescent="0.2">
      <c r="A42" s="60"/>
      <c r="B42" s="82"/>
      <c r="C42" s="24" t="s">
        <v>85</v>
      </c>
      <c r="D42" s="23" t="s">
        <v>99</v>
      </c>
      <c r="E42" s="23" t="s">
        <v>100</v>
      </c>
      <c r="F42" s="24">
        <v>2002</v>
      </c>
      <c r="G42" s="24">
        <v>103</v>
      </c>
      <c r="H42" s="89">
        <v>8</v>
      </c>
      <c r="I42" s="85"/>
      <c r="J42" s="86"/>
      <c r="K42" s="33"/>
      <c r="L42" s="36" t="str">
        <f t="shared" si="0"/>
        <v/>
      </c>
      <c r="M42" s="33"/>
      <c r="N42" s="36" t="str">
        <f t="shared" si="1"/>
        <v/>
      </c>
      <c r="O42" s="76">
        <v>2</v>
      </c>
      <c r="P42" s="36">
        <f t="shared" si="2"/>
        <v>25</v>
      </c>
      <c r="Q42" s="33"/>
      <c r="R42" s="36" t="str">
        <f t="shared" si="3"/>
        <v/>
      </c>
      <c r="S42" s="33"/>
      <c r="T42" s="36" t="str">
        <f t="shared" si="4"/>
        <v/>
      </c>
      <c r="U42" s="33"/>
      <c r="V42" s="36" t="str">
        <f t="shared" si="5"/>
        <v/>
      </c>
      <c r="W42" s="33"/>
      <c r="X42" s="36" t="str">
        <f t="shared" si="6"/>
        <v/>
      </c>
      <c r="Y42" s="33"/>
      <c r="Z42" s="36" t="str">
        <f t="shared" si="7"/>
        <v/>
      </c>
      <c r="AA42" s="33"/>
      <c r="AB42" s="36" t="str">
        <f t="shared" si="8"/>
        <v/>
      </c>
      <c r="AC42" s="33"/>
      <c r="AD42" s="36" t="str">
        <f t="shared" si="9"/>
        <v/>
      </c>
      <c r="AE42" s="76"/>
      <c r="AF42" s="36" t="str">
        <f t="shared" si="10"/>
        <v/>
      </c>
      <c r="AG42" s="33"/>
      <c r="AH42" s="36" t="str">
        <f t="shared" si="11"/>
        <v/>
      </c>
      <c r="AI42" s="33"/>
      <c r="AJ42" s="36" t="str">
        <f t="shared" si="12"/>
        <v/>
      </c>
      <c r="AK42" s="33"/>
      <c r="AL42" s="36" t="str">
        <f t="shared" si="13"/>
        <v/>
      </c>
      <c r="AM42" s="33"/>
      <c r="AN42" s="36" t="str">
        <f t="shared" si="14"/>
        <v/>
      </c>
      <c r="AO42" s="33"/>
      <c r="AP42" s="36" t="str">
        <f t="shared" si="15"/>
        <v/>
      </c>
      <c r="AQ42" s="33"/>
      <c r="AR42" s="36" t="str">
        <f t="shared" si="16"/>
        <v/>
      </c>
      <c r="AS42" s="33"/>
      <c r="AT42" s="36" t="str">
        <f t="shared" si="17"/>
        <v/>
      </c>
      <c r="AU42" s="33"/>
      <c r="AV42" s="36" t="str">
        <f t="shared" si="18"/>
        <v/>
      </c>
      <c r="AW42" s="33"/>
      <c r="AX42" s="36" t="str">
        <f t="shared" si="19"/>
        <v/>
      </c>
      <c r="AY42" s="33"/>
      <c r="AZ42" s="36" t="str">
        <f t="shared" si="20"/>
        <v/>
      </c>
      <c r="BA42" s="23" t="s">
        <v>201</v>
      </c>
    </row>
    <row r="43" spans="1:53" ht="20" customHeight="1" x14ac:dyDescent="0.2">
      <c r="A43" s="60"/>
      <c r="B43" s="83"/>
      <c r="C43" s="24" t="s">
        <v>85</v>
      </c>
      <c r="D43" s="23" t="s">
        <v>301</v>
      </c>
      <c r="E43" s="23" t="s">
        <v>302</v>
      </c>
      <c r="F43" s="24">
        <v>2015</v>
      </c>
      <c r="H43" s="89">
        <v>41</v>
      </c>
      <c r="I43" s="85" t="s">
        <v>185</v>
      </c>
      <c r="J43" s="86"/>
      <c r="K43" s="33"/>
      <c r="L43" s="36" t="str">
        <f t="shared" si="0"/>
        <v/>
      </c>
      <c r="M43" s="33"/>
      <c r="N43" s="36" t="str">
        <f t="shared" si="1"/>
        <v/>
      </c>
      <c r="O43" s="76"/>
      <c r="P43" s="36" t="str">
        <f t="shared" si="2"/>
        <v/>
      </c>
      <c r="Q43" s="33"/>
      <c r="R43" s="36" t="str">
        <f t="shared" si="3"/>
        <v/>
      </c>
      <c r="S43" s="33"/>
      <c r="T43" s="36" t="str">
        <f t="shared" si="4"/>
        <v/>
      </c>
      <c r="U43" s="33"/>
      <c r="V43" s="36" t="str">
        <f t="shared" si="5"/>
        <v/>
      </c>
      <c r="W43" s="33"/>
      <c r="X43" s="36" t="str">
        <f t="shared" si="6"/>
        <v/>
      </c>
      <c r="Y43" s="33"/>
      <c r="Z43" s="36" t="str">
        <f t="shared" si="7"/>
        <v/>
      </c>
      <c r="AA43" s="33"/>
      <c r="AB43" s="36" t="str">
        <f t="shared" si="8"/>
        <v/>
      </c>
      <c r="AC43" s="33"/>
      <c r="AD43" s="36" t="str">
        <f t="shared" si="9"/>
        <v/>
      </c>
      <c r="AE43" s="76"/>
      <c r="AF43" s="36" t="str">
        <f t="shared" si="10"/>
        <v/>
      </c>
      <c r="AG43" s="33"/>
      <c r="AH43" s="36" t="str">
        <f t="shared" si="11"/>
        <v/>
      </c>
      <c r="AI43" s="33"/>
      <c r="AJ43" s="36" t="str">
        <f t="shared" si="12"/>
        <v/>
      </c>
      <c r="AK43" s="33"/>
      <c r="AL43" s="36" t="str">
        <f t="shared" si="13"/>
        <v/>
      </c>
      <c r="AM43" s="33"/>
      <c r="AN43" s="36" t="str">
        <f t="shared" si="14"/>
        <v/>
      </c>
      <c r="AO43" s="33"/>
      <c r="AP43" s="36" t="str">
        <f t="shared" si="15"/>
        <v/>
      </c>
      <c r="AQ43" s="33"/>
      <c r="AR43" s="36" t="str">
        <f t="shared" si="16"/>
        <v/>
      </c>
      <c r="AS43" s="33"/>
      <c r="AT43" s="36" t="str">
        <f t="shared" si="17"/>
        <v/>
      </c>
      <c r="AU43" s="33"/>
      <c r="AV43" s="36" t="str">
        <f t="shared" si="18"/>
        <v/>
      </c>
      <c r="AW43" s="33"/>
      <c r="AX43" s="36" t="str">
        <f t="shared" si="19"/>
        <v/>
      </c>
      <c r="AY43" s="33"/>
      <c r="AZ43" s="36" t="str">
        <f t="shared" si="20"/>
        <v/>
      </c>
      <c r="BA43" s="23" t="s">
        <v>364</v>
      </c>
    </row>
    <row r="44" spans="1:53" ht="20" customHeight="1" x14ac:dyDescent="0.2">
      <c r="A44" s="60"/>
      <c r="B44" s="83"/>
      <c r="C44" s="24" t="s">
        <v>85</v>
      </c>
      <c r="D44" s="23" t="s">
        <v>303</v>
      </c>
      <c r="E44" s="23" t="s">
        <v>304</v>
      </c>
      <c r="F44" s="24">
        <v>2009</v>
      </c>
      <c r="H44" s="89">
        <v>68</v>
      </c>
      <c r="I44" s="85" t="s">
        <v>214</v>
      </c>
      <c r="J44" s="86" t="s">
        <v>365</v>
      </c>
      <c r="K44" s="33"/>
      <c r="L44" s="36" t="str">
        <f t="shared" si="0"/>
        <v/>
      </c>
      <c r="M44" s="33"/>
      <c r="N44" s="36" t="str">
        <f t="shared" si="1"/>
        <v/>
      </c>
      <c r="O44" s="76"/>
      <c r="P44" s="36"/>
      <c r="Q44" s="33"/>
      <c r="R44" s="36" t="str">
        <f t="shared" si="3"/>
        <v/>
      </c>
      <c r="S44" s="33"/>
      <c r="T44" s="36" t="str">
        <f t="shared" si="4"/>
        <v/>
      </c>
      <c r="U44" s="33"/>
      <c r="V44" s="36" t="str">
        <f t="shared" si="5"/>
        <v/>
      </c>
      <c r="W44" s="33"/>
      <c r="X44" s="36" t="str">
        <f t="shared" si="6"/>
        <v/>
      </c>
      <c r="Y44" s="33"/>
      <c r="Z44" s="36" t="str">
        <f t="shared" si="7"/>
        <v/>
      </c>
      <c r="AA44" s="33"/>
      <c r="AB44" s="36" t="str">
        <f t="shared" si="8"/>
        <v/>
      </c>
      <c r="AC44" s="33"/>
      <c r="AD44" s="36" t="str">
        <f t="shared" si="9"/>
        <v/>
      </c>
      <c r="AE44" s="76"/>
      <c r="AF44" s="36" t="str">
        <f t="shared" si="10"/>
        <v/>
      </c>
      <c r="AG44" s="33"/>
      <c r="AH44" s="36" t="str">
        <f t="shared" si="11"/>
        <v/>
      </c>
      <c r="AI44" s="33"/>
      <c r="AJ44" s="36" t="str">
        <f t="shared" si="12"/>
        <v/>
      </c>
      <c r="AK44" s="33"/>
      <c r="AL44" s="36" t="str">
        <f t="shared" si="13"/>
        <v/>
      </c>
      <c r="AM44" s="33"/>
      <c r="AN44" s="36" t="str">
        <f t="shared" si="14"/>
        <v/>
      </c>
      <c r="AO44" s="33"/>
      <c r="AP44" s="36" t="str">
        <f t="shared" si="15"/>
        <v/>
      </c>
      <c r="AQ44" s="33"/>
      <c r="AR44" s="36" t="str">
        <f t="shared" si="16"/>
        <v/>
      </c>
      <c r="AS44" s="33"/>
      <c r="AT44" s="36" t="str">
        <f t="shared" si="17"/>
        <v/>
      </c>
      <c r="AU44" s="33"/>
      <c r="AV44" s="36" t="str">
        <f t="shared" si="18"/>
        <v/>
      </c>
      <c r="AW44" s="33"/>
      <c r="AX44" s="36" t="str">
        <f t="shared" si="19"/>
        <v/>
      </c>
      <c r="AY44" s="33"/>
      <c r="AZ44" s="36" t="str">
        <f t="shared" si="20"/>
        <v/>
      </c>
      <c r="BA44" s="23" t="s">
        <v>419</v>
      </c>
    </row>
    <row r="45" spans="1:53" ht="20" customHeight="1" x14ac:dyDescent="0.2">
      <c r="A45" s="61"/>
      <c r="B45" s="24"/>
      <c r="C45" s="24" t="s">
        <v>85</v>
      </c>
      <c r="D45" s="23" t="s">
        <v>105</v>
      </c>
      <c r="E45" s="23" t="s">
        <v>106</v>
      </c>
      <c r="F45" s="24">
        <v>1989</v>
      </c>
      <c r="G45" s="24">
        <v>27</v>
      </c>
      <c r="H45" s="89"/>
      <c r="I45" s="85" t="s">
        <v>209</v>
      </c>
      <c r="J45" s="86" t="s">
        <v>178</v>
      </c>
      <c r="K45" s="33"/>
      <c r="L45" s="36" t="str">
        <f t="shared" si="0"/>
        <v/>
      </c>
      <c r="M45" s="33"/>
      <c r="N45" s="36" t="str">
        <f t="shared" si="1"/>
        <v/>
      </c>
      <c r="O45" s="76"/>
      <c r="P45" s="36" t="str">
        <f t="shared" ref="P45:P55" si="21">IF((ISERROR((O45/$H45)*100)), "", IF(AND(NOT(ISERROR((O45/$H45)*100)),((O45/$H45)*100) &lt;&gt; 0), (O45/$H45)*100, ""))</f>
        <v/>
      </c>
      <c r="Q45" s="33"/>
      <c r="R45" s="36" t="str">
        <f t="shared" si="3"/>
        <v/>
      </c>
      <c r="S45" s="33"/>
      <c r="T45" s="36" t="str">
        <f t="shared" si="4"/>
        <v/>
      </c>
      <c r="U45" s="38"/>
      <c r="V45" s="39" t="str">
        <f t="shared" si="5"/>
        <v/>
      </c>
      <c r="W45" s="33"/>
      <c r="X45" s="36" t="str">
        <f t="shared" si="6"/>
        <v/>
      </c>
      <c r="Y45" s="33"/>
      <c r="Z45" s="36" t="str">
        <f t="shared" si="7"/>
        <v/>
      </c>
      <c r="AA45" s="33"/>
      <c r="AB45" s="36" t="str">
        <f t="shared" si="8"/>
        <v/>
      </c>
      <c r="AC45" s="33"/>
      <c r="AD45" s="36" t="str">
        <f t="shared" si="9"/>
        <v/>
      </c>
      <c r="AE45" s="76"/>
      <c r="AF45" s="36" t="str">
        <f t="shared" si="10"/>
        <v/>
      </c>
      <c r="AG45" s="33"/>
      <c r="AH45" s="36" t="str">
        <f t="shared" si="11"/>
        <v/>
      </c>
      <c r="AI45" s="33"/>
      <c r="AJ45" s="36" t="str">
        <f t="shared" si="12"/>
        <v/>
      </c>
      <c r="AK45" s="33"/>
      <c r="AL45" s="36" t="str">
        <f t="shared" si="13"/>
        <v/>
      </c>
      <c r="AM45" s="33"/>
      <c r="AN45" s="36" t="str">
        <f t="shared" si="14"/>
        <v/>
      </c>
      <c r="AO45" s="33"/>
      <c r="AP45" s="36" t="str">
        <f t="shared" si="15"/>
        <v/>
      </c>
      <c r="AQ45" s="33"/>
      <c r="AR45" s="36" t="str">
        <f t="shared" si="16"/>
        <v/>
      </c>
      <c r="AS45" s="33"/>
      <c r="AT45" s="36" t="str">
        <f t="shared" si="17"/>
        <v/>
      </c>
      <c r="AU45" s="33"/>
      <c r="AV45" s="36" t="str">
        <f t="shared" si="18"/>
        <v/>
      </c>
      <c r="AW45" s="33"/>
      <c r="AX45" s="36" t="str">
        <f t="shared" si="19"/>
        <v/>
      </c>
      <c r="AY45" s="33"/>
      <c r="AZ45" s="36" t="str">
        <f t="shared" si="20"/>
        <v/>
      </c>
    </row>
    <row r="46" spans="1:53" ht="20" customHeight="1" x14ac:dyDescent="0.2">
      <c r="A46" s="61"/>
      <c r="B46" s="83"/>
      <c r="C46" s="24" t="s">
        <v>85</v>
      </c>
      <c r="D46" s="23" t="s">
        <v>305</v>
      </c>
      <c r="E46" s="23" t="s">
        <v>306</v>
      </c>
      <c r="F46" s="24">
        <v>2011</v>
      </c>
      <c r="H46" s="89"/>
      <c r="I46" s="85"/>
      <c r="J46" s="86"/>
      <c r="K46" s="33"/>
      <c r="L46" s="36" t="str">
        <f t="shared" si="0"/>
        <v/>
      </c>
      <c r="M46" s="33"/>
      <c r="N46" s="36" t="str">
        <f t="shared" si="1"/>
        <v/>
      </c>
      <c r="O46" s="76"/>
      <c r="P46" s="36" t="str">
        <f t="shared" si="21"/>
        <v/>
      </c>
      <c r="Q46" s="33"/>
      <c r="R46" s="36" t="str">
        <f t="shared" si="3"/>
        <v/>
      </c>
      <c r="S46" s="33"/>
      <c r="T46" s="36" t="str">
        <f t="shared" si="4"/>
        <v/>
      </c>
      <c r="U46" s="33"/>
      <c r="V46" s="36" t="str">
        <f t="shared" si="5"/>
        <v/>
      </c>
      <c r="W46" s="33"/>
      <c r="X46" s="36" t="str">
        <f t="shared" si="6"/>
        <v/>
      </c>
      <c r="Y46" s="33"/>
      <c r="Z46" s="36" t="str">
        <f t="shared" si="7"/>
        <v/>
      </c>
      <c r="AA46" s="33"/>
      <c r="AB46" s="36" t="str">
        <f t="shared" si="8"/>
        <v/>
      </c>
      <c r="AC46" s="33"/>
      <c r="AD46" s="36" t="str">
        <f t="shared" si="9"/>
        <v/>
      </c>
      <c r="AE46" s="76"/>
      <c r="AF46" s="36" t="str">
        <f t="shared" si="10"/>
        <v/>
      </c>
      <c r="AG46" s="33"/>
      <c r="AH46" s="36" t="str">
        <f t="shared" si="11"/>
        <v/>
      </c>
      <c r="AI46" s="33"/>
      <c r="AJ46" s="36" t="str">
        <f t="shared" si="12"/>
        <v/>
      </c>
      <c r="AK46" s="33"/>
      <c r="AL46" s="36" t="str">
        <f t="shared" si="13"/>
        <v/>
      </c>
      <c r="AM46" s="33"/>
      <c r="AN46" s="36" t="str">
        <f t="shared" si="14"/>
        <v/>
      </c>
      <c r="AO46" s="33"/>
      <c r="AP46" s="36" t="str">
        <f t="shared" si="15"/>
        <v/>
      </c>
      <c r="AQ46" s="33"/>
      <c r="AR46" s="36" t="str">
        <f t="shared" si="16"/>
        <v/>
      </c>
      <c r="AS46" s="33"/>
      <c r="AT46" s="36" t="str">
        <f t="shared" si="17"/>
        <v/>
      </c>
      <c r="AU46" s="33"/>
      <c r="AV46" s="36" t="str">
        <f t="shared" si="18"/>
        <v/>
      </c>
      <c r="AW46" s="33"/>
      <c r="AX46" s="36" t="str">
        <f t="shared" si="19"/>
        <v/>
      </c>
      <c r="AY46" s="33"/>
      <c r="AZ46" s="36" t="str">
        <f t="shared" si="20"/>
        <v/>
      </c>
      <c r="BA46" s="23" t="s">
        <v>366</v>
      </c>
    </row>
    <row r="47" spans="1:53" ht="20" customHeight="1" x14ac:dyDescent="0.2">
      <c r="A47" s="60"/>
      <c r="B47" s="82"/>
      <c r="C47" s="24" t="s">
        <v>85</v>
      </c>
      <c r="D47" s="23" t="s">
        <v>107</v>
      </c>
      <c r="E47" s="23" t="s">
        <v>108</v>
      </c>
      <c r="F47" s="24">
        <v>2008</v>
      </c>
      <c r="G47" s="24">
        <v>54</v>
      </c>
      <c r="H47" s="89">
        <v>12</v>
      </c>
      <c r="I47" s="85" t="s">
        <v>168</v>
      </c>
      <c r="J47" s="86" t="s">
        <v>210</v>
      </c>
      <c r="K47" s="33"/>
      <c r="L47" s="36" t="str">
        <f t="shared" si="0"/>
        <v/>
      </c>
      <c r="M47" s="33"/>
      <c r="N47" s="36" t="str">
        <f t="shared" si="1"/>
        <v/>
      </c>
      <c r="O47" s="76"/>
      <c r="P47" s="36" t="str">
        <f t="shared" si="21"/>
        <v/>
      </c>
      <c r="Q47" s="33"/>
      <c r="R47" s="36" t="str">
        <f t="shared" si="3"/>
        <v/>
      </c>
      <c r="S47" s="33"/>
      <c r="T47" s="36" t="str">
        <f t="shared" si="4"/>
        <v/>
      </c>
      <c r="U47" s="33"/>
      <c r="V47" s="36" t="str">
        <f t="shared" si="5"/>
        <v/>
      </c>
      <c r="W47" s="33"/>
      <c r="X47" s="36" t="str">
        <f t="shared" si="6"/>
        <v/>
      </c>
      <c r="Y47" s="33"/>
      <c r="Z47" s="36" t="str">
        <f t="shared" si="7"/>
        <v/>
      </c>
      <c r="AA47" s="33">
        <v>1</v>
      </c>
      <c r="AB47" s="36">
        <f t="shared" si="8"/>
        <v>8.3333333333333321</v>
      </c>
      <c r="AC47" s="33"/>
      <c r="AD47" s="36" t="str">
        <f t="shared" si="9"/>
        <v/>
      </c>
      <c r="AE47" s="76"/>
      <c r="AF47" s="36" t="str">
        <f t="shared" si="10"/>
        <v/>
      </c>
      <c r="AG47" s="33">
        <v>1</v>
      </c>
      <c r="AH47" s="36">
        <f t="shared" si="11"/>
        <v>8.3333333333333321</v>
      </c>
      <c r="AI47" s="33"/>
      <c r="AJ47" s="36" t="str">
        <f t="shared" si="12"/>
        <v/>
      </c>
      <c r="AK47" s="33"/>
      <c r="AL47" s="36" t="str">
        <f t="shared" si="13"/>
        <v/>
      </c>
      <c r="AM47" s="33"/>
      <c r="AN47" s="36" t="str">
        <f t="shared" si="14"/>
        <v/>
      </c>
      <c r="AO47" s="33"/>
      <c r="AP47" s="36" t="str">
        <f t="shared" si="15"/>
        <v/>
      </c>
      <c r="AQ47" s="33"/>
      <c r="AR47" s="36" t="str">
        <f t="shared" si="16"/>
        <v/>
      </c>
      <c r="AS47" s="33"/>
      <c r="AT47" s="36" t="str">
        <f t="shared" si="17"/>
        <v/>
      </c>
      <c r="AU47" s="33"/>
      <c r="AV47" s="36" t="str">
        <f t="shared" si="18"/>
        <v/>
      </c>
      <c r="AW47" s="33"/>
      <c r="AX47" s="36" t="str">
        <f t="shared" si="19"/>
        <v/>
      </c>
      <c r="AY47" s="33"/>
      <c r="AZ47" s="36" t="str">
        <f t="shared" si="20"/>
        <v/>
      </c>
      <c r="BA47" s="23" t="s">
        <v>420</v>
      </c>
    </row>
    <row r="48" spans="1:53" ht="20" customHeight="1" x14ac:dyDescent="0.2">
      <c r="A48" s="60"/>
      <c r="B48" s="83"/>
      <c r="C48" s="24" t="s">
        <v>85</v>
      </c>
      <c r="D48" s="23" t="s">
        <v>109</v>
      </c>
      <c r="E48" s="23" t="s">
        <v>110</v>
      </c>
      <c r="F48" s="24">
        <v>1999</v>
      </c>
      <c r="G48" s="24">
        <v>76</v>
      </c>
      <c r="H48" s="89">
        <v>7</v>
      </c>
      <c r="I48" s="85" t="s">
        <v>176</v>
      </c>
      <c r="J48" s="86" t="s">
        <v>192</v>
      </c>
      <c r="K48" s="33"/>
      <c r="L48" s="36" t="str">
        <f t="shared" si="0"/>
        <v/>
      </c>
      <c r="M48" s="33"/>
      <c r="N48" s="36" t="str">
        <f t="shared" si="1"/>
        <v/>
      </c>
      <c r="O48" s="76"/>
      <c r="P48" s="36" t="str">
        <f t="shared" si="21"/>
        <v/>
      </c>
      <c r="Q48" s="33"/>
      <c r="R48" s="36" t="str">
        <f t="shared" si="3"/>
        <v/>
      </c>
      <c r="S48" s="33"/>
      <c r="T48" s="36" t="str">
        <f t="shared" si="4"/>
        <v/>
      </c>
      <c r="U48" s="33"/>
      <c r="V48" s="36" t="str">
        <f t="shared" si="5"/>
        <v/>
      </c>
      <c r="W48" s="33"/>
      <c r="X48" s="36" t="str">
        <f t="shared" si="6"/>
        <v/>
      </c>
      <c r="Y48" s="33"/>
      <c r="Z48" s="36" t="str">
        <f t="shared" si="7"/>
        <v/>
      </c>
      <c r="AA48" s="33"/>
      <c r="AB48" s="36" t="str">
        <f t="shared" si="8"/>
        <v/>
      </c>
      <c r="AC48" s="33"/>
      <c r="AD48" s="36" t="str">
        <f t="shared" si="9"/>
        <v/>
      </c>
      <c r="AE48" s="76"/>
      <c r="AF48" s="36" t="str">
        <f t="shared" si="10"/>
        <v/>
      </c>
      <c r="AG48" s="33"/>
      <c r="AH48" s="36" t="str">
        <f t="shared" si="11"/>
        <v/>
      </c>
      <c r="AI48" s="33"/>
      <c r="AJ48" s="36" t="str">
        <f t="shared" si="12"/>
        <v/>
      </c>
      <c r="AK48" s="33"/>
      <c r="AL48" s="36" t="str">
        <f t="shared" si="13"/>
        <v/>
      </c>
      <c r="AM48" s="33"/>
      <c r="AN48" s="36" t="str">
        <f t="shared" si="14"/>
        <v/>
      </c>
      <c r="AO48" s="33"/>
      <c r="AP48" s="36" t="str">
        <f t="shared" si="15"/>
        <v/>
      </c>
      <c r="AQ48" s="33"/>
      <c r="AR48" s="36" t="str">
        <f t="shared" si="16"/>
        <v/>
      </c>
      <c r="AS48" s="33"/>
      <c r="AT48" s="36" t="str">
        <f t="shared" si="17"/>
        <v/>
      </c>
      <c r="AU48" s="33"/>
      <c r="AV48" s="36" t="str">
        <f t="shared" si="18"/>
        <v/>
      </c>
      <c r="AW48" s="33"/>
      <c r="AX48" s="36" t="str">
        <f t="shared" si="19"/>
        <v/>
      </c>
      <c r="AY48" s="33"/>
      <c r="AZ48" s="36" t="str">
        <f t="shared" si="20"/>
        <v/>
      </c>
      <c r="BA48" s="23" t="s">
        <v>181</v>
      </c>
    </row>
    <row r="49" spans="1:53" ht="20" customHeight="1" x14ac:dyDescent="0.2">
      <c r="A49" s="61"/>
      <c r="B49" s="83"/>
      <c r="C49" s="24" t="s">
        <v>85</v>
      </c>
      <c r="D49" s="23" t="s">
        <v>111</v>
      </c>
      <c r="E49" s="23" t="s">
        <v>112</v>
      </c>
      <c r="F49" s="24">
        <v>2008</v>
      </c>
      <c r="G49" s="24">
        <v>101</v>
      </c>
      <c r="H49" s="89">
        <v>16</v>
      </c>
      <c r="I49" s="85" t="s">
        <v>211</v>
      </c>
      <c r="J49" s="86"/>
      <c r="K49" s="33"/>
      <c r="L49" s="36" t="str">
        <f t="shared" si="0"/>
        <v/>
      </c>
      <c r="M49" s="33"/>
      <c r="N49" s="36" t="str">
        <f t="shared" si="1"/>
        <v/>
      </c>
      <c r="O49" s="76"/>
      <c r="P49" s="36" t="str">
        <f t="shared" si="21"/>
        <v/>
      </c>
      <c r="Q49" s="33"/>
      <c r="R49" s="36" t="str">
        <f t="shared" si="3"/>
        <v/>
      </c>
      <c r="S49" s="33"/>
      <c r="T49" s="36" t="str">
        <f t="shared" si="4"/>
        <v/>
      </c>
      <c r="U49" s="33"/>
      <c r="V49" s="36" t="str">
        <f t="shared" si="5"/>
        <v/>
      </c>
      <c r="W49" s="33"/>
      <c r="X49" s="36" t="str">
        <f t="shared" si="6"/>
        <v/>
      </c>
      <c r="Y49" s="33"/>
      <c r="Z49" s="36" t="str">
        <f t="shared" si="7"/>
        <v/>
      </c>
      <c r="AA49" s="33"/>
      <c r="AB49" s="36" t="str">
        <f t="shared" si="8"/>
        <v/>
      </c>
      <c r="AC49" s="33"/>
      <c r="AD49" s="36" t="str">
        <f t="shared" si="9"/>
        <v/>
      </c>
      <c r="AE49" s="76"/>
      <c r="AF49" s="36" t="str">
        <f t="shared" si="10"/>
        <v/>
      </c>
      <c r="AG49" s="33"/>
      <c r="AH49" s="36" t="str">
        <f t="shared" si="11"/>
        <v/>
      </c>
      <c r="AI49" s="33"/>
      <c r="AJ49" s="36" t="str">
        <f t="shared" si="12"/>
        <v/>
      </c>
      <c r="AK49" s="33"/>
      <c r="AL49" s="36" t="str">
        <f t="shared" si="13"/>
        <v/>
      </c>
      <c r="AM49" s="33"/>
      <c r="AN49" s="36" t="str">
        <f t="shared" si="14"/>
        <v/>
      </c>
      <c r="AO49" s="33"/>
      <c r="AP49" s="36" t="str">
        <f t="shared" si="15"/>
        <v/>
      </c>
      <c r="AQ49" s="33"/>
      <c r="AR49" s="36" t="str">
        <f t="shared" si="16"/>
        <v/>
      </c>
      <c r="AS49" s="33"/>
      <c r="AT49" s="36" t="str">
        <f t="shared" si="17"/>
        <v/>
      </c>
      <c r="AU49" s="33"/>
      <c r="AV49" s="36" t="str">
        <f t="shared" si="18"/>
        <v/>
      </c>
      <c r="AW49" s="33"/>
      <c r="AX49" s="36" t="str">
        <f t="shared" si="19"/>
        <v/>
      </c>
      <c r="AY49" s="33"/>
      <c r="AZ49" s="36" t="str">
        <f t="shared" si="20"/>
        <v/>
      </c>
      <c r="BA49" s="23" t="s">
        <v>388</v>
      </c>
    </row>
    <row r="50" spans="1:53" ht="20" customHeight="1" x14ac:dyDescent="0.2">
      <c r="A50" s="60"/>
      <c r="B50" s="82"/>
      <c r="C50" s="24" t="s">
        <v>85</v>
      </c>
      <c r="D50" s="23" t="s">
        <v>119</v>
      </c>
      <c r="E50" s="23" t="s">
        <v>120</v>
      </c>
      <c r="F50" s="24">
        <v>2003</v>
      </c>
      <c r="G50" s="24">
        <v>45</v>
      </c>
      <c r="H50" s="89">
        <v>16</v>
      </c>
      <c r="I50" s="85" t="s">
        <v>176</v>
      </c>
      <c r="J50" s="86" t="s">
        <v>421</v>
      </c>
      <c r="K50" s="33"/>
      <c r="L50" s="36" t="str">
        <f t="shared" si="0"/>
        <v/>
      </c>
      <c r="M50" s="33"/>
      <c r="N50" s="36" t="str">
        <f t="shared" si="1"/>
        <v/>
      </c>
      <c r="O50" s="38"/>
      <c r="P50" s="39" t="str">
        <f t="shared" si="21"/>
        <v/>
      </c>
      <c r="Q50" s="33"/>
      <c r="R50" s="36" t="str">
        <f t="shared" si="3"/>
        <v/>
      </c>
      <c r="S50" s="38"/>
      <c r="T50" s="39" t="str">
        <f t="shared" si="4"/>
        <v/>
      </c>
      <c r="U50" s="33"/>
      <c r="V50" s="36" t="str">
        <f t="shared" si="5"/>
        <v/>
      </c>
      <c r="W50" s="33"/>
      <c r="X50" s="36" t="str">
        <f t="shared" si="6"/>
        <v/>
      </c>
      <c r="Y50" s="33"/>
      <c r="Z50" s="36" t="str">
        <f t="shared" si="7"/>
        <v/>
      </c>
      <c r="AA50" s="33"/>
      <c r="AB50" s="36" t="str">
        <f t="shared" si="8"/>
        <v/>
      </c>
      <c r="AC50" s="33"/>
      <c r="AD50" s="36" t="str">
        <f t="shared" si="9"/>
        <v/>
      </c>
      <c r="AE50" s="76"/>
      <c r="AF50" s="36" t="str">
        <f t="shared" si="10"/>
        <v/>
      </c>
      <c r="AG50" s="33"/>
      <c r="AH50" s="36" t="str">
        <f t="shared" si="11"/>
        <v/>
      </c>
      <c r="AI50" s="33"/>
      <c r="AJ50" s="36" t="str">
        <f t="shared" si="12"/>
        <v/>
      </c>
      <c r="AK50" s="33"/>
      <c r="AL50" s="36" t="str">
        <f t="shared" si="13"/>
        <v/>
      </c>
      <c r="AM50" s="33"/>
      <c r="AN50" s="36" t="str">
        <f t="shared" si="14"/>
        <v/>
      </c>
      <c r="AO50" s="33"/>
      <c r="AP50" s="36" t="str">
        <f t="shared" si="15"/>
        <v/>
      </c>
      <c r="AQ50" s="33"/>
      <c r="AR50" s="36" t="str">
        <f t="shared" si="16"/>
        <v/>
      </c>
      <c r="AS50" s="33"/>
      <c r="AT50" s="36" t="str">
        <f t="shared" si="17"/>
        <v/>
      </c>
      <c r="AU50" s="33"/>
      <c r="AV50" s="36" t="str">
        <f t="shared" si="18"/>
        <v/>
      </c>
      <c r="AW50" s="33"/>
      <c r="AX50" s="36" t="str">
        <f t="shared" si="19"/>
        <v/>
      </c>
      <c r="AY50" s="33"/>
      <c r="AZ50" s="36" t="str">
        <f t="shared" si="20"/>
        <v/>
      </c>
      <c r="BA50" s="23" t="s">
        <v>409</v>
      </c>
    </row>
    <row r="51" spans="1:53" ht="20" customHeight="1" x14ac:dyDescent="0.2">
      <c r="A51" s="60"/>
      <c r="B51" s="82"/>
      <c r="C51" s="24" t="s">
        <v>85</v>
      </c>
      <c r="D51" s="23" t="s">
        <v>309</v>
      </c>
      <c r="E51" s="23" t="s">
        <v>310</v>
      </c>
      <c r="F51" s="24">
        <v>2015</v>
      </c>
      <c r="H51" s="89">
        <v>5</v>
      </c>
      <c r="I51" s="85" t="s">
        <v>211</v>
      </c>
      <c r="J51" s="86" t="s">
        <v>188</v>
      </c>
      <c r="K51" s="33"/>
      <c r="L51" s="36" t="str">
        <f t="shared" si="0"/>
        <v/>
      </c>
      <c r="M51" s="33"/>
      <c r="N51" s="36" t="str">
        <f t="shared" si="1"/>
        <v/>
      </c>
      <c r="O51" s="76"/>
      <c r="P51" s="36" t="str">
        <f t="shared" si="21"/>
        <v/>
      </c>
      <c r="Q51" s="33"/>
      <c r="R51" s="36" t="str">
        <f t="shared" si="3"/>
        <v/>
      </c>
      <c r="S51" s="33"/>
      <c r="T51" s="36" t="str">
        <f t="shared" si="4"/>
        <v/>
      </c>
      <c r="U51" s="33"/>
      <c r="V51" s="36" t="str">
        <f t="shared" si="5"/>
        <v/>
      </c>
      <c r="W51" s="33"/>
      <c r="X51" s="36" t="str">
        <f t="shared" si="6"/>
        <v/>
      </c>
      <c r="Y51" s="33"/>
      <c r="Z51" s="36" t="str">
        <f t="shared" si="7"/>
        <v/>
      </c>
      <c r="AA51" s="33"/>
      <c r="AB51" s="36" t="str">
        <f t="shared" si="8"/>
        <v/>
      </c>
      <c r="AC51" s="33"/>
      <c r="AD51" s="36" t="str">
        <f t="shared" si="9"/>
        <v/>
      </c>
      <c r="AE51" s="76">
        <v>1</v>
      </c>
      <c r="AF51" s="36">
        <f t="shared" si="10"/>
        <v>20</v>
      </c>
      <c r="AG51" s="33"/>
      <c r="AH51" s="36" t="str">
        <f t="shared" si="11"/>
        <v/>
      </c>
      <c r="AI51" s="33"/>
      <c r="AJ51" s="36" t="str">
        <f t="shared" si="12"/>
        <v/>
      </c>
      <c r="AK51" s="33"/>
      <c r="AL51" s="36" t="str">
        <f t="shared" si="13"/>
        <v/>
      </c>
      <c r="AM51" s="33"/>
      <c r="AN51" s="36" t="str">
        <f t="shared" si="14"/>
        <v/>
      </c>
      <c r="AO51" s="33"/>
      <c r="AP51" s="36" t="str">
        <f t="shared" si="15"/>
        <v/>
      </c>
      <c r="AQ51" s="33"/>
      <c r="AR51" s="36" t="str">
        <f t="shared" si="16"/>
        <v/>
      </c>
      <c r="AS51" s="33"/>
      <c r="AT51" s="36" t="str">
        <f t="shared" si="17"/>
        <v/>
      </c>
      <c r="AU51" s="33"/>
      <c r="AV51" s="36" t="str">
        <f t="shared" si="18"/>
        <v/>
      </c>
      <c r="AW51" s="33"/>
      <c r="AX51" s="36" t="str">
        <f t="shared" si="19"/>
        <v/>
      </c>
      <c r="AY51" s="33"/>
      <c r="AZ51" s="36" t="str">
        <f t="shared" si="20"/>
        <v/>
      </c>
      <c r="BA51" s="23" t="s">
        <v>422</v>
      </c>
    </row>
    <row r="52" spans="1:53" ht="20" customHeight="1" x14ac:dyDescent="0.2">
      <c r="A52" s="60"/>
      <c r="B52" s="83"/>
      <c r="C52" s="24" t="s">
        <v>85</v>
      </c>
      <c r="D52" s="23" t="s">
        <v>311</v>
      </c>
      <c r="E52" s="23" t="s">
        <v>312</v>
      </c>
      <c r="F52" s="24">
        <v>2008</v>
      </c>
      <c r="H52" s="89">
        <v>86</v>
      </c>
      <c r="I52" s="85" t="s">
        <v>176</v>
      </c>
      <c r="J52" s="86"/>
      <c r="K52" s="33"/>
      <c r="L52" s="36" t="str">
        <f t="shared" si="0"/>
        <v/>
      </c>
      <c r="M52" s="33"/>
      <c r="N52" s="36" t="str">
        <f t="shared" si="1"/>
        <v/>
      </c>
      <c r="O52" s="76"/>
      <c r="P52" s="36" t="str">
        <f t="shared" si="21"/>
        <v/>
      </c>
      <c r="Q52" s="33"/>
      <c r="R52" s="36" t="str">
        <f t="shared" si="3"/>
        <v/>
      </c>
      <c r="S52" s="33"/>
      <c r="T52" s="36" t="str">
        <f t="shared" si="4"/>
        <v/>
      </c>
      <c r="U52" s="33"/>
      <c r="V52" s="36" t="str">
        <f t="shared" si="5"/>
        <v/>
      </c>
      <c r="W52" s="33"/>
      <c r="X52" s="36" t="str">
        <f t="shared" si="6"/>
        <v/>
      </c>
      <c r="Y52" s="33"/>
      <c r="Z52" s="36" t="str">
        <f t="shared" si="7"/>
        <v/>
      </c>
      <c r="AA52" s="33"/>
      <c r="AB52" s="36" t="str">
        <f t="shared" si="8"/>
        <v/>
      </c>
      <c r="AC52" s="33"/>
      <c r="AD52" s="36" t="str">
        <f t="shared" si="9"/>
        <v/>
      </c>
      <c r="AE52" s="76"/>
      <c r="AF52" s="36" t="str">
        <f t="shared" si="10"/>
        <v/>
      </c>
      <c r="AG52" s="33"/>
      <c r="AH52" s="36" t="str">
        <f t="shared" si="11"/>
        <v/>
      </c>
      <c r="AI52" s="33"/>
      <c r="AJ52" s="36" t="str">
        <f t="shared" si="12"/>
        <v/>
      </c>
      <c r="AK52" s="33"/>
      <c r="AL52" s="36" t="str">
        <f t="shared" si="13"/>
        <v/>
      </c>
      <c r="AM52" s="33"/>
      <c r="AN52" s="36" t="str">
        <f t="shared" si="14"/>
        <v/>
      </c>
      <c r="AO52" s="33"/>
      <c r="AP52" s="36" t="str">
        <f t="shared" si="15"/>
        <v/>
      </c>
      <c r="AQ52" s="33"/>
      <c r="AR52" s="36" t="str">
        <f t="shared" si="16"/>
        <v/>
      </c>
      <c r="AS52" s="33"/>
      <c r="AT52" s="36" t="str">
        <f t="shared" si="17"/>
        <v/>
      </c>
      <c r="AU52" s="33"/>
      <c r="AV52" s="36" t="str">
        <f t="shared" si="18"/>
        <v/>
      </c>
      <c r="AW52" s="33"/>
      <c r="AX52" s="36" t="str">
        <f t="shared" si="19"/>
        <v/>
      </c>
      <c r="AY52" s="33"/>
      <c r="AZ52" s="36" t="str">
        <f t="shared" si="20"/>
        <v/>
      </c>
      <c r="BA52" s="23" t="s">
        <v>369</v>
      </c>
    </row>
    <row r="53" spans="1:53" ht="20" customHeight="1" x14ac:dyDescent="0.2">
      <c r="A53" s="60"/>
      <c r="B53" s="83"/>
      <c r="C53" s="24" t="s">
        <v>85</v>
      </c>
      <c r="D53" s="23" t="s">
        <v>313</v>
      </c>
      <c r="E53" s="23" t="s">
        <v>314</v>
      </c>
      <c r="F53" s="24">
        <v>2012</v>
      </c>
      <c r="H53" s="89"/>
      <c r="I53" s="85" t="s">
        <v>370</v>
      </c>
      <c r="J53" s="86" t="s">
        <v>210</v>
      </c>
      <c r="K53" s="33"/>
      <c r="L53" s="36" t="str">
        <f t="shared" si="0"/>
        <v/>
      </c>
      <c r="M53" s="33"/>
      <c r="N53" s="36" t="str">
        <f t="shared" si="1"/>
        <v/>
      </c>
      <c r="O53" s="76"/>
      <c r="P53" s="36" t="str">
        <f t="shared" si="21"/>
        <v/>
      </c>
      <c r="Q53" s="33"/>
      <c r="R53" s="36" t="str">
        <f t="shared" si="3"/>
        <v/>
      </c>
      <c r="S53" s="33"/>
      <c r="T53" s="36" t="str">
        <f t="shared" si="4"/>
        <v/>
      </c>
      <c r="U53" s="33"/>
      <c r="V53" s="36" t="str">
        <f t="shared" si="5"/>
        <v/>
      </c>
      <c r="W53" s="33"/>
      <c r="X53" s="36" t="str">
        <f t="shared" si="6"/>
        <v/>
      </c>
      <c r="Y53" s="33"/>
      <c r="Z53" s="36" t="str">
        <f t="shared" si="7"/>
        <v/>
      </c>
      <c r="AA53" s="33"/>
      <c r="AB53" s="36" t="str">
        <f t="shared" si="8"/>
        <v/>
      </c>
      <c r="AC53" s="33"/>
      <c r="AD53" s="36" t="str">
        <f t="shared" si="9"/>
        <v/>
      </c>
      <c r="AE53" s="76"/>
      <c r="AF53" s="36" t="str">
        <f t="shared" si="10"/>
        <v/>
      </c>
      <c r="AG53" s="33"/>
      <c r="AH53" s="36" t="str">
        <f t="shared" si="11"/>
        <v/>
      </c>
      <c r="AI53" s="33"/>
      <c r="AJ53" s="36" t="str">
        <f t="shared" si="12"/>
        <v/>
      </c>
      <c r="AK53" s="33"/>
      <c r="AL53" s="36" t="str">
        <f t="shared" si="13"/>
        <v/>
      </c>
      <c r="AM53" s="33"/>
      <c r="AN53" s="36" t="str">
        <f t="shared" si="14"/>
        <v/>
      </c>
      <c r="AO53" s="33"/>
      <c r="AP53" s="36" t="str">
        <f t="shared" si="15"/>
        <v/>
      </c>
      <c r="AQ53" s="33"/>
      <c r="AR53" s="36" t="str">
        <f t="shared" si="16"/>
        <v/>
      </c>
      <c r="AS53" s="33"/>
      <c r="AT53" s="36" t="str">
        <f t="shared" si="17"/>
        <v/>
      </c>
      <c r="AU53" s="33"/>
      <c r="AV53" s="36" t="str">
        <f t="shared" si="18"/>
        <v/>
      </c>
      <c r="AW53" s="33"/>
      <c r="AX53" s="36" t="str">
        <f t="shared" si="19"/>
        <v/>
      </c>
      <c r="AY53" s="33"/>
      <c r="AZ53" s="36" t="str">
        <f t="shared" si="20"/>
        <v/>
      </c>
    </row>
    <row r="54" spans="1:53" ht="20" customHeight="1" x14ac:dyDescent="0.2">
      <c r="A54" s="61"/>
      <c r="B54" s="24"/>
      <c r="C54" s="24" t="s">
        <v>85</v>
      </c>
      <c r="D54" s="23" t="s">
        <v>127</v>
      </c>
      <c r="E54" s="23" t="s">
        <v>128</v>
      </c>
      <c r="F54" s="24">
        <v>2000</v>
      </c>
      <c r="G54" s="24">
        <v>252</v>
      </c>
      <c r="H54" s="89">
        <v>30</v>
      </c>
      <c r="I54" s="85" t="s">
        <v>218</v>
      </c>
      <c r="J54" s="86" t="s">
        <v>169</v>
      </c>
      <c r="K54" s="33"/>
      <c r="L54" s="36" t="str">
        <f t="shared" si="0"/>
        <v/>
      </c>
      <c r="M54" s="33"/>
      <c r="N54" s="36" t="str">
        <f t="shared" si="1"/>
        <v/>
      </c>
      <c r="O54" s="76"/>
      <c r="P54" s="36" t="str">
        <f t="shared" si="21"/>
        <v/>
      </c>
      <c r="Q54" s="33"/>
      <c r="R54" s="36" t="str">
        <f t="shared" si="3"/>
        <v/>
      </c>
      <c r="S54" s="33"/>
      <c r="T54" s="36" t="str">
        <f t="shared" si="4"/>
        <v/>
      </c>
      <c r="U54" s="33"/>
      <c r="V54" s="36" t="str">
        <f t="shared" si="5"/>
        <v/>
      </c>
      <c r="W54" s="33"/>
      <c r="X54" s="36" t="str">
        <f t="shared" si="6"/>
        <v/>
      </c>
      <c r="Y54" s="33"/>
      <c r="Z54" s="36" t="str">
        <f t="shared" si="7"/>
        <v/>
      </c>
      <c r="AA54" s="33"/>
      <c r="AB54" s="36" t="str">
        <f t="shared" si="8"/>
        <v/>
      </c>
      <c r="AC54" s="33"/>
      <c r="AD54" s="36" t="str">
        <f t="shared" si="9"/>
        <v/>
      </c>
      <c r="AE54" s="76"/>
      <c r="AF54" s="36" t="str">
        <f t="shared" si="10"/>
        <v/>
      </c>
      <c r="AG54" s="33"/>
      <c r="AH54" s="36" t="str">
        <f t="shared" si="11"/>
        <v/>
      </c>
      <c r="AI54" s="33"/>
      <c r="AJ54" s="36" t="str">
        <f t="shared" si="12"/>
        <v/>
      </c>
      <c r="AK54" s="33"/>
      <c r="AL54" s="36" t="str">
        <f t="shared" si="13"/>
        <v/>
      </c>
      <c r="AM54" s="33"/>
      <c r="AN54" s="36" t="str">
        <f t="shared" si="14"/>
        <v/>
      </c>
      <c r="AO54" s="33"/>
      <c r="AP54" s="36" t="str">
        <f t="shared" si="15"/>
        <v/>
      </c>
      <c r="AQ54" s="33"/>
      <c r="AR54" s="36" t="str">
        <f t="shared" si="16"/>
        <v/>
      </c>
      <c r="AS54" s="33"/>
      <c r="AT54" s="36" t="str">
        <f t="shared" si="17"/>
        <v/>
      </c>
      <c r="AU54" s="33"/>
      <c r="AV54" s="36" t="str">
        <f t="shared" si="18"/>
        <v/>
      </c>
      <c r="AW54" s="33"/>
      <c r="AX54" s="36" t="str">
        <f t="shared" si="19"/>
        <v/>
      </c>
      <c r="AY54" s="33"/>
      <c r="AZ54" s="36" t="str">
        <f t="shared" si="20"/>
        <v/>
      </c>
      <c r="BA54" s="23" t="s">
        <v>423</v>
      </c>
    </row>
    <row r="55" spans="1:53" ht="20" customHeight="1" x14ac:dyDescent="0.2">
      <c r="A55" s="61"/>
      <c r="B55" s="82"/>
      <c r="C55" s="24" t="s">
        <v>85</v>
      </c>
      <c r="D55" s="23" t="s">
        <v>133</v>
      </c>
      <c r="E55" s="23" t="s">
        <v>134</v>
      </c>
      <c r="F55" s="24">
        <v>2001</v>
      </c>
      <c r="G55" s="24">
        <v>192</v>
      </c>
      <c r="H55" s="89"/>
      <c r="I55" s="85" t="s">
        <v>176</v>
      </c>
      <c r="J55" s="86" t="s">
        <v>169</v>
      </c>
      <c r="K55" s="33"/>
      <c r="L55" s="36" t="str">
        <f t="shared" si="0"/>
        <v/>
      </c>
      <c r="M55" s="33"/>
      <c r="N55" s="36" t="str">
        <f t="shared" si="1"/>
        <v/>
      </c>
      <c r="O55" s="76"/>
      <c r="P55" s="36" t="str">
        <f t="shared" si="21"/>
        <v/>
      </c>
      <c r="Q55" s="33"/>
      <c r="R55" s="36" t="str">
        <f t="shared" si="3"/>
        <v/>
      </c>
      <c r="S55" s="33"/>
      <c r="T55" s="36" t="str">
        <f t="shared" si="4"/>
        <v/>
      </c>
      <c r="U55" s="33"/>
      <c r="V55" s="36" t="str">
        <f t="shared" si="5"/>
        <v/>
      </c>
      <c r="W55" s="33"/>
      <c r="X55" s="36" t="str">
        <f t="shared" si="6"/>
        <v/>
      </c>
      <c r="Y55" s="33"/>
      <c r="Z55" s="36" t="str">
        <f t="shared" si="7"/>
        <v/>
      </c>
      <c r="AA55" s="33">
        <v>2</v>
      </c>
      <c r="AB55" s="36" t="str">
        <f t="shared" si="8"/>
        <v/>
      </c>
      <c r="AC55" s="33"/>
      <c r="AD55" s="36" t="str">
        <f t="shared" si="9"/>
        <v/>
      </c>
      <c r="AE55" s="76"/>
      <c r="AF55" s="36" t="str">
        <f t="shared" si="10"/>
        <v/>
      </c>
      <c r="AG55" s="33"/>
      <c r="AH55" s="36" t="str">
        <f t="shared" si="11"/>
        <v/>
      </c>
      <c r="AI55" s="33"/>
      <c r="AJ55" s="36" t="str">
        <f t="shared" si="12"/>
        <v/>
      </c>
      <c r="AK55" s="33"/>
      <c r="AL55" s="36" t="str">
        <f t="shared" si="13"/>
        <v/>
      </c>
      <c r="AM55" s="33"/>
      <c r="AN55" s="36" t="str">
        <f t="shared" si="14"/>
        <v/>
      </c>
      <c r="AO55" s="38">
        <v>1</v>
      </c>
      <c r="AP55" s="39" t="str">
        <f t="shared" si="15"/>
        <v/>
      </c>
      <c r="AQ55" s="33"/>
      <c r="AR55" s="36" t="str">
        <f t="shared" si="16"/>
        <v/>
      </c>
      <c r="AS55" s="33"/>
      <c r="AT55" s="36" t="str">
        <f t="shared" si="17"/>
        <v/>
      </c>
      <c r="AU55" s="33"/>
      <c r="AV55" s="36" t="str">
        <f t="shared" si="18"/>
        <v/>
      </c>
      <c r="AW55" s="33"/>
      <c r="AX55" s="36" t="str">
        <f t="shared" si="19"/>
        <v/>
      </c>
      <c r="AY55" s="33"/>
      <c r="AZ55" s="36" t="str">
        <f t="shared" si="20"/>
        <v/>
      </c>
      <c r="BA55" s="23" t="s">
        <v>392</v>
      </c>
    </row>
    <row r="56" spans="1:53" ht="20" customHeight="1" x14ac:dyDescent="0.2">
      <c r="A56" s="61"/>
      <c r="B56" s="82"/>
      <c r="D56" s="23" t="s">
        <v>151</v>
      </c>
      <c r="E56" s="23" t="s">
        <v>424</v>
      </c>
      <c r="F56" s="24">
        <v>1999</v>
      </c>
      <c r="H56" s="89">
        <v>30</v>
      </c>
      <c r="I56" s="85" t="s">
        <v>425</v>
      </c>
      <c r="J56" s="86" t="s">
        <v>220</v>
      </c>
      <c r="K56" s="33"/>
      <c r="L56" s="36"/>
      <c r="M56" s="33"/>
      <c r="N56" s="36"/>
      <c r="O56" s="76"/>
      <c r="P56" s="36"/>
      <c r="Q56" s="33"/>
      <c r="R56" s="36"/>
      <c r="S56" s="33"/>
      <c r="T56" s="36"/>
      <c r="U56" s="33"/>
      <c r="V56" s="36"/>
      <c r="W56" s="33"/>
      <c r="X56" s="36"/>
      <c r="Y56" s="33"/>
      <c r="Z56" s="36"/>
      <c r="AA56" s="33"/>
      <c r="AB56" s="36"/>
      <c r="AC56" s="33"/>
      <c r="AD56" s="36"/>
      <c r="AE56" s="76"/>
      <c r="AF56" s="36"/>
      <c r="AG56" s="33"/>
      <c r="AH56" s="36"/>
      <c r="AI56" s="33"/>
      <c r="AJ56" s="36"/>
      <c r="AK56" s="33"/>
      <c r="AL56" s="36"/>
      <c r="AM56" s="33"/>
      <c r="AN56" s="36"/>
      <c r="AO56" s="33"/>
      <c r="AP56" s="36"/>
      <c r="AQ56" s="33"/>
      <c r="AR56" s="36"/>
      <c r="AS56" s="33"/>
      <c r="AT56" s="36"/>
      <c r="AU56" s="33"/>
      <c r="AV56" s="36"/>
      <c r="AW56" s="33"/>
      <c r="AX56" s="36"/>
      <c r="AY56" s="33"/>
      <c r="AZ56" s="36"/>
      <c r="BA56" s="23" t="s">
        <v>393</v>
      </c>
    </row>
    <row r="57" spans="1:53" ht="20" customHeight="1" x14ac:dyDescent="0.2">
      <c r="A57" s="61"/>
      <c r="B57" s="24"/>
      <c r="C57" s="24" t="s">
        <v>85</v>
      </c>
      <c r="D57" s="23" t="s">
        <v>135</v>
      </c>
      <c r="E57" s="23" t="s">
        <v>136</v>
      </c>
      <c r="F57" s="24">
        <v>2007</v>
      </c>
      <c r="G57" s="24">
        <v>240</v>
      </c>
      <c r="H57" s="89"/>
      <c r="I57" s="85" t="s">
        <v>221</v>
      </c>
      <c r="J57" s="86" t="s">
        <v>169</v>
      </c>
      <c r="K57" s="33"/>
      <c r="L57" s="36" t="str">
        <f t="shared" ref="L57:L63" si="22">IF((ISERROR((K57/$H57)*100)), "", IF(AND(NOT(ISERROR((K57/$H57)*100)),((K57/$H57)*100) &lt;&gt; 0), (K57/$H57)*100, ""))</f>
        <v/>
      </c>
      <c r="M57" s="33"/>
      <c r="N57" s="36" t="str">
        <f t="shared" ref="N57:N63" si="23">IF((ISERROR((M57/$H57)*100)), "", IF(AND(NOT(ISERROR((M57/$H57)*100)),((M57/$H57)*100) &lt;&gt; 0), (M57/$H57)*100, ""))</f>
        <v/>
      </c>
      <c r="O57" s="76"/>
      <c r="P57" s="36" t="str">
        <f t="shared" ref="P57:P63" si="24">IF((ISERROR((O57/$H57)*100)), "", IF(AND(NOT(ISERROR((O57/$H57)*100)),((O57/$H57)*100) &lt;&gt; 0), (O57/$H57)*100, ""))</f>
        <v/>
      </c>
      <c r="Q57" s="33"/>
      <c r="R57" s="36" t="str">
        <f t="shared" ref="R57:R63" si="25">IF((ISERROR((Q57/$H57)*100)), "", IF(AND(NOT(ISERROR((Q57/$H57)*100)),((Q57/$H57)*100) &lt;&gt; 0), (Q57/$H57)*100, ""))</f>
        <v/>
      </c>
      <c r="S57" s="33"/>
      <c r="T57" s="36" t="str">
        <f t="shared" ref="T57:T63" si="26">IF((ISERROR((S57/$H57)*100)), "", IF(AND(NOT(ISERROR((S57/$H57)*100)),((S57/$H57)*100) &lt;&gt; 0), (S57/$H57)*100, ""))</f>
        <v/>
      </c>
      <c r="U57" s="33"/>
      <c r="V57" s="36" t="str">
        <f t="shared" ref="V57:V63" si="27">IF((ISERROR((U57/$H57)*100)), "", IF(AND(NOT(ISERROR((U57/$H57)*100)),((U57/$H57)*100) &lt;&gt; 0), (U57/$H57)*100, ""))</f>
        <v/>
      </c>
      <c r="W57" s="33"/>
      <c r="X57" s="36" t="str">
        <f t="shared" ref="X57:X63" si="28">IF((ISERROR((W57/$H57)*100)), "", IF(AND(NOT(ISERROR((W57/$H57)*100)),((W57/$H57)*100) &lt;&gt; 0), (W57/$H57)*100, ""))</f>
        <v/>
      </c>
      <c r="Y57" s="33"/>
      <c r="Z57" s="36" t="str">
        <f>IF((ISERROR((Y57/$H57)*100)), "", IF(AND(NOT(ISERROR((Y57/$H57)*100)),((Y57/$H57)*100) &lt;&gt; 0), (Y57/$H57)*100, ""))</f>
        <v/>
      </c>
      <c r="AA57" s="33"/>
      <c r="AB57" s="36" t="str">
        <f t="shared" ref="AB57:AB63" si="29">IF((ISERROR((AA57/$H57)*100)), "", IF(AND(NOT(ISERROR((AA57/$H57)*100)),((AA57/$H57)*100) &lt;&gt; 0), (AA57/$H57)*100, ""))</f>
        <v/>
      </c>
      <c r="AC57" s="33"/>
      <c r="AD57" s="36" t="str">
        <f t="shared" ref="AD57:AD63" si="30">IF((ISERROR((AC57/$H57)*100)), "", IF(AND(NOT(ISERROR((AC57/$H57)*100)),((AC57/$H57)*100) &lt;&gt; 0), (AC57/$H57)*100, ""))</f>
        <v/>
      </c>
      <c r="AE57" s="76"/>
      <c r="AF57" s="36" t="str">
        <f t="shared" ref="AF57:AF63" si="31">IF((ISERROR((AE57/$H57)*100)), "", IF(AND(NOT(ISERROR((AE57/$H57)*100)),((AE57/$H57)*100) &lt;&gt; 0), (AE57/$H57)*100, ""))</f>
        <v/>
      </c>
      <c r="AG57" s="33"/>
      <c r="AH57" s="36" t="str">
        <f t="shared" ref="AH57:AH63" si="32">IF((ISERROR((AG57/$H57)*100)), "", IF(AND(NOT(ISERROR((AG57/$H57)*100)),((AG57/$H57)*100) &lt;&gt; 0), (AG57/$H57)*100, ""))</f>
        <v/>
      </c>
      <c r="AI57" s="33"/>
      <c r="AJ57" s="36" t="str">
        <f t="shared" ref="AJ57:AJ63" si="33">IF((ISERROR((AI57/$H57)*100)), "", IF(AND(NOT(ISERROR((AI57/$H57)*100)),((AI57/$H57)*100) &lt;&gt; 0), (AI57/$H57)*100, ""))</f>
        <v/>
      </c>
      <c r="AK57" s="33"/>
      <c r="AL57" s="36" t="str">
        <f t="shared" ref="AL57:AL63" si="34">IF((ISERROR((AK57/$H57)*100)), "", IF(AND(NOT(ISERROR((AK57/$H57)*100)),((AK57/$H57)*100) &lt;&gt; 0), (AK57/$H57)*100, ""))</f>
        <v/>
      </c>
      <c r="AM57" s="33"/>
      <c r="AN57" s="36" t="str">
        <f t="shared" ref="AN57:AN63" si="35">IF((ISERROR((AM57/$H57)*100)), "", IF(AND(NOT(ISERROR((AM57/$H57)*100)),((AM57/$H57)*100) &lt;&gt; 0), (AM57/$H57)*100, ""))</f>
        <v/>
      </c>
      <c r="AO57" s="33"/>
      <c r="AP57" s="36" t="str">
        <f t="shared" ref="AP57:AP63" si="36">IF((ISERROR((AO57/$H57)*100)), "", IF(AND(NOT(ISERROR((AO57/$H57)*100)),((AO57/$H57)*100) &lt;&gt; 0), (AO57/$H57)*100, ""))</f>
        <v/>
      </c>
      <c r="AQ57" s="33"/>
      <c r="AR57" s="36" t="str">
        <f t="shared" ref="AR57:AR63" si="37">IF((ISERROR((AQ57/$H57)*100)), "", IF(AND(NOT(ISERROR((AQ57/$H57)*100)),((AQ57/$H57)*100) &lt;&gt; 0), (AQ57/$H57)*100, ""))</f>
        <v/>
      </c>
      <c r="AS57" s="33"/>
      <c r="AT57" s="36" t="str">
        <f t="shared" ref="AT57:AT63" si="38">IF((ISERROR((AS57/$H57)*100)), "", IF(AND(NOT(ISERROR((AS57/$H57)*100)),((AS57/$H57)*100) &lt;&gt; 0), (AS57/$H57)*100, ""))</f>
        <v/>
      </c>
      <c r="AU57" s="33"/>
      <c r="AV57" s="36" t="str">
        <f t="shared" si="18"/>
        <v/>
      </c>
      <c r="AW57" s="33"/>
      <c r="AX57" s="36" t="str">
        <f t="shared" si="19"/>
        <v/>
      </c>
      <c r="AY57" s="33"/>
      <c r="AZ57" s="36" t="str">
        <f t="shared" si="20"/>
        <v/>
      </c>
      <c r="BA57" s="23" t="s">
        <v>222</v>
      </c>
    </row>
    <row r="58" spans="1:53" ht="20" customHeight="1" x14ac:dyDescent="0.2">
      <c r="A58" s="60"/>
      <c r="B58" s="82"/>
      <c r="C58" s="24" t="s">
        <v>85</v>
      </c>
      <c r="D58" s="23" t="s">
        <v>315</v>
      </c>
      <c r="E58" s="23" t="s">
        <v>316</v>
      </c>
      <c r="F58" s="24">
        <v>2010</v>
      </c>
      <c r="H58" s="89">
        <v>53</v>
      </c>
      <c r="I58" s="111" t="s">
        <v>371</v>
      </c>
      <c r="J58" s="86" t="s">
        <v>410</v>
      </c>
      <c r="K58" s="33"/>
      <c r="L58" s="36" t="str">
        <f t="shared" si="22"/>
        <v/>
      </c>
      <c r="M58" s="33"/>
      <c r="N58" s="36" t="str">
        <f t="shared" si="23"/>
        <v/>
      </c>
      <c r="O58" s="76">
        <v>15</v>
      </c>
      <c r="P58" s="36">
        <f t="shared" si="24"/>
        <v>28.30188679245283</v>
      </c>
      <c r="Q58" s="33"/>
      <c r="R58" s="36" t="str">
        <f t="shared" si="25"/>
        <v/>
      </c>
      <c r="S58" s="33">
        <v>15</v>
      </c>
      <c r="T58" s="36">
        <f t="shared" si="26"/>
        <v>28.30188679245283</v>
      </c>
      <c r="U58" s="33"/>
      <c r="V58" s="36" t="str">
        <f t="shared" si="27"/>
        <v/>
      </c>
      <c r="W58" s="33"/>
      <c r="X58" s="36" t="str">
        <f t="shared" si="28"/>
        <v/>
      </c>
      <c r="Y58" s="33"/>
      <c r="Z58" s="36" t="str">
        <f>IF((ISERROR((Y58/$H58)*100)), "", IF(AND(NOT(ISERROR((Y58/$H58)*100)),((Y58/$H58)*100) &lt;&gt; 0), (Y58/$H58)*100, ""))</f>
        <v/>
      </c>
      <c r="AA58" s="33">
        <v>2</v>
      </c>
      <c r="AB58" s="36">
        <f t="shared" si="29"/>
        <v>3.7735849056603774</v>
      </c>
      <c r="AC58" s="33">
        <v>9</v>
      </c>
      <c r="AD58" s="36">
        <f t="shared" si="30"/>
        <v>16.981132075471699</v>
      </c>
      <c r="AE58" s="76"/>
      <c r="AF58" s="36" t="str">
        <f t="shared" si="31"/>
        <v/>
      </c>
      <c r="AG58" s="33"/>
      <c r="AH58" s="36" t="str">
        <f t="shared" si="32"/>
        <v/>
      </c>
      <c r="AI58" s="33">
        <v>3</v>
      </c>
      <c r="AJ58" s="36">
        <f t="shared" si="33"/>
        <v>5.6603773584905666</v>
      </c>
      <c r="AK58" s="33">
        <v>2</v>
      </c>
      <c r="AL58" s="36">
        <f t="shared" si="34"/>
        <v>3.7735849056603774</v>
      </c>
      <c r="AM58" s="33"/>
      <c r="AN58" s="36" t="str">
        <f t="shared" si="35"/>
        <v/>
      </c>
      <c r="AO58" s="33"/>
      <c r="AP58" s="36" t="str">
        <f t="shared" si="36"/>
        <v/>
      </c>
      <c r="AQ58" s="33"/>
      <c r="AR58" s="36" t="str">
        <f t="shared" si="37"/>
        <v/>
      </c>
      <c r="AS58" s="33"/>
      <c r="AT58" s="36" t="str">
        <f t="shared" si="38"/>
        <v/>
      </c>
      <c r="AU58" s="33"/>
      <c r="AV58" s="36" t="str">
        <f t="shared" si="18"/>
        <v/>
      </c>
      <c r="AW58" s="33"/>
      <c r="AX58" s="36" t="str">
        <f t="shared" si="19"/>
        <v/>
      </c>
      <c r="AY58" s="33"/>
      <c r="AZ58" s="36" t="str">
        <f t="shared" si="20"/>
        <v/>
      </c>
      <c r="BA58" s="23" t="s">
        <v>372</v>
      </c>
    </row>
    <row r="59" spans="1:53" ht="20" customHeight="1" x14ac:dyDescent="0.2">
      <c r="A59" s="60"/>
      <c r="B59" s="82"/>
      <c r="C59" s="24" t="s">
        <v>85</v>
      </c>
      <c r="D59" s="23" t="s">
        <v>317</v>
      </c>
      <c r="E59" s="23" t="s">
        <v>318</v>
      </c>
      <c r="F59" s="24">
        <v>2014</v>
      </c>
      <c r="H59" s="89">
        <v>39</v>
      </c>
      <c r="I59" s="85" t="s">
        <v>211</v>
      </c>
      <c r="J59" s="86" t="s">
        <v>373</v>
      </c>
      <c r="K59" s="33"/>
      <c r="L59" s="36" t="str">
        <f t="shared" si="22"/>
        <v/>
      </c>
      <c r="M59" s="33"/>
      <c r="N59" s="36" t="str">
        <f t="shared" si="23"/>
        <v/>
      </c>
      <c r="O59" s="76">
        <v>6</v>
      </c>
      <c r="P59" s="36">
        <f t="shared" si="24"/>
        <v>15.384615384615385</v>
      </c>
      <c r="Q59" s="33"/>
      <c r="R59" s="36" t="str">
        <f t="shared" si="25"/>
        <v/>
      </c>
      <c r="S59" s="33">
        <v>1</v>
      </c>
      <c r="T59" s="36">
        <f t="shared" si="26"/>
        <v>2.5641025641025639</v>
      </c>
      <c r="U59" s="33">
        <v>2</v>
      </c>
      <c r="V59" s="36">
        <f t="shared" si="27"/>
        <v>5.1282051282051277</v>
      </c>
      <c r="W59" s="33"/>
      <c r="X59" s="36" t="str">
        <f t="shared" si="28"/>
        <v/>
      </c>
      <c r="Y59" s="33"/>
      <c r="Z59" s="36"/>
      <c r="AA59" s="33"/>
      <c r="AB59" s="36" t="str">
        <f t="shared" si="29"/>
        <v/>
      </c>
      <c r="AC59" s="33"/>
      <c r="AD59" s="36" t="str">
        <f t="shared" si="30"/>
        <v/>
      </c>
      <c r="AE59" s="76"/>
      <c r="AF59" s="36" t="str">
        <f t="shared" si="31"/>
        <v/>
      </c>
      <c r="AG59" s="33"/>
      <c r="AH59" s="36" t="str">
        <f t="shared" si="32"/>
        <v/>
      </c>
      <c r="AI59" s="33"/>
      <c r="AJ59" s="36" t="str">
        <f t="shared" si="33"/>
        <v/>
      </c>
      <c r="AK59" s="33"/>
      <c r="AL59" s="36" t="str">
        <f t="shared" si="34"/>
        <v/>
      </c>
      <c r="AM59" s="33">
        <v>1</v>
      </c>
      <c r="AN59" s="36">
        <f t="shared" si="35"/>
        <v>2.5641025641025639</v>
      </c>
      <c r="AO59" s="33"/>
      <c r="AP59" s="36" t="str">
        <f t="shared" si="36"/>
        <v/>
      </c>
      <c r="AQ59" s="33"/>
      <c r="AR59" s="36" t="str">
        <f t="shared" si="37"/>
        <v/>
      </c>
      <c r="AS59" s="33"/>
      <c r="AT59" s="36" t="str">
        <f t="shared" si="38"/>
        <v/>
      </c>
      <c r="AU59" s="33"/>
      <c r="AV59" s="36" t="str">
        <f t="shared" si="18"/>
        <v/>
      </c>
      <c r="AW59" s="33"/>
      <c r="AX59" s="36" t="str">
        <f t="shared" si="19"/>
        <v/>
      </c>
      <c r="AY59" s="33"/>
      <c r="AZ59" s="36" t="str">
        <f t="shared" si="20"/>
        <v/>
      </c>
      <c r="BA59" s="23" t="s">
        <v>411</v>
      </c>
    </row>
    <row r="60" spans="1:53" ht="20" customHeight="1" x14ac:dyDescent="0.2">
      <c r="A60" s="60"/>
      <c r="B60" s="82"/>
      <c r="C60" s="24" t="s">
        <v>85</v>
      </c>
      <c r="D60" s="23" t="s">
        <v>319</v>
      </c>
      <c r="E60" s="23" t="s">
        <v>320</v>
      </c>
      <c r="F60" s="24">
        <v>2010</v>
      </c>
      <c r="H60" s="89">
        <v>789</v>
      </c>
      <c r="I60" s="85" t="s">
        <v>211</v>
      </c>
      <c r="J60" s="86" t="s">
        <v>375</v>
      </c>
      <c r="K60" s="33"/>
      <c r="L60" s="36" t="str">
        <f t="shared" si="22"/>
        <v/>
      </c>
      <c r="M60" s="33"/>
      <c r="N60" s="36" t="str">
        <f t="shared" si="23"/>
        <v/>
      </c>
      <c r="O60" s="76"/>
      <c r="P60" s="36" t="str">
        <f t="shared" si="24"/>
        <v/>
      </c>
      <c r="Q60" s="33"/>
      <c r="R60" s="36" t="str">
        <f t="shared" si="25"/>
        <v/>
      </c>
      <c r="S60" s="33"/>
      <c r="T60" s="36" t="str">
        <f t="shared" si="26"/>
        <v/>
      </c>
      <c r="U60" s="33"/>
      <c r="V60" s="36" t="str">
        <f t="shared" si="27"/>
        <v/>
      </c>
      <c r="W60" s="33"/>
      <c r="X60" s="36" t="str">
        <f t="shared" si="28"/>
        <v/>
      </c>
      <c r="Y60" s="33"/>
      <c r="Z60" s="36" t="str">
        <f>IF((ISERROR((Y60/$H60)*100)), "", IF(AND(NOT(ISERROR((Y60/$H60)*100)),((Y60/$H60)*100) &lt;&gt; 0), (Y60/$H60)*100, ""))</f>
        <v/>
      </c>
      <c r="AA60" s="33"/>
      <c r="AB60" s="36" t="str">
        <f t="shared" si="29"/>
        <v/>
      </c>
      <c r="AC60" s="33"/>
      <c r="AD60" s="36" t="str">
        <f t="shared" si="30"/>
        <v/>
      </c>
      <c r="AE60" s="76">
        <v>43</v>
      </c>
      <c r="AF60" s="36">
        <f t="shared" si="31"/>
        <v>5.4499366286438535</v>
      </c>
      <c r="AG60" s="33"/>
      <c r="AH60" s="36" t="str">
        <f t="shared" si="32"/>
        <v/>
      </c>
      <c r="AI60" s="33"/>
      <c r="AJ60" s="36" t="str">
        <f t="shared" si="33"/>
        <v/>
      </c>
      <c r="AK60" s="33"/>
      <c r="AL60" s="36" t="str">
        <f t="shared" si="34"/>
        <v/>
      </c>
      <c r="AM60" s="33"/>
      <c r="AN60" s="36" t="str">
        <f t="shared" si="35"/>
        <v/>
      </c>
      <c r="AO60" s="33"/>
      <c r="AP60" s="36" t="str">
        <f t="shared" si="36"/>
        <v/>
      </c>
      <c r="AQ60" s="33"/>
      <c r="AR60" s="36" t="str">
        <f t="shared" si="37"/>
        <v/>
      </c>
      <c r="AS60" s="33"/>
      <c r="AT60" s="36" t="str">
        <f t="shared" si="38"/>
        <v/>
      </c>
      <c r="AU60" s="33"/>
      <c r="AV60" s="36" t="str">
        <f t="shared" si="18"/>
        <v/>
      </c>
      <c r="AW60" s="33"/>
      <c r="AX60" s="36" t="str">
        <f t="shared" si="19"/>
        <v/>
      </c>
      <c r="AY60" s="33"/>
      <c r="AZ60" s="36" t="str">
        <f t="shared" si="20"/>
        <v/>
      </c>
      <c r="BA60" s="23" t="s">
        <v>374</v>
      </c>
    </row>
    <row r="61" spans="1:53" ht="20" customHeight="1" x14ac:dyDescent="0.2">
      <c r="A61" s="61"/>
      <c r="B61" s="24"/>
      <c r="C61" s="24" t="s">
        <v>85</v>
      </c>
      <c r="D61" s="23" t="s">
        <v>143</v>
      </c>
      <c r="E61" s="23" t="s">
        <v>144</v>
      </c>
      <c r="F61" s="24">
        <v>2008</v>
      </c>
      <c r="G61" s="24">
        <v>156</v>
      </c>
      <c r="H61" s="89">
        <v>50</v>
      </c>
      <c r="I61" s="85" t="s">
        <v>176</v>
      </c>
      <c r="J61" s="86"/>
      <c r="K61" s="33"/>
      <c r="L61" s="36" t="str">
        <f t="shared" si="22"/>
        <v/>
      </c>
      <c r="M61" s="33"/>
      <c r="N61" s="36" t="str">
        <f t="shared" si="23"/>
        <v/>
      </c>
      <c r="O61" s="76"/>
      <c r="P61" s="36" t="str">
        <f t="shared" si="24"/>
        <v/>
      </c>
      <c r="Q61" s="33"/>
      <c r="R61" s="36" t="str">
        <f t="shared" si="25"/>
        <v/>
      </c>
      <c r="S61" s="33"/>
      <c r="T61" s="36" t="str">
        <f t="shared" si="26"/>
        <v/>
      </c>
      <c r="U61" s="33"/>
      <c r="V61" s="36" t="str">
        <f t="shared" si="27"/>
        <v/>
      </c>
      <c r="W61" s="33"/>
      <c r="X61" s="36" t="str">
        <f t="shared" si="28"/>
        <v/>
      </c>
      <c r="Y61" s="33"/>
      <c r="Z61" s="36" t="str">
        <f>IF((ISERROR((Y61/$H61)*100)), "", IF(AND(NOT(ISERROR((Y61/$H61)*100)),((Y61/$H61)*100) &lt;&gt; 0), (Y61/$H61)*100, ""))</f>
        <v/>
      </c>
      <c r="AA61" s="33"/>
      <c r="AB61" s="36" t="str">
        <f t="shared" si="29"/>
        <v/>
      </c>
      <c r="AC61" s="33"/>
      <c r="AD61" s="36" t="str">
        <f t="shared" si="30"/>
        <v/>
      </c>
      <c r="AE61" s="76"/>
      <c r="AF61" s="36" t="str">
        <f t="shared" si="31"/>
        <v/>
      </c>
      <c r="AG61" s="33"/>
      <c r="AH61" s="36" t="str">
        <f t="shared" si="32"/>
        <v/>
      </c>
      <c r="AI61" s="33"/>
      <c r="AJ61" s="36" t="str">
        <f t="shared" si="33"/>
        <v/>
      </c>
      <c r="AK61" s="33"/>
      <c r="AL61" s="36" t="str">
        <f t="shared" si="34"/>
        <v/>
      </c>
      <c r="AM61" s="33"/>
      <c r="AN61" s="36" t="str">
        <f t="shared" si="35"/>
        <v/>
      </c>
      <c r="AO61" s="33"/>
      <c r="AP61" s="36" t="str">
        <f t="shared" si="36"/>
        <v/>
      </c>
      <c r="AQ61" s="33"/>
      <c r="AR61" s="36" t="str">
        <f t="shared" si="37"/>
        <v/>
      </c>
      <c r="AS61" s="33"/>
      <c r="AT61" s="36" t="str">
        <f t="shared" si="38"/>
        <v/>
      </c>
      <c r="AU61" s="33"/>
      <c r="AV61" s="36" t="str">
        <f t="shared" si="18"/>
        <v/>
      </c>
      <c r="AW61" s="33"/>
      <c r="AX61" s="36" t="str">
        <f t="shared" si="19"/>
        <v/>
      </c>
      <c r="AY61" s="33"/>
      <c r="AZ61" s="36" t="str">
        <f t="shared" si="20"/>
        <v/>
      </c>
      <c r="BA61" s="23" t="s">
        <v>229</v>
      </c>
    </row>
    <row r="62" spans="1:53" ht="20" customHeight="1" x14ac:dyDescent="0.2">
      <c r="A62" s="60"/>
      <c r="B62" s="83"/>
      <c r="C62" s="24" t="s">
        <v>85</v>
      </c>
      <c r="D62" s="23" t="s">
        <v>323</v>
      </c>
      <c r="E62" s="23" t="s">
        <v>324</v>
      </c>
      <c r="F62" s="24">
        <v>2009</v>
      </c>
      <c r="H62" s="89">
        <v>12</v>
      </c>
      <c r="I62" s="85" t="s">
        <v>214</v>
      </c>
      <c r="J62" s="86" t="s">
        <v>192</v>
      </c>
      <c r="K62" s="73"/>
      <c r="L62" s="74" t="str">
        <f t="shared" si="22"/>
        <v/>
      </c>
      <c r="M62" s="73"/>
      <c r="N62" s="74" t="str">
        <f t="shared" si="23"/>
        <v/>
      </c>
      <c r="O62" s="75"/>
      <c r="P62" s="74" t="str">
        <f t="shared" si="24"/>
        <v/>
      </c>
      <c r="Q62" s="73"/>
      <c r="R62" s="74" t="str">
        <f t="shared" si="25"/>
        <v/>
      </c>
      <c r="S62" s="73"/>
      <c r="T62" s="74" t="str">
        <f t="shared" si="26"/>
        <v/>
      </c>
      <c r="U62" s="73"/>
      <c r="V62" s="74" t="str">
        <f t="shared" si="27"/>
        <v/>
      </c>
      <c r="W62" s="73"/>
      <c r="X62" s="74" t="str">
        <f t="shared" si="28"/>
        <v/>
      </c>
      <c r="Y62" s="73"/>
      <c r="Z62" s="74" t="str">
        <f>IF((ISERROR((Y62/$H62)*100)), "", IF(AND(NOT(ISERROR((Y62/$H62)*100)),((Y62/$H62)*100) &lt;&gt; 0), (Y62/$H62)*100, ""))</f>
        <v/>
      </c>
      <c r="AA62" s="73"/>
      <c r="AB62" s="74" t="str">
        <f t="shared" si="29"/>
        <v/>
      </c>
      <c r="AC62" s="73"/>
      <c r="AD62" s="74" t="str">
        <f t="shared" si="30"/>
        <v/>
      </c>
      <c r="AE62" s="75"/>
      <c r="AF62" s="74" t="str">
        <f t="shared" si="31"/>
        <v/>
      </c>
      <c r="AG62" s="73"/>
      <c r="AH62" s="74" t="str">
        <f t="shared" si="32"/>
        <v/>
      </c>
      <c r="AI62" s="73"/>
      <c r="AJ62" s="74" t="str">
        <f t="shared" si="33"/>
        <v/>
      </c>
      <c r="AK62" s="73"/>
      <c r="AL62" s="74" t="str">
        <f t="shared" si="34"/>
        <v/>
      </c>
      <c r="AM62" s="73"/>
      <c r="AN62" s="74" t="str">
        <f t="shared" si="35"/>
        <v/>
      </c>
      <c r="AO62" s="73"/>
      <c r="AP62" s="74" t="str">
        <f t="shared" si="36"/>
        <v/>
      </c>
      <c r="AQ62" s="73"/>
      <c r="AR62" s="74" t="str">
        <f t="shared" si="37"/>
        <v/>
      </c>
      <c r="AS62" s="73"/>
      <c r="AT62" s="74" t="str">
        <f t="shared" si="38"/>
        <v/>
      </c>
      <c r="AU62" s="73"/>
      <c r="AV62" s="74" t="str">
        <f t="shared" si="18"/>
        <v/>
      </c>
      <c r="AW62" s="73"/>
      <c r="AX62" s="74" t="str">
        <f t="shared" si="19"/>
        <v/>
      </c>
      <c r="AY62" s="73"/>
      <c r="AZ62" s="74" t="str">
        <f t="shared" si="20"/>
        <v/>
      </c>
      <c r="BA62" s="23" t="s">
        <v>180</v>
      </c>
    </row>
    <row r="63" spans="1:53" ht="20" customHeight="1" thickBot="1" x14ac:dyDescent="0.25">
      <c r="A63" s="61"/>
      <c r="B63" s="24"/>
      <c r="C63" s="24" t="s">
        <v>85</v>
      </c>
      <c r="D63" s="23" t="s">
        <v>147</v>
      </c>
      <c r="E63" s="23" t="s">
        <v>148</v>
      </c>
      <c r="F63" s="24">
        <v>2011</v>
      </c>
      <c r="G63" s="24">
        <v>112</v>
      </c>
      <c r="H63" s="90">
        <v>22</v>
      </c>
      <c r="I63" s="87" t="s">
        <v>218</v>
      </c>
      <c r="J63" s="88" t="s">
        <v>193</v>
      </c>
      <c r="K63" s="34"/>
      <c r="L63" s="37" t="str">
        <f t="shared" si="22"/>
        <v/>
      </c>
      <c r="M63" s="34"/>
      <c r="N63" s="37" t="str">
        <f t="shared" si="23"/>
        <v/>
      </c>
      <c r="O63" s="35"/>
      <c r="P63" s="37" t="str">
        <f t="shared" si="24"/>
        <v/>
      </c>
      <c r="Q63" s="34"/>
      <c r="R63" s="37" t="str">
        <f t="shared" si="25"/>
        <v/>
      </c>
      <c r="S63" s="34"/>
      <c r="T63" s="37" t="str">
        <f t="shared" si="26"/>
        <v/>
      </c>
      <c r="U63" s="34"/>
      <c r="V63" s="37" t="str">
        <f t="shared" si="27"/>
        <v/>
      </c>
      <c r="W63" s="34"/>
      <c r="X63" s="37" t="str">
        <f t="shared" si="28"/>
        <v/>
      </c>
      <c r="Y63" s="34"/>
      <c r="Z63" s="37" t="str">
        <f>IF((ISERROR((Y63/$H63)*100)), "", IF(AND(NOT(ISERROR((Y63/$H63)*100)),((Y63/$H63)*100) &lt;&gt; 0), (Y63/$H63)*100, ""))</f>
        <v/>
      </c>
      <c r="AA63" s="34"/>
      <c r="AB63" s="37" t="str">
        <f t="shared" si="29"/>
        <v/>
      </c>
      <c r="AC63" s="34"/>
      <c r="AD63" s="37" t="str">
        <f t="shared" si="30"/>
        <v/>
      </c>
      <c r="AE63" s="35"/>
      <c r="AF63" s="37" t="str">
        <f t="shared" si="31"/>
        <v/>
      </c>
      <c r="AG63" s="34"/>
      <c r="AH63" s="37" t="str">
        <f t="shared" si="32"/>
        <v/>
      </c>
      <c r="AI63" s="34"/>
      <c r="AJ63" s="37" t="str">
        <f t="shared" si="33"/>
        <v/>
      </c>
      <c r="AK63" s="34"/>
      <c r="AL63" s="37" t="str">
        <f t="shared" si="34"/>
        <v/>
      </c>
      <c r="AM63" s="34"/>
      <c r="AN63" s="37" t="str">
        <f t="shared" si="35"/>
        <v/>
      </c>
      <c r="AO63" s="34"/>
      <c r="AP63" s="37" t="str">
        <f t="shared" si="36"/>
        <v/>
      </c>
      <c r="AQ63" s="34"/>
      <c r="AR63" s="37" t="str">
        <f t="shared" si="37"/>
        <v/>
      </c>
      <c r="AS63" s="34"/>
      <c r="AT63" s="37" t="str">
        <f t="shared" si="38"/>
        <v/>
      </c>
      <c r="AU63" s="34"/>
      <c r="AV63" s="37" t="str">
        <f t="shared" si="18"/>
        <v/>
      </c>
      <c r="AW63" s="34"/>
      <c r="AX63" s="37" t="str">
        <f t="shared" si="19"/>
        <v/>
      </c>
      <c r="AY63" s="34"/>
      <c r="AZ63" s="37" t="str">
        <f t="shared" si="20"/>
        <v/>
      </c>
      <c r="BA63" s="23" t="s">
        <v>231</v>
      </c>
    </row>
    <row r="65" spans="3:52" ht="17" thickBot="1" x14ac:dyDescent="0.25"/>
    <row r="66" spans="3:52" s="22" customFormat="1" x14ac:dyDescent="0.2">
      <c r="C66" s="41"/>
      <c r="F66" s="24"/>
      <c r="G66" s="43" t="s">
        <v>243</v>
      </c>
      <c r="H66" s="44">
        <f>SUM(H11:H63)</f>
        <v>2009</v>
      </c>
      <c r="I66" s="45" t="s">
        <v>452</v>
      </c>
      <c r="J66" s="46" t="s">
        <v>458</v>
      </c>
      <c r="K66" s="51">
        <f>IF((SUM(K11:K63)&lt;&gt;0), SUMIF($H11:$H63, "&gt;0", K11:K63), "")</f>
        <v>5</v>
      </c>
      <c r="L66" s="52">
        <f>IF(ISERROR((K66/$H66)*100), "", IF(((K66/$H66)*100) &lt;&gt; 0, (K66/$H66)*100, ""))</f>
        <v>0.24888003982080636</v>
      </c>
      <c r="M66" s="51">
        <f>IF((SUM(M11:M63)&lt;&gt;0), SUMIF($H11:$H63, "&gt;0", M11:M63), "")</f>
        <v>25</v>
      </c>
      <c r="N66" s="52">
        <f>IF(ISERROR((M66/$H66)*100), "", IF(((M66/$H66)*100) &lt;&gt; 0, (M66/$H66)*100, ""))</f>
        <v>1.2444001991040319</v>
      </c>
      <c r="O66" s="51">
        <f>IF((SUM(O11:O63)&lt;&gt;0), SUMIF($H11:$H63, "&gt;0", O11:O63), "")</f>
        <v>77</v>
      </c>
      <c r="P66" s="52">
        <f>IF(ISERROR((O66/$H66)*100), "", IF(((O66/$H66)*100) &lt;&gt; 0, (O66/$H66)*100, ""))</f>
        <v>3.8327526132404177</v>
      </c>
      <c r="Q66" s="51">
        <f>IF((SUM(Q11:Q63)&lt;&gt;0), SUMIF($H11:$H63, "&gt;0", Q11:Q63), "")</f>
        <v>2</v>
      </c>
      <c r="R66" s="52">
        <f>IF(ISERROR((Q66/$H66)*100), "", IF(((Q66/$H66)*100) &lt;&gt; 0, (Q66/$H66)*100, ""))</f>
        <v>9.9552015928322551E-2</v>
      </c>
      <c r="S66" s="51">
        <f>IF((SUM(S11:S63)&lt;&gt;0), SUMIF($H11:$H63, "&gt;0", S11:S63), "")</f>
        <v>50</v>
      </c>
      <c r="T66" s="52">
        <f>IF(ISERROR((S66/$H66)*100), "", IF(((S66/$H66)*100) &lt;&gt; 0, (S66/$H66)*100, ""))</f>
        <v>2.4888003982080638</v>
      </c>
      <c r="U66" s="51">
        <f>IF((SUM(U11:U63)&lt;&gt;0), SUMIF($H11:$H63, "&gt;0", U11:U63), "")</f>
        <v>34</v>
      </c>
      <c r="V66" s="52">
        <f>IF(ISERROR((U66/$H66)*100), "", IF(((U66/$H66)*100) &lt;&gt; 0, (U66/$H66)*100, ""))</f>
        <v>1.6923842707814833</v>
      </c>
      <c r="W66" s="51">
        <f>IF((SUM(W11:W63)&lt;&gt;0), SUMIF($H11:$H63, "&gt;0", W11:W63), "")</f>
        <v>1</v>
      </c>
      <c r="X66" s="52">
        <f>IF(ISERROR((W66/$H66)*100), "", IF(((W66/$H66)*100) &lt;&gt; 0, (W66/$H66)*100, ""))</f>
        <v>4.9776007964161276E-2</v>
      </c>
      <c r="Y66" s="51">
        <f>IF((SUM(Y11:Y63)&lt;&gt;0), SUMIF($H11:$H63, "&gt;0", Y11:Y63), "")</f>
        <v>6</v>
      </c>
      <c r="Z66" s="52">
        <f>IF(ISERROR((Y66/$H66)*100), "", IF(((Y66/$H66)*100) &lt;&gt; 0, (Y66/$H66)*100, ""))</f>
        <v>0.29865604778496768</v>
      </c>
      <c r="AA66" s="51">
        <f>IF((SUM(AA11:AA63)&lt;&gt;0), SUMIF($H11:$H63, "&gt;0", AA11:AA63), "")</f>
        <v>26</v>
      </c>
      <c r="AB66" s="52">
        <f>IF(ISERROR((AA66/$H66)*100), "", IF(((AA66/$H66)*100) &lt;&gt; 0, (AA66/$H66)*100, ""))</f>
        <v>1.2941762070681933</v>
      </c>
      <c r="AC66" s="51">
        <f>IF((SUM(AC11:AC63)&lt;&gt;0), SUMIF($H11:$H63, "&gt;0", AC11:AC63), "")</f>
        <v>22</v>
      </c>
      <c r="AD66" s="52">
        <f>IF(ISERROR((AC66/$H66)*100), "", IF(((AC66/$H66)*100) &lt;&gt; 0, (AC66/$H66)*100, ""))</f>
        <v>1.0950721752115482</v>
      </c>
      <c r="AE66" s="51">
        <f>IF((SUM(AE11:AE63)&lt;&gt;0), SUMIF($H11:$H63, "&gt;0", AE11:AE63), "")</f>
        <v>90</v>
      </c>
      <c r="AF66" s="52">
        <f>IF(ISERROR((AE66/$H66)*100), "", IF(((AE66/$H66)*100) &lt;&gt; 0, (AE66/$H66)*100, ""))</f>
        <v>4.4798407167745147</v>
      </c>
      <c r="AG66" s="51">
        <f>IF((SUM(AG11:AG63)&lt;&gt;0), SUMIF($H11:$H63, "&gt;0", AG11:AG63), "")</f>
        <v>2</v>
      </c>
      <c r="AH66" s="52">
        <f>IF(ISERROR((AG66/$H66)*100), "", IF(((AG66/$H66)*100) &lt;&gt; 0, (AG66/$H66)*100, ""))</f>
        <v>9.9552015928322551E-2</v>
      </c>
      <c r="AI66" s="51">
        <f>IF((SUM(AI11:AI63)&lt;&gt;0), SUMIF($H11:$H63, "&gt;0", AI11:AI63), "")</f>
        <v>4</v>
      </c>
      <c r="AJ66" s="52">
        <f>IF(ISERROR((AI66/$H66)*100), "", IF(((AI66/$H66)*100) &lt;&gt; 0, (AI66/$H66)*100, ""))</f>
        <v>0.1991040318566451</v>
      </c>
      <c r="AK66" s="51">
        <f>IF((SUM(AK11:AK63)&lt;&gt;0), SUMIF($H11:$H63, "&gt;0", AK11:AK63), "")</f>
        <v>8</v>
      </c>
      <c r="AL66" s="52">
        <f>IF(ISERROR((AK66/$H66)*100), "", IF(((AK66/$H66)*100) &lt;&gt; 0, (AK66/$H66)*100, ""))</f>
        <v>0.39820806371329021</v>
      </c>
      <c r="AM66" s="51">
        <f>IF((SUM(AM11:AM63)&lt;&gt;0), SUMIF($H11:$H63, "&gt;0", AM11:AM63), "")</f>
        <v>2</v>
      </c>
      <c r="AN66" s="52">
        <f>IF(ISERROR((AM66/$H66)*100), "", IF(((AM66/$H66)*100) &lt;&gt; 0, (AM66/$H66)*100, ""))</f>
        <v>9.9552015928322551E-2</v>
      </c>
      <c r="AO66" s="51">
        <f>IF((SUM(AO11:AO63)&lt;&gt;0), SUMIF($H11:$H63, "&gt;0", AO11:AO63), "")</f>
        <v>0</v>
      </c>
      <c r="AP66" s="52" t="str">
        <f>IF(ISERROR((AO66/$H66)*100), "", IF(((AO66/$H66)*100) &lt;&gt; 0, (AO66/$H66)*100, ""))</f>
        <v/>
      </c>
      <c r="AQ66" s="51" t="str">
        <f>IF((SUM(AQ11:AQ63)&lt;&gt;0), SUMIF($H11:$H63, "&gt;0", AQ11:AQ63), "")</f>
        <v/>
      </c>
      <c r="AR66" s="52" t="str">
        <f>IF(ISERROR((AQ66/$H66)*100), "", IF(((AQ66/$H66)*100) &lt;&gt; 0, (AQ66/$H66)*100, ""))</f>
        <v/>
      </c>
      <c r="AS66" s="51" t="str">
        <f>IF((SUM(AS11:AS63)&lt;&gt;0), SUMIF($H11:$H63, "&gt;0", AS11:AS63), "")</f>
        <v/>
      </c>
      <c r="AT66" s="52" t="str">
        <f>IF(ISERROR((AS66/$H66)*100), "", IF(((AS66/$H66)*100) &lt;&gt; 0, (AS66/$H66)*100, ""))</f>
        <v/>
      </c>
      <c r="AU66" s="51" t="str">
        <f>IF((SUM(AU11:AU63)&lt;&gt;0), SUMIF($H11:$H63, "&gt;0", AU11:AU63), "")</f>
        <v/>
      </c>
      <c r="AV66" s="52" t="str">
        <f>IF(ISERROR((AU66/$H66)*100), "", IF(((AU66/$H66)*100) &lt;&gt; 0, (AU66/$H66)*100, ""))</f>
        <v/>
      </c>
      <c r="AW66" s="51" t="str">
        <f>IF((SUM(AW11:AW63)&lt;&gt;0), SUMIF($H11:$H63, "&gt;0", AW11:AW63), "")</f>
        <v/>
      </c>
      <c r="AX66" s="52" t="str">
        <f>IF(ISERROR((AW66/$H66)*100), "", IF(((AW66/$H66)*100) &lt;&gt; 0, (AW66/$H66)*100, ""))</f>
        <v/>
      </c>
      <c r="AY66" s="51" t="str">
        <f>IF((SUM(AY11:AY63)&lt;&gt;0), SUMIF($H11:$H63, "&gt;0", AY11:AY63), "")</f>
        <v/>
      </c>
      <c r="AZ66" s="52" t="str">
        <f>IF(ISERROR((AY66/$H66)*100), "", IF(((AY66/$H66)*100) &lt;&gt; 0, (AY66/$H66)*100, ""))</f>
        <v/>
      </c>
    </row>
    <row r="67" spans="3:52" s="22" customFormat="1" x14ac:dyDescent="0.2">
      <c r="C67" s="41"/>
      <c r="F67" s="24"/>
      <c r="G67" s="43" t="s">
        <v>244</v>
      </c>
      <c r="H67" s="42" t="s">
        <v>242</v>
      </c>
      <c r="I67" s="47" t="s">
        <v>459</v>
      </c>
      <c r="J67" s="48" t="s">
        <v>460</v>
      </c>
      <c r="K67" s="53">
        <f>IF(SUMIF(K11:K63, "&gt; 0", $H11:$H63) &gt; 0, SUMIF(K11:K63, "&gt; 0", $H11:$H63), "")</f>
        <v>8</v>
      </c>
      <c r="L67" s="54">
        <f>(K66/K67)*100</f>
        <v>62.5</v>
      </c>
      <c r="M67" s="53">
        <f>IF(SUMIF(M11:M63, "&gt; 0", $H11:$H63) &gt; 0, SUMIF(M11:M63, "&gt; 0", $H11:$H63), "")</f>
        <v>62</v>
      </c>
      <c r="N67" s="54">
        <f>(M66/M67)*100</f>
        <v>40.322580645161288</v>
      </c>
      <c r="O67" s="53">
        <f>IF(SUMIF(O11:O63, "&gt; 0", $H11:$H63) &gt; 0, SUMIF(O11:O63, "&gt; 0", $H11:$H63), "")</f>
        <v>265</v>
      </c>
      <c r="P67" s="54">
        <f>(O66/O67)*100</f>
        <v>29.056603773584904</v>
      </c>
      <c r="Q67" s="53">
        <f>IF(SUMIF(Q11:Q63, "&gt; 0", $H11:$H63) &gt; 0, SUMIF(Q11:Q63, "&gt; 0", $H11:$H63), "")</f>
        <v>8</v>
      </c>
      <c r="R67" s="54">
        <f>(Q66/Q67)*100</f>
        <v>25</v>
      </c>
      <c r="S67" s="53">
        <f>IF(SUMIF(S11:S63, "&gt; 0", $H11:$H63) &gt; 0, SUMIF(S11:S63, "&gt; 0", $H11:$H63), "")</f>
        <v>217</v>
      </c>
      <c r="T67" s="54">
        <f>(S66/S67)*100</f>
        <v>23.041474654377879</v>
      </c>
      <c r="U67" s="53">
        <f>IF(SUMIF(U11:U63, "&gt; 0", $H11:$H63) &gt; 0, SUMIF(U11:U63, "&gt; 0", $H11:$H63), "")</f>
        <v>156</v>
      </c>
      <c r="V67" s="54">
        <f>(U66/U67)*100</f>
        <v>21.794871794871796</v>
      </c>
      <c r="W67" s="53">
        <f>IF(SUMIF(W11:W63, "&gt; 0", $H11:$H63) &gt; 0, SUMIF(W11:W63, "&gt; 0", $H11:$H63), "")</f>
        <v>8</v>
      </c>
      <c r="X67" s="54">
        <f>(W66/W67)*100</f>
        <v>12.5</v>
      </c>
      <c r="Y67" s="53">
        <f>IF(SUMIF(Y11:Y63, "&gt; 0", $H11:$H63) &gt; 0, SUMIF(Y11:Y63, "&gt; 0", $H11:$H63), "")</f>
        <v>37</v>
      </c>
      <c r="Z67" s="54">
        <f>(Y66/Y67)*100</f>
        <v>16.216216216216218</v>
      </c>
      <c r="AA67" s="53">
        <f>IF(SUMIF(AA11:AA63, "&gt; 0", $H11:$H63) &gt; 0, SUMIF(AA11:AA63, "&gt; 0", $H11:$H63), "")</f>
        <v>214</v>
      </c>
      <c r="AB67" s="54">
        <f>(AA66/AA67)*100</f>
        <v>12.149532710280374</v>
      </c>
      <c r="AC67" s="53">
        <f>IF(SUMIF(AC11:AC63, "&gt; 0", $H11:$H63) &gt; 0, SUMIF(AC11:AC63, "&gt; 0", $H11:$H63), "")</f>
        <v>190</v>
      </c>
      <c r="AD67" s="54">
        <f>(AC66/AC67)*100</f>
        <v>11.578947368421053</v>
      </c>
      <c r="AE67" s="53">
        <f>IF(SUMIF(AE11:AE63, "&gt; 0", $H11:$H63) &gt; 0, SUMIF(AE11:AE63, "&gt; 0", $H11:$H63), "")</f>
        <v>941</v>
      </c>
      <c r="AF67" s="54">
        <f>(AE66/AE67)*100</f>
        <v>9.5642933049946866</v>
      </c>
      <c r="AG67" s="53">
        <f>IF(SUMIF(AG11:AG63, "&gt; 0", $H11:$H63) &gt; 0, SUMIF(AG11:AG63, "&gt; 0", $H11:$H63), "")</f>
        <v>27</v>
      </c>
      <c r="AH67" s="54">
        <f>(AG66/AG67)*100</f>
        <v>7.4074074074074066</v>
      </c>
      <c r="AI67" s="53">
        <f>IF(SUMIF(AI11:AI63, "&gt; 0", $H11:$H63) &gt; 0, SUMIF(AI11:AI63, "&gt; 0", $H11:$H63), "")</f>
        <v>61</v>
      </c>
      <c r="AJ67" s="54">
        <f>(AI66/AI67)*100</f>
        <v>6.557377049180328</v>
      </c>
      <c r="AK67" s="53">
        <f>IF(SUMIF(AK11:AK63, "&gt; 0", $H11:$H63) &gt; 0, SUMIF(AK11:AK63, "&gt; 0", $H11:$H63), "")</f>
        <v>162</v>
      </c>
      <c r="AL67" s="54">
        <f>(AK66/AK67)*100</f>
        <v>4.9382716049382713</v>
      </c>
      <c r="AM67" s="53">
        <f>IF(SUMIF(AM11:AM63, "&gt; 0", $H11:$H63) &gt; 0, SUMIF(AM11:AM63, "&gt; 0", $H11:$H63), "")</f>
        <v>47</v>
      </c>
      <c r="AN67" s="54">
        <f>(AM66/AM67)*100</f>
        <v>4.2553191489361701</v>
      </c>
      <c r="AO67" s="53" t="str">
        <f>IF(SUMIF(AO11:AO63, "&gt; 0", $H11:$H63) &gt; 0, SUMIF(AO11:AO63, "&gt; 0", $H11:$H63), "")</f>
        <v/>
      </c>
      <c r="AP67" s="54" t="str">
        <f>IF(NOT(ISERROR((AO66/AO67)*100)), (AO66/AO67)*100, "")</f>
        <v/>
      </c>
      <c r="AQ67" s="53" t="str">
        <f>IF(SUMIF(AQ11:AQ63, "&gt; 0", $H11:$H63) &gt; 0, SUMIF(AQ11:AQ63, "&gt; 0", $H11:$H63), "")</f>
        <v/>
      </c>
      <c r="AR67" s="54" t="str">
        <f>IF((ISERROR((AQ66/AQ67)*100)), "", (AQ66/AQ67)*100)</f>
        <v/>
      </c>
      <c r="AS67" s="53" t="str">
        <f>IF(SUMIF(AS11:AS63, "&gt; 0", $H11:$H63) &gt; 0, SUMIF(AS11:AS63, "&gt; 0", $H11:$H63), "")</f>
        <v/>
      </c>
      <c r="AT67" s="54" t="str">
        <f>IF((ISERROR((AS66/AS67)*100)), "", (AS66/AS67)*100)</f>
        <v/>
      </c>
      <c r="AU67" s="53" t="str">
        <f>IF(SUMIF(AU11:AU63, "&gt; 0", $H11:$H63) &gt; 0, SUMIF(AU11:AU63, "&gt; 0", $H11:$H63), "")</f>
        <v/>
      </c>
      <c r="AV67" s="54" t="str">
        <f>IF((ISERROR((AU66/AU67)*100)), "", (AU66/AU67)*100)</f>
        <v/>
      </c>
      <c r="AW67" s="53" t="str">
        <f>IF(SUMIF(AW11:AW63, "&gt; 0", $H11:$H63) &gt; 0, SUMIF(AW11:AW63, "&gt; 0", $H11:$H63), "")</f>
        <v/>
      </c>
      <c r="AX67" s="54" t="str">
        <f>IF((ISERROR((AW66/AW67)*100)), "", (AW66/AW67)*100)</f>
        <v/>
      </c>
      <c r="AY67" s="53" t="str">
        <f>IF(SUMIF(AY11:AY63, "&gt; 0", $H11:$H63) &gt; 0, SUMIF(AY11:AY63, "&gt; 0", $H11:$H63), "")</f>
        <v/>
      </c>
      <c r="AZ67" s="54" t="str">
        <f>IF((ISERROR((AY66/AY67)*100)), "", (AY66/AY67)*100)</f>
        <v/>
      </c>
    </row>
    <row r="68" spans="3:52" ht="17" customHeight="1" thickBot="1" x14ac:dyDescent="0.25">
      <c r="H68" s="372" t="s">
        <v>453</v>
      </c>
      <c r="I68" s="375"/>
      <c r="J68" s="376"/>
      <c r="K68" s="351" t="s">
        <v>240</v>
      </c>
      <c r="L68" s="353" t="s">
        <v>241</v>
      </c>
      <c r="M68" s="351" t="s">
        <v>240</v>
      </c>
      <c r="N68" s="353" t="s">
        <v>241</v>
      </c>
      <c r="O68" s="351" t="s">
        <v>240</v>
      </c>
      <c r="P68" s="353" t="s">
        <v>241</v>
      </c>
      <c r="Q68" s="351" t="s">
        <v>240</v>
      </c>
      <c r="R68" s="353" t="s">
        <v>241</v>
      </c>
      <c r="S68" s="351" t="s">
        <v>240</v>
      </c>
      <c r="T68" s="353" t="s">
        <v>241</v>
      </c>
      <c r="U68" s="351" t="s">
        <v>240</v>
      </c>
      <c r="V68" s="353" t="s">
        <v>241</v>
      </c>
      <c r="W68" s="351" t="s">
        <v>240</v>
      </c>
      <c r="X68" s="353" t="s">
        <v>241</v>
      </c>
      <c r="Y68" s="351" t="s">
        <v>240</v>
      </c>
      <c r="Z68" s="353" t="s">
        <v>241</v>
      </c>
      <c r="AA68" s="355" t="s">
        <v>240</v>
      </c>
      <c r="AB68" s="354" t="s">
        <v>241</v>
      </c>
      <c r="AC68" s="351" t="s">
        <v>240</v>
      </c>
      <c r="AD68" s="353" t="s">
        <v>241</v>
      </c>
      <c r="AE68" s="351" t="s">
        <v>240</v>
      </c>
      <c r="AF68" s="353" t="s">
        <v>241</v>
      </c>
      <c r="AG68" s="351" t="s">
        <v>240</v>
      </c>
      <c r="AH68" s="353" t="s">
        <v>241</v>
      </c>
      <c r="AI68" s="351" t="s">
        <v>240</v>
      </c>
      <c r="AJ68" s="353" t="s">
        <v>241</v>
      </c>
      <c r="AK68" s="352" t="s">
        <v>240</v>
      </c>
      <c r="AL68" s="353" t="s">
        <v>241</v>
      </c>
      <c r="AM68" s="351" t="s">
        <v>240</v>
      </c>
      <c r="AN68" s="353" t="s">
        <v>241</v>
      </c>
      <c r="AO68" s="351" t="s">
        <v>240</v>
      </c>
      <c r="AP68" s="353" t="s">
        <v>241</v>
      </c>
      <c r="AQ68" s="351" t="s">
        <v>240</v>
      </c>
      <c r="AR68" s="353" t="s">
        <v>241</v>
      </c>
      <c r="AS68" s="351" t="s">
        <v>240</v>
      </c>
      <c r="AT68" s="353" t="s">
        <v>241</v>
      </c>
      <c r="AU68" s="351" t="s">
        <v>240</v>
      </c>
      <c r="AV68" s="353" t="s">
        <v>241</v>
      </c>
      <c r="AW68" s="351" t="s">
        <v>240</v>
      </c>
      <c r="AX68" s="353" t="s">
        <v>241</v>
      </c>
      <c r="AY68" s="351" t="s">
        <v>240</v>
      </c>
      <c r="AZ68" s="353" t="s">
        <v>241</v>
      </c>
    </row>
    <row r="69" spans="3:52" x14ac:dyDescent="0.2">
      <c r="E69" s="55" t="s">
        <v>246</v>
      </c>
      <c r="F69" s="58">
        <v>1</v>
      </c>
      <c r="H69" s="373"/>
      <c r="I69" s="377"/>
      <c r="J69" s="378"/>
      <c r="K69" s="351"/>
      <c r="L69" s="354"/>
      <c r="M69" s="351"/>
      <c r="N69" s="354"/>
      <c r="O69" s="351"/>
      <c r="P69" s="354"/>
      <c r="Q69" s="351"/>
      <c r="R69" s="354"/>
      <c r="S69" s="351"/>
      <c r="T69" s="354"/>
      <c r="U69" s="351"/>
      <c r="V69" s="354"/>
      <c r="W69" s="351"/>
      <c r="X69" s="354"/>
      <c r="Y69" s="351"/>
      <c r="Z69" s="354"/>
      <c r="AA69" s="351"/>
      <c r="AB69" s="354"/>
      <c r="AC69" s="351"/>
      <c r="AD69" s="354"/>
      <c r="AE69" s="351"/>
      <c r="AF69" s="354"/>
      <c r="AG69" s="351"/>
      <c r="AH69" s="354"/>
      <c r="AI69" s="351"/>
      <c r="AJ69" s="354"/>
      <c r="AK69" s="419"/>
      <c r="AL69" s="354"/>
      <c r="AM69" s="351"/>
      <c r="AN69" s="354"/>
      <c r="AO69" s="351"/>
      <c r="AP69" s="354"/>
      <c r="AQ69" s="351"/>
      <c r="AR69" s="354"/>
      <c r="AS69" s="351"/>
      <c r="AT69" s="354"/>
      <c r="AU69" s="351"/>
      <c r="AV69" s="354"/>
      <c r="AW69" s="351"/>
      <c r="AX69" s="354"/>
      <c r="AY69" s="351"/>
      <c r="AZ69" s="354"/>
    </row>
    <row r="70" spans="3:52" x14ac:dyDescent="0.2">
      <c r="E70" s="56"/>
      <c r="F70" s="57"/>
      <c r="H70" s="373"/>
      <c r="I70" s="377"/>
      <c r="J70" s="378"/>
      <c r="K70" s="351"/>
      <c r="L70" s="354"/>
      <c r="M70" s="351"/>
      <c r="N70" s="354"/>
      <c r="O70" s="351"/>
      <c r="P70" s="354"/>
      <c r="Q70" s="351"/>
      <c r="R70" s="354"/>
      <c r="S70" s="351"/>
      <c r="T70" s="354"/>
      <c r="U70" s="351"/>
      <c r="V70" s="354"/>
      <c r="W70" s="351"/>
      <c r="X70" s="354"/>
      <c r="Y70" s="351"/>
      <c r="Z70" s="354"/>
      <c r="AA70" s="351"/>
      <c r="AB70" s="354"/>
      <c r="AC70" s="351"/>
      <c r="AD70" s="354"/>
      <c r="AE70" s="351"/>
      <c r="AF70" s="354"/>
      <c r="AG70" s="351"/>
      <c r="AH70" s="354"/>
      <c r="AI70" s="351"/>
      <c r="AJ70" s="354"/>
      <c r="AK70" s="419"/>
      <c r="AL70" s="354"/>
      <c r="AM70" s="351"/>
      <c r="AN70" s="354"/>
      <c r="AO70" s="351"/>
      <c r="AP70" s="354"/>
      <c r="AQ70" s="351"/>
      <c r="AR70" s="354"/>
      <c r="AS70" s="351"/>
      <c r="AT70" s="354"/>
      <c r="AU70" s="351"/>
      <c r="AV70" s="354"/>
      <c r="AW70" s="351"/>
      <c r="AX70" s="354"/>
      <c r="AY70" s="351"/>
      <c r="AZ70" s="354"/>
    </row>
    <row r="71" spans="3:52" x14ac:dyDescent="0.2">
      <c r="E71" s="386" t="s">
        <v>247</v>
      </c>
      <c r="F71" s="387"/>
      <c r="H71" s="373"/>
      <c r="I71" s="377"/>
      <c r="J71" s="378"/>
      <c r="K71" s="351"/>
      <c r="L71" s="354"/>
      <c r="M71" s="351"/>
      <c r="N71" s="354"/>
      <c r="O71" s="351"/>
      <c r="P71" s="354"/>
      <c r="Q71" s="351"/>
      <c r="R71" s="354"/>
      <c r="S71" s="351"/>
      <c r="T71" s="354"/>
      <c r="U71" s="351"/>
      <c r="V71" s="354"/>
      <c r="W71" s="351"/>
      <c r="X71" s="354"/>
      <c r="Y71" s="351"/>
      <c r="Z71" s="354"/>
      <c r="AA71" s="351"/>
      <c r="AB71" s="354"/>
      <c r="AC71" s="351"/>
      <c r="AD71" s="354"/>
      <c r="AE71" s="351"/>
      <c r="AF71" s="354"/>
      <c r="AG71" s="351"/>
      <c r="AH71" s="354"/>
      <c r="AI71" s="351"/>
      <c r="AJ71" s="354"/>
      <c r="AK71" s="419"/>
      <c r="AL71" s="354"/>
      <c r="AM71" s="351"/>
      <c r="AN71" s="354"/>
      <c r="AO71" s="351"/>
      <c r="AP71" s="354"/>
      <c r="AQ71" s="351"/>
      <c r="AR71" s="354"/>
      <c r="AS71" s="351"/>
      <c r="AT71" s="354"/>
      <c r="AU71" s="351"/>
      <c r="AV71" s="354"/>
      <c r="AW71" s="351"/>
      <c r="AX71" s="354"/>
      <c r="AY71" s="351"/>
      <c r="AZ71" s="354"/>
    </row>
    <row r="72" spans="3:52" x14ac:dyDescent="0.2">
      <c r="E72" s="386"/>
      <c r="F72" s="387"/>
      <c r="H72" s="373"/>
      <c r="I72" s="377"/>
      <c r="J72" s="378"/>
      <c r="K72" s="352"/>
      <c r="L72" s="354"/>
      <c r="M72" s="352"/>
      <c r="N72" s="354"/>
      <c r="O72" s="352"/>
      <c r="P72" s="354"/>
      <c r="Q72" s="352"/>
      <c r="R72" s="354"/>
      <c r="S72" s="352"/>
      <c r="T72" s="354"/>
      <c r="U72" s="352"/>
      <c r="V72" s="354"/>
      <c r="W72" s="352"/>
      <c r="X72" s="354"/>
      <c r="Y72" s="352"/>
      <c r="Z72" s="354"/>
      <c r="AA72" s="352"/>
      <c r="AB72" s="354"/>
      <c r="AC72" s="352"/>
      <c r="AD72" s="354"/>
      <c r="AE72" s="352"/>
      <c r="AF72" s="354"/>
      <c r="AG72" s="352"/>
      <c r="AH72" s="354"/>
      <c r="AI72" s="352"/>
      <c r="AJ72" s="354"/>
      <c r="AK72" s="355"/>
      <c r="AL72" s="420"/>
      <c r="AM72" s="352"/>
      <c r="AN72" s="354"/>
      <c r="AO72" s="352"/>
      <c r="AP72" s="354"/>
      <c r="AQ72" s="352"/>
      <c r="AR72" s="354"/>
      <c r="AS72" s="352"/>
      <c r="AT72" s="354"/>
      <c r="AU72" s="352"/>
      <c r="AV72" s="354"/>
      <c r="AW72" s="352"/>
      <c r="AX72" s="354"/>
      <c r="AY72" s="352"/>
      <c r="AZ72" s="354"/>
    </row>
    <row r="73" spans="3:52" ht="16" customHeight="1" x14ac:dyDescent="0.2">
      <c r="E73" s="386"/>
      <c r="F73" s="387"/>
      <c r="H73" s="373"/>
      <c r="I73" s="377"/>
      <c r="J73" s="378"/>
      <c r="K73" s="385" t="s">
        <v>239</v>
      </c>
      <c r="L73" s="415"/>
      <c r="M73" s="385" t="s">
        <v>237</v>
      </c>
      <c r="N73" s="415"/>
      <c r="O73" s="381" t="s">
        <v>208</v>
      </c>
      <c r="P73" s="401"/>
      <c r="Q73" s="381" t="s">
        <v>172</v>
      </c>
      <c r="R73" s="401"/>
      <c r="S73" s="381" t="s">
        <v>164</v>
      </c>
      <c r="T73" s="401"/>
      <c r="U73" s="381" t="s">
        <v>173</v>
      </c>
      <c r="V73" s="401"/>
      <c r="W73" s="381" t="s">
        <v>171</v>
      </c>
      <c r="X73" s="401"/>
      <c r="Y73" s="381" t="s">
        <v>174</v>
      </c>
      <c r="Z73" s="401"/>
      <c r="AA73" s="381" t="s">
        <v>157</v>
      </c>
      <c r="AB73" s="401"/>
      <c r="AC73" s="381" t="s">
        <v>158</v>
      </c>
      <c r="AD73" s="401"/>
      <c r="AE73" s="381" t="s">
        <v>376</v>
      </c>
      <c r="AF73" s="401"/>
      <c r="AG73" s="385" t="s">
        <v>236</v>
      </c>
      <c r="AH73" s="415"/>
      <c r="AI73" s="381" t="s">
        <v>163</v>
      </c>
      <c r="AJ73" s="401"/>
      <c r="AK73" s="381" t="s">
        <v>159</v>
      </c>
      <c r="AL73" s="382"/>
      <c r="AM73" s="385" t="s">
        <v>238</v>
      </c>
      <c r="AN73" s="415"/>
      <c r="AO73" s="381" t="s">
        <v>160</v>
      </c>
      <c r="AP73" s="401"/>
      <c r="AQ73" s="381" t="s">
        <v>161</v>
      </c>
      <c r="AR73" s="401"/>
      <c r="AS73" s="381" t="s">
        <v>207</v>
      </c>
      <c r="AT73" s="401"/>
      <c r="AU73" s="381" t="s">
        <v>206</v>
      </c>
      <c r="AV73" s="401"/>
      <c r="AW73" s="381" t="s">
        <v>205</v>
      </c>
      <c r="AX73" s="401"/>
      <c r="AY73" s="381" t="s">
        <v>202</v>
      </c>
      <c r="AZ73" s="382"/>
    </row>
    <row r="74" spans="3:52" x14ac:dyDescent="0.2">
      <c r="E74" s="386"/>
      <c r="F74" s="387"/>
      <c r="H74" s="373"/>
      <c r="I74" s="377"/>
      <c r="J74" s="378"/>
      <c r="K74" s="397"/>
      <c r="L74" s="416"/>
      <c r="M74" s="397"/>
      <c r="N74" s="416"/>
      <c r="O74" s="358"/>
      <c r="P74" s="402"/>
      <c r="Q74" s="358"/>
      <c r="R74" s="402"/>
      <c r="S74" s="358"/>
      <c r="T74" s="402"/>
      <c r="U74" s="358"/>
      <c r="V74" s="402"/>
      <c r="W74" s="358"/>
      <c r="X74" s="402"/>
      <c r="Y74" s="358"/>
      <c r="Z74" s="402"/>
      <c r="AA74" s="358"/>
      <c r="AB74" s="402"/>
      <c r="AC74" s="358"/>
      <c r="AD74" s="402"/>
      <c r="AE74" s="358"/>
      <c r="AF74" s="402"/>
      <c r="AG74" s="397"/>
      <c r="AH74" s="416"/>
      <c r="AI74" s="358"/>
      <c r="AJ74" s="402"/>
      <c r="AK74" s="358"/>
      <c r="AL74" s="359"/>
      <c r="AM74" s="397"/>
      <c r="AN74" s="416"/>
      <c r="AO74" s="358"/>
      <c r="AP74" s="402"/>
      <c r="AQ74" s="358"/>
      <c r="AR74" s="402"/>
      <c r="AS74" s="358"/>
      <c r="AT74" s="402"/>
      <c r="AU74" s="358"/>
      <c r="AV74" s="402"/>
      <c r="AW74" s="358"/>
      <c r="AX74" s="402"/>
      <c r="AY74" s="358"/>
      <c r="AZ74" s="359"/>
    </row>
    <row r="75" spans="3:52" ht="17" thickBot="1" x14ac:dyDescent="0.25">
      <c r="E75" s="386"/>
      <c r="F75" s="387"/>
      <c r="H75" s="373"/>
      <c r="I75" s="377"/>
      <c r="J75" s="378"/>
      <c r="K75" s="417"/>
      <c r="L75" s="418"/>
      <c r="M75" s="417"/>
      <c r="N75" s="418"/>
      <c r="O75" s="409"/>
      <c r="P75" s="411"/>
      <c r="Q75" s="409"/>
      <c r="R75" s="411"/>
      <c r="S75" s="409"/>
      <c r="T75" s="411"/>
      <c r="U75" s="409"/>
      <c r="V75" s="411"/>
      <c r="W75" s="409"/>
      <c r="X75" s="411"/>
      <c r="Y75" s="409"/>
      <c r="Z75" s="411"/>
      <c r="AA75" s="409"/>
      <c r="AB75" s="411"/>
      <c r="AC75" s="409"/>
      <c r="AD75" s="411"/>
      <c r="AE75" s="409"/>
      <c r="AF75" s="411"/>
      <c r="AG75" s="417"/>
      <c r="AH75" s="418"/>
      <c r="AI75" s="409"/>
      <c r="AJ75" s="411"/>
      <c r="AK75" s="409"/>
      <c r="AL75" s="410"/>
      <c r="AM75" s="417"/>
      <c r="AN75" s="418"/>
      <c r="AO75" s="409"/>
      <c r="AP75" s="411"/>
      <c r="AQ75" s="409"/>
      <c r="AR75" s="411"/>
      <c r="AS75" s="409"/>
      <c r="AT75" s="411"/>
      <c r="AU75" s="409"/>
      <c r="AV75" s="411"/>
      <c r="AW75" s="409"/>
      <c r="AX75" s="411"/>
      <c r="AY75" s="409"/>
      <c r="AZ75" s="410"/>
    </row>
    <row r="76" spans="3:52" ht="20" thickBot="1" x14ac:dyDescent="0.3">
      <c r="E76" s="388"/>
      <c r="F76" s="389"/>
      <c r="H76" s="374"/>
      <c r="I76" s="379"/>
      <c r="J76" s="380"/>
      <c r="K76" s="412" t="s">
        <v>162</v>
      </c>
      <c r="L76" s="413"/>
      <c r="M76" s="413"/>
      <c r="N76" s="413"/>
      <c r="O76" s="413"/>
      <c r="P76" s="413"/>
      <c r="Q76" s="413"/>
      <c r="R76" s="413"/>
      <c r="S76" s="413"/>
      <c r="T76" s="413"/>
      <c r="U76" s="413"/>
      <c r="V76" s="413"/>
      <c r="W76" s="413"/>
      <c r="X76" s="413"/>
      <c r="Y76" s="413"/>
      <c r="Z76" s="413"/>
      <c r="AA76" s="413"/>
      <c r="AB76" s="413"/>
      <c r="AC76" s="413"/>
      <c r="AD76" s="413"/>
      <c r="AE76" s="413"/>
      <c r="AF76" s="413"/>
      <c r="AG76" s="413"/>
      <c r="AH76" s="413"/>
      <c r="AI76" s="413"/>
      <c r="AJ76" s="413"/>
      <c r="AK76" s="413"/>
      <c r="AL76" s="413"/>
      <c r="AM76" s="413"/>
      <c r="AN76" s="413"/>
      <c r="AO76" s="413"/>
      <c r="AP76" s="413"/>
      <c r="AQ76" s="413"/>
      <c r="AR76" s="413"/>
      <c r="AS76" s="413"/>
      <c r="AT76" s="413"/>
      <c r="AU76" s="413"/>
      <c r="AV76" s="413"/>
      <c r="AW76" s="413"/>
      <c r="AX76" s="413"/>
      <c r="AY76" s="413"/>
      <c r="AZ76" s="414"/>
    </row>
    <row r="77" spans="3:52" x14ac:dyDescent="0.2">
      <c r="H77" s="155" t="s">
        <v>456</v>
      </c>
    </row>
    <row r="78" spans="3:52" x14ac:dyDescent="0.2">
      <c r="H78" s="156"/>
    </row>
  </sheetData>
  <mergeCells count="139">
    <mergeCell ref="K2:AZ2"/>
    <mergeCell ref="D3:D4"/>
    <mergeCell ref="K3:L5"/>
    <mergeCell ref="U3:V5"/>
    <mergeCell ref="M3:N5"/>
    <mergeCell ref="S3:T5"/>
    <mergeCell ref="Q3:R5"/>
    <mergeCell ref="O3:P5"/>
    <mergeCell ref="AC3:AD5"/>
    <mergeCell ref="AM3:AN5"/>
    <mergeCell ref="AU3:AV5"/>
    <mergeCell ref="AW3:AX5"/>
    <mergeCell ref="AS3:AT5"/>
    <mergeCell ref="AY3:AZ5"/>
    <mergeCell ref="W3:X5"/>
    <mergeCell ref="Y3:Z5"/>
    <mergeCell ref="AA3:AB5"/>
    <mergeCell ref="AI3:AJ5"/>
    <mergeCell ref="AE3:AF5"/>
    <mergeCell ref="M6:M10"/>
    <mergeCell ref="N6:N10"/>
    <mergeCell ref="AQ3:AR5"/>
    <mergeCell ref="D5:D7"/>
    <mergeCell ref="G6:G10"/>
    <mergeCell ref="H6:H10"/>
    <mergeCell ref="I6:I10"/>
    <mergeCell ref="J6:J10"/>
    <mergeCell ref="K6:K10"/>
    <mergeCell ref="L6:L10"/>
    <mergeCell ref="AG3:AH5"/>
    <mergeCell ref="AO3:AP5"/>
    <mergeCell ref="AN6:AN10"/>
    <mergeCell ref="W6:W10"/>
    <mergeCell ref="X6:X10"/>
    <mergeCell ref="AC6:AC10"/>
    <mergeCell ref="AD6:AD10"/>
    <mergeCell ref="Q6:Q10"/>
    <mergeCell ref="R6:R10"/>
    <mergeCell ref="O6:O10"/>
    <mergeCell ref="P6:P10"/>
    <mergeCell ref="S6:S10"/>
    <mergeCell ref="T6:T10"/>
    <mergeCell ref="U6:U10"/>
    <mergeCell ref="V6:V10"/>
    <mergeCell ref="AZ6:AZ10"/>
    <mergeCell ref="AQ6:AQ10"/>
    <mergeCell ref="AR6:AR10"/>
    <mergeCell ref="AS6:AS10"/>
    <mergeCell ref="AT6:AT10"/>
    <mergeCell ref="AU6:AU10"/>
    <mergeCell ref="AV6:AV10"/>
    <mergeCell ref="AW6:AW10"/>
    <mergeCell ref="AX6:AX10"/>
    <mergeCell ref="M68:M72"/>
    <mergeCell ref="N68:N72"/>
    <mergeCell ref="A7:A10"/>
    <mergeCell ref="B7:B10"/>
    <mergeCell ref="H68:H76"/>
    <mergeCell ref="I68:J76"/>
    <mergeCell ref="K68:K72"/>
    <mergeCell ref="L68:L72"/>
    <mergeCell ref="AY6:AY10"/>
    <mergeCell ref="AO6:AO10"/>
    <mergeCell ref="AP6:AP10"/>
    <mergeCell ref="AK6:AK10"/>
    <mergeCell ref="AL6:AL10"/>
    <mergeCell ref="AG6:AG10"/>
    <mergeCell ref="AH6:AH10"/>
    <mergeCell ref="AE6:AE10"/>
    <mergeCell ref="AF6:AF10"/>
    <mergeCell ref="AA6:AA10"/>
    <mergeCell ref="AB6:AB10"/>
    <mergeCell ref="AI6:AI10"/>
    <mergeCell ref="AJ6:AJ10"/>
    <mergeCell ref="Y6:Y10"/>
    <mergeCell ref="Z6:Z10"/>
    <mergeCell ref="AM6:AM10"/>
    <mergeCell ref="AM68:AM72"/>
    <mergeCell ref="AN68:AN72"/>
    <mergeCell ref="W68:W72"/>
    <mergeCell ref="X68:X72"/>
    <mergeCell ref="AC68:AC72"/>
    <mergeCell ref="AD68:AD72"/>
    <mergeCell ref="Q68:Q72"/>
    <mergeCell ref="R68:R72"/>
    <mergeCell ref="O68:O72"/>
    <mergeCell ref="P68:P72"/>
    <mergeCell ref="S68:S72"/>
    <mergeCell ref="T68:T72"/>
    <mergeCell ref="U68:U72"/>
    <mergeCell ref="V68:V72"/>
    <mergeCell ref="E71:F76"/>
    <mergeCell ref="K73:L75"/>
    <mergeCell ref="U73:V75"/>
    <mergeCell ref="M73:N75"/>
    <mergeCell ref="S73:T75"/>
    <mergeCell ref="Q73:R75"/>
    <mergeCell ref="O73:P75"/>
    <mergeCell ref="AC73:AD75"/>
    <mergeCell ref="AY68:AY72"/>
    <mergeCell ref="AQ68:AQ72"/>
    <mergeCell ref="AR68:AR72"/>
    <mergeCell ref="AS68:AS72"/>
    <mergeCell ref="AT68:AT72"/>
    <mergeCell ref="AU68:AU72"/>
    <mergeCell ref="AV68:AV72"/>
    <mergeCell ref="AW68:AW72"/>
    <mergeCell ref="AX68:AX72"/>
    <mergeCell ref="AO68:AO72"/>
    <mergeCell ref="AP68:AP72"/>
    <mergeCell ref="AK68:AK72"/>
    <mergeCell ref="AL68:AL72"/>
    <mergeCell ref="AG68:AG72"/>
    <mergeCell ref="AH68:AH72"/>
    <mergeCell ref="AE68:AE72"/>
    <mergeCell ref="AY73:AZ75"/>
    <mergeCell ref="AQ73:AR75"/>
    <mergeCell ref="K76:AZ76"/>
    <mergeCell ref="AK3:AL5"/>
    <mergeCell ref="AK73:AL75"/>
    <mergeCell ref="AG73:AH75"/>
    <mergeCell ref="AO73:AP75"/>
    <mergeCell ref="AU73:AV75"/>
    <mergeCell ref="AW73:AX75"/>
    <mergeCell ref="AS73:AT75"/>
    <mergeCell ref="AM73:AN75"/>
    <mergeCell ref="W73:X75"/>
    <mergeCell ref="Y73:Z75"/>
    <mergeCell ref="AA73:AB75"/>
    <mergeCell ref="AI73:AJ75"/>
    <mergeCell ref="AE73:AF75"/>
    <mergeCell ref="AZ68:AZ72"/>
    <mergeCell ref="AF68:AF72"/>
    <mergeCell ref="AA68:AA72"/>
    <mergeCell ref="AB68:AB72"/>
    <mergeCell ref="AI68:AI72"/>
    <mergeCell ref="AJ68:AJ72"/>
    <mergeCell ref="Y68:Y72"/>
    <mergeCell ref="Z68:Z72"/>
  </mergeCells>
  <pageMargins left="0.7" right="0.7" top="0.75" bottom="0.75" header="0.3" footer="0.3"/>
  <ignoredErrors>
    <ignoredError sqref="AQ66:AR67 AS66:AT67 AU66:AZ67 AO66:AP67 V66:V67 L66:U67 W66:AN67" formula="1"/>
    <ignoredError sqref="I11:I14 I15:I17 I26:I63 I25:J25 I18:I24"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B155"/>
  <sheetViews>
    <sheetView showRuler="0"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93" width="6.83203125" style="24" customWidth="1"/>
    <col min="94" max="94" width="62" style="23" customWidth="1"/>
    <col min="95" max="16384" width="10.83203125" style="23"/>
  </cols>
  <sheetData>
    <row r="1" spans="1:98" ht="17" thickBot="1" x14ac:dyDescent="0.25"/>
    <row r="2" spans="1:98" ht="17" customHeight="1" thickBot="1" x14ac:dyDescent="0.25">
      <c r="D2" s="334" t="s">
        <v>428</v>
      </c>
      <c r="J2" s="24"/>
      <c r="CP2" s="24"/>
    </row>
    <row r="3" spans="1:98" ht="20" customHeight="1" thickBot="1" x14ac:dyDescent="0.25">
      <c r="D3" s="651"/>
      <c r="K3" s="666" t="s">
        <v>429</v>
      </c>
      <c r="L3" s="667"/>
      <c r="M3" s="667"/>
      <c r="N3" s="667"/>
      <c r="O3" s="667"/>
      <c r="P3" s="667"/>
      <c r="Q3" s="667"/>
      <c r="R3" s="667"/>
      <c r="S3" s="667"/>
      <c r="T3" s="667"/>
      <c r="U3" s="667"/>
      <c r="V3" s="667"/>
      <c r="W3" s="667"/>
      <c r="X3" s="667"/>
      <c r="Y3" s="667"/>
      <c r="Z3" s="667"/>
      <c r="AA3" s="667"/>
      <c r="AB3" s="667"/>
      <c r="AC3" s="667"/>
      <c r="AD3" s="667"/>
      <c r="AE3" s="667"/>
      <c r="AF3" s="667"/>
      <c r="AG3" s="667"/>
      <c r="AH3" s="667"/>
      <c r="AI3" s="667"/>
      <c r="AJ3" s="667"/>
      <c r="AK3" s="667"/>
      <c r="AL3" s="667"/>
      <c r="AM3" s="667"/>
      <c r="AN3" s="667"/>
      <c r="AO3" s="667"/>
      <c r="AP3" s="667"/>
      <c r="AQ3" s="667"/>
      <c r="AR3" s="667"/>
      <c r="AS3" s="667"/>
      <c r="AT3" s="667"/>
      <c r="AU3" s="667"/>
      <c r="AV3" s="667"/>
      <c r="AW3" s="667"/>
      <c r="AX3" s="668"/>
      <c r="AY3" s="23"/>
      <c r="AZ3" s="500" t="s">
        <v>429</v>
      </c>
      <c r="BA3" s="501"/>
      <c r="BB3" s="501"/>
      <c r="BC3" s="501"/>
      <c r="BD3" s="501"/>
      <c r="BE3" s="501"/>
      <c r="BF3" s="501"/>
      <c r="BG3" s="501"/>
      <c r="BH3" s="501"/>
      <c r="BI3" s="502"/>
      <c r="BJ3" s="23"/>
      <c r="BK3" s="500" t="s">
        <v>429</v>
      </c>
      <c r="BL3" s="501"/>
      <c r="BM3" s="501"/>
      <c r="BN3" s="501"/>
      <c r="BO3" s="501"/>
      <c r="BP3" s="501"/>
      <c r="BQ3" s="501"/>
      <c r="BR3" s="501"/>
      <c r="BS3" s="501"/>
      <c r="BT3" s="502"/>
      <c r="BU3" s="23"/>
      <c r="BV3" s="500" t="s">
        <v>429</v>
      </c>
      <c r="BW3" s="501"/>
      <c r="BX3" s="501"/>
      <c r="BY3" s="501"/>
      <c r="BZ3" s="501"/>
      <c r="CA3" s="501"/>
      <c r="CB3" s="501"/>
      <c r="CC3" s="501"/>
      <c r="CD3" s="501"/>
      <c r="CE3" s="502"/>
      <c r="CF3" s="23"/>
      <c r="CG3" s="23"/>
      <c r="CH3" s="23"/>
      <c r="CI3" s="23"/>
      <c r="CJ3" s="23"/>
      <c r="CK3" s="23"/>
      <c r="CL3" s="23"/>
      <c r="CM3" s="23"/>
      <c r="CN3" s="23"/>
      <c r="CO3" s="23"/>
    </row>
    <row r="4" spans="1:98" ht="20" customHeight="1" thickBot="1" x14ac:dyDescent="0.25">
      <c r="D4" s="24"/>
      <c r="E4" s="24"/>
      <c r="K4" s="503" t="s">
        <v>528</v>
      </c>
      <c r="L4" s="504"/>
      <c r="M4" s="504"/>
      <c r="N4" s="504"/>
      <c r="O4" s="504"/>
      <c r="P4" s="504"/>
      <c r="Q4" s="504"/>
      <c r="R4" s="504"/>
      <c r="S4" s="504"/>
      <c r="T4" s="504"/>
      <c r="U4" s="504"/>
      <c r="V4" s="504"/>
      <c r="W4" s="504"/>
      <c r="X4" s="504"/>
      <c r="Y4" s="504"/>
      <c r="Z4" s="504"/>
      <c r="AA4" s="504"/>
      <c r="AB4" s="504"/>
      <c r="AC4" s="504"/>
      <c r="AD4" s="504"/>
      <c r="AE4" s="504"/>
      <c r="AF4" s="504"/>
      <c r="AG4" s="504"/>
      <c r="AH4" s="504"/>
      <c r="AI4" s="504"/>
      <c r="AJ4" s="504"/>
      <c r="AK4" s="504"/>
      <c r="AL4" s="504"/>
      <c r="AM4" s="504"/>
      <c r="AN4" s="504"/>
      <c r="AO4" s="504"/>
      <c r="AP4" s="504"/>
      <c r="AQ4" s="504"/>
      <c r="AR4" s="504"/>
      <c r="AS4" s="504"/>
      <c r="AT4" s="504"/>
      <c r="AU4" s="504"/>
      <c r="AV4" s="504"/>
      <c r="AW4" s="504"/>
      <c r="AX4" s="669"/>
      <c r="AY4" s="23"/>
      <c r="AZ4" s="503"/>
      <c r="BA4" s="504"/>
      <c r="BB4" s="504"/>
      <c r="BC4" s="504"/>
      <c r="BD4" s="504"/>
      <c r="BE4" s="504"/>
      <c r="BF4" s="504"/>
      <c r="BG4" s="504"/>
      <c r="BH4" s="504"/>
      <c r="BI4" s="505"/>
      <c r="BJ4" s="23"/>
      <c r="BK4" s="503"/>
      <c r="BL4" s="504"/>
      <c r="BM4" s="504"/>
      <c r="BN4" s="504"/>
      <c r="BO4" s="504"/>
      <c r="BP4" s="504"/>
      <c r="BQ4" s="504"/>
      <c r="BR4" s="504"/>
      <c r="BS4" s="504"/>
      <c r="BT4" s="505"/>
      <c r="BU4" s="23"/>
      <c r="BV4" s="503"/>
      <c r="BW4" s="504"/>
      <c r="BX4" s="504"/>
      <c r="BY4" s="504"/>
      <c r="BZ4" s="504"/>
      <c r="CA4" s="504"/>
      <c r="CB4" s="504"/>
      <c r="CC4" s="504"/>
      <c r="CD4" s="504"/>
      <c r="CE4" s="505"/>
      <c r="CF4" s="23"/>
      <c r="CG4" s="23"/>
      <c r="CH4" s="23"/>
      <c r="CI4" s="23"/>
      <c r="CJ4" s="23"/>
      <c r="CK4" s="23"/>
      <c r="CL4" s="23"/>
      <c r="CM4" s="23"/>
      <c r="CN4" s="23"/>
      <c r="CO4" s="23"/>
    </row>
    <row r="5" spans="1:98" ht="20" customHeight="1" thickBot="1" x14ac:dyDescent="0.25">
      <c r="B5" s="84"/>
      <c r="D5" s="315" t="s">
        <v>554</v>
      </c>
      <c r="E5" s="24"/>
      <c r="K5" s="362" t="s">
        <v>436</v>
      </c>
      <c r="L5" s="421"/>
      <c r="M5" s="421"/>
      <c r="N5" s="421"/>
      <c r="O5" s="421"/>
      <c r="P5" s="421"/>
      <c r="Q5" s="421"/>
      <c r="R5" s="421"/>
      <c r="S5" s="421"/>
      <c r="T5" s="396"/>
      <c r="U5" s="362" t="s">
        <v>437</v>
      </c>
      <c r="V5" s="421"/>
      <c r="W5" s="421"/>
      <c r="X5" s="421"/>
      <c r="Y5" s="421"/>
      <c r="Z5" s="421"/>
      <c r="AA5" s="421"/>
      <c r="AB5" s="421"/>
      <c r="AC5" s="421"/>
      <c r="AD5" s="396"/>
      <c r="AE5" s="362" t="s">
        <v>488</v>
      </c>
      <c r="AF5" s="421"/>
      <c r="AG5" s="421"/>
      <c r="AH5" s="421"/>
      <c r="AI5" s="421"/>
      <c r="AJ5" s="421"/>
      <c r="AK5" s="421"/>
      <c r="AL5" s="421"/>
      <c r="AM5" s="421"/>
      <c r="AN5" s="396"/>
      <c r="AO5" s="362" t="s">
        <v>533</v>
      </c>
      <c r="AP5" s="421"/>
      <c r="AQ5" s="421"/>
      <c r="AR5" s="421"/>
      <c r="AS5" s="421"/>
      <c r="AT5" s="421"/>
      <c r="AU5" s="421"/>
      <c r="AV5" s="421"/>
      <c r="AW5" s="421"/>
      <c r="AX5" s="659"/>
      <c r="AY5" s="23"/>
      <c r="AZ5" s="362" t="s">
        <v>498</v>
      </c>
      <c r="BA5" s="421"/>
      <c r="BB5" s="421"/>
      <c r="BC5" s="421"/>
      <c r="BD5" s="421"/>
      <c r="BE5" s="421"/>
      <c r="BF5" s="421"/>
      <c r="BG5" s="421"/>
      <c r="BH5" s="421"/>
      <c r="BI5" s="396"/>
      <c r="BJ5" s="23"/>
      <c r="BK5" s="362" t="s">
        <v>501</v>
      </c>
      <c r="BL5" s="421"/>
      <c r="BM5" s="421"/>
      <c r="BN5" s="421"/>
      <c r="BO5" s="421"/>
      <c r="BP5" s="421"/>
      <c r="BQ5" s="421"/>
      <c r="BR5" s="421"/>
      <c r="BS5" s="421"/>
      <c r="BT5" s="396"/>
      <c r="BU5" s="23"/>
      <c r="BV5" s="362" t="s">
        <v>518</v>
      </c>
      <c r="BW5" s="421"/>
      <c r="BX5" s="421"/>
      <c r="BY5" s="421"/>
      <c r="BZ5" s="421"/>
      <c r="CA5" s="421"/>
      <c r="CB5" s="421"/>
      <c r="CC5" s="421"/>
      <c r="CD5" s="421"/>
      <c r="CE5" s="396"/>
      <c r="CF5" s="23"/>
      <c r="CG5" s="23"/>
      <c r="CH5" s="23"/>
      <c r="CI5" s="23"/>
      <c r="CJ5" s="23"/>
      <c r="CK5" s="23"/>
      <c r="CL5" s="23"/>
      <c r="CM5" s="23"/>
      <c r="CN5" s="23"/>
      <c r="CO5" s="23"/>
    </row>
    <row r="6" spans="1:98" ht="20" customHeight="1" thickBot="1" x14ac:dyDescent="0.25">
      <c r="A6" s="120"/>
      <c r="B6" s="121"/>
      <c r="C6" s="63"/>
      <c r="D6" s="316" t="s">
        <v>555</v>
      </c>
      <c r="E6" s="63"/>
      <c r="G6" s="63"/>
      <c r="H6" s="63"/>
      <c r="I6" s="63"/>
      <c r="J6" s="63"/>
      <c r="K6" s="506" t="s">
        <v>433</v>
      </c>
      <c r="L6" s="507"/>
      <c r="M6" s="507"/>
      <c r="N6" s="508"/>
      <c r="O6" s="509" t="s">
        <v>434</v>
      </c>
      <c r="P6" s="510"/>
      <c r="Q6" s="510"/>
      <c r="R6" s="511"/>
      <c r="S6" s="512" t="s">
        <v>491</v>
      </c>
      <c r="T6" s="513"/>
      <c r="U6" s="506" t="s">
        <v>433</v>
      </c>
      <c r="V6" s="507"/>
      <c r="W6" s="507"/>
      <c r="X6" s="508"/>
      <c r="Y6" s="509" t="s">
        <v>434</v>
      </c>
      <c r="Z6" s="510"/>
      <c r="AA6" s="510"/>
      <c r="AB6" s="511"/>
      <c r="AC6" s="512" t="s">
        <v>491</v>
      </c>
      <c r="AD6" s="513"/>
      <c r="AE6" s="506" t="s">
        <v>433</v>
      </c>
      <c r="AF6" s="507"/>
      <c r="AG6" s="507"/>
      <c r="AH6" s="508"/>
      <c r="AI6" s="509" t="s">
        <v>434</v>
      </c>
      <c r="AJ6" s="510"/>
      <c r="AK6" s="510"/>
      <c r="AL6" s="511"/>
      <c r="AM6" s="512" t="s">
        <v>491</v>
      </c>
      <c r="AN6" s="513"/>
      <c r="AO6" s="506" t="s">
        <v>433</v>
      </c>
      <c r="AP6" s="507"/>
      <c r="AQ6" s="507"/>
      <c r="AR6" s="508"/>
      <c r="AS6" s="509" t="s">
        <v>434</v>
      </c>
      <c r="AT6" s="510"/>
      <c r="AU6" s="510"/>
      <c r="AV6" s="511"/>
      <c r="AW6" s="512" t="s">
        <v>491</v>
      </c>
      <c r="AX6" s="660"/>
      <c r="AY6" s="23"/>
      <c r="AZ6" s="506" t="s">
        <v>433</v>
      </c>
      <c r="BA6" s="507"/>
      <c r="BB6" s="507"/>
      <c r="BC6" s="508"/>
      <c r="BD6" s="509" t="s">
        <v>434</v>
      </c>
      <c r="BE6" s="510"/>
      <c r="BF6" s="510"/>
      <c r="BG6" s="511"/>
      <c r="BH6" s="512" t="s">
        <v>491</v>
      </c>
      <c r="BI6" s="513"/>
      <c r="BJ6" s="23"/>
      <c r="BK6" s="506" t="s">
        <v>433</v>
      </c>
      <c r="BL6" s="507"/>
      <c r="BM6" s="507"/>
      <c r="BN6" s="508"/>
      <c r="BO6" s="509" t="s">
        <v>434</v>
      </c>
      <c r="BP6" s="510"/>
      <c r="BQ6" s="510"/>
      <c r="BR6" s="511"/>
      <c r="BS6" s="512" t="s">
        <v>491</v>
      </c>
      <c r="BT6" s="513"/>
      <c r="BU6" s="23"/>
      <c r="BV6" s="506" t="s">
        <v>433</v>
      </c>
      <c r="BW6" s="507"/>
      <c r="BX6" s="507"/>
      <c r="BY6" s="508"/>
      <c r="BZ6" s="509" t="s">
        <v>434</v>
      </c>
      <c r="CA6" s="510"/>
      <c r="CB6" s="510"/>
      <c r="CC6" s="511"/>
      <c r="CD6" s="512" t="s">
        <v>491</v>
      </c>
      <c r="CE6" s="513"/>
      <c r="CF6" s="23"/>
      <c r="CG6" s="62"/>
      <c r="CH6" s="23"/>
      <c r="CI6" s="23"/>
      <c r="CJ6" s="23"/>
      <c r="CK6" s="23"/>
      <c r="CL6" s="23"/>
      <c r="CM6" s="23"/>
      <c r="CN6" s="23"/>
      <c r="CO6" s="23"/>
    </row>
    <row r="7" spans="1:98" ht="20" customHeight="1" thickBot="1" x14ac:dyDescent="0.25">
      <c r="A7" s="122"/>
      <c r="B7" s="123"/>
      <c r="C7" s="63"/>
      <c r="D7" s="317" t="s">
        <v>556</v>
      </c>
      <c r="E7" s="63"/>
      <c r="G7" s="328" t="s">
        <v>24</v>
      </c>
      <c r="H7" s="339" t="s">
        <v>327</v>
      </c>
      <c r="I7" s="342" t="s">
        <v>325</v>
      </c>
      <c r="J7" s="632" t="s">
        <v>326</v>
      </c>
      <c r="K7" s="604" t="s">
        <v>502</v>
      </c>
      <c r="L7" s="518" t="s">
        <v>503</v>
      </c>
      <c r="M7" s="514" t="s">
        <v>548</v>
      </c>
      <c r="N7" s="514" t="s">
        <v>490</v>
      </c>
      <c r="O7" s="521" t="s">
        <v>502</v>
      </c>
      <c r="P7" s="524" t="s">
        <v>503</v>
      </c>
      <c r="Q7" s="526" t="s">
        <v>548</v>
      </c>
      <c r="R7" s="648" t="s">
        <v>490</v>
      </c>
      <c r="S7" s="530" t="s">
        <v>492</v>
      </c>
      <c r="T7" s="533" t="s">
        <v>241</v>
      </c>
      <c r="U7" s="646" t="s">
        <v>502</v>
      </c>
      <c r="V7" s="518" t="s">
        <v>503</v>
      </c>
      <c r="W7" s="514" t="s">
        <v>489</v>
      </c>
      <c r="X7" s="514" t="s">
        <v>490</v>
      </c>
      <c r="Y7" s="521" t="s">
        <v>502</v>
      </c>
      <c r="Z7" s="524" t="s">
        <v>503</v>
      </c>
      <c r="AA7" s="526" t="s">
        <v>489</v>
      </c>
      <c r="AB7" s="528" t="s">
        <v>490</v>
      </c>
      <c r="AC7" s="530" t="s">
        <v>492</v>
      </c>
      <c r="AD7" s="533" t="s">
        <v>241</v>
      </c>
      <c r="AE7" s="646" t="s">
        <v>549</v>
      </c>
      <c r="AF7" s="518" t="s">
        <v>550</v>
      </c>
      <c r="AG7" s="514" t="s">
        <v>532</v>
      </c>
      <c r="AH7" s="514" t="s">
        <v>490</v>
      </c>
      <c r="AI7" s="521" t="s">
        <v>549</v>
      </c>
      <c r="AJ7" s="524" t="s">
        <v>550</v>
      </c>
      <c r="AK7" s="526" t="s">
        <v>532</v>
      </c>
      <c r="AL7" s="528" t="s">
        <v>490</v>
      </c>
      <c r="AM7" s="530" t="s">
        <v>240</v>
      </c>
      <c r="AN7" s="533" t="s">
        <v>241</v>
      </c>
      <c r="AO7" s="646" t="s">
        <v>551</v>
      </c>
      <c r="AP7" s="518" t="s">
        <v>552</v>
      </c>
      <c r="AQ7" s="514" t="s">
        <v>493</v>
      </c>
      <c r="AR7" s="514" t="s">
        <v>490</v>
      </c>
      <c r="AS7" s="521" t="s">
        <v>551</v>
      </c>
      <c r="AT7" s="524" t="s">
        <v>552</v>
      </c>
      <c r="AU7" s="526" t="s">
        <v>493</v>
      </c>
      <c r="AV7" s="528" t="s">
        <v>490</v>
      </c>
      <c r="AW7" s="530" t="s">
        <v>553</v>
      </c>
      <c r="AX7" s="661" t="s">
        <v>241</v>
      </c>
      <c r="AY7" s="23"/>
      <c r="AZ7" s="516" t="s">
        <v>551</v>
      </c>
      <c r="BA7" s="518" t="s">
        <v>552</v>
      </c>
      <c r="BB7" s="514" t="s">
        <v>493</v>
      </c>
      <c r="BC7" s="514" t="s">
        <v>490</v>
      </c>
      <c r="BD7" s="521" t="s">
        <v>551</v>
      </c>
      <c r="BE7" s="524" t="s">
        <v>552</v>
      </c>
      <c r="BF7" s="526" t="s">
        <v>493</v>
      </c>
      <c r="BG7" s="528" t="s">
        <v>490</v>
      </c>
      <c r="BH7" s="530" t="s">
        <v>553</v>
      </c>
      <c r="BI7" s="533" t="s">
        <v>241</v>
      </c>
      <c r="BJ7" s="23"/>
      <c r="BK7" s="516" t="s">
        <v>505</v>
      </c>
      <c r="BL7" s="518" t="s">
        <v>506</v>
      </c>
      <c r="BM7" s="514" t="s">
        <v>489</v>
      </c>
      <c r="BN7" s="514" t="s">
        <v>490</v>
      </c>
      <c r="BO7" s="521" t="s">
        <v>505</v>
      </c>
      <c r="BP7" s="524" t="s">
        <v>506</v>
      </c>
      <c r="BQ7" s="526" t="s">
        <v>489</v>
      </c>
      <c r="BR7" s="528" t="s">
        <v>490</v>
      </c>
      <c r="BS7" s="530" t="s">
        <v>489</v>
      </c>
      <c r="BT7" s="533" t="s">
        <v>490</v>
      </c>
      <c r="BU7" s="23"/>
      <c r="BV7" s="516" t="s">
        <v>519</v>
      </c>
      <c r="BW7" s="518" t="s">
        <v>520</v>
      </c>
      <c r="BX7" s="514"/>
      <c r="BY7" s="514" t="s">
        <v>490</v>
      </c>
      <c r="BZ7" s="521" t="s">
        <v>519</v>
      </c>
      <c r="CA7" s="524" t="s">
        <v>520</v>
      </c>
      <c r="CB7" s="526"/>
      <c r="CC7" s="528" t="s">
        <v>490</v>
      </c>
      <c r="CD7" s="530"/>
      <c r="CE7" s="533" t="s">
        <v>490</v>
      </c>
      <c r="CF7" s="23"/>
      <c r="CG7" s="62"/>
      <c r="CH7" s="23"/>
      <c r="CI7" s="23"/>
      <c r="CJ7" s="23"/>
      <c r="CK7" s="23"/>
      <c r="CL7" s="23"/>
      <c r="CM7" s="23"/>
      <c r="CN7" s="23"/>
      <c r="CO7" s="23"/>
    </row>
    <row r="8" spans="1:98" ht="23" customHeight="1" thickBot="1" x14ac:dyDescent="0.25">
      <c r="A8" s="328" t="s">
        <v>248</v>
      </c>
      <c r="B8" s="330" t="s">
        <v>487</v>
      </c>
      <c r="C8" s="63"/>
      <c r="D8" s="62"/>
      <c r="E8" s="62"/>
      <c r="G8" s="328"/>
      <c r="H8" s="340"/>
      <c r="I8" s="343"/>
      <c r="J8" s="633"/>
      <c r="K8" s="604"/>
      <c r="L8" s="519"/>
      <c r="M8" s="514"/>
      <c r="N8" s="514"/>
      <c r="O8" s="522"/>
      <c r="P8" s="524"/>
      <c r="Q8" s="526"/>
      <c r="R8" s="648"/>
      <c r="S8" s="531"/>
      <c r="T8" s="534"/>
      <c r="U8" s="646"/>
      <c r="V8" s="519"/>
      <c r="W8" s="514"/>
      <c r="X8" s="514"/>
      <c r="Y8" s="522"/>
      <c r="Z8" s="524"/>
      <c r="AA8" s="526"/>
      <c r="AB8" s="528"/>
      <c r="AC8" s="531"/>
      <c r="AD8" s="534"/>
      <c r="AE8" s="646"/>
      <c r="AF8" s="519"/>
      <c r="AG8" s="514"/>
      <c r="AH8" s="514"/>
      <c r="AI8" s="522"/>
      <c r="AJ8" s="524"/>
      <c r="AK8" s="526"/>
      <c r="AL8" s="528"/>
      <c r="AM8" s="531"/>
      <c r="AN8" s="534"/>
      <c r="AO8" s="646"/>
      <c r="AP8" s="519"/>
      <c r="AQ8" s="514"/>
      <c r="AR8" s="514"/>
      <c r="AS8" s="522"/>
      <c r="AT8" s="524"/>
      <c r="AU8" s="526"/>
      <c r="AV8" s="528"/>
      <c r="AW8" s="531"/>
      <c r="AX8" s="662"/>
      <c r="AY8" s="23"/>
      <c r="AZ8" s="516"/>
      <c r="BA8" s="519"/>
      <c r="BB8" s="514"/>
      <c r="BC8" s="514"/>
      <c r="BD8" s="522"/>
      <c r="BE8" s="524"/>
      <c r="BF8" s="526"/>
      <c r="BG8" s="528"/>
      <c r="BH8" s="531"/>
      <c r="BI8" s="534"/>
      <c r="BJ8" s="23"/>
      <c r="BK8" s="516"/>
      <c r="BL8" s="519"/>
      <c r="BM8" s="514"/>
      <c r="BN8" s="514"/>
      <c r="BO8" s="522"/>
      <c r="BP8" s="524"/>
      <c r="BQ8" s="526"/>
      <c r="BR8" s="528"/>
      <c r="BS8" s="531"/>
      <c r="BT8" s="534"/>
      <c r="BU8" s="23"/>
      <c r="BV8" s="516"/>
      <c r="BW8" s="519"/>
      <c r="BX8" s="514"/>
      <c r="BY8" s="514"/>
      <c r="BZ8" s="522"/>
      <c r="CA8" s="524"/>
      <c r="CB8" s="526"/>
      <c r="CC8" s="528"/>
      <c r="CD8" s="531"/>
      <c r="CE8" s="534"/>
      <c r="CF8" s="23"/>
      <c r="CG8" s="62"/>
      <c r="CH8" s="23"/>
      <c r="CI8" s="23"/>
      <c r="CJ8" s="23"/>
      <c r="CK8" s="23"/>
      <c r="CL8" s="23"/>
      <c r="CM8" s="23"/>
      <c r="CN8" s="23"/>
      <c r="CO8" s="23"/>
    </row>
    <row r="9" spans="1:98" ht="23" customHeight="1" thickBot="1" x14ac:dyDescent="0.25">
      <c r="A9" s="328"/>
      <c r="B9" s="330"/>
      <c r="C9" s="63"/>
      <c r="D9" s="314" t="s">
        <v>554</v>
      </c>
      <c r="E9" s="62"/>
      <c r="G9" s="328"/>
      <c r="H9" s="340"/>
      <c r="I9" s="343"/>
      <c r="J9" s="633"/>
      <c r="K9" s="604"/>
      <c r="L9" s="519"/>
      <c r="M9" s="514"/>
      <c r="N9" s="514"/>
      <c r="O9" s="522"/>
      <c r="P9" s="524"/>
      <c r="Q9" s="526"/>
      <c r="R9" s="648"/>
      <c r="S9" s="531"/>
      <c r="T9" s="534"/>
      <c r="U9" s="646"/>
      <c r="V9" s="519"/>
      <c r="W9" s="514"/>
      <c r="X9" s="514"/>
      <c r="Y9" s="522"/>
      <c r="Z9" s="524"/>
      <c r="AA9" s="526"/>
      <c r="AB9" s="528"/>
      <c r="AC9" s="531"/>
      <c r="AD9" s="534"/>
      <c r="AE9" s="646"/>
      <c r="AF9" s="519"/>
      <c r="AG9" s="514"/>
      <c r="AH9" s="514"/>
      <c r="AI9" s="522"/>
      <c r="AJ9" s="524"/>
      <c r="AK9" s="526"/>
      <c r="AL9" s="528"/>
      <c r="AM9" s="531"/>
      <c r="AN9" s="534"/>
      <c r="AO9" s="646"/>
      <c r="AP9" s="519"/>
      <c r="AQ9" s="514"/>
      <c r="AR9" s="514"/>
      <c r="AS9" s="522"/>
      <c r="AT9" s="524"/>
      <c r="AU9" s="526"/>
      <c r="AV9" s="528"/>
      <c r="AW9" s="531"/>
      <c r="AX9" s="662"/>
      <c r="AY9" s="23"/>
      <c r="AZ9" s="516"/>
      <c r="BA9" s="519"/>
      <c r="BB9" s="514"/>
      <c r="BC9" s="514"/>
      <c r="BD9" s="522"/>
      <c r="BE9" s="524"/>
      <c r="BF9" s="526"/>
      <c r="BG9" s="528"/>
      <c r="BH9" s="531"/>
      <c r="BI9" s="534"/>
      <c r="BJ9" s="23"/>
      <c r="BK9" s="516"/>
      <c r="BL9" s="519"/>
      <c r="BM9" s="514"/>
      <c r="BN9" s="514"/>
      <c r="BO9" s="522"/>
      <c r="BP9" s="524"/>
      <c r="BQ9" s="526"/>
      <c r="BR9" s="528"/>
      <c r="BS9" s="531"/>
      <c r="BT9" s="534"/>
      <c r="BU9" s="23"/>
      <c r="BV9" s="516"/>
      <c r="BW9" s="519"/>
      <c r="BX9" s="514"/>
      <c r="BY9" s="514"/>
      <c r="BZ9" s="522"/>
      <c r="CA9" s="524"/>
      <c r="CB9" s="526"/>
      <c r="CC9" s="528"/>
      <c r="CD9" s="531"/>
      <c r="CE9" s="534"/>
      <c r="CF9" s="23"/>
      <c r="CG9" s="62"/>
      <c r="CH9" s="23"/>
      <c r="CI9" s="23"/>
      <c r="CJ9" s="23"/>
      <c r="CK9" s="23"/>
      <c r="CL9" s="23"/>
      <c r="CM9" s="23"/>
      <c r="CN9" s="23"/>
      <c r="CO9" s="23"/>
    </row>
    <row r="10" spans="1:98" ht="23" customHeight="1" x14ac:dyDescent="0.2">
      <c r="A10" s="328"/>
      <c r="B10" s="330"/>
      <c r="C10" s="63"/>
      <c r="D10" s="62"/>
      <c r="E10" s="62"/>
      <c r="F10" s="63"/>
      <c r="G10" s="328"/>
      <c r="H10" s="340"/>
      <c r="I10" s="343"/>
      <c r="J10" s="633"/>
      <c r="K10" s="604"/>
      <c r="L10" s="519"/>
      <c r="M10" s="514"/>
      <c r="N10" s="514"/>
      <c r="O10" s="522"/>
      <c r="P10" s="524"/>
      <c r="Q10" s="526"/>
      <c r="R10" s="648"/>
      <c r="S10" s="531"/>
      <c r="T10" s="534"/>
      <c r="U10" s="646"/>
      <c r="V10" s="519"/>
      <c r="W10" s="514"/>
      <c r="X10" s="514"/>
      <c r="Y10" s="522"/>
      <c r="Z10" s="524"/>
      <c r="AA10" s="526"/>
      <c r="AB10" s="528"/>
      <c r="AC10" s="531"/>
      <c r="AD10" s="534"/>
      <c r="AE10" s="646"/>
      <c r="AF10" s="519"/>
      <c r="AG10" s="514"/>
      <c r="AH10" s="514"/>
      <c r="AI10" s="522"/>
      <c r="AJ10" s="524"/>
      <c r="AK10" s="526"/>
      <c r="AL10" s="528"/>
      <c r="AM10" s="531"/>
      <c r="AN10" s="534"/>
      <c r="AO10" s="646"/>
      <c r="AP10" s="519"/>
      <c r="AQ10" s="514"/>
      <c r="AR10" s="514"/>
      <c r="AS10" s="522"/>
      <c r="AT10" s="524"/>
      <c r="AU10" s="526"/>
      <c r="AV10" s="528"/>
      <c r="AW10" s="531"/>
      <c r="AX10" s="662"/>
      <c r="AY10" s="23"/>
      <c r="AZ10" s="516"/>
      <c r="BA10" s="519"/>
      <c r="BB10" s="514"/>
      <c r="BC10" s="514"/>
      <c r="BD10" s="522"/>
      <c r="BE10" s="524"/>
      <c r="BF10" s="526"/>
      <c r="BG10" s="528"/>
      <c r="BH10" s="531"/>
      <c r="BI10" s="534"/>
      <c r="BJ10" s="23"/>
      <c r="BK10" s="516"/>
      <c r="BL10" s="519"/>
      <c r="BM10" s="514"/>
      <c r="BN10" s="514"/>
      <c r="BO10" s="522"/>
      <c r="BP10" s="524"/>
      <c r="BQ10" s="526"/>
      <c r="BR10" s="528"/>
      <c r="BS10" s="531"/>
      <c r="BT10" s="534"/>
      <c r="BU10" s="23"/>
      <c r="BV10" s="516"/>
      <c r="BW10" s="519"/>
      <c r="BX10" s="514"/>
      <c r="BY10" s="514"/>
      <c r="BZ10" s="522"/>
      <c r="CA10" s="524"/>
      <c r="CB10" s="526"/>
      <c r="CC10" s="528"/>
      <c r="CD10" s="531"/>
      <c r="CE10" s="534"/>
      <c r="CF10" s="23"/>
      <c r="CG10" s="62"/>
      <c r="CH10" s="23"/>
      <c r="CI10" s="23"/>
      <c r="CJ10" s="23"/>
      <c r="CK10" s="23"/>
      <c r="CL10" s="23"/>
      <c r="CM10" s="23"/>
      <c r="CN10" s="23"/>
      <c r="CO10" s="23"/>
    </row>
    <row r="11" spans="1:98" s="22" customFormat="1" ht="23" customHeight="1" thickBot="1" x14ac:dyDescent="0.25">
      <c r="A11" s="622"/>
      <c r="B11" s="623"/>
      <c r="C11" s="124" t="s">
        <v>20</v>
      </c>
      <c r="D11" s="125" t="s">
        <v>21</v>
      </c>
      <c r="E11" s="125" t="s">
        <v>22</v>
      </c>
      <c r="F11" s="124" t="s">
        <v>23</v>
      </c>
      <c r="G11" s="622"/>
      <c r="H11" s="630"/>
      <c r="I11" s="631"/>
      <c r="J11" s="634"/>
      <c r="K11" s="605"/>
      <c r="L11" s="520"/>
      <c r="M11" s="515"/>
      <c r="N11" s="515"/>
      <c r="O11" s="523"/>
      <c r="P11" s="525"/>
      <c r="Q11" s="527"/>
      <c r="R11" s="649"/>
      <c r="S11" s="532"/>
      <c r="T11" s="535"/>
      <c r="U11" s="647"/>
      <c r="V11" s="520"/>
      <c r="W11" s="515"/>
      <c r="X11" s="515"/>
      <c r="Y11" s="523"/>
      <c r="Z11" s="525"/>
      <c r="AA11" s="527"/>
      <c r="AB11" s="529"/>
      <c r="AC11" s="532"/>
      <c r="AD11" s="535"/>
      <c r="AE11" s="647"/>
      <c r="AF11" s="520"/>
      <c r="AG11" s="515"/>
      <c r="AH11" s="515"/>
      <c r="AI11" s="523"/>
      <c r="AJ11" s="525"/>
      <c r="AK11" s="527"/>
      <c r="AL11" s="529"/>
      <c r="AM11" s="532"/>
      <c r="AN11" s="535"/>
      <c r="AO11" s="647"/>
      <c r="AP11" s="520"/>
      <c r="AQ11" s="515"/>
      <c r="AR11" s="515"/>
      <c r="AS11" s="523"/>
      <c r="AT11" s="525"/>
      <c r="AU11" s="527"/>
      <c r="AV11" s="529"/>
      <c r="AW11" s="532"/>
      <c r="AX11" s="663"/>
      <c r="AY11" s="23"/>
      <c r="AZ11" s="517"/>
      <c r="BA11" s="520"/>
      <c r="BB11" s="515"/>
      <c r="BC11" s="515"/>
      <c r="BD11" s="523"/>
      <c r="BE11" s="525"/>
      <c r="BF11" s="527"/>
      <c r="BG11" s="529"/>
      <c r="BH11" s="532"/>
      <c r="BI11" s="535"/>
      <c r="BJ11" s="23"/>
      <c r="BK11" s="517"/>
      <c r="BL11" s="520"/>
      <c r="BM11" s="515"/>
      <c r="BN11" s="515"/>
      <c r="BO11" s="523"/>
      <c r="BP11" s="525"/>
      <c r="BQ11" s="527"/>
      <c r="BR11" s="529"/>
      <c r="BS11" s="532"/>
      <c r="BT11" s="535"/>
      <c r="BU11" s="23"/>
      <c r="BV11" s="517"/>
      <c r="BW11" s="520"/>
      <c r="BX11" s="515"/>
      <c r="BY11" s="515"/>
      <c r="BZ11" s="523"/>
      <c r="CA11" s="525"/>
      <c r="CB11" s="527"/>
      <c r="CC11" s="529"/>
      <c r="CD11" s="532"/>
      <c r="CE11" s="535"/>
      <c r="CF11" s="184" t="s">
        <v>25</v>
      </c>
      <c r="CG11" s="185"/>
      <c r="CH11" s="185"/>
      <c r="CI11" s="185"/>
      <c r="CJ11" s="185"/>
      <c r="CK11" s="185"/>
      <c r="CL11" s="185"/>
      <c r="CM11" s="185"/>
      <c r="CN11" s="185"/>
      <c r="CO11" s="185"/>
      <c r="CP11" s="185"/>
      <c r="CQ11" s="185"/>
      <c r="CR11" s="185"/>
      <c r="CS11" s="185"/>
      <c r="CT11" s="185"/>
    </row>
    <row r="12" spans="1:98" ht="20" customHeight="1" x14ac:dyDescent="0.2">
      <c r="A12" s="120"/>
      <c r="B12" s="242"/>
      <c r="C12" s="63" t="s">
        <v>85</v>
      </c>
      <c r="D12" s="62" t="s">
        <v>496</v>
      </c>
      <c r="E12" s="62" t="s">
        <v>497</v>
      </c>
      <c r="F12" s="63">
        <v>2012</v>
      </c>
      <c r="G12" s="243"/>
      <c r="H12" s="244"/>
      <c r="I12" s="245" t="s">
        <v>182</v>
      </c>
      <c r="J12" s="246" t="s">
        <v>191</v>
      </c>
      <c r="K12" s="131"/>
      <c r="L12" s="131"/>
      <c r="M12" s="131" t="str">
        <f t="shared" ref="M12:M15" si="0">IF(AND(L12-K12 &lt;&gt; 0, NOT(ISERROR(L12-K12)), K12 &lt;&gt; ""), L12-K12, "")</f>
        <v/>
      </c>
      <c r="N12" s="131" t="str">
        <f>IF(NOT(ISERROR(100-(L12/K12)*100)), (100-(L12/K12)*100)*-1, "")</f>
        <v/>
      </c>
      <c r="O12" s="201"/>
      <c r="P12" s="201"/>
      <c r="Q12" s="202" t="str">
        <f t="shared" ref="Q12:Q15" si="1">IF(AND(P12-O12 &lt;&gt; 0, NOT(ISERROR(P12-O12)), O12 &lt;&gt; ""), P12-O12, "")</f>
        <v/>
      </c>
      <c r="R12" s="211" t="str">
        <f>IF(NOT(ISERROR(100-(P12/O12)*100)), (100-(P12/O12)*100)*-1, "")</f>
        <v/>
      </c>
      <c r="S12" s="197" t="str">
        <f t="shared" ref="S12:S15" si="2">IF(NOT(ISERROR(M12-Q12)), M12-Q12, "")</f>
        <v/>
      </c>
      <c r="T12" s="198"/>
      <c r="U12" s="131"/>
      <c r="V12" s="131"/>
      <c r="W12" s="131" t="str">
        <f>IF(AND(NOT(ISERROR(V12-U12)), V12 &lt;&gt; "", U12 &lt;&gt; ""), V12-U12, "")</f>
        <v/>
      </c>
      <c r="X12" s="131" t="str">
        <f t="shared" ref="X12:X45" si="3">IF(NOT(ISERROR(100-(V12/U12)*100)), (100-(V12/U12)*100)*-1, "")</f>
        <v/>
      </c>
      <c r="Y12" s="201"/>
      <c r="Z12" s="201"/>
      <c r="AA12" s="202" t="str">
        <f t="shared" ref="AA12:AA45" si="4">IF(AND(NOT(ISERROR(Z12-Y12)), Z12 &lt;&gt; "", Y12 &lt;&gt; ""), Z12-Y12, "")</f>
        <v/>
      </c>
      <c r="AB12" s="209" t="str">
        <f t="shared" ref="AB12:AB45" si="5">IF(NOT(ISERROR(100-(Z12/Y12)*100)), (100-(Z12/Y12)*100)*-1, "")</f>
        <v/>
      </c>
      <c r="AC12" s="197" t="str">
        <f t="shared" ref="AC12:AC45" si="6">IF(NOT(ISERROR(W12-AA12)), W12-AA12, "")</f>
        <v/>
      </c>
      <c r="AD12" s="198"/>
      <c r="AE12" s="254"/>
      <c r="AF12" s="255"/>
      <c r="AG12" s="255" t="str">
        <f t="shared" ref="AG12:AG19" si="7">IF(AND(NOT(ISERROR(AF12-AE12)), AF12&lt;&gt;"", AE12&lt;&gt;""), AF12-AE12, "")</f>
        <v/>
      </c>
      <c r="AH12" s="255"/>
      <c r="AI12" s="256"/>
      <c r="AJ12" s="257"/>
      <c r="AK12" s="258" t="str">
        <f t="shared" ref="AK12:AK45" si="8">IF(AND(NOT(ISERROR(AJ12-AI12)), AJ12&lt;&gt;"", AI12&lt;&gt;""), AJ12-AI12, "")</f>
        <v/>
      </c>
      <c r="AL12" s="259"/>
      <c r="AM12" s="260"/>
      <c r="AN12" s="261"/>
      <c r="AO12" s="142"/>
      <c r="AP12" s="131"/>
      <c r="AQ12" s="131"/>
      <c r="AR12" s="131"/>
      <c r="AS12" s="201"/>
      <c r="AT12" s="202"/>
      <c r="AU12" s="203"/>
      <c r="AV12" s="204"/>
      <c r="AW12" s="197"/>
      <c r="AX12" s="311"/>
      <c r="AY12" s="23"/>
      <c r="AZ12" s="254"/>
      <c r="BA12" s="255"/>
      <c r="BB12" s="255"/>
      <c r="BC12" s="255"/>
      <c r="BD12" s="256"/>
      <c r="BE12" s="257"/>
      <c r="BF12" s="258"/>
      <c r="BG12" s="259"/>
      <c r="BH12" s="260"/>
      <c r="BI12" s="261"/>
      <c r="BJ12" s="23"/>
      <c r="BK12" s="275"/>
      <c r="BL12" s="276"/>
      <c r="BM12" s="255"/>
      <c r="BN12" s="255"/>
      <c r="BO12" s="256"/>
      <c r="BP12" s="257"/>
      <c r="BQ12" s="258"/>
      <c r="BR12" s="259"/>
      <c r="BS12" s="260"/>
      <c r="BT12" s="261"/>
      <c r="BU12" s="23"/>
      <c r="BV12" s="275"/>
      <c r="BW12" s="276"/>
      <c r="BX12" s="131" t="str">
        <f t="shared" ref="BX12:BX20" si="9">IF(AND(NOT(ISERROR(BW12-BV12)), BW12 &lt;&gt; "", BV12 &lt;&gt; ""), BW12 - BV12, "")</f>
        <v/>
      </c>
      <c r="BY12" s="255"/>
      <c r="BZ12" s="256"/>
      <c r="CA12" s="257"/>
      <c r="CB12" s="203" t="str">
        <f t="shared" ref="CB12:CB45" si="10">IF(AND(NOT(ISERROR(CA12-BZ12)), CA12 &lt;&gt; "", BZ12 &lt;&gt; ""), CA12 - BZ12, "")</f>
        <v/>
      </c>
      <c r="CC12" s="259"/>
      <c r="CD12" s="260"/>
      <c r="CE12" s="261"/>
      <c r="CF12" s="62"/>
      <c r="CG12" s="62"/>
      <c r="CH12" s="62"/>
      <c r="CI12" s="62"/>
      <c r="CJ12" s="62"/>
      <c r="CK12" s="62"/>
      <c r="CL12" s="62"/>
      <c r="CM12" s="62"/>
      <c r="CN12" s="62"/>
      <c r="CO12" s="62"/>
      <c r="CP12" s="62"/>
      <c r="CQ12" s="62"/>
      <c r="CR12" s="62"/>
      <c r="CS12" s="62"/>
      <c r="CT12" s="62"/>
    </row>
    <row r="13" spans="1:98" ht="20" customHeight="1" x14ac:dyDescent="0.2">
      <c r="A13" s="60"/>
      <c r="B13" s="82"/>
      <c r="C13" s="24" t="s">
        <v>85</v>
      </c>
      <c r="D13" s="23" t="s">
        <v>253</v>
      </c>
      <c r="E13" s="23" t="s">
        <v>254</v>
      </c>
      <c r="F13" s="24">
        <v>2008</v>
      </c>
      <c r="H13" s="89">
        <v>13</v>
      </c>
      <c r="I13" s="85" t="s">
        <v>218</v>
      </c>
      <c r="J13" s="116" t="s">
        <v>335</v>
      </c>
      <c r="K13" s="131"/>
      <c r="L13" s="131"/>
      <c r="M13" s="131" t="str">
        <f t="shared" si="0"/>
        <v/>
      </c>
      <c r="N13" s="131" t="str">
        <f t="shared" ref="N13:N45" si="11">IF(NOT(ISERROR(100-(L13/K13)*100)), (100-(L13/K13)*100)*-1, "")</f>
        <v/>
      </c>
      <c r="O13" s="201"/>
      <c r="P13" s="201"/>
      <c r="Q13" s="202" t="str">
        <f t="shared" si="1"/>
        <v/>
      </c>
      <c r="R13" s="211" t="str">
        <f t="shared" ref="R13:R45" si="12">IF(NOT(ISERROR(100-(P13/O13)*100)), (100-(P13/O13)*100)*-1, "")</f>
        <v/>
      </c>
      <c r="S13" s="197" t="str">
        <f t="shared" si="2"/>
        <v/>
      </c>
      <c r="T13" s="198"/>
      <c r="U13" s="131"/>
      <c r="V13" s="131"/>
      <c r="W13" s="131" t="str">
        <f t="shared" ref="W13:W45" si="13">IF(AND(NOT(ISERROR(V13-U13)), V13 &lt;&gt; "", U13 &lt;&gt; ""), V13-U13, "")</f>
        <v/>
      </c>
      <c r="X13" s="131" t="str">
        <f t="shared" si="3"/>
        <v/>
      </c>
      <c r="Y13" s="201"/>
      <c r="Z13" s="201"/>
      <c r="AA13" s="202" t="str">
        <f t="shared" si="4"/>
        <v/>
      </c>
      <c r="AB13" s="209" t="str">
        <f t="shared" si="5"/>
        <v/>
      </c>
      <c r="AC13" s="197" t="str">
        <f t="shared" si="6"/>
        <v/>
      </c>
      <c r="AD13" s="198"/>
      <c r="AE13" s="254"/>
      <c r="AF13" s="255"/>
      <c r="AG13" s="255" t="str">
        <f t="shared" si="7"/>
        <v/>
      </c>
      <c r="AH13" s="255"/>
      <c r="AI13" s="256"/>
      <c r="AJ13" s="257"/>
      <c r="AK13" s="258" t="str">
        <f t="shared" si="8"/>
        <v/>
      </c>
      <c r="AL13" s="259"/>
      <c r="AM13" s="260"/>
      <c r="AN13" s="261"/>
      <c r="AO13" s="142"/>
      <c r="AP13" s="131"/>
      <c r="AQ13" s="131"/>
      <c r="AR13" s="131"/>
      <c r="AS13" s="201"/>
      <c r="AT13" s="202"/>
      <c r="AU13" s="203"/>
      <c r="AV13" s="204"/>
      <c r="AW13" s="197"/>
      <c r="AX13" s="311"/>
      <c r="AY13" s="23"/>
      <c r="AZ13" s="254"/>
      <c r="BA13" s="255">
        <v>0.39</v>
      </c>
      <c r="BB13" s="255"/>
      <c r="BC13" s="255"/>
      <c r="BD13" s="256"/>
      <c r="BE13" s="257">
        <v>0.26</v>
      </c>
      <c r="BF13" s="258"/>
      <c r="BG13" s="259"/>
      <c r="BH13" s="260">
        <v>0.12</v>
      </c>
      <c r="BI13" s="261"/>
      <c r="BJ13" s="23"/>
      <c r="BK13" s="275"/>
      <c r="BL13" s="276"/>
      <c r="BM13" s="131"/>
      <c r="BN13" s="131"/>
      <c r="BO13" s="201"/>
      <c r="BP13" s="202"/>
      <c r="BQ13" s="203"/>
      <c r="BR13" s="204"/>
      <c r="BS13" s="197"/>
      <c r="BT13" s="198"/>
      <c r="BU13" s="23"/>
      <c r="BV13" s="275"/>
      <c r="BW13" s="276"/>
      <c r="BX13" s="131" t="str">
        <f t="shared" si="9"/>
        <v/>
      </c>
      <c r="BY13" s="131"/>
      <c r="BZ13" s="201"/>
      <c r="CA13" s="202"/>
      <c r="CB13" s="203" t="str">
        <f t="shared" si="10"/>
        <v/>
      </c>
      <c r="CC13" s="204"/>
      <c r="CD13" s="197"/>
      <c r="CE13" s="198"/>
      <c r="CF13" s="23"/>
      <c r="CG13" s="23"/>
      <c r="CH13" s="23"/>
      <c r="CI13" s="23"/>
      <c r="CJ13" s="23"/>
      <c r="CK13" s="23"/>
      <c r="CL13" s="23"/>
      <c r="CM13" s="23"/>
      <c r="CN13" s="23"/>
      <c r="CO13" s="23"/>
    </row>
    <row r="14" spans="1:98" ht="20" customHeight="1" x14ac:dyDescent="0.2">
      <c r="A14" s="61"/>
      <c r="B14" s="82"/>
      <c r="C14" s="24" t="s">
        <v>85</v>
      </c>
      <c r="D14" s="23" t="s">
        <v>36</v>
      </c>
      <c r="E14" s="23" t="s">
        <v>37</v>
      </c>
      <c r="F14" s="24">
        <v>2008</v>
      </c>
      <c r="G14" s="24">
        <v>40</v>
      </c>
      <c r="H14" s="89">
        <v>29</v>
      </c>
      <c r="I14" s="85" t="s">
        <v>176</v>
      </c>
      <c r="J14" s="116" t="s">
        <v>169</v>
      </c>
      <c r="K14" s="131"/>
      <c r="L14" s="131"/>
      <c r="M14" s="131" t="str">
        <f t="shared" si="0"/>
        <v/>
      </c>
      <c r="N14" s="131" t="str">
        <f t="shared" si="11"/>
        <v/>
      </c>
      <c r="O14" s="201"/>
      <c r="P14" s="201"/>
      <c r="Q14" s="202" t="str">
        <f t="shared" si="1"/>
        <v/>
      </c>
      <c r="R14" s="211" t="str">
        <f t="shared" si="12"/>
        <v/>
      </c>
      <c r="S14" s="197" t="str">
        <f t="shared" si="2"/>
        <v/>
      </c>
      <c r="T14" s="198"/>
      <c r="U14" s="131"/>
      <c r="V14" s="131"/>
      <c r="W14" s="131" t="str">
        <f t="shared" si="13"/>
        <v/>
      </c>
      <c r="X14" s="131" t="str">
        <f t="shared" si="3"/>
        <v/>
      </c>
      <c r="Y14" s="201"/>
      <c r="Z14" s="201"/>
      <c r="AA14" s="202" t="str">
        <f t="shared" si="4"/>
        <v/>
      </c>
      <c r="AB14" s="209" t="str">
        <f t="shared" si="5"/>
        <v/>
      </c>
      <c r="AC14" s="197" t="str">
        <f t="shared" si="6"/>
        <v/>
      </c>
      <c r="AD14" s="198"/>
      <c r="AE14" s="254"/>
      <c r="AF14" s="255"/>
      <c r="AG14" s="255" t="str">
        <f t="shared" si="7"/>
        <v/>
      </c>
      <c r="AH14" s="255"/>
      <c r="AI14" s="256"/>
      <c r="AJ14" s="257"/>
      <c r="AK14" s="258" t="str">
        <f t="shared" si="8"/>
        <v/>
      </c>
      <c r="AL14" s="259"/>
      <c r="AM14" s="260"/>
      <c r="AN14" s="261"/>
      <c r="AO14" s="142"/>
      <c r="AP14" s="131"/>
      <c r="AQ14" s="131"/>
      <c r="AR14" s="131"/>
      <c r="AS14" s="201"/>
      <c r="AT14" s="202"/>
      <c r="AU14" s="203"/>
      <c r="AV14" s="204"/>
      <c r="AW14" s="197"/>
      <c r="AX14" s="311"/>
      <c r="AY14" s="23"/>
      <c r="AZ14" s="142"/>
      <c r="BA14" s="131"/>
      <c r="BB14" s="131"/>
      <c r="BC14" s="131"/>
      <c r="BD14" s="201"/>
      <c r="BE14" s="202"/>
      <c r="BF14" s="203"/>
      <c r="BG14" s="204"/>
      <c r="BH14" s="197"/>
      <c r="BI14" s="198"/>
      <c r="BJ14" s="23"/>
      <c r="BK14" s="275" t="s">
        <v>507</v>
      </c>
      <c r="BL14" s="276" t="s">
        <v>508</v>
      </c>
      <c r="BM14" s="131">
        <v>136</v>
      </c>
      <c r="BN14" s="131"/>
      <c r="BO14" s="277" t="s">
        <v>509</v>
      </c>
      <c r="BP14" s="278" t="s">
        <v>510</v>
      </c>
      <c r="BQ14" s="203">
        <v>15</v>
      </c>
      <c r="BR14" s="204"/>
      <c r="BS14" s="197">
        <v>121</v>
      </c>
      <c r="BT14" s="198"/>
      <c r="BU14" s="23"/>
      <c r="BV14" s="275"/>
      <c r="BW14" s="276"/>
      <c r="BX14" s="131" t="str">
        <f t="shared" si="9"/>
        <v/>
      </c>
      <c r="BY14" s="131"/>
      <c r="BZ14" s="277"/>
      <c r="CA14" s="278"/>
      <c r="CB14" s="203" t="str">
        <f t="shared" si="10"/>
        <v/>
      </c>
      <c r="CC14" s="204"/>
      <c r="CD14" s="197"/>
      <c r="CE14" s="198"/>
      <c r="CF14" s="23"/>
      <c r="CG14" s="23"/>
      <c r="CH14" s="23"/>
      <c r="CI14" s="23"/>
      <c r="CJ14" s="23"/>
      <c r="CK14" s="23"/>
      <c r="CL14" s="23"/>
      <c r="CM14" s="23"/>
      <c r="CN14" s="23"/>
      <c r="CO14" s="23"/>
    </row>
    <row r="15" spans="1:98" ht="20" customHeight="1" x14ac:dyDescent="0.2">
      <c r="A15" s="60"/>
      <c r="B15" s="82"/>
      <c r="C15" s="24" t="s">
        <v>85</v>
      </c>
      <c r="D15" s="23" t="s">
        <v>43</v>
      </c>
      <c r="E15" s="23" t="s">
        <v>44</v>
      </c>
      <c r="F15" s="24">
        <v>1976</v>
      </c>
      <c r="G15" s="24">
        <v>179</v>
      </c>
      <c r="H15" s="89">
        <v>8</v>
      </c>
      <c r="I15" s="111" t="s">
        <v>336</v>
      </c>
      <c r="J15" s="116"/>
      <c r="K15" s="131"/>
      <c r="L15" s="131"/>
      <c r="M15" s="131" t="str">
        <f t="shared" si="0"/>
        <v/>
      </c>
      <c r="N15" s="131" t="str">
        <f t="shared" si="11"/>
        <v/>
      </c>
      <c r="O15" s="201"/>
      <c r="P15" s="201"/>
      <c r="Q15" s="202" t="str">
        <f t="shared" si="1"/>
        <v/>
      </c>
      <c r="R15" s="211" t="str">
        <f t="shared" si="12"/>
        <v/>
      </c>
      <c r="S15" s="197" t="str">
        <f t="shared" si="2"/>
        <v/>
      </c>
      <c r="T15" s="198"/>
      <c r="U15" s="131">
        <v>414</v>
      </c>
      <c r="V15" s="131">
        <v>294</v>
      </c>
      <c r="W15" s="131">
        <f t="shared" si="13"/>
        <v>-120</v>
      </c>
      <c r="X15" s="131">
        <f t="shared" ref="X15" si="14">IF(NOT(ISERROR(100-(V15/U15)*100)), (100-(V15/U15)*100)*-1, "")</f>
        <v>-28.985507246376812</v>
      </c>
      <c r="Y15" s="201"/>
      <c r="Z15" s="201"/>
      <c r="AA15" s="202" t="str">
        <f t="shared" si="4"/>
        <v/>
      </c>
      <c r="AB15" s="209" t="str">
        <f t="shared" si="5"/>
        <v/>
      </c>
      <c r="AC15" s="197" t="str">
        <f t="shared" si="6"/>
        <v/>
      </c>
      <c r="AD15" s="198"/>
      <c r="AE15" s="254"/>
      <c r="AF15" s="255"/>
      <c r="AG15" s="255" t="str">
        <f t="shared" si="7"/>
        <v/>
      </c>
      <c r="AH15" s="255"/>
      <c r="AI15" s="256"/>
      <c r="AJ15" s="257"/>
      <c r="AK15" s="258" t="str">
        <f t="shared" si="8"/>
        <v/>
      </c>
      <c r="AL15" s="259"/>
      <c r="AM15" s="260"/>
      <c r="AN15" s="261"/>
      <c r="AO15" s="142"/>
      <c r="AP15" s="131"/>
      <c r="AQ15" s="131"/>
      <c r="AR15" s="131"/>
      <c r="AS15" s="201"/>
      <c r="AT15" s="202"/>
      <c r="AU15" s="203"/>
      <c r="AV15" s="204"/>
      <c r="AW15" s="197"/>
      <c r="AX15" s="311"/>
      <c r="AY15" s="23"/>
      <c r="AZ15" s="142"/>
      <c r="BA15" s="131"/>
      <c r="BB15" s="131"/>
      <c r="BC15" s="131"/>
      <c r="BD15" s="201"/>
      <c r="BE15" s="202"/>
      <c r="BF15" s="203"/>
      <c r="BG15" s="204"/>
      <c r="BH15" s="197"/>
      <c r="BI15" s="198"/>
      <c r="BJ15" s="23"/>
      <c r="BK15" s="275"/>
      <c r="BL15" s="276"/>
      <c r="BM15" s="131"/>
      <c r="BN15" s="131"/>
      <c r="BO15" s="201"/>
      <c r="BP15" s="202"/>
      <c r="BQ15" s="203"/>
      <c r="BR15" s="204"/>
      <c r="BS15" s="197"/>
      <c r="BT15" s="198"/>
      <c r="BU15" s="23"/>
      <c r="BV15" s="275"/>
      <c r="BW15" s="276"/>
      <c r="BX15" s="131" t="str">
        <f t="shared" si="9"/>
        <v/>
      </c>
      <c r="BY15" s="131"/>
      <c r="BZ15" s="201"/>
      <c r="CA15" s="202"/>
      <c r="CB15" s="203" t="str">
        <f t="shared" si="10"/>
        <v/>
      </c>
      <c r="CC15" s="204"/>
      <c r="CD15" s="197"/>
      <c r="CE15" s="198"/>
      <c r="CF15" s="23" t="s">
        <v>511</v>
      </c>
      <c r="CG15" s="23"/>
      <c r="CH15" s="23"/>
      <c r="CI15" s="23"/>
      <c r="CJ15" s="23"/>
      <c r="CK15" s="23"/>
      <c r="CL15" s="23"/>
      <c r="CM15" s="23"/>
      <c r="CN15" s="23"/>
      <c r="CO15" s="23"/>
    </row>
    <row r="16" spans="1:98" ht="20" customHeight="1" x14ac:dyDescent="0.2">
      <c r="A16" s="60"/>
      <c r="B16" s="83"/>
      <c r="C16" s="24" t="s">
        <v>85</v>
      </c>
      <c r="D16" s="23" t="s">
        <v>259</v>
      </c>
      <c r="E16" s="23" t="s">
        <v>260</v>
      </c>
      <c r="F16" s="24">
        <v>2012</v>
      </c>
      <c r="H16" s="89">
        <v>80</v>
      </c>
      <c r="I16" s="85" t="s">
        <v>214</v>
      </c>
      <c r="J16" s="116" t="s">
        <v>191</v>
      </c>
      <c r="K16" s="131">
        <v>81.209999999999994</v>
      </c>
      <c r="L16" s="131">
        <v>45.2</v>
      </c>
      <c r="M16" s="131">
        <f>IF(AND(L16-K16 &lt;&gt; 0, NOT(ISERROR(L16-K16)), K16 &lt;&gt; ""), L16-K16, "")</f>
        <v>-36.009999999999991</v>
      </c>
      <c r="N16" s="131">
        <f t="shared" si="11"/>
        <v>-44.341829823913301</v>
      </c>
      <c r="O16" s="201">
        <v>78.2</v>
      </c>
      <c r="P16" s="201">
        <v>79.599999999999994</v>
      </c>
      <c r="Q16" s="202">
        <f>IF(AND(P16-O16 &lt;&gt; 0, NOT(ISERROR(P16-O16)), O16 &lt;&gt; ""), P16-O16, "")</f>
        <v>1.3999999999999915</v>
      </c>
      <c r="R16" s="211">
        <f t="shared" si="12"/>
        <v>1.7902813299232747</v>
      </c>
      <c r="S16" s="197">
        <f>IF(NOT(ISERROR(M16-Q16)), M16-Q16, "")</f>
        <v>-37.409999999999982</v>
      </c>
      <c r="T16" s="198"/>
      <c r="U16" s="131">
        <v>410.28</v>
      </c>
      <c r="V16" s="131">
        <v>481.1</v>
      </c>
      <c r="W16" s="131">
        <f t="shared" si="13"/>
        <v>70.82000000000005</v>
      </c>
      <c r="X16" s="131">
        <f t="shared" si="3"/>
        <v>17.261382470507968</v>
      </c>
      <c r="Y16" s="201">
        <v>413</v>
      </c>
      <c r="Z16" s="201">
        <v>416.23</v>
      </c>
      <c r="AA16" s="202">
        <f t="shared" si="4"/>
        <v>3.2300000000000182</v>
      </c>
      <c r="AB16" s="209">
        <f t="shared" si="5"/>
        <v>0.78208232445520309</v>
      </c>
      <c r="AC16" s="197">
        <f t="shared" si="6"/>
        <v>67.590000000000032</v>
      </c>
      <c r="AD16" s="198"/>
      <c r="AE16" s="254"/>
      <c r="AF16" s="255"/>
      <c r="AG16" s="255" t="str">
        <f t="shared" si="7"/>
        <v/>
      </c>
      <c r="AH16" s="255"/>
      <c r="AI16" s="256"/>
      <c r="AJ16" s="257"/>
      <c r="AK16" s="258" t="str">
        <f t="shared" si="8"/>
        <v/>
      </c>
      <c r="AL16" s="259"/>
      <c r="AM16" s="260"/>
      <c r="AN16" s="261"/>
      <c r="AO16" s="142"/>
      <c r="AP16" s="131"/>
      <c r="AQ16" s="131"/>
      <c r="AR16" s="131"/>
      <c r="AS16" s="201"/>
      <c r="AT16" s="202"/>
      <c r="AU16" s="203"/>
      <c r="AV16" s="204"/>
      <c r="AW16" s="197"/>
      <c r="AX16" s="311"/>
      <c r="AY16" s="23"/>
      <c r="AZ16" s="142"/>
      <c r="BA16" s="131"/>
      <c r="BB16" s="131"/>
      <c r="BC16" s="131"/>
      <c r="BD16" s="201"/>
      <c r="BE16" s="202"/>
      <c r="BF16" s="203"/>
      <c r="BG16" s="204"/>
      <c r="BH16" s="197"/>
      <c r="BI16" s="198"/>
      <c r="BJ16" s="23"/>
      <c r="BK16" s="275"/>
      <c r="BL16" s="276"/>
      <c r="BM16" s="131"/>
      <c r="BN16" s="131"/>
      <c r="BO16" s="201"/>
      <c r="BP16" s="202"/>
      <c r="BQ16" s="203"/>
      <c r="BR16" s="204"/>
      <c r="BS16" s="197"/>
      <c r="BT16" s="198"/>
      <c r="BU16" s="23"/>
      <c r="BV16" s="275"/>
      <c r="BW16" s="276"/>
      <c r="BX16" s="131" t="str">
        <f t="shared" si="9"/>
        <v/>
      </c>
      <c r="BY16" s="131"/>
      <c r="BZ16" s="201"/>
      <c r="CA16" s="202"/>
      <c r="CB16" s="203" t="str">
        <f t="shared" si="10"/>
        <v/>
      </c>
      <c r="CC16" s="204"/>
      <c r="CD16" s="197"/>
      <c r="CE16" s="198"/>
      <c r="CF16" s="23" t="s">
        <v>225</v>
      </c>
      <c r="CG16" s="23"/>
      <c r="CH16" s="23"/>
      <c r="CI16" s="23"/>
      <c r="CJ16" s="23"/>
      <c r="CK16" s="23"/>
      <c r="CL16" s="23"/>
      <c r="CM16" s="23"/>
      <c r="CN16" s="23"/>
      <c r="CO16" s="23"/>
    </row>
    <row r="17" spans="1:93" ht="20" customHeight="1" x14ac:dyDescent="0.2">
      <c r="A17" s="60"/>
      <c r="B17" s="82"/>
      <c r="C17" s="24" t="s">
        <v>85</v>
      </c>
      <c r="D17" s="23" t="s">
        <v>261</v>
      </c>
      <c r="E17" s="23" t="s">
        <v>262</v>
      </c>
      <c r="F17" s="24">
        <v>2013</v>
      </c>
      <c r="H17" s="89">
        <v>12</v>
      </c>
      <c r="I17" s="85" t="s">
        <v>214</v>
      </c>
      <c r="J17" s="116" t="s">
        <v>338</v>
      </c>
      <c r="K17" s="131"/>
      <c r="L17" s="131"/>
      <c r="M17" s="131" t="str">
        <f t="shared" ref="M17:M45" si="15">IF(AND(L17-K17 &lt;&gt; 0, NOT(ISERROR(L17-K17)), K17 &lt;&gt; ""), L17-K17, "")</f>
        <v/>
      </c>
      <c r="N17" s="131" t="str">
        <f t="shared" si="11"/>
        <v/>
      </c>
      <c r="O17" s="201"/>
      <c r="P17" s="201"/>
      <c r="Q17" s="202" t="str">
        <f t="shared" ref="Q17:Q45" si="16">IF(AND(P17-O17 &lt;&gt; 0, NOT(ISERROR(P17-O17)), O17 &lt;&gt; ""), P17-O17, "")</f>
        <v/>
      </c>
      <c r="R17" s="211" t="str">
        <f t="shared" si="12"/>
        <v/>
      </c>
      <c r="S17" s="197" t="str">
        <f t="shared" ref="S17:S45" si="17">IF(NOT(ISERROR(M17-Q17)), M17-Q17, "")</f>
        <v/>
      </c>
      <c r="T17" s="198"/>
      <c r="U17" s="131">
        <v>432</v>
      </c>
      <c r="V17" s="131">
        <v>432</v>
      </c>
      <c r="W17" s="131">
        <f t="shared" si="13"/>
        <v>0</v>
      </c>
      <c r="X17" s="131">
        <f t="shared" si="3"/>
        <v>0</v>
      </c>
      <c r="Y17" s="201">
        <v>432</v>
      </c>
      <c r="Z17" s="201">
        <v>432</v>
      </c>
      <c r="AA17" s="202">
        <f t="shared" si="4"/>
        <v>0</v>
      </c>
      <c r="AB17" s="209">
        <f t="shared" si="5"/>
        <v>0</v>
      </c>
      <c r="AC17" s="197">
        <f t="shared" si="6"/>
        <v>0</v>
      </c>
      <c r="AD17" s="198"/>
      <c r="AE17" s="254"/>
      <c r="AF17" s="255"/>
      <c r="AG17" s="255" t="str">
        <f t="shared" si="7"/>
        <v/>
      </c>
      <c r="AH17" s="255"/>
      <c r="AI17" s="256"/>
      <c r="AJ17" s="257"/>
      <c r="AK17" s="258" t="str">
        <f t="shared" si="8"/>
        <v/>
      </c>
      <c r="AL17" s="259"/>
      <c r="AM17" s="260"/>
      <c r="AN17" s="261"/>
      <c r="AO17" s="142"/>
      <c r="AP17" s="131"/>
      <c r="AQ17" s="131"/>
      <c r="AR17" s="131"/>
      <c r="AS17" s="201"/>
      <c r="AT17" s="202"/>
      <c r="AU17" s="203"/>
      <c r="AV17" s="204"/>
      <c r="AW17" s="197"/>
      <c r="AX17" s="311"/>
      <c r="AY17" s="23"/>
      <c r="AZ17" s="142"/>
      <c r="BA17" s="131"/>
      <c r="BB17" s="131"/>
      <c r="BC17" s="131"/>
      <c r="BD17" s="201"/>
      <c r="BE17" s="202"/>
      <c r="BF17" s="203"/>
      <c r="BG17" s="204"/>
      <c r="BH17" s="197"/>
      <c r="BI17" s="198"/>
      <c r="BJ17" s="23"/>
      <c r="BK17" s="275" t="s">
        <v>512</v>
      </c>
      <c r="BL17" s="276" t="s">
        <v>513</v>
      </c>
      <c r="BM17" s="131">
        <v>80</v>
      </c>
      <c r="BN17" s="131"/>
      <c r="BO17" s="277" t="s">
        <v>514</v>
      </c>
      <c r="BP17" s="278" t="s">
        <v>515</v>
      </c>
      <c r="BQ17" s="203">
        <v>40</v>
      </c>
      <c r="BR17" s="204"/>
      <c r="BS17" s="197">
        <v>40</v>
      </c>
      <c r="BT17" s="198"/>
      <c r="BU17" s="23"/>
      <c r="BV17" s="275"/>
      <c r="BW17" s="276"/>
      <c r="BX17" s="131" t="str">
        <f t="shared" si="9"/>
        <v/>
      </c>
      <c r="BY17" s="131"/>
      <c r="BZ17" s="277"/>
      <c r="CA17" s="278"/>
      <c r="CB17" s="203" t="str">
        <f t="shared" si="10"/>
        <v/>
      </c>
      <c r="CC17" s="204"/>
      <c r="CD17" s="197"/>
      <c r="CE17" s="198"/>
      <c r="CF17" s="23"/>
      <c r="CG17" s="23"/>
      <c r="CH17" s="23"/>
      <c r="CI17" s="23"/>
      <c r="CJ17" s="23"/>
      <c r="CK17" s="23"/>
      <c r="CL17" s="23"/>
      <c r="CM17" s="23"/>
      <c r="CN17" s="23"/>
      <c r="CO17" s="23"/>
    </row>
    <row r="18" spans="1:93" ht="20" customHeight="1" x14ac:dyDescent="0.2">
      <c r="A18" s="61"/>
      <c r="B18" s="83"/>
      <c r="C18" s="24" t="s">
        <v>85</v>
      </c>
      <c r="D18" s="23" t="s">
        <v>52</v>
      </c>
      <c r="E18" s="23" t="s">
        <v>53</v>
      </c>
      <c r="F18" s="24">
        <v>2001</v>
      </c>
      <c r="G18" s="24">
        <v>118</v>
      </c>
      <c r="H18" s="89">
        <v>20</v>
      </c>
      <c r="I18" s="85"/>
      <c r="J18" s="116" t="s">
        <v>188</v>
      </c>
      <c r="K18" s="131"/>
      <c r="L18" s="131"/>
      <c r="M18" s="131" t="str">
        <f t="shared" si="15"/>
        <v/>
      </c>
      <c r="N18" s="131" t="str">
        <f t="shared" si="11"/>
        <v/>
      </c>
      <c r="O18" s="201"/>
      <c r="P18" s="201"/>
      <c r="Q18" s="202" t="str">
        <f t="shared" si="16"/>
        <v/>
      </c>
      <c r="R18" s="211" t="str">
        <f t="shared" si="12"/>
        <v/>
      </c>
      <c r="S18" s="197" t="str">
        <f t="shared" si="17"/>
        <v/>
      </c>
      <c r="T18" s="198"/>
      <c r="U18" s="131"/>
      <c r="V18" s="131"/>
      <c r="W18" s="131" t="str">
        <f t="shared" si="13"/>
        <v/>
      </c>
      <c r="X18" s="131" t="str">
        <f t="shared" si="3"/>
        <v/>
      </c>
      <c r="Y18" s="201"/>
      <c r="Z18" s="201"/>
      <c r="AA18" s="202" t="str">
        <f t="shared" si="4"/>
        <v/>
      </c>
      <c r="AB18" s="209" t="str">
        <f t="shared" si="5"/>
        <v/>
      </c>
      <c r="AC18" s="197" t="str">
        <f t="shared" si="6"/>
        <v/>
      </c>
      <c r="AD18" s="198"/>
      <c r="AE18" s="254"/>
      <c r="AF18" s="255"/>
      <c r="AG18" s="255" t="str">
        <f t="shared" si="7"/>
        <v/>
      </c>
      <c r="AH18" s="255"/>
      <c r="AI18" s="256"/>
      <c r="AJ18" s="257"/>
      <c r="AK18" s="258" t="str">
        <f t="shared" si="8"/>
        <v/>
      </c>
      <c r="AL18" s="259"/>
      <c r="AM18" s="260"/>
      <c r="AN18" s="261"/>
      <c r="AO18" s="142"/>
      <c r="AP18" s="131"/>
      <c r="AQ18" s="131"/>
      <c r="AR18" s="131"/>
      <c r="AS18" s="201"/>
      <c r="AT18" s="202"/>
      <c r="AU18" s="203"/>
      <c r="AV18" s="204"/>
      <c r="AW18" s="197"/>
      <c r="AX18" s="311"/>
      <c r="AY18" s="23"/>
      <c r="AZ18" s="142"/>
      <c r="BA18" s="131"/>
      <c r="BB18" s="131"/>
      <c r="BC18" s="131"/>
      <c r="BD18" s="201"/>
      <c r="BE18" s="202"/>
      <c r="BF18" s="203"/>
      <c r="BG18" s="204"/>
      <c r="BH18" s="197"/>
      <c r="BI18" s="198"/>
      <c r="BJ18" s="23"/>
      <c r="BK18" s="275"/>
      <c r="BL18" s="276"/>
      <c r="BM18" s="131"/>
      <c r="BN18" s="131"/>
      <c r="BO18" s="201"/>
      <c r="BP18" s="202"/>
      <c r="BQ18" s="203"/>
      <c r="BR18" s="204"/>
      <c r="BS18" s="197"/>
      <c r="BT18" s="198"/>
      <c r="BU18" s="23"/>
      <c r="BV18" s="275"/>
      <c r="BW18" s="276"/>
      <c r="BX18" s="131" t="str">
        <f t="shared" si="9"/>
        <v/>
      </c>
      <c r="BY18" s="131"/>
      <c r="BZ18" s="201"/>
      <c r="CA18" s="202"/>
      <c r="CB18" s="203" t="str">
        <f t="shared" si="10"/>
        <v/>
      </c>
      <c r="CC18" s="204"/>
      <c r="CD18" s="197"/>
      <c r="CE18" s="198"/>
      <c r="CF18" s="23"/>
      <c r="CG18" s="23"/>
      <c r="CH18" s="23"/>
      <c r="CI18" s="23"/>
      <c r="CJ18" s="23"/>
      <c r="CK18" s="23"/>
      <c r="CL18" s="23"/>
      <c r="CM18" s="23"/>
      <c r="CN18" s="23"/>
      <c r="CO18" s="23"/>
    </row>
    <row r="19" spans="1:93" ht="20" customHeight="1" x14ac:dyDescent="0.2">
      <c r="A19" s="60"/>
      <c r="B19" s="82"/>
      <c r="C19" s="24" t="s">
        <v>85</v>
      </c>
      <c r="D19" s="23" t="s">
        <v>267</v>
      </c>
      <c r="E19" s="23" t="s">
        <v>268</v>
      </c>
      <c r="F19" s="24">
        <v>1994</v>
      </c>
      <c r="H19" s="89">
        <v>20</v>
      </c>
      <c r="I19" s="85" t="s">
        <v>340</v>
      </c>
      <c r="J19" s="116"/>
      <c r="K19" s="131"/>
      <c r="L19" s="131"/>
      <c r="M19" s="131" t="str">
        <f t="shared" si="15"/>
        <v/>
      </c>
      <c r="N19" s="131" t="str">
        <f t="shared" si="11"/>
        <v/>
      </c>
      <c r="O19" s="201"/>
      <c r="P19" s="201"/>
      <c r="Q19" s="202" t="str">
        <f t="shared" si="16"/>
        <v/>
      </c>
      <c r="R19" s="211" t="str">
        <f t="shared" si="12"/>
        <v/>
      </c>
      <c r="S19" s="197" t="str">
        <f t="shared" si="17"/>
        <v/>
      </c>
      <c r="T19" s="198"/>
      <c r="U19" s="131"/>
      <c r="V19" s="131"/>
      <c r="W19" s="131" t="str">
        <f t="shared" si="13"/>
        <v/>
      </c>
      <c r="X19" s="131" t="str">
        <f t="shared" si="3"/>
        <v/>
      </c>
      <c r="Y19" s="201"/>
      <c r="Z19" s="201"/>
      <c r="AA19" s="202" t="str">
        <f t="shared" si="4"/>
        <v/>
      </c>
      <c r="AB19" s="209" t="str">
        <f t="shared" si="5"/>
        <v/>
      </c>
      <c r="AC19" s="197" t="str">
        <f t="shared" si="6"/>
        <v/>
      </c>
      <c r="AD19" s="198"/>
      <c r="AE19" s="254"/>
      <c r="AF19" s="255"/>
      <c r="AG19" s="255" t="str">
        <f t="shared" si="7"/>
        <v/>
      </c>
      <c r="AH19" s="255"/>
      <c r="AI19" s="256"/>
      <c r="AJ19" s="257"/>
      <c r="AK19" s="258" t="str">
        <f t="shared" si="8"/>
        <v/>
      </c>
      <c r="AL19" s="259"/>
      <c r="AM19" s="260"/>
      <c r="AN19" s="261"/>
      <c r="AO19" s="142"/>
      <c r="AP19" s="131"/>
      <c r="AQ19" s="131"/>
      <c r="AR19" s="131"/>
      <c r="AS19" s="201"/>
      <c r="AT19" s="202"/>
      <c r="AU19" s="203"/>
      <c r="AV19" s="204"/>
      <c r="AW19" s="197"/>
      <c r="AX19" s="311"/>
      <c r="AY19" s="23"/>
      <c r="AZ19" s="142"/>
      <c r="BA19" s="131"/>
      <c r="BB19" s="131"/>
      <c r="BC19" s="131"/>
      <c r="BD19" s="201"/>
      <c r="BE19" s="202"/>
      <c r="BF19" s="203"/>
      <c r="BG19" s="204"/>
      <c r="BH19" s="197"/>
      <c r="BI19" s="198"/>
      <c r="BJ19" s="23"/>
      <c r="BK19" s="275"/>
      <c r="BL19" s="276"/>
      <c r="BM19" s="131"/>
      <c r="BN19" s="131"/>
      <c r="BO19" s="201"/>
      <c r="BP19" s="202"/>
      <c r="BQ19" s="203"/>
      <c r="BR19" s="204"/>
      <c r="BS19" s="197"/>
      <c r="BT19" s="198"/>
      <c r="BU19" s="23"/>
      <c r="BV19" s="275"/>
      <c r="BW19" s="276"/>
      <c r="BX19" s="131" t="str">
        <f t="shared" si="9"/>
        <v/>
      </c>
      <c r="BY19" s="131"/>
      <c r="BZ19" s="201"/>
      <c r="CA19" s="202"/>
      <c r="CB19" s="203" t="str">
        <f t="shared" si="10"/>
        <v/>
      </c>
      <c r="CC19" s="204"/>
      <c r="CD19" s="197"/>
      <c r="CE19" s="198"/>
      <c r="CF19" s="23"/>
      <c r="CG19" s="23"/>
      <c r="CH19" s="23"/>
      <c r="CI19" s="23"/>
      <c r="CJ19" s="23"/>
      <c r="CK19" s="23"/>
      <c r="CL19" s="23"/>
      <c r="CM19" s="23"/>
      <c r="CN19" s="23"/>
      <c r="CO19" s="23"/>
    </row>
    <row r="20" spans="1:93" ht="20" customHeight="1" x14ac:dyDescent="0.2">
      <c r="A20" s="60"/>
      <c r="B20" s="83"/>
      <c r="C20" s="24" t="s">
        <v>85</v>
      </c>
      <c r="D20" s="23" t="s">
        <v>341</v>
      </c>
      <c r="E20" s="23" t="s">
        <v>342</v>
      </c>
      <c r="F20" s="24">
        <v>2008</v>
      </c>
      <c r="H20" s="89">
        <v>16</v>
      </c>
      <c r="I20" s="85" t="s">
        <v>176</v>
      </c>
      <c r="J20" s="116" t="s">
        <v>343</v>
      </c>
      <c r="K20" s="131"/>
      <c r="L20" s="131"/>
      <c r="M20" s="131" t="str">
        <f t="shared" si="15"/>
        <v/>
      </c>
      <c r="N20" s="131" t="str">
        <f t="shared" si="11"/>
        <v/>
      </c>
      <c r="O20" s="201"/>
      <c r="P20" s="201"/>
      <c r="Q20" s="202" t="str">
        <f t="shared" si="16"/>
        <v/>
      </c>
      <c r="R20" s="211" t="str">
        <f t="shared" si="12"/>
        <v/>
      </c>
      <c r="S20" s="197" t="str">
        <f t="shared" si="17"/>
        <v/>
      </c>
      <c r="T20" s="198"/>
      <c r="U20" s="131">
        <v>459</v>
      </c>
      <c r="V20" s="131">
        <v>489</v>
      </c>
      <c r="W20" s="131">
        <f t="shared" si="13"/>
        <v>30</v>
      </c>
      <c r="X20" s="131">
        <f t="shared" si="3"/>
        <v>6.5359477124183059</v>
      </c>
      <c r="Y20" s="201">
        <v>493</v>
      </c>
      <c r="Z20" s="201">
        <v>521</v>
      </c>
      <c r="AA20" s="202">
        <f t="shared" si="4"/>
        <v>28</v>
      </c>
      <c r="AB20" s="209">
        <f t="shared" si="5"/>
        <v>5.6795131845841667</v>
      </c>
      <c r="AC20" s="197">
        <f t="shared" si="6"/>
        <v>2</v>
      </c>
      <c r="AD20" s="198"/>
      <c r="AE20" s="142">
        <v>42</v>
      </c>
      <c r="AF20" s="131">
        <v>40</v>
      </c>
      <c r="AG20" s="131">
        <f>IF(AND(NOT(ISERROR(AF20-AE20)), AF20&lt;&gt;"", AE20&lt;&gt;""), AF20-AE20, "")</f>
        <v>-2</v>
      </c>
      <c r="AH20" s="131"/>
      <c r="AI20" s="201">
        <v>37</v>
      </c>
      <c r="AJ20" s="202">
        <v>34</v>
      </c>
      <c r="AK20" s="203">
        <f t="shared" si="8"/>
        <v>-3</v>
      </c>
      <c r="AL20" s="204"/>
      <c r="AM20" s="197"/>
      <c r="AN20" s="198"/>
      <c r="AO20" s="142"/>
      <c r="AP20" s="131"/>
      <c r="AQ20" s="131"/>
      <c r="AR20" s="131"/>
      <c r="AS20" s="201"/>
      <c r="AT20" s="202"/>
      <c r="AU20" s="203"/>
      <c r="AV20" s="204"/>
      <c r="AW20" s="197"/>
      <c r="AX20" s="311"/>
      <c r="AY20" s="23"/>
      <c r="AZ20" s="142"/>
      <c r="BA20" s="131"/>
      <c r="BB20" s="131"/>
      <c r="BC20" s="131"/>
      <c r="BD20" s="201"/>
      <c r="BE20" s="202"/>
      <c r="BF20" s="203"/>
      <c r="BG20" s="204"/>
      <c r="BH20" s="197"/>
      <c r="BI20" s="198"/>
      <c r="BJ20" s="23"/>
      <c r="BK20" s="275"/>
      <c r="BL20" s="276"/>
      <c r="BM20" s="131"/>
      <c r="BN20" s="131"/>
      <c r="BO20" s="201"/>
      <c r="BP20" s="202"/>
      <c r="BQ20" s="203"/>
      <c r="BR20" s="204"/>
      <c r="BS20" s="197"/>
      <c r="BT20" s="198"/>
      <c r="BU20" s="23"/>
      <c r="BV20" s="275"/>
      <c r="BW20" s="276"/>
      <c r="BX20" s="131" t="str">
        <f t="shared" si="9"/>
        <v/>
      </c>
      <c r="BY20" s="131"/>
      <c r="BZ20" s="201"/>
      <c r="CA20" s="202"/>
      <c r="CB20" s="203" t="str">
        <f t="shared" si="10"/>
        <v/>
      </c>
      <c r="CC20" s="204"/>
      <c r="CD20" s="197"/>
      <c r="CE20" s="198"/>
      <c r="CF20" s="23" t="s">
        <v>517</v>
      </c>
      <c r="CG20" s="23"/>
      <c r="CH20" s="23"/>
      <c r="CI20" s="23"/>
      <c r="CJ20" s="23"/>
      <c r="CK20" s="23"/>
      <c r="CL20" s="23"/>
      <c r="CM20" s="23"/>
      <c r="CN20" s="23"/>
      <c r="CO20" s="23"/>
    </row>
    <row r="21" spans="1:93" ht="20" customHeight="1" x14ac:dyDescent="0.2">
      <c r="A21" s="60"/>
      <c r="B21" s="82"/>
      <c r="C21" s="24" t="s">
        <v>85</v>
      </c>
      <c r="D21" s="23" t="s">
        <v>54</v>
      </c>
      <c r="E21" s="23" t="s">
        <v>55</v>
      </c>
      <c r="F21" s="24">
        <v>1996</v>
      </c>
      <c r="G21" s="24">
        <v>82</v>
      </c>
      <c r="H21" s="89">
        <v>15</v>
      </c>
      <c r="I21" s="85" t="s">
        <v>176</v>
      </c>
      <c r="J21" s="116" t="s">
        <v>178</v>
      </c>
      <c r="K21" s="131">
        <v>24.06</v>
      </c>
      <c r="L21" s="131">
        <v>24.55</v>
      </c>
      <c r="M21" s="131">
        <f t="shared" si="15"/>
        <v>0.49000000000000199</v>
      </c>
      <c r="N21" s="131">
        <f t="shared" si="11"/>
        <v>2.036575228595197</v>
      </c>
      <c r="O21" s="201">
        <v>24.1</v>
      </c>
      <c r="P21" s="201">
        <v>24.39</v>
      </c>
      <c r="Q21" s="202">
        <f t="shared" si="16"/>
        <v>0.28999999999999915</v>
      </c>
      <c r="R21" s="211">
        <f t="shared" si="12"/>
        <v>1.2033195020746916</v>
      </c>
      <c r="S21" s="197">
        <f t="shared" si="17"/>
        <v>0.20000000000000284</v>
      </c>
      <c r="T21" s="198"/>
      <c r="U21" s="131">
        <v>336</v>
      </c>
      <c r="V21" s="131">
        <v>316.8</v>
      </c>
      <c r="W21" s="131">
        <f t="shared" si="13"/>
        <v>-19.199999999999989</v>
      </c>
      <c r="X21" s="131">
        <f t="shared" si="3"/>
        <v>-5.7142857142857224</v>
      </c>
      <c r="Y21" s="201">
        <v>336</v>
      </c>
      <c r="Z21" s="201">
        <v>295.2</v>
      </c>
      <c r="AA21" s="202">
        <f t="shared" si="4"/>
        <v>-40.800000000000011</v>
      </c>
      <c r="AB21" s="209">
        <f t="shared" si="5"/>
        <v>-12.142857142857139</v>
      </c>
      <c r="AC21" s="197">
        <f t="shared" si="6"/>
        <v>21.600000000000023</v>
      </c>
      <c r="AD21" s="198"/>
      <c r="AE21" s="142"/>
      <c r="AF21" s="131"/>
      <c r="AG21" s="131" t="str">
        <f t="shared" ref="AG21:AG45" si="18">IF(AND(NOT(ISERROR(AF21-AE21)), AF21&lt;&gt;"", AE21&lt;&gt;""), AF21-AE21, "")</f>
        <v/>
      </c>
      <c r="AH21" s="131"/>
      <c r="AI21" s="201"/>
      <c r="AJ21" s="202"/>
      <c r="AK21" s="203" t="str">
        <f t="shared" si="8"/>
        <v/>
      </c>
      <c r="AL21" s="204"/>
      <c r="AM21" s="197"/>
      <c r="AN21" s="198"/>
      <c r="AO21" s="142"/>
      <c r="AP21" s="131"/>
      <c r="AQ21" s="131"/>
      <c r="AR21" s="131"/>
      <c r="AS21" s="201"/>
      <c r="AT21" s="202"/>
      <c r="AU21" s="203"/>
      <c r="AV21" s="204"/>
      <c r="AW21" s="197"/>
      <c r="AX21" s="311"/>
      <c r="AY21" s="23"/>
      <c r="AZ21" s="142"/>
      <c r="BA21" s="131"/>
      <c r="BB21" s="131"/>
      <c r="BC21" s="131"/>
      <c r="BD21" s="201"/>
      <c r="BE21" s="202"/>
      <c r="BF21" s="203"/>
      <c r="BG21" s="204"/>
      <c r="BH21" s="197"/>
      <c r="BI21" s="198"/>
      <c r="BJ21" s="23"/>
      <c r="BK21" s="275"/>
      <c r="BL21" s="276"/>
      <c r="BM21" s="131"/>
      <c r="BN21" s="131"/>
      <c r="BO21" s="201"/>
      <c r="BP21" s="202"/>
      <c r="BQ21" s="203"/>
      <c r="BR21" s="204"/>
      <c r="BS21" s="197"/>
      <c r="BT21" s="198"/>
      <c r="BU21" s="23"/>
      <c r="BV21" s="142">
        <v>68</v>
      </c>
      <c r="BW21" s="131">
        <v>63</v>
      </c>
      <c r="BX21" s="131">
        <f>IF(AND(NOT(ISERROR(BW21-BV21)), BW21 &lt;&gt; "", BV21 &lt;&gt; ""), BW21 - BV21, "")</f>
        <v>-5</v>
      </c>
      <c r="BY21" s="131"/>
      <c r="BZ21" s="201">
        <v>68</v>
      </c>
      <c r="CA21" s="202">
        <v>66</v>
      </c>
      <c r="CB21" s="203">
        <f t="shared" si="10"/>
        <v>-2</v>
      </c>
      <c r="CC21" s="204"/>
      <c r="CD21" s="197"/>
      <c r="CE21" s="198"/>
      <c r="CF21" s="23"/>
      <c r="CG21" s="23"/>
      <c r="CH21" s="23"/>
      <c r="CI21" s="23"/>
      <c r="CJ21" s="23"/>
      <c r="CK21" s="23"/>
      <c r="CL21" s="23"/>
      <c r="CM21" s="23"/>
      <c r="CN21" s="23"/>
      <c r="CO21" s="23"/>
    </row>
    <row r="22" spans="1:93" ht="20" customHeight="1" x14ac:dyDescent="0.2">
      <c r="A22" s="61"/>
      <c r="B22" s="82"/>
      <c r="C22" s="24" t="s">
        <v>85</v>
      </c>
      <c r="D22" s="23" t="s">
        <v>521</v>
      </c>
      <c r="E22" s="23" t="s">
        <v>522</v>
      </c>
      <c r="F22" s="24">
        <v>1995</v>
      </c>
      <c r="H22" s="89">
        <v>12</v>
      </c>
      <c r="I22" s="85" t="s">
        <v>211</v>
      </c>
      <c r="J22" s="116" t="s">
        <v>210</v>
      </c>
      <c r="K22" s="131"/>
      <c r="L22" s="131"/>
      <c r="M22" s="131" t="str">
        <f t="shared" si="15"/>
        <v/>
      </c>
      <c r="N22" s="131" t="str">
        <f t="shared" si="11"/>
        <v/>
      </c>
      <c r="O22" s="201"/>
      <c r="P22" s="201"/>
      <c r="Q22" s="202" t="str">
        <f t="shared" si="16"/>
        <v/>
      </c>
      <c r="R22" s="211" t="str">
        <f t="shared" si="12"/>
        <v/>
      </c>
      <c r="S22" s="197" t="str">
        <f t="shared" si="17"/>
        <v/>
      </c>
      <c r="T22" s="198"/>
      <c r="U22" s="131"/>
      <c r="V22" s="131"/>
      <c r="W22" s="131" t="str">
        <f t="shared" si="13"/>
        <v/>
      </c>
      <c r="X22" s="131" t="str">
        <f t="shared" si="3"/>
        <v/>
      </c>
      <c r="Y22" s="201"/>
      <c r="Z22" s="201"/>
      <c r="AA22" s="202" t="str">
        <f t="shared" si="4"/>
        <v/>
      </c>
      <c r="AB22" s="209" t="str">
        <f t="shared" si="5"/>
        <v/>
      </c>
      <c r="AC22" s="197" t="str">
        <f t="shared" si="6"/>
        <v/>
      </c>
      <c r="AD22" s="198"/>
      <c r="AE22" s="142"/>
      <c r="AF22" s="131"/>
      <c r="AG22" s="131" t="str">
        <f t="shared" si="18"/>
        <v/>
      </c>
      <c r="AH22" s="131"/>
      <c r="AI22" s="201"/>
      <c r="AJ22" s="202"/>
      <c r="AK22" s="203" t="str">
        <f t="shared" si="8"/>
        <v/>
      </c>
      <c r="AL22" s="204"/>
      <c r="AM22" s="197"/>
      <c r="AN22" s="198"/>
      <c r="AO22" s="142"/>
      <c r="AP22" s="131"/>
      <c r="AQ22" s="131"/>
      <c r="AR22" s="131"/>
      <c r="AS22" s="201"/>
      <c r="AT22" s="202"/>
      <c r="AU22" s="203"/>
      <c r="AV22" s="204"/>
      <c r="AW22" s="197"/>
      <c r="AX22" s="311"/>
      <c r="AY22" s="23"/>
      <c r="AZ22" s="142"/>
      <c r="BA22" s="131"/>
      <c r="BB22" s="131"/>
      <c r="BC22" s="131"/>
      <c r="BD22" s="201"/>
      <c r="BE22" s="202"/>
      <c r="BF22" s="203"/>
      <c r="BG22" s="204"/>
      <c r="BH22" s="197"/>
      <c r="BI22" s="198"/>
      <c r="BJ22" s="23"/>
      <c r="BK22" s="275"/>
      <c r="BL22" s="276"/>
      <c r="BM22" s="131"/>
      <c r="BN22" s="131"/>
      <c r="BO22" s="201"/>
      <c r="BP22" s="202"/>
      <c r="BQ22" s="203"/>
      <c r="BR22" s="204"/>
      <c r="BS22" s="197"/>
      <c r="BT22" s="198"/>
      <c r="BU22" s="23"/>
      <c r="BV22" s="142"/>
      <c r="BW22" s="131">
        <v>83</v>
      </c>
      <c r="BX22" s="131" t="str">
        <f t="shared" ref="BX22:BX45" si="19">IF(AND(NOT(ISERROR(BW22-BV22)), BW22 &lt;&gt; "", BV22 &lt;&gt; ""), BW22 - BV22, "")</f>
        <v/>
      </c>
      <c r="BY22" s="131"/>
      <c r="BZ22" s="201"/>
      <c r="CA22" s="202">
        <v>75</v>
      </c>
      <c r="CB22" s="203" t="str">
        <f t="shared" si="10"/>
        <v/>
      </c>
      <c r="CC22" s="204"/>
      <c r="CD22" s="197"/>
      <c r="CE22" s="198"/>
      <c r="CF22" s="23"/>
      <c r="CG22" s="23"/>
      <c r="CH22" s="23"/>
      <c r="CI22" s="23"/>
      <c r="CJ22" s="23"/>
      <c r="CK22" s="23"/>
      <c r="CL22" s="23"/>
      <c r="CM22" s="23"/>
      <c r="CN22" s="23"/>
      <c r="CO22" s="23"/>
    </row>
    <row r="23" spans="1:93" ht="20" customHeight="1" x14ac:dyDescent="0.2">
      <c r="A23" s="60"/>
      <c r="B23" s="82"/>
      <c r="C23" s="24" t="s">
        <v>85</v>
      </c>
      <c r="D23" s="23" t="s">
        <v>523</v>
      </c>
      <c r="E23" s="23" t="s">
        <v>524</v>
      </c>
      <c r="F23" s="24">
        <v>2011</v>
      </c>
      <c r="H23" s="89">
        <v>36</v>
      </c>
      <c r="I23" s="85" t="s">
        <v>211</v>
      </c>
      <c r="J23" s="116"/>
      <c r="K23" s="131"/>
      <c r="L23" s="131">
        <v>20.7</v>
      </c>
      <c r="M23" s="131" t="str">
        <f t="shared" si="15"/>
        <v/>
      </c>
      <c r="N23" s="131" t="str">
        <f t="shared" si="11"/>
        <v/>
      </c>
      <c r="O23" s="201"/>
      <c r="P23" s="201">
        <v>18.100000000000001</v>
      </c>
      <c r="Q23" s="202" t="str">
        <f t="shared" si="16"/>
        <v/>
      </c>
      <c r="R23" s="211" t="str">
        <f t="shared" si="12"/>
        <v/>
      </c>
      <c r="S23" s="197" t="str">
        <f t="shared" si="17"/>
        <v/>
      </c>
      <c r="T23" s="198"/>
      <c r="U23" s="131"/>
      <c r="V23" s="131">
        <v>355.1</v>
      </c>
      <c r="W23" s="131" t="str">
        <f t="shared" si="13"/>
        <v/>
      </c>
      <c r="X23" s="131" t="str">
        <f t="shared" si="3"/>
        <v/>
      </c>
      <c r="Y23" s="201"/>
      <c r="Z23" s="201">
        <v>366.1</v>
      </c>
      <c r="AA23" s="202" t="str">
        <f t="shared" si="4"/>
        <v/>
      </c>
      <c r="AB23" s="209" t="str">
        <f t="shared" si="5"/>
        <v/>
      </c>
      <c r="AC23" s="197" t="str">
        <f t="shared" si="6"/>
        <v/>
      </c>
      <c r="AD23" s="198"/>
      <c r="AE23" s="142"/>
      <c r="AF23" s="131">
        <v>10.8</v>
      </c>
      <c r="AG23" s="131" t="str">
        <f t="shared" si="18"/>
        <v/>
      </c>
      <c r="AH23" s="131"/>
      <c r="AI23" s="201"/>
      <c r="AJ23" s="202">
        <v>16.5</v>
      </c>
      <c r="AK23" s="203" t="str">
        <f t="shared" si="8"/>
        <v/>
      </c>
      <c r="AL23" s="204"/>
      <c r="AM23" s="197"/>
      <c r="AN23" s="198"/>
      <c r="AO23" s="142"/>
      <c r="AP23" s="131"/>
      <c r="AQ23" s="131"/>
      <c r="AR23" s="131"/>
      <c r="AS23" s="201"/>
      <c r="AT23" s="202"/>
      <c r="AU23" s="203"/>
      <c r="AV23" s="204"/>
      <c r="AW23" s="197"/>
      <c r="AX23" s="311"/>
      <c r="AY23" s="23"/>
      <c r="AZ23" s="142"/>
      <c r="BA23" s="131"/>
      <c r="BB23" s="131"/>
      <c r="BC23" s="131"/>
      <c r="BD23" s="201"/>
      <c r="BE23" s="202"/>
      <c r="BF23" s="203"/>
      <c r="BG23" s="204"/>
      <c r="BH23" s="197"/>
      <c r="BI23" s="198"/>
      <c r="BJ23" s="23"/>
      <c r="BK23" s="275"/>
      <c r="BL23" s="276"/>
      <c r="BM23" s="131"/>
      <c r="BN23" s="131"/>
      <c r="BO23" s="201"/>
      <c r="BP23" s="202"/>
      <c r="BQ23" s="203"/>
      <c r="BR23" s="204"/>
      <c r="BS23" s="197"/>
      <c r="BT23" s="198"/>
      <c r="BU23" s="23"/>
      <c r="BV23" s="142"/>
      <c r="BW23" s="131">
        <v>83</v>
      </c>
      <c r="BX23" s="131" t="str">
        <f t="shared" si="19"/>
        <v/>
      </c>
      <c r="BY23" s="131"/>
      <c r="BZ23" s="201"/>
      <c r="CA23" s="202">
        <v>79.2</v>
      </c>
      <c r="CB23" s="203" t="str">
        <f t="shared" si="10"/>
        <v/>
      </c>
      <c r="CC23" s="204"/>
      <c r="CD23" s="197"/>
      <c r="CE23" s="198"/>
      <c r="CF23" s="23"/>
      <c r="CG23" s="23"/>
      <c r="CH23" s="23"/>
      <c r="CI23" s="23"/>
      <c r="CJ23" s="23"/>
      <c r="CK23" s="23"/>
      <c r="CL23" s="23"/>
      <c r="CM23" s="23"/>
      <c r="CN23" s="23"/>
      <c r="CO23" s="23"/>
    </row>
    <row r="24" spans="1:93" ht="20" customHeight="1" x14ac:dyDescent="0.2">
      <c r="A24" s="61"/>
      <c r="B24" s="84"/>
      <c r="C24" s="24" t="s">
        <v>85</v>
      </c>
      <c r="D24" s="23" t="s">
        <v>57</v>
      </c>
      <c r="E24" s="23" t="s">
        <v>58</v>
      </c>
      <c r="F24" s="24">
        <v>2006</v>
      </c>
      <c r="G24" s="24">
        <v>132</v>
      </c>
      <c r="H24" s="89">
        <v>7</v>
      </c>
      <c r="I24" s="85" t="s">
        <v>176</v>
      </c>
      <c r="J24" s="86" t="s">
        <v>169</v>
      </c>
      <c r="K24" s="131">
        <v>156</v>
      </c>
      <c r="L24" s="131">
        <v>63.6</v>
      </c>
      <c r="M24" s="131">
        <f t="shared" si="15"/>
        <v>-92.4</v>
      </c>
      <c r="N24" s="131">
        <f t="shared" si="11"/>
        <v>-59.230769230769234</v>
      </c>
      <c r="O24" s="201">
        <v>156</v>
      </c>
      <c r="P24" s="201">
        <v>114.6</v>
      </c>
      <c r="Q24" s="202">
        <f t="shared" si="16"/>
        <v>-41.400000000000006</v>
      </c>
      <c r="R24" s="211">
        <f t="shared" si="12"/>
        <v>-26.538461538461547</v>
      </c>
      <c r="S24" s="197">
        <f t="shared" si="17"/>
        <v>-51</v>
      </c>
      <c r="T24" s="198"/>
      <c r="U24" s="131">
        <v>483</v>
      </c>
      <c r="V24" s="131">
        <v>590.4</v>
      </c>
      <c r="W24" s="131">
        <f t="shared" si="13"/>
        <v>107.39999999999998</v>
      </c>
      <c r="X24" s="131">
        <f t="shared" si="3"/>
        <v>22.23602484472049</v>
      </c>
      <c r="Y24" s="201">
        <v>483</v>
      </c>
      <c r="Z24" s="201">
        <v>525</v>
      </c>
      <c r="AA24" s="202">
        <f t="shared" si="4"/>
        <v>42</v>
      </c>
      <c r="AB24" s="209">
        <f t="shared" si="5"/>
        <v>8.6956521739130324</v>
      </c>
      <c r="AC24" s="197">
        <f t="shared" si="6"/>
        <v>65.399999999999977</v>
      </c>
      <c r="AD24" s="198"/>
      <c r="AE24" s="254">
        <v>0.35</v>
      </c>
      <c r="AF24" s="255">
        <v>0.08</v>
      </c>
      <c r="AG24" s="255">
        <f t="shared" si="18"/>
        <v>-0.26999999999999996</v>
      </c>
      <c r="AH24" s="255"/>
      <c r="AI24" s="256">
        <v>0.35</v>
      </c>
      <c r="AJ24" s="257">
        <v>0.26</v>
      </c>
      <c r="AK24" s="258">
        <f t="shared" si="8"/>
        <v>-8.9999999999999969E-2</v>
      </c>
      <c r="AL24" s="259"/>
      <c r="AM24" s="260"/>
      <c r="AN24" s="261"/>
      <c r="AO24" s="281"/>
      <c r="AP24" s="282"/>
      <c r="AQ24" s="282"/>
      <c r="AR24" s="282"/>
      <c r="AS24" s="283"/>
      <c r="AT24" s="284"/>
      <c r="AU24" s="285"/>
      <c r="AV24" s="286"/>
      <c r="AW24" s="287"/>
      <c r="AX24" s="312"/>
      <c r="AY24" s="23"/>
      <c r="AZ24" s="142"/>
      <c r="BA24" s="131"/>
      <c r="BB24" s="131"/>
      <c r="BC24" s="131"/>
      <c r="BD24" s="201"/>
      <c r="BE24" s="202"/>
      <c r="BF24" s="203"/>
      <c r="BG24" s="204"/>
      <c r="BH24" s="197"/>
      <c r="BI24" s="198"/>
      <c r="BJ24" s="23"/>
      <c r="BK24" s="275"/>
      <c r="BL24" s="276"/>
      <c r="BM24" s="131"/>
      <c r="BN24" s="131"/>
      <c r="BO24" s="201"/>
      <c r="BP24" s="202"/>
      <c r="BQ24" s="203"/>
      <c r="BR24" s="204"/>
      <c r="BS24" s="197"/>
      <c r="BT24" s="198"/>
      <c r="BU24" s="23"/>
      <c r="BV24" s="275"/>
      <c r="BW24" s="276"/>
      <c r="BX24" s="131" t="str">
        <f t="shared" si="19"/>
        <v/>
      </c>
      <c r="BY24" s="131"/>
      <c r="BZ24" s="201"/>
      <c r="CA24" s="202"/>
      <c r="CB24" s="203" t="str">
        <f t="shared" si="10"/>
        <v/>
      </c>
      <c r="CC24" s="204"/>
      <c r="CD24" s="197"/>
      <c r="CE24" s="198"/>
      <c r="CF24" s="23"/>
      <c r="CG24" s="23"/>
      <c r="CH24" s="23"/>
      <c r="CI24" s="23"/>
      <c r="CJ24" s="23"/>
      <c r="CK24" s="23"/>
      <c r="CL24" s="23"/>
      <c r="CM24" s="23"/>
      <c r="CN24" s="23"/>
      <c r="CO24" s="23"/>
    </row>
    <row r="25" spans="1:93" ht="20" customHeight="1" x14ac:dyDescent="0.2">
      <c r="A25" s="60"/>
      <c r="B25" s="24"/>
      <c r="C25" s="24" t="s">
        <v>85</v>
      </c>
      <c r="D25" s="23" t="s">
        <v>525</v>
      </c>
      <c r="E25" s="23" t="s">
        <v>526</v>
      </c>
      <c r="F25" s="24">
        <v>2012</v>
      </c>
      <c r="H25" s="89">
        <v>19</v>
      </c>
      <c r="I25" s="85" t="s">
        <v>527</v>
      </c>
      <c r="J25" s="116"/>
      <c r="K25" s="131"/>
      <c r="L25" s="131">
        <v>24.3</v>
      </c>
      <c r="M25" s="131" t="str">
        <f t="shared" si="15"/>
        <v/>
      </c>
      <c r="N25" s="131" t="str">
        <f t="shared" si="11"/>
        <v/>
      </c>
      <c r="O25" s="201"/>
      <c r="P25" s="201">
        <v>17.7</v>
      </c>
      <c r="Q25" s="202" t="str">
        <f t="shared" si="16"/>
        <v/>
      </c>
      <c r="R25" s="211" t="str">
        <f t="shared" si="12"/>
        <v/>
      </c>
      <c r="S25" s="197" t="str">
        <f t="shared" si="17"/>
        <v/>
      </c>
      <c r="T25" s="198"/>
      <c r="U25" s="131"/>
      <c r="V25" s="131"/>
      <c r="W25" s="131" t="str">
        <f t="shared" si="13"/>
        <v/>
      </c>
      <c r="X25" s="131" t="str">
        <f t="shared" si="3"/>
        <v/>
      </c>
      <c r="Y25" s="201"/>
      <c r="Z25" s="201"/>
      <c r="AA25" s="202" t="str">
        <f t="shared" si="4"/>
        <v/>
      </c>
      <c r="AB25" s="209" t="str">
        <f t="shared" si="5"/>
        <v/>
      </c>
      <c r="AC25" s="197" t="str">
        <f t="shared" si="6"/>
        <v/>
      </c>
      <c r="AD25" s="198"/>
      <c r="AE25" s="254"/>
      <c r="AF25" s="255"/>
      <c r="AG25" s="255" t="str">
        <f t="shared" si="18"/>
        <v/>
      </c>
      <c r="AH25" s="255"/>
      <c r="AI25" s="256"/>
      <c r="AJ25" s="257"/>
      <c r="AK25" s="258" t="str">
        <f t="shared" si="8"/>
        <v/>
      </c>
      <c r="AL25" s="259"/>
      <c r="AM25" s="260"/>
      <c r="AN25" s="261"/>
      <c r="AO25" s="281"/>
      <c r="AP25" s="282"/>
      <c r="AQ25" s="282"/>
      <c r="AR25" s="282"/>
      <c r="AS25" s="283"/>
      <c r="AT25" s="284"/>
      <c r="AU25" s="285"/>
      <c r="AV25" s="286"/>
      <c r="AW25" s="287"/>
      <c r="AX25" s="312"/>
      <c r="AY25" s="23"/>
      <c r="AZ25" s="142"/>
      <c r="BA25" s="131"/>
      <c r="BB25" s="131"/>
      <c r="BC25" s="131"/>
      <c r="BD25" s="201"/>
      <c r="BE25" s="202"/>
      <c r="BF25" s="203"/>
      <c r="BG25" s="204"/>
      <c r="BH25" s="197"/>
      <c r="BI25" s="198"/>
      <c r="BJ25" s="23"/>
      <c r="BK25" s="275"/>
      <c r="BL25" s="276"/>
      <c r="BM25" s="131"/>
      <c r="BN25" s="131"/>
      <c r="BO25" s="201"/>
      <c r="BP25" s="202"/>
      <c r="BQ25" s="203"/>
      <c r="BR25" s="204"/>
      <c r="BS25" s="197"/>
      <c r="BT25" s="198"/>
      <c r="BU25" s="23"/>
      <c r="BV25" s="275"/>
      <c r="BW25" s="131">
        <v>69</v>
      </c>
      <c r="BX25" s="131" t="str">
        <f t="shared" si="19"/>
        <v/>
      </c>
      <c r="BY25" s="131"/>
      <c r="BZ25" s="201"/>
      <c r="CA25" s="202">
        <v>70.2</v>
      </c>
      <c r="CB25" s="203" t="str">
        <f t="shared" si="10"/>
        <v/>
      </c>
      <c r="CC25" s="204"/>
      <c r="CD25" s="197"/>
      <c r="CE25" s="198"/>
      <c r="CF25" s="23" t="s">
        <v>530</v>
      </c>
      <c r="CG25" s="23"/>
      <c r="CH25" s="23"/>
      <c r="CI25" s="23"/>
      <c r="CJ25" s="23"/>
      <c r="CK25" s="23"/>
      <c r="CL25" s="23"/>
      <c r="CM25" s="23"/>
      <c r="CN25" s="23"/>
      <c r="CO25" s="23"/>
    </row>
    <row r="26" spans="1:93" ht="20" customHeight="1" x14ac:dyDescent="0.2">
      <c r="A26" s="60"/>
      <c r="B26" s="82"/>
      <c r="C26" s="24" t="s">
        <v>85</v>
      </c>
      <c r="D26" s="23" t="s">
        <v>63</v>
      </c>
      <c r="E26" s="23" t="s">
        <v>64</v>
      </c>
      <c r="F26" s="24">
        <v>2012</v>
      </c>
      <c r="G26" s="24">
        <v>83</v>
      </c>
      <c r="H26" s="89">
        <v>70</v>
      </c>
      <c r="I26" s="85" t="s">
        <v>182</v>
      </c>
      <c r="J26" s="116" t="s">
        <v>191</v>
      </c>
      <c r="K26" s="131">
        <v>126.8</v>
      </c>
      <c r="L26" s="131">
        <v>68.400000000000006</v>
      </c>
      <c r="M26" s="131">
        <f t="shared" si="15"/>
        <v>-58.399999999999991</v>
      </c>
      <c r="N26" s="131">
        <f t="shared" si="11"/>
        <v>-46.056782334384849</v>
      </c>
      <c r="O26" s="201">
        <v>107.8</v>
      </c>
      <c r="P26" s="201">
        <v>104.1</v>
      </c>
      <c r="Q26" s="202">
        <f t="shared" si="16"/>
        <v>-3.7000000000000028</v>
      </c>
      <c r="R26" s="211">
        <f t="shared" si="12"/>
        <v>-3.4322820037105686</v>
      </c>
      <c r="S26" s="197">
        <f t="shared" si="17"/>
        <v>-54.699999999999989</v>
      </c>
      <c r="T26" s="198"/>
      <c r="U26" s="131">
        <v>434.2</v>
      </c>
      <c r="V26" s="131">
        <v>449.9</v>
      </c>
      <c r="W26" s="131">
        <f t="shared" si="13"/>
        <v>15.699999999999989</v>
      </c>
      <c r="X26" s="131">
        <f t="shared" si="3"/>
        <v>3.6158452326116901</v>
      </c>
      <c r="Y26" s="201">
        <v>412.3</v>
      </c>
      <c r="Z26" s="201">
        <v>420.6</v>
      </c>
      <c r="AA26" s="202">
        <f t="shared" si="4"/>
        <v>8.3000000000000114</v>
      </c>
      <c r="AB26" s="209">
        <f t="shared" si="5"/>
        <v>2.0130972592772309</v>
      </c>
      <c r="AC26" s="197">
        <f t="shared" si="6"/>
        <v>7.3999999999999773</v>
      </c>
      <c r="AD26" s="198"/>
      <c r="AE26" s="254">
        <v>0.9</v>
      </c>
      <c r="AF26" s="255">
        <v>0.8</v>
      </c>
      <c r="AG26" s="255">
        <f t="shared" si="18"/>
        <v>-9.9999999999999978E-2</v>
      </c>
      <c r="AH26" s="255"/>
      <c r="AI26" s="256">
        <v>0.7</v>
      </c>
      <c r="AJ26" s="257">
        <v>0.6</v>
      </c>
      <c r="AK26" s="258">
        <f t="shared" si="8"/>
        <v>-9.9999999999999978E-2</v>
      </c>
      <c r="AL26" s="259"/>
      <c r="AM26" s="260"/>
      <c r="AN26" s="261"/>
      <c r="AO26" s="281"/>
      <c r="AP26" s="282"/>
      <c r="AQ26" s="282"/>
      <c r="AR26" s="282"/>
      <c r="AS26" s="283"/>
      <c r="AT26" s="284"/>
      <c r="AU26" s="285"/>
      <c r="AV26" s="286"/>
      <c r="AW26" s="287"/>
      <c r="AX26" s="312"/>
      <c r="AY26" s="23"/>
      <c r="AZ26" s="142"/>
      <c r="BA26" s="131"/>
      <c r="BB26" s="131"/>
      <c r="BC26" s="131"/>
      <c r="BD26" s="201"/>
      <c r="BE26" s="202"/>
      <c r="BF26" s="203"/>
      <c r="BG26" s="204"/>
      <c r="BH26" s="197"/>
      <c r="BI26" s="198"/>
      <c r="BJ26" s="23"/>
      <c r="BK26" s="275"/>
      <c r="BL26" s="276"/>
      <c r="BM26" s="131"/>
      <c r="BN26" s="131"/>
      <c r="BO26" s="201"/>
      <c r="BP26" s="202"/>
      <c r="BQ26" s="203"/>
      <c r="BR26" s="204"/>
      <c r="BS26" s="197"/>
      <c r="BT26" s="198"/>
      <c r="BU26" s="23"/>
      <c r="BV26" s="275"/>
      <c r="BW26" s="276"/>
      <c r="BX26" s="131" t="str">
        <f t="shared" si="19"/>
        <v/>
      </c>
      <c r="BY26" s="131"/>
      <c r="BZ26" s="201"/>
      <c r="CA26" s="202"/>
      <c r="CB26" s="203" t="str">
        <f t="shared" si="10"/>
        <v/>
      </c>
      <c r="CC26" s="204"/>
      <c r="CD26" s="197"/>
      <c r="CE26" s="198"/>
      <c r="CF26" s="23"/>
      <c r="CG26" s="23"/>
      <c r="CH26" s="23"/>
      <c r="CI26" s="23"/>
      <c r="CJ26" s="23"/>
      <c r="CK26" s="23"/>
      <c r="CL26" s="23"/>
      <c r="CM26" s="23"/>
      <c r="CN26" s="23"/>
      <c r="CO26" s="23"/>
    </row>
    <row r="27" spans="1:93" ht="20" customHeight="1" x14ac:dyDescent="0.2">
      <c r="A27" s="60"/>
      <c r="B27" s="83"/>
      <c r="C27" s="24" t="s">
        <v>85</v>
      </c>
      <c r="D27" s="23" t="s">
        <v>287</v>
      </c>
      <c r="E27" s="23" t="s">
        <v>288</v>
      </c>
      <c r="F27" s="24">
        <v>2015</v>
      </c>
      <c r="H27" s="89">
        <v>10</v>
      </c>
      <c r="I27" s="85" t="s">
        <v>345</v>
      </c>
      <c r="J27" s="116" t="s">
        <v>356</v>
      </c>
      <c r="K27" s="131">
        <v>46.9</v>
      </c>
      <c r="L27" s="131">
        <v>33.700000000000003</v>
      </c>
      <c r="M27" s="131">
        <f t="shared" si="15"/>
        <v>-13.199999999999996</v>
      </c>
      <c r="N27" s="131">
        <f t="shared" si="11"/>
        <v>-28.144989339019176</v>
      </c>
      <c r="O27" s="201">
        <v>54.3</v>
      </c>
      <c r="P27" s="201">
        <v>61.3</v>
      </c>
      <c r="Q27" s="202">
        <f t="shared" si="16"/>
        <v>7</v>
      </c>
      <c r="R27" s="211">
        <f t="shared" si="12"/>
        <v>12.891344383057103</v>
      </c>
      <c r="S27" s="197">
        <f t="shared" si="17"/>
        <v>-20.199999999999996</v>
      </c>
      <c r="T27" s="198"/>
      <c r="U27" s="131">
        <v>348.6</v>
      </c>
      <c r="V27" s="131">
        <v>401.2</v>
      </c>
      <c r="W27" s="131">
        <f t="shared" si="13"/>
        <v>52.599999999999966</v>
      </c>
      <c r="X27" s="131">
        <f t="shared" si="3"/>
        <v>15.088927137119896</v>
      </c>
      <c r="Y27" s="201">
        <v>354</v>
      </c>
      <c r="Z27" s="201">
        <v>367.6</v>
      </c>
      <c r="AA27" s="202">
        <f t="shared" si="4"/>
        <v>13.600000000000023</v>
      </c>
      <c r="AB27" s="209">
        <f t="shared" si="5"/>
        <v>3.8418079096045403</v>
      </c>
      <c r="AC27" s="197">
        <f t="shared" si="6"/>
        <v>38.999999999999943</v>
      </c>
      <c r="AD27" s="198"/>
      <c r="AE27" s="142">
        <v>13.8</v>
      </c>
      <c r="AF27" s="131">
        <v>6.5</v>
      </c>
      <c r="AG27" s="131">
        <f t="shared" si="18"/>
        <v>-7.3000000000000007</v>
      </c>
      <c r="AH27" s="131"/>
      <c r="AI27" s="201">
        <v>14.4</v>
      </c>
      <c r="AJ27" s="202">
        <v>13</v>
      </c>
      <c r="AK27" s="203">
        <f t="shared" si="8"/>
        <v>-1.4000000000000004</v>
      </c>
      <c r="AL27" s="204"/>
      <c r="AM27" s="197"/>
      <c r="AN27" s="198"/>
      <c r="AO27" s="142"/>
      <c r="AP27" s="131"/>
      <c r="AQ27" s="131"/>
      <c r="AR27" s="131"/>
      <c r="AS27" s="201"/>
      <c r="AT27" s="202"/>
      <c r="AU27" s="203"/>
      <c r="AV27" s="204"/>
      <c r="AW27" s="197"/>
      <c r="AX27" s="311"/>
      <c r="AY27" s="23"/>
      <c r="AZ27" s="142"/>
      <c r="BA27" s="131"/>
      <c r="BB27" s="131"/>
      <c r="BC27" s="131"/>
      <c r="BD27" s="201"/>
      <c r="BE27" s="202"/>
      <c r="BF27" s="203"/>
      <c r="BG27" s="204"/>
      <c r="BH27" s="197"/>
      <c r="BI27" s="198"/>
      <c r="BJ27" s="23"/>
      <c r="BK27" s="275"/>
      <c r="BL27" s="276"/>
      <c r="BM27" s="131"/>
      <c r="BN27" s="131"/>
      <c r="BO27" s="201"/>
      <c r="BP27" s="202"/>
      <c r="BQ27" s="203"/>
      <c r="BR27" s="204"/>
      <c r="BS27" s="197"/>
      <c r="BT27" s="198"/>
      <c r="BU27" s="23"/>
      <c r="BV27" s="254">
        <v>0.75</v>
      </c>
      <c r="BW27" s="255">
        <v>0.79</v>
      </c>
      <c r="BX27" s="255">
        <f t="shared" si="19"/>
        <v>4.0000000000000036E-2</v>
      </c>
      <c r="BY27" s="255"/>
      <c r="BZ27" s="256">
        <v>0.75</v>
      </c>
      <c r="CA27" s="257">
        <v>0.72</v>
      </c>
      <c r="CB27" s="258">
        <f t="shared" si="10"/>
        <v>-3.0000000000000027E-2</v>
      </c>
      <c r="CC27" s="259"/>
      <c r="CD27" s="260"/>
      <c r="CE27" s="261"/>
      <c r="CF27" s="23"/>
      <c r="CG27" s="23"/>
      <c r="CH27" s="23"/>
      <c r="CI27" s="23"/>
      <c r="CJ27" s="23"/>
      <c r="CK27" s="23"/>
      <c r="CL27" s="23"/>
      <c r="CM27" s="23"/>
      <c r="CN27" s="23"/>
      <c r="CO27" s="23"/>
    </row>
    <row r="28" spans="1:93" ht="20" customHeight="1" x14ac:dyDescent="0.2">
      <c r="A28" s="60"/>
      <c r="B28" s="82"/>
      <c r="C28" s="24" t="s">
        <v>85</v>
      </c>
      <c r="D28" s="23" t="s">
        <v>79</v>
      </c>
      <c r="E28" s="23" t="s">
        <v>80</v>
      </c>
      <c r="F28" s="24">
        <v>2015</v>
      </c>
      <c r="G28" s="24">
        <v>10</v>
      </c>
      <c r="H28" s="89">
        <v>11</v>
      </c>
      <c r="I28" s="85" t="s">
        <v>195</v>
      </c>
      <c r="J28" s="116" t="s">
        <v>169</v>
      </c>
      <c r="K28" s="131">
        <v>23.6</v>
      </c>
      <c r="L28" s="131">
        <v>7.8</v>
      </c>
      <c r="M28" s="131">
        <f t="shared" si="15"/>
        <v>-15.8</v>
      </c>
      <c r="N28" s="131">
        <f t="shared" si="11"/>
        <v>-66.949152542372886</v>
      </c>
      <c r="O28" s="201">
        <v>23.6</v>
      </c>
      <c r="P28" s="201">
        <v>19</v>
      </c>
      <c r="Q28" s="202">
        <f t="shared" si="16"/>
        <v>-4.6000000000000014</v>
      </c>
      <c r="R28" s="211">
        <f t="shared" si="12"/>
        <v>-19.491525423728817</v>
      </c>
      <c r="S28" s="197">
        <f t="shared" si="17"/>
        <v>-11.2</v>
      </c>
      <c r="T28" s="198"/>
      <c r="U28" s="131">
        <v>454.7</v>
      </c>
      <c r="V28" s="131">
        <v>458.3</v>
      </c>
      <c r="W28" s="131">
        <f t="shared" si="13"/>
        <v>3.6000000000000227</v>
      </c>
      <c r="X28" s="131">
        <f t="shared" si="3"/>
        <v>0.79173081152407576</v>
      </c>
      <c r="Y28" s="201">
        <v>454.7</v>
      </c>
      <c r="Z28" s="201">
        <v>496.4</v>
      </c>
      <c r="AA28" s="202">
        <f t="shared" si="4"/>
        <v>41.699999999999989</v>
      </c>
      <c r="AB28" s="209">
        <f t="shared" si="5"/>
        <v>9.1708819001539439</v>
      </c>
      <c r="AC28" s="197">
        <f t="shared" si="6"/>
        <v>-38.099999999999966</v>
      </c>
      <c r="AD28" s="198"/>
      <c r="AE28" s="142"/>
      <c r="AF28" s="131"/>
      <c r="AG28" s="131" t="str">
        <f t="shared" si="18"/>
        <v/>
      </c>
      <c r="AH28" s="131"/>
      <c r="AI28" s="201"/>
      <c r="AJ28" s="202"/>
      <c r="AK28" s="203" t="str">
        <f t="shared" si="8"/>
        <v/>
      </c>
      <c r="AL28" s="204"/>
      <c r="AM28" s="197"/>
      <c r="AN28" s="198"/>
      <c r="AO28" s="142">
        <v>60.6</v>
      </c>
      <c r="AP28" s="131">
        <v>42.3</v>
      </c>
      <c r="AQ28" s="131">
        <f>AO28-AP28</f>
        <v>18.300000000000004</v>
      </c>
      <c r="AR28" s="131"/>
      <c r="AS28" s="201">
        <v>60.6</v>
      </c>
      <c r="AT28" s="202">
        <v>57.3</v>
      </c>
      <c r="AU28" s="203">
        <f>AS28-AT28</f>
        <v>3.3000000000000043</v>
      </c>
      <c r="AV28" s="204"/>
      <c r="AW28" s="197"/>
      <c r="AX28" s="311"/>
      <c r="AY28" s="23"/>
      <c r="AZ28" s="142"/>
      <c r="BA28" s="131"/>
      <c r="BB28" s="131"/>
      <c r="BC28" s="131"/>
      <c r="BD28" s="201"/>
      <c r="BE28" s="202"/>
      <c r="BF28" s="203"/>
      <c r="BG28" s="204"/>
      <c r="BH28" s="197"/>
      <c r="BI28" s="198"/>
      <c r="BJ28" s="23"/>
      <c r="BK28" s="275"/>
      <c r="BL28" s="276"/>
      <c r="BM28" s="131"/>
      <c r="BN28" s="131"/>
      <c r="BO28" s="201"/>
      <c r="BP28" s="202"/>
      <c r="BQ28" s="203"/>
      <c r="BR28" s="204"/>
      <c r="BS28" s="197"/>
      <c r="BT28" s="198"/>
      <c r="BU28" s="23"/>
      <c r="BV28" s="281">
        <v>82.9</v>
      </c>
      <c r="BW28" s="282">
        <v>89.2</v>
      </c>
      <c r="BX28" s="131">
        <f t="shared" si="19"/>
        <v>6.2999999999999972</v>
      </c>
      <c r="BY28" s="131"/>
      <c r="BZ28" s="201">
        <v>82.9</v>
      </c>
      <c r="CA28" s="202">
        <v>86.8</v>
      </c>
      <c r="CB28" s="203">
        <f t="shared" si="10"/>
        <v>3.8999999999999915</v>
      </c>
      <c r="CC28" s="204"/>
      <c r="CD28" s="197"/>
      <c r="CE28" s="198"/>
      <c r="CF28" s="23"/>
      <c r="CG28" s="23"/>
      <c r="CH28" s="23"/>
      <c r="CI28" s="23"/>
      <c r="CJ28" s="23"/>
      <c r="CK28" s="23"/>
      <c r="CL28" s="23"/>
      <c r="CM28" s="23"/>
      <c r="CN28" s="23"/>
      <c r="CO28" s="23"/>
    </row>
    <row r="29" spans="1:93" ht="20" customHeight="1" x14ac:dyDescent="0.2">
      <c r="A29" s="60"/>
      <c r="B29" s="82"/>
      <c r="C29" s="24" t="s">
        <v>85</v>
      </c>
      <c r="D29" s="23" t="s">
        <v>536</v>
      </c>
      <c r="E29" s="23" t="s">
        <v>537</v>
      </c>
      <c r="F29" s="24">
        <v>2000</v>
      </c>
      <c r="H29" s="89">
        <v>19</v>
      </c>
      <c r="I29" s="85" t="s">
        <v>345</v>
      </c>
      <c r="J29" s="116"/>
      <c r="K29" s="131"/>
      <c r="L29" s="131">
        <v>7.59</v>
      </c>
      <c r="M29" s="131" t="str">
        <f t="shared" si="15"/>
        <v/>
      </c>
      <c r="N29" s="131" t="str">
        <f t="shared" si="11"/>
        <v/>
      </c>
      <c r="O29" s="201"/>
      <c r="P29" s="201">
        <v>6.8</v>
      </c>
      <c r="Q29" s="202" t="str">
        <f t="shared" si="16"/>
        <v/>
      </c>
      <c r="R29" s="211" t="str">
        <f t="shared" si="12"/>
        <v/>
      </c>
      <c r="S29" s="197" t="str">
        <f t="shared" si="17"/>
        <v/>
      </c>
      <c r="T29" s="198"/>
      <c r="U29" s="131"/>
      <c r="V29" s="131">
        <v>379.6</v>
      </c>
      <c r="W29" s="131" t="str">
        <f t="shared" si="13"/>
        <v/>
      </c>
      <c r="X29" s="131" t="str">
        <f t="shared" si="3"/>
        <v/>
      </c>
      <c r="Y29" s="201"/>
      <c r="Z29" s="201">
        <v>342.7</v>
      </c>
      <c r="AA29" s="202" t="str">
        <f t="shared" si="4"/>
        <v/>
      </c>
      <c r="AB29" s="209" t="str">
        <f t="shared" si="5"/>
        <v/>
      </c>
      <c r="AC29" s="197" t="str">
        <f t="shared" si="6"/>
        <v/>
      </c>
      <c r="AD29" s="198"/>
      <c r="AE29" s="142"/>
      <c r="AF29" s="131"/>
      <c r="AG29" s="131" t="str">
        <f t="shared" si="18"/>
        <v/>
      </c>
      <c r="AH29" s="131"/>
      <c r="AI29" s="201"/>
      <c r="AJ29" s="202"/>
      <c r="AK29" s="203" t="str">
        <f t="shared" si="8"/>
        <v/>
      </c>
      <c r="AL29" s="204"/>
      <c r="AM29" s="197"/>
      <c r="AN29" s="198"/>
      <c r="AO29" s="142"/>
      <c r="AP29" s="131"/>
      <c r="AQ29" s="131"/>
      <c r="AR29" s="131"/>
      <c r="AS29" s="201"/>
      <c r="AT29" s="202"/>
      <c r="AU29" s="203"/>
      <c r="AV29" s="204"/>
      <c r="AW29" s="197"/>
      <c r="AX29" s="311"/>
      <c r="AY29" s="23"/>
      <c r="AZ29" s="142"/>
      <c r="BA29" s="131"/>
      <c r="BB29" s="131"/>
      <c r="BC29" s="131"/>
      <c r="BD29" s="201"/>
      <c r="BE29" s="202"/>
      <c r="BF29" s="203"/>
      <c r="BG29" s="204"/>
      <c r="BH29" s="197"/>
      <c r="BI29" s="198"/>
      <c r="BJ29" s="23"/>
      <c r="BK29" s="275"/>
      <c r="BL29" s="276"/>
      <c r="BM29" s="131"/>
      <c r="BN29" s="131"/>
      <c r="BO29" s="201"/>
      <c r="BP29" s="202"/>
      <c r="BQ29" s="203"/>
      <c r="BR29" s="204"/>
      <c r="BS29" s="197"/>
      <c r="BT29" s="198"/>
      <c r="BU29" s="23"/>
      <c r="BV29" s="281"/>
      <c r="BW29" s="282">
        <v>91.16</v>
      </c>
      <c r="BX29" s="131" t="str">
        <f t="shared" si="19"/>
        <v/>
      </c>
      <c r="BY29" s="131"/>
      <c r="BZ29" s="201"/>
      <c r="CA29" s="257">
        <v>90.98</v>
      </c>
      <c r="CB29" s="203" t="str">
        <f t="shared" si="10"/>
        <v/>
      </c>
      <c r="CC29" s="204"/>
      <c r="CD29" s="197"/>
      <c r="CE29" s="198"/>
      <c r="CF29" s="23"/>
      <c r="CG29" s="23"/>
      <c r="CH29" s="23"/>
      <c r="CI29" s="23"/>
      <c r="CJ29" s="23"/>
      <c r="CK29" s="23"/>
      <c r="CL29" s="23"/>
      <c r="CM29" s="23"/>
      <c r="CN29" s="23"/>
      <c r="CO29" s="23"/>
    </row>
    <row r="30" spans="1:93" ht="20" customHeight="1" x14ac:dyDescent="0.2">
      <c r="A30" s="61"/>
      <c r="B30" s="83"/>
      <c r="C30" s="24" t="s">
        <v>85</v>
      </c>
      <c r="D30" s="23" t="s">
        <v>91</v>
      </c>
      <c r="E30" s="23" t="s">
        <v>92</v>
      </c>
      <c r="F30" s="24">
        <v>2001</v>
      </c>
      <c r="G30" s="24">
        <v>170</v>
      </c>
      <c r="H30" s="89">
        <v>22</v>
      </c>
      <c r="I30" s="85" t="s">
        <v>176</v>
      </c>
      <c r="J30" s="116" t="s">
        <v>169</v>
      </c>
      <c r="K30" s="131"/>
      <c r="L30" s="131"/>
      <c r="M30" s="131" t="str">
        <f t="shared" si="15"/>
        <v/>
      </c>
      <c r="N30" s="131" t="str">
        <f t="shared" si="11"/>
        <v/>
      </c>
      <c r="O30" s="201"/>
      <c r="P30" s="201"/>
      <c r="Q30" s="202" t="str">
        <f t="shared" si="16"/>
        <v/>
      </c>
      <c r="R30" s="211" t="str">
        <f t="shared" si="12"/>
        <v/>
      </c>
      <c r="S30" s="197" t="str">
        <f t="shared" si="17"/>
        <v/>
      </c>
      <c r="T30" s="198"/>
      <c r="U30" s="131"/>
      <c r="V30" s="131"/>
      <c r="W30" s="131" t="str">
        <f t="shared" si="13"/>
        <v/>
      </c>
      <c r="X30" s="131" t="str">
        <f t="shared" si="3"/>
        <v/>
      </c>
      <c r="Y30" s="201"/>
      <c r="Z30" s="201"/>
      <c r="AA30" s="202" t="str">
        <f t="shared" si="4"/>
        <v/>
      </c>
      <c r="AB30" s="209" t="str">
        <f t="shared" si="5"/>
        <v/>
      </c>
      <c r="AC30" s="197" t="str">
        <f t="shared" si="6"/>
        <v/>
      </c>
      <c r="AD30" s="198"/>
      <c r="AE30" s="142"/>
      <c r="AF30" s="131"/>
      <c r="AG30" s="131" t="str">
        <f t="shared" si="18"/>
        <v/>
      </c>
      <c r="AH30" s="131"/>
      <c r="AI30" s="201"/>
      <c r="AJ30" s="202"/>
      <c r="AK30" s="203" t="str">
        <f t="shared" si="8"/>
        <v/>
      </c>
      <c r="AL30" s="204"/>
      <c r="AM30" s="197"/>
      <c r="AN30" s="198"/>
      <c r="AO30" s="142"/>
      <c r="AP30" s="131"/>
      <c r="AQ30" s="131"/>
      <c r="AR30" s="131"/>
      <c r="AS30" s="201"/>
      <c r="AT30" s="202"/>
      <c r="AU30" s="203"/>
      <c r="AV30" s="204"/>
      <c r="AW30" s="197"/>
      <c r="AX30" s="311"/>
      <c r="AY30" s="23"/>
      <c r="AZ30" s="142"/>
      <c r="BA30" s="131"/>
      <c r="BB30" s="131"/>
      <c r="BC30" s="131"/>
      <c r="BD30" s="201"/>
      <c r="BE30" s="202"/>
      <c r="BF30" s="203"/>
      <c r="BG30" s="204"/>
      <c r="BH30" s="197"/>
      <c r="BI30" s="198"/>
      <c r="BJ30" s="23"/>
      <c r="BK30" s="275"/>
      <c r="BL30" s="276"/>
      <c r="BM30" s="131"/>
      <c r="BN30" s="131"/>
      <c r="BO30" s="201"/>
      <c r="BP30" s="202"/>
      <c r="BQ30" s="203"/>
      <c r="BR30" s="204"/>
      <c r="BS30" s="197"/>
      <c r="BT30" s="198"/>
      <c r="BU30" s="23"/>
      <c r="BV30" s="275"/>
      <c r="BW30" s="276"/>
      <c r="BX30" s="131" t="str">
        <f t="shared" si="19"/>
        <v/>
      </c>
      <c r="BY30" s="131"/>
      <c r="BZ30" s="201"/>
      <c r="CA30" s="202"/>
      <c r="CB30" s="203" t="str">
        <f t="shared" si="10"/>
        <v/>
      </c>
      <c r="CC30" s="204"/>
      <c r="CD30" s="197"/>
      <c r="CE30" s="198"/>
      <c r="CF30" s="23"/>
      <c r="CG30" s="23"/>
      <c r="CH30" s="23"/>
      <c r="CI30" s="23"/>
      <c r="CJ30" s="23"/>
      <c r="CK30" s="23"/>
      <c r="CL30" s="23"/>
      <c r="CM30" s="23"/>
      <c r="CN30" s="23"/>
      <c r="CO30" s="23"/>
    </row>
    <row r="31" spans="1:93" ht="20" customHeight="1" x14ac:dyDescent="0.2">
      <c r="A31" s="60"/>
      <c r="B31" s="83"/>
      <c r="C31" s="24" t="s">
        <v>85</v>
      </c>
      <c r="D31" s="23" t="s">
        <v>291</v>
      </c>
      <c r="E31" s="23" t="s">
        <v>292</v>
      </c>
      <c r="F31" s="24">
        <v>2009</v>
      </c>
      <c r="H31" s="89">
        <v>20</v>
      </c>
      <c r="I31" s="85" t="s">
        <v>214</v>
      </c>
      <c r="J31" s="116" t="s">
        <v>191</v>
      </c>
      <c r="K31" s="131"/>
      <c r="L31" s="131">
        <v>15.5</v>
      </c>
      <c r="M31" s="131" t="str">
        <f t="shared" si="15"/>
        <v/>
      </c>
      <c r="N31" s="131" t="str">
        <f t="shared" si="11"/>
        <v/>
      </c>
      <c r="O31" s="201"/>
      <c r="P31" s="201">
        <v>44.5</v>
      </c>
      <c r="Q31" s="202" t="str">
        <f t="shared" si="16"/>
        <v/>
      </c>
      <c r="R31" s="211" t="str">
        <f t="shared" si="12"/>
        <v/>
      </c>
      <c r="S31" s="197" t="str">
        <f t="shared" si="17"/>
        <v/>
      </c>
      <c r="T31" s="198"/>
      <c r="U31" s="131"/>
      <c r="V31" s="131">
        <v>387.5</v>
      </c>
      <c r="W31" s="131" t="str">
        <f t="shared" si="13"/>
        <v/>
      </c>
      <c r="X31" s="131" t="str">
        <f t="shared" si="3"/>
        <v/>
      </c>
      <c r="Y31" s="201"/>
      <c r="Z31" s="201">
        <v>376.7</v>
      </c>
      <c r="AA31" s="202" t="str">
        <f t="shared" si="4"/>
        <v/>
      </c>
      <c r="AB31" s="209" t="str">
        <f t="shared" si="5"/>
        <v/>
      </c>
      <c r="AC31" s="197" t="str">
        <f t="shared" si="6"/>
        <v/>
      </c>
      <c r="AD31" s="198"/>
      <c r="AE31" s="142"/>
      <c r="AF31" s="131"/>
      <c r="AG31" s="131" t="str">
        <f t="shared" si="18"/>
        <v/>
      </c>
      <c r="AH31" s="131"/>
      <c r="AI31" s="201"/>
      <c r="AJ31" s="202"/>
      <c r="AK31" s="203" t="str">
        <f t="shared" si="8"/>
        <v/>
      </c>
      <c r="AL31" s="204"/>
      <c r="AM31" s="197"/>
      <c r="AN31" s="198"/>
      <c r="AO31" s="142"/>
      <c r="AP31" s="131"/>
      <c r="AQ31" s="131"/>
      <c r="AR31" s="131"/>
      <c r="AS31" s="201"/>
      <c r="AT31" s="202"/>
      <c r="AU31" s="203"/>
      <c r="AV31" s="204"/>
      <c r="AW31" s="197"/>
      <c r="AX31" s="311"/>
      <c r="AY31" s="23"/>
      <c r="AZ31" s="142"/>
      <c r="BA31" s="131"/>
      <c r="BB31" s="131"/>
      <c r="BC31" s="131"/>
      <c r="BD31" s="201"/>
      <c r="BE31" s="202"/>
      <c r="BF31" s="203"/>
      <c r="BG31" s="204"/>
      <c r="BH31" s="197"/>
      <c r="BI31" s="198"/>
      <c r="BJ31" s="23"/>
      <c r="BK31" s="275"/>
      <c r="BL31" s="276"/>
      <c r="BM31" s="131"/>
      <c r="BN31" s="131"/>
      <c r="BO31" s="201"/>
      <c r="BP31" s="202"/>
      <c r="BQ31" s="203"/>
      <c r="BR31" s="204"/>
      <c r="BS31" s="197"/>
      <c r="BT31" s="198"/>
      <c r="BU31" s="23"/>
      <c r="BV31" s="275"/>
      <c r="BW31" s="282">
        <v>73.099999999999994</v>
      </c>
      <c r="BX31" s="131" t="str">
        <f t="shared" si="19"/>
        <v/>
      </c>
      <c r="BY31" s="131"/>
      <c r="BZ31" s="201"/>
      <c r="CA31" s="202">
        <v>67.3</v>
      </c>
      <c r="CB31" s="203" t="str">
        <f t="shared" si="10"/>
        <v/>
      </c>
      <c r="CC31" s="204"/>
      <c r="CD31" s="197"/>
      <c r="CE31" s="198"/>
      <c r="CF31" s="23" t="s">
        <v>450</v>
      </c>
      <c r="CG31" s="23"/>
      <c r="CH31" s="23"/>
      <c r="CI31" s="23"/>
      <c r="CJ31" s="23"/>
      <c r="CK31" s="23"/>
      <c r="CL31" s="23"/>
      <c r="CM31" s="23"/>
      <c r="CN31" s="23"/>
      <c r="CO31" s="23"/>
    </row>
    <row r="32" spans="1:93" ht="20" customHeight="1" x14ac:dyDescent="0.2">
      <c r="A32" s="60"/>
      <c r="B32" s="24"/>
      <c r="C32" s="24" t="s">
        <v>85</v>
      </c>
      <c r="D32" s="23" t="s">
        <v>293</v>
      </c>
      <c r="E32" s="23" t="s">
        <v>294</v>
      </c>
      <c r="F32" s="24">
        <v>2006</v>
      </c>
      <c r="H32" s="89">
        <v>10</v>
      </c>
      <c r="I32" s="85" t="s">
        <v>361</v>
      </c>
      <c r="J32" s="116" t="s">
        <v>169</v>
      </c>
      <c r="K32" s="131"/>
      <c r="L32" s="131"/>
      <c r="M32" s="131" t="str">
        <f t="shared" si="15"/>
        <v/>
      </c>
      <c r="N32" s="131" t="str">
        <f t="shared" si="11"/>
        <v/>
      </c>
      <c r="O32" s="201"/>
      <c r="P32" s="201"/>
      <c r="Q32" s="202" t="str">
        <f t="shared" si="16"/>
        <v/>
      </c>
      <c r="R32" s="211" t="str">
        <f t="shared" si="12"/>
        <v/>
      </c>
      <c r="S32" s="197" t="str">
        <f t="shared" si="17"/>
        <v/>
      </c>
      <c r="T32" s="198"/>
      <c r="U32" s="131"/>
      <c r="V32" s="131"/>
      <c r="W32" s="131" t="str">
        <f t="shared" si="13"/>
        <v/>
      </c>
      <c r="X32" s="131" t="str">
        <f t="shared" si="3"/>
        <v/>
      </c>
      <c r="Y32" s="201"/>
      <c r="Z32" s="201"/>
      <c r="AA32" s="202" t="str">
        <f t="shared" si="4"/>
        <v/>
      </c>
      <c r="AB32" s="209" t="str">
        <f t="shared" si="5"/>
        <v/>
      </c>
      <c r="AC32" s="197" t="str">
        <f t="shared" si="6"/>
        <v/>
      </c>
      <c r="AD32" s="198"/>
      <c r="AE32" s="142"/>
      <c r="AF32" s="131"/>
      <c r="AG32" s="131" t="str">
        <f t="shared" si="18"/>
        <v/>
      </c>
      <c r="AH32" s="131"/>
      <c r="AI32" s="201"/>
      <c r="AJ32" s="202"/>
      <c r="AK32" s="203" t="str">
        <f t="shared" si="8"/>
        <v/>
      </c>
      <c r="AL32" s="204"/>
      <c r="AM32" s="197"/>
      <c r="AN32" s="198"/>
      <c r="AO32" s="142"/>
      <c r="AP32" s="131"/>
      <c r="AQ32" s="131"/>
      <c r="AR32" s="131"/>
      <c r="AS32" s="201"/>
      <c r="AT32" s="202"/>
      <c r="AU32" s="203"/>
      <c r="AV32" s="204"/>
      <c r="AW32" s="197"/>
      <c r="AX32" s="311"/>
      <c r="AY32" s="23"/>
      <c r="AZ32" s="142"/>
      <c r="BA32" s="131"/>
      <c r="BB32" s="131"/>
      <c r="BC32" s="131"/>
      <c r="BD32" s="201"/>
      <c r="BE32" s="202"/>
      <c r="BF32" s="203"/>
      <c r="BG32" s="204"/>
      <c r="BH32" s="197"/>
      <c r="BI32" s="198"/>
      <c r="BJ32" s="23"/>
      <c r="BK32" s="275"/>
      <c r="BL32" s="276"/>
      <c r="BM32" s="131"/>
      <c r="BN32" s="131"/>
      <c r="BO32" s="201"/>
      <c r="BP32" s="202"/>
      <c r="BQ32" s="203"/>
      <c r="BR32" s="204"/>
      <c r="BS32" s="197"/>
      <c r="BT32" s="198"/>
      <c r="BU32" s="23"/>
      <c r="BV32" s="275"/>
      <c r="BW32" s="276"/>
      <c r="BX32" s="131" t="str">
        <f t="shared" si="19"/>
        <v/>
      </c>
      <c r="BY32" s="131"/>
      <c r="BZ32" s="201"/>
      <c r="CA32" s="202"/>
      <c r="CB32" s="203" t="str">
        <f t="shared" si="10"/>
        <v/>
      </c>
      <c r="CC32" s="204"/>
      <c r="CD32" s="197"/>
      <c r="CE32" s="198"/>
      <c r="CF32" s="23"/>
      <c r="CG32" s="23"/>
      <c r="CH32" s="23"/>
      <c r="CI32" s="23"/>
      <c r="CJ32" s="23"/>
      <c r="CK32" s="23"/>
      <c r="CL32" s="23"/>
      <c r="CM32" s="23"/>
      <c r="CN32" s="23"/>
      <c r="CO32" s="23"/>
    </row>
    <row r="33" spans="1:93" ht="20" customHeight="1" x14ac:dyDescent="0.2">
      <c r="A33" s="60"/>
      <c r="B33" s="24"/>
      <c r="C33" s="24" t="s">
        <v>85</v>
      </c>
      <c r="D33" s="23" t="s">
        <v>539</v>
      </c>
      <c r="E33" s="23" t="s">
        <v>540</v>
      </c>
      <c r="F33" s="24">
        <v>2010</v>
      </c>
      <c r="H33" s="89">
        <v>8</v>
      </c>
      <c r="I33" s="85" t="s">
        <v>214</v>
      </c>
      <c r="J33" s="116" t="s">
        <v>169</v>
      </c>
      <c r="K33" s="131">
        <v>26.6</v>
      </c>
      <c r="L33" s="131">
        <v>15</v>
      </c>
      <c r="M33" s="131">
        <f t="shared" si="15"/>
        <v>-11.600000000000001</v>
      </c>
      <c r="N33" s="131">
        <f t="shared" si="11"/>
        <v>-43.609022556390975</v>
      </c>
      <c r="O33" s="201">
        <v>26.6</v>
      </c>
      <c r="P33" s="201">
        <v>17.3</v>
      </c>
      <c r="Q33" s="202">
        <f t="shared" si="16"/>
        <v>-9.3000000000000007</v>
      </c>
      <c r="R33" s="211">
        <f t="shared" si="12"/>
        <v>-34.962406015037601</v>
      </c>
      <c r="S33" s="197">
        <f t="shared" si="17"/>
        <v>-2.3000000000000007</v>
      </c>
      <c r="T33" s="198"/>
      <c r="U33" s="131">
        <v>402.2</v>
      </c>
      <c r="V33" s="131">
        <v>417</v>
      </c>
      <c r="W33" s="131">
        <f t="shared" si="13"/>
        <v>14.800000000000011</v>
      </c>
      <c r="X33" s="131">
        <f t="shared" si="3"/>
        <v>3.6797613127797177</v>
      </c>
      <c r="Y33" s="201">
        <v>402.2</v>
      </c>
      <c r="Z33" s="201">
        <v>378.8</v>
      </c>
      <c r="AA33" s="202">
        <f t="shared" si="4"/>
        <v>-23.399999999999977</v>
      </c>
      <c r="AB33" s="209">
        <f t="shared" si="5"/>
        <v>-5.818000994530081</v>
      </c>
      <c r="AC33" s="197">
        <f t="shared" si="6"/>
        <v>38.199999999999989</v>
      </c>
      <c r="AD33" s="198"/>
      <c r="AE33" s="142"/>
      <c r="AF33" s="131"/>
      <c r="AG33" s="131" t="str">
        <f t="shared" si="18"/>
        <v/>
      </c>
      <c r="AH33" s="131"/>
      <c r="AI33" s="201"/>
      <c r="AJ33" s="202"/>
      <c r="AK33" s="203" t="str">
        <f t="shared" si="8"/>
        <v/>
      </c>
      <c r="AL33" s="204"/>
      <c r="AM33" s="197"/>
      <c r="AN33" s="198"/>
      <c r="AO33" s="142">
        <v>19.5</v>
      </c>
      <c r="AP33" s="131">
        <v>13.3</v>
      </c>
      <c r="AQ33" s="131">
        <f>AO33-AP33</f>
        <v>6.1999999999999993</v>
      </c>
      <c r="AR33" s="131"/>
      <c r="AS33" s="201">
        <v>19.5</v>
      </c>
      <c r="AT33" s="202">
        <v>23</v>
      </c>
      <c r="AU33" s="203">
        <f>AS33-AT33</f>
        <v>-3.5</v>
      </c>
      <c r="AV33" s="204"/>
      <c r="AW33" s="197"/>
      <c r="AX33" s="311"/>
      <c r="AY33" s="23"/>
      <c r="AZ33" s="142"/>
      <c r="BA33" s="131"/>
      <c r="BB33" s="131"/>
      <c r="BC33" s="131"/>
      <c r="BD33" s="201"/>
      <c r="BE33" s="202"/>
      <c r="BF33" s="203"/>
      <c r="BG33" s="204"/>
      <c r="BH33" s="197"/>
      <c r="BI33" s="198"/>
      <c r="BJ33" s="23"/>
      <c r="BK33" s="275"/>
      <c r="BL33" s="276"/>
      <c r="BM33" s="131"/>
      <c r="BN33" s="131"/>
      <c r="BO33" s="201"/>
      <c r="BP33" s="202"/>
      <c r="BQ33" s="203"/>
      <c r="BR33" s="204"/>
      <c r="BS33" s="197"/>
      <c r="BT33" s="198"/>
      <c r="BU33" s="23"/>
      <c r="BV33" s="281">
        <v>79.5</v>
      </c>
      <c r="BW33" s="282">
        <v>86.4</v>
      </c>
      <c r="BX33" s="131">
        <f t="shared" si="19"/>
        <v>6.9000000000000057</v>
      </c>
      <c r="BY33" s="131"/>
      <c r="BZ33" s="201">
        <v>79.5</v>
      </c>
      <c r="CA33" s="202">
        <v>76.400000000000006</v>
      </c>
      <c r="CB33" s="203">
        <f t="shared" si="10"/>
        <v>-3.0999999999999943</v>
      </c>
      <c r="CC33" s="204"/>
      <c r="CD33" s="197"/>
      <c r="CE33" s="198"/>
      <c r="CF33" s="23"/>
      <c r="CG33" s="23"/>
      <c r="CH33" s="23"/>
      <c r="CI33" s="23"/>
      <c r="CJ33" s="23"/>
      <c r="CK33" s="23"/>
      <c r="CL33" s="23"/>
      <c r="CM33" s="23"/>
      <c r="CN33" s="23"/>
      <c r="CO33" s="23"/>
    </row>
    <row r="34" spans="1:93" ht="20" customHeight="1" x14ac:dyDescent="0.2">
      <c r="A34" s="60"/>
      <c r="B34" s="24"/>
      <c r="C34" s="24" t="s">
        <v>85</v>
      </c>
      <c r="D34" s="23" t="s">
        <v>541</v>
      </c>
      <c r="E34" s="23" t="s">
        <v>542</v>
      </c>
      <c r="F34" s="24">
        <v>1998</v>
      </c>
      <c r="H34" s="89">
        <v>9</v>
      </c>
      <c r="I34" s="85" t="s">
        <v>543</v>
      </c>
      <c r="J34" s="116" t="s">
        <v>169</v>
      </c>
      <c r="K34" s="131">
        <v>42.1</v>
      </c>
      <c r="L34" s="131">
        <v>19.100000000000001</v>
      </c>
      <c r="M34" s="131">
        <f t="shared" si="15"/>
        <v>-23</v>
      </c>
      <c r="N34" s="131">
        <f t="shared" si="11"/>
        <v>-54.631828978622323</v>
      </c>
      <c r="O34" s="201"/>
      <c r="P34" s="201"/>
      <c r="Q34" s="202" t="str">
        <f t="shared" si="16"/>
        <v/>
      </c>
      <c r="R34" s="211" t="str">
        <f t="shared" si="12"/>
        <v/>
      </c>
      <c r="S34" s="197" t="str">
        <f t="shared" si="17"/>
        <v/>
      </c>
      <c r="T34" s="198"/>
      <c r="U34" s="131">
        <v>450</v>
      </c>
      <c r="V34" s="131">
        <v>479</v>
      </c>
      <c r="W34" s="131">
        <f t="shared" si="13"/>
        <v>29</v>
      </c>
      <c r="X34" s="131">
        <f t="shared" si="3"/>
        <v>6.4444444444444571</v>
      </c>
      <c r="Y34" s="201"/>
      <c r="Z34" s="201"/>
      <c r="AA34" s="202" t="str">
        <f t="shared" si="4"/>
        <v/>
      </c>
      <c r="AB34" s="209" t="str">
        <f t="shared" si="5"/>
        <v/>
      </c>
      <c r="AC34" s="197" t="str">
        <f t="shared" si="6"/>
        <v/>
      </c>
      <c r="AD34" s="198"/>
      <c r="AE34" s="142">
        <v>14.9</v>
      </c>
      <c r="AF34" s="131">
        <v>13.3</v>
      </c>
      <c r="AG34" s="131">
        <f t="shared" si="18"/>
        <v>-1.5999999999999996</v>
      </c>
      <c r="AH34" s="131"/>
      <c r="AI34" s="201"/>
      <c r="AJ34" s="202"/>
      <c r="AK34" s="203" t="str">
        <f t="shared" si="8"/>
        <v/>
      </c>
      <c r="AL34" s="204"/>
      <c r="AM34" s="197"/>
      <c r="AN34" s="198"/>
      <c r="AO34" s="142"/>
      <c r="AP34" s="131"/>
      <c r="AQ34" s="131"/>
      <c r="AR34" s="131"/>
      <c r="AS34" s="201"/>
      <c r="AT34" s="202"/>
      <c r="AU34" s="203"/>
      <c r="AV34" s="204"/>
      <c r="AW34" s="197"/>
      <c r="AX34" s="311"/>
      <c r="AY34" s="23"/>
      <c r="AZ34" s="142"/>
      <c r="BA34" s="131"/>
      <c r="BB34" s="131"/>
      <c r="BC34" s="131"/>
      <c r="BD34" s="201"/>
      <c r="BE34" s="202"/>
      <c r="BF34" s="203"/>
      <c r="BG34" s="204"/>
      <c r="BH34" s="197"/>
      <c r="BI34" s="198"/>
      <c r="BJ34" s="23"/>
      <c r="BK34" s="275"/>
      <c r="BL34" s="276"/>
      <c r="BM34" s="131"/>
      <c r="BN34" s="131"/>
      <c r="BO34" s="201"/>
      <c r="BP34" s="202"/>
      <c r="BQ34" s="203"/>
      <c r="BR34" s="204"/>
      <c r="BS34" s="197"/>
      <c r="BT34" s="198"/>
      <c r="BU34" s="23"/>
      <c r="BV34" s="142">
        <v>68</v>
      </c>
      <c r="BW34" s="282">
        <v>72.27</v>
      </c>
      <c r="BX34" s="131">
        <f t="shared" si="19"/>
        <v>4.269999999999996</v>
      </c>
      <c r="BY34" s="131"/>
      <c r="BZ34" s="201"/>
      <c r="CA34" s="202"/>
      <c r="CB34" s="203" t="str">
        <f t="shared" si="10"/>
        <v/>
      </c>
      <c r="CC34" s="204"/>
      <c r="CD34" s="197"/>
      <c r="CE34" s="198"/>
      <c r="CF34" s="23"/>
      <c r="CG34" s="23"/>
      <c r="CH34" s="23"/>
      <c r="CI34" s="23"/>
      <c r="CJ34" s="23"/>
      <c r="CK34" s="23"/>
      <c r="CL34" s="23"/>
      <c r="CM34" s="23"/>
      <c r="CN34" s="23"/>
      <c r="CO34" s="23"/>
    </row>
    <row r="35" spans="1:93" ht="20" customHeight="1" x14ac:dyDescent="0.2">
      <c r="A35" s="61"/>
      <c r="B35" s="24"/>
      <c r="C35" s="24" t="s">
        <v>85</v>
      </c>
      <c r="D35" s="23" t="s">
        <v>105</v>
      </c>
      <c r="E35" s="23" t="s">
        <v>106</v>
      </c>
      <c r="F35" s="24">
        <v>1989</v>
      </c>
      <c r="G35" s="24">
        <v>27</v>
      </c>
      <c r="H35" s="89"/>
      <c r="I35" s="85" t="s">
        <v>209</v>
      </c>
      <c r="J35" s="116" t="s">
        <v>178</v>
      </c>
      <c r="K35" s="131"/>
      <c r="L35" s="131"/>
      <c r="M35" s="131" t="str">
        <f t="shared" si="15"/>
        <v/>
      </c>
      <c r="N35" s="131" t="str">
        <f t="shared" si="11"/>
        <v/>
      </c>
      <c r="O35" s="201"/>
      <c r="P35" s="201"/>
      <c r="Q35" s="202" t="str">
        <f t="shared" si="16"/>
        <v/>
      </c>
      <c r="R35" s="211" t="str">
        <f t="shared" si="12"/>
        <v/>
      </c>
      <c r="S35" s="197" t="str">
        <f t="shared" si="17"/>
        <v/>
      </c>
      <c r="T35" s="198"/>
      <c r="U35" s="131"/>
      <c r="V35" s="131"/>
      <c r="W35" s="131" t="str">
        <f t="shared" si="13"/>
        <v/>
      </c>
      <c r="X35" s="131" t="str">
        <f t="shared" si="3"/>
        <v/>
      </c>
      <c r="Y35" s="201"/>
      <c r="Z35" s="201"/>
      <c r="AA35" s="202" t="str">
        <f t="shared" si="4"/>
        <v/>
      </c>
      <c r="AB35" s="209" t="str">
        <f t="shared" si="5"/>
        <v/>
      </c>
      <c r="AC35" s="197" t="str">
        <f t="shared" si="6"/>
        <v/>
      </c>
      <c r="AD35" s="198"/>
      <c r="AE35" s="142"/>
      <c r="AF35" s="131"/>
      <c r="AG35" s="131" t="str">
        <f t="shared" si="18"/>
        <v/>
      </c>
      <c r="AH35" s="131"/>
      <c r="AI35" s="201"/>
      <c r="AJ35" s="202"/>
      <c r="AK35" s="203" t="str">
        <f t="shared" si="8"/>
        <v/>
      </c>
      <c r="AL35" s="204"/>
      <c r="AM35" s="197"/>
      <c r="AN35" s="198"/>
      <c r="AO35" s="142"/>
      <c r="AP35" s="131"/>
      <c r="AQ35" s="131"/>
      <c r="AR35" s="131"/>
      <c r="AS35" s="201"/>
      <c r="AT35" s="202"/>
      <c r="AU35" s="203"/>
      <c r="AV35" s="204"/>
      <c r="AW35" s="197"/>
      <c r="AX35" s="311"/>
      <c r="AY35" s="23"/>
      <c r="AZ35" s="142"/>
      <c r="BA35" s="131"/>
      <c r="BB35" s="131"/>
      <c r="BC35" s="131"/>
      <c r="BD35" s="201"/>
      <c r="BE35" s="202"/>
      <c r="BF35" s="203"/>
      <c r="BG35" s="204"/>
      <c r="BH35" s="197"/>
      <c r="BI35" s="198"/>
      <c r="BJ35" s="23"/>
      <c r="BK35" s="275"/>
      <c r="BL35" s="276"/>
      <c r="BM35" s="131"/>
      <c r="BN35" s="131"/>
      <c r="BO35" s="201"/>
      <c r="BP35" s="202"/>
      <c r="BQ35" s="203"/>
      <c r="BR35" s="204"/>
      <c r="BS35" s="197"/>
      <c r="BT35" s="198"/>
      <c r="BU35" s="23"/>
      <c r="BV35" s="275"/>
      <c r="BW35" s="276"/>
      <c r="BX35" s="131" t="str">
        <f t="shared" si="19"/>
        <v/>
      </c>
      <c r="BY35" s="131"/>
      <c r="BZ35" s="201"/>
      <c r="CA35" s="202"/>
      <c r="CB35" s="203" t="str">
        <f t="shared" si="10"/>
        <v/>
      </c>
      <c r="CC35" s="204"/>
      <c r="CD35" s="197"/>
      <c r="CE35" s="198"/>
      <c r="CF35" s="23"/>
      <c r="CG35" s="23"/>
      <c r="CH35" s="23"/>
      <c r="CI35" s="23"/>
      <c r="CJ35" s="23"/>
      <c r="CK35" s="23"/>
      <c r="CL35" s="23"/>
      <c r="CM35" s="23"/>
      <c r="CN35" s="23"/>
      <c r="CO35" s="23"/>
    </row>
    <row r="36" spans="1:93" ht="20" customHeight="1" x14ac:dyDescent="0.2">
      <c r="A36" s="60"/>
      <c r="B36" s="83"/>
      <c r="C36" s="24" t="s">
        <v>85</v>
      </c>
      <c r="D36" s="23" t="s">
        <v>313</v>
      </c>
      <c r="E36" s="23" t="s">
        <v>314</v>
      </c>
      <c r="F36" s="24">
        <v>2012</v>
      </c>
      <c r="H36" s="89"/>
      <c r="I36" s="85" t="s">
        <v>370</v>
      </c>
      <c r="J36" s="116" t="s">
        <v>210</v>
      </c>
      <c r="K36" s="131"/>
      <c r="L36" s="131">
        <v>7</v>
      </c>
      <c r="M36" s="131" t="str">
        <f t="shared" si="15"/>
        <v/>
      </c>
      <c r="N36" s="131" t="str">
        <f t="shared" si="11"/>
        <v/>
      </c>
      <c r="O36" s="201"/>
      <c r="P36" s="201">
        <v>15</v>
      </c>
      <c r="Q36" s="202" t="str">
        <f t="shared" si="16"/>
        <v/>
      </c>
      <c r="R36" s="211" t="str">
        <f t="shared" si="12"/>
        <v/>
      </c>
      <c r="S36" s="197" t="str">
        <f t="shared" si="17"/>
        <v/>
      </c>
      <c r="T36" s="198"/>
      <c r="U36" s="131"/>
      <c r="V36" s="131">
        <v>424</v>
      </c>
      <c r="W36" s="131" t="str">
        <f t="shared" si="13"/>
        <v/>
      </c>
      <c r="X36" s="131" t="str">
        <f t="shared" si="3"/>
        <v/>
      </c>
      <c r="Y36" s="201"/>
      <c r="Z36" s="201">
        <v>387</v>
      </c>
      <c r="AA36" s="202" t="str">
        <f t="shared" si="4"/>
        <v/>
      </c>
      <c r="AB36" s="209" t="str">
        <f t="shared" si="5"/>
        <v/>
      </c>
      <c r="AC36" s="197" t="str">
        <f t="shared" si="6"/>
        <v/>
      </c>
      <c r="AD36" s="198"/>
      <c r="AE36" s="142"/>
      <c r="AF36" s="131"/>
      <c r="AG36" s="131" t="str">
        <f t="shared" si="18"/>
        <v/>
      </c>
      <c r="AH36" s="131"/>
      <c r="AI36" s="201"/>
      <c r="AJ36" s="202"/>
      <c r="AK36" s="203" t="str">
        <f t="shared" si="8"/>
        <v/>
      </c>
      <c r="AL36" s="204"/>
      <c r="AM36" s="197"/>
      <c r="AN36" s="198"/>
      <c r="AO36" s="142"/>
      <c r="AP36" s="131"/>
      <c r="AQ36" s="131"/>
      <c r="AR36" s="131"/>
      <c r="AS36" s="201"/>
      <c r="AT36" s="202"/>
      <c r="AU36" s="203"/>
      <c r="AV36" s="204"/>
      <c r="AW36" s="197"/>
      <c r="AX36" s="311"/>
      <c r="AY36" s="23"/>
      <c r="AZ36" s="142"/>
      <c r="BA36" s="131"/>
      <c r="BB36" s="131"/>
      <c r="BC36" s="131"/>
      <c r="BD36" s="201"/>
      <c r="BE36" s="202"/>
      <c r="BF36" s="203"/>
      <c r="BG36" s="204"/>
      <c r="BH36" s="197"/>
      <c r="BI36" s="198"/>
      <c r="BJ36" s="23"/>
      <c r="BK36" s="275"/>
      <c r="BL36" s="276"/>
      <c r="BM36" s="131"/>
      <c r="BN36" s="131"/>
      <c r="BO36" s="201"/>
      <c r="BP36" s="202"/>
      <c r="BQ36" s="203"/>
      <c r="BR36" s="204"/>
      <c r="BS36" s="197"/>
      <c r="BT36" s="198"/>
      <c r="BU36" s="23"/>
      <c r="BV36" s="275"/>
      <c r="BW36" s="282">
        <v>88.1</v>
      </c>
      <c r="BX36" s="131" t="str">
        <f t="shared" si="19"/>
        <v/>
      </c>
      <c r="BY36" s="131"/>
      <c r="BZ36" s="201"/>
      <c r="CA36" s="202">
        <v>80.5</v>
      </c>
      <c r="CB36" s="203" t="str">
        <f t="shared" si="10"/>
        <v/>
      </c>
      <c r="CC36" s="204"/>
      <c r="CD36" s="197"/>
      <c r="CE36" s="198">
        <v>7.6</v>
      </c>
      <c r="CF36" s="23" t="s">
        <v>544</v>
      </c>
      <c r="CG36" s="23"/>
      <c r="CH36" s="23"/>
      <c r="CI36" s="23"/>
      <c r="CJ36" s="23"/>
      <c r="CK36" s="23"/>
      <c r="CL36" s="23"/>
      <c r="CM36" s="23"/>
      <c r="CN36" s="23"/>
      <c r="CO36" s="23"/>
    </row>
    <row r="37" spans="1:93" ht="20" customHeight="1" x14ac:dyDescent="0.2">
      <c r="A37" s="61"/>
      <c r="B37" s="24"/>
      <c r="C37" s="24" t="s">
        <v>85</v>
      </c>
      <c r="D37" s="23" t="s">
        <v>127</v>
      </c>
      <c r="E37" s="23" t="s">
        <v>128</v>
      </c>
      <c r="F37" s="24">
        <v>2000</v>
      </c>
      <c r="G37" s="24">
        <v>252</v>
      </c>
      <c r="H37" s="89">
        <v>30</v>
      </c>
      <c r="I37" s="85" t="s">
        <v>218</v>
      </c>
      <c r="J37" s="116" t="s">
        <v>169</v>
      </c>
      <c r="K37" s="131"/>
      <c r="L37" s="131"/>
      <c r="M37" s="131" t="str">
        <f t="shared" si="15"/>
        <v/>
      </c>
      <c r="N37" s="131" t="str">
        <f t="shared" si="11"/>
        <v/>
      </c>
      <c r="O37" s="201"/>
      <c r="P37" s="201"/>
      <c r="Q37" s="202" t="str">
        <f t="shared" si="16"/>
        <v/>
      </c>
      <c r="R37" s="211" t="str">
        <f t="shared" si="12"/>
        <v/>
      </c>
      <c r="S37" s="197" t="str">
        <f t="shared" si="17"/>
        <v/>
      </c>
      <c r="T37" s="198"/>
      <c r="U37" s="131"/>
      <c r="V37" s="131"/>
      <c r="W37" s="131" t="str">
        <f t="shared" si="13"/>
        <v/>
      </c>
      <c r="X37" s="131" t="str">
        <f t="shared" si="3"/>
        <v/>
      </c>
      <c r="Y37" s="201"/>
      <c r="Z37" s="201"/>
      <c r="AA37" s="202" t="str">
        <f t="shared" si="4"/>
        <v/>
      </c>
      <c r="AB37" s="209" t="str">
        <f t="shared" si="5"/>
        <v/>
      </c>
      <c r="AC37" s="197" t="str">
        <f t="shared" si="6"/>
        <v/>
      </c>
      <c r="AD37" s="198"/>
      <c r="AE37" s="142"/>
      <c r="AF37" s="131"/>
      <c r="AG37" s="131" t="str">
        <f t="shared" si="18"/>
        <v/>
      </c>
      <c r="AH37" s="131"/>
      <c r="AI37" s="201"/>
      <c r="AJ37" s="202"/>
      <c r="AK37" s="203" t="str">
        <f t="shared" si="8"/>
        <v/>
      </c>
      <c r="AL37" s="204"/>
      <c r="AM37" s="197"/>
      <c r="AN37" s="198"/>
      <c r="AO37" s="142"/>
      <c r="AP37" s="131"/>
      <c r="AQ37" s="131"/>
      <c r="AR37" s="131"/>
      <c r="AS37" s="201"/>
      <c r="AT37" s="202"/>
      <c r="AU37" s="203"/>
      <c r="AV37" s="204"/>
      <c r="AW37" s="197"/>
      <c r="AX37" s="311"/>
      <c r="AY37" s="23"/>
      <c r="AZ37" s="142"/>
      <c r="BA37" s="131"/>
      <c r="BB37" s="131"/>
      <c r="BC37" s="131"/>
      <c r="BD37" s="201"/>
      <c r="BE37" s="202"/>
      <c r="BF37" s="203"/>
      <c r="BG37" s="204"/>
      <c r="BH37" s="197"/>
      <c r="BI37" s="198"/>
      <c r="BJ37" s="23"/>
      <c r="BK37" s="275"/>
      <c r="BL37" s="276"/>
      <c r="BM37" s="131"/>
      <c r="BN37" s="131"/>
      <c r="BO37" s="201"/>
      <c r="BP37" s="202"/>
      <c r="BQ37" s="203"/>
      <c r="BR37" s="204"/>
      <c r="BS37" s="197"/>
      <c r="BT37" s="198"/>
      <c r="BU37" s="23"/>
      <c r="BV37" s="275"/>
      <c r="BW37" s="276"/>
      <c r="BX37" s="131" t="str">
        <f t="shared" si="19"/>
        <v/>
      </c>
      <c r="BY37" s="131"/>
      <c r="BZ37" s="201"/>
      <c r="CA37" s="202"/>
      <c r="CB37" s="203" t="str">
        <f t="shared" si="10"/>
        <v/>
      </c>
      <c r="CC37" s="204"/>
      <c r="CD37" s="197"/>
      <c r="CE37" s="198"/>
      <c r="CF37" s="23"/>
      <c r="CG37" s="23"/>
      <c r="CH37" s="23"/>
      <c r="CI37" s="23"/>
      <c r="CJ37" s="23"/>
      <c r="CK37" s="23"/>
      <c r="CL37" s="23"/>
      <c r="CM37" s="23"/>
      <c r="CN37" s="23"/>
      <c r="CO37" s="23"/>
    </row>
    <row r="38" spans="1:93" ht="20" customHeight="1" x14ac:dyDescent="0.2">
      <c r="A38" s="61"/>
      <c r="B38" s="83"/>
      <c r="C38" s="24" t="s">
        <v>85</v>
      </c>
      <c r="D38" s="23" t="s">
        <v>545</v>
      </c>
      <c r="E38" s="23" t="s">
        <v>546</v>
      </c>
      <c r="F38" s="24">
        <v>2010</v>
      </c>
      <c r="H38" s="89"/>
      <c r="I38" s="85" t="s">
        <v>185</v>
      </c>
      <c r="J38" s="116" t="s">
        <v>169</v>
      </c>
      <c r="K38" s="131"/>
      <c r="L38" s="131"/>
      <c r="M38" s="131" t="str">
        <f t="shared" si="15"/>
        <v/>
      </c>
      <c r="N38" s="131" t="str">
        <f t="shared" si="11"/>
        <v/>
      </c>
      <c r="O38" s="201"/>
      <c r="P38" s="201"/>
      <c r="Q38" s="202" t="str">
        <f t="shared" si="16"/>
        <v/>
      </c>
      <c r="R38" s="211" t="str">
        <f t="shared" si="12"/>
        <v/>
      </c>
      <c r="S38" s="197" t="str">
        <f t="shared" si="17"/>
        <v/>
      </c>
      <c r="T38" s="198"/>
      <c r="U38" s="131"/>
      <c r="V38" s="131"/>
      <c r="W38" s="131" t="str">
        <f t="shared" si="13"/>
        <v/>
      </c>
      <c r="X38" s="131" t="str">
        <f t="shared" si="3"/>
        <v/>
      </c>
      <c r="Y38" s="201"/>
      <c r="Z38" s="201"/>
      <c r="AA38" s="202" t="str">
        <f t="shared" si="4"/>
        <v/>
      </c>
      <c r="AB38" s="209" t="str">
        <f t="shared" si="5"/>
        <v/>
      </c>
      <c r="AC38" s="197" t="str">
        <f t="shared" si="6"/>
        <v/>
      </c>
      <c r="AD38" s="198"/>
      <c r="AE38" s="142"/>
      <c r="AF38" s="131"/>
      <c r="AG38" s="131" t="str">
        <f t="shared" si="18"/>
        <v/>
      </c>
      <c r="AH38" s="131"/>
      <c r="AI38" s="201"/>
      <c r="AJ38" s="202"/>
      <c r="AK38" s="203" t="str">
        <f t="shared" si="8"/>
        <v/>
      </c>
      <c r="AL38" s="204"/>
      <c r="AM38" s="197"/>
      <c r="AN38" s="198"/>
      <c r="AO38" s="142"/>
      <c r="AP38" s="131"/>
      <c r="AQ38" s="131"/>
      <c r="AR38" s="131"/>
      <c r="AS38" s="201"/>
      <c r="AT38" s="202"/>
      <c r="AU38" s="203"/>
      <c r="AV38" s="204"/>
      <c r="AW38" s="197"/>
      <c r="AX38" s="311"/>
      <c r="AY38" s="23"/>
      <c r="AZ38" s="142"/>
      <c r="BA38" s="131"/>
      <c r="BB38" s="131"/>
      <c r="BC38" s="131"/>
      <c r="BD38" s="201"/>
      <c r="BE38" s="202"/>
      <c r="BF38" s="203"/>
      <c r="BG38" s="204"/>
      <c r="BH38" s="197"/>
      <c r="BI38" s="198"/>
      <c r="BJ38" s="23"/>
      <c r="BK38" s="275"/>
      <c r="BL38" s="276"/>
      <c r="BM38" s="131"/>
      <c r="BN38" s="131"/>
      <c r="BO38" s="201"/>
      <c r="BP38" s="202"/>
      <c r="BQ38" s="203"/>
      <c r="BR38" s="204"/>
      <c r="BS38" s="197"/>
      <c r="BT38" s="198"/>
      <c r="BU38" s="23"/>
      <c r="BV38" s="275"/>
      <c r="BW38" s="276"/>
      <c r="BX38" s="131" t="str">
        <f t="shared" si="19"/>
        <v/>
      </c>
      <c r="BY38" s="131"/>
      <c r="BZ38" s="201"/>
      <c r="CA38" s="202"/>
      <c r="CB38" s="203" t="str">
        <f t="shared" si="10"/>
        <v/>
      </c>
      <c r="CC38" s="204"/>
      <c r="CD38" s="197"/>
      <c r="CE38" s="198"/>
      <c r="CF38" s="23"/>
      <c r="CG38" s="23"/>
      <c r="CH38" s="23"/>
      <c r="CI38" s="23"/>
      <c r="CJ38" s="23"/>
      <c r="CK38" s="23"/>
      <c r="CL38" s="23"/>
      <c r="CM38" s="23"/>
      <c r="CN38" s="23"/>
      <c r="CO38" s="23"/>
    </row>
    <row r="39" spans="1:93" ht="20" customHeight="1" x14ac:dyDescent="0.2">
      <c r="A39" s="61"/>
      <c r="B39" s="82"/>
      <c r="C39" s="24" t="s">
        <v>85</v>
      </c>
      <c r="D39" s="23" t="s">
        <v>133</v>
      </c>
      <c r="E39" s="23" t="s">
        <v>134</v>
      </c>
      <c r="F39" s="24">
        <v>2001</v>
      </c>
      <c r="G39" s="24">
        <v>192</v>
      </c>
      <c r="H39" s="89"/>
      <c r="I39" s="85" t="s">
        <v>176</v>
      </c>
      <c r="J39" s="116" t="s">
        <v>169</v>
      </c>
      <c r="K39" s="131"/>
      <c r="L39" s="131"/>
      <c r="M39" s="131" t="str">
        <f t="shared" si="15"/>
        <v/>
      </c>
      <c r="N39" s="131" t="str">
        <f t="shared" si="11"/>
        <v/>
      </c>
      <c r="O39" s="201"/>
      <c r="P39" s="201"/>
      <c r="Q39" s="202" t="str">
        <f t="shared" si="16"/>
        <v/>
      </c>
      <c r="R39" s="211" t="str">
        <f t="shared" si="12"/>
        <v/>
      </c>
      <c r="S39" s="197" t="str">
        <f t="shared" si="17"/>
        <v/>
      </c>
      <c r="T39" s="198"/>
      <c r="U39" s="131"/>
      <c r="V39" s="131"/>
      <c r="W39" s="131" t="str">
        <f t="shared" si="13"/>
        <v/>
      </c>
      <c r="X39" s="131" t="str">
        <f t="shared" si="3"/>
        <v/>
      </c>
      <c r="Y39" s="201"/>
      <c r="Z39" s="201"/>
      <c r="AA39" s="202" t="str">
        <f t="shared" si="4"/>
        <v/>
      </c>
      <c r="AB39" s="209" t="str">
        <f t="shared" si="5"/>
        <v/>
      </c>
      <c r="AC39" s="197" t="str">
        <f t="shared" si="6"/>
        <v/>
      </c>
      <c r="AD39" s="198"/>
      <c r="AE39" s="142"/>
      <c r="AF39" s="131"/>
      <c r="AG39" s="131" t="str">
        <f t="shared" si="18"/>
        <v/>
      </c>
      <c r="AH39" s="131"/>
      <c r="AI39" s="201"/>
      <c r="AJ39" s="202"/>
      <c r="AK39" s="203" t="str">
        <f t="shared" si="8"/>
        <v/>
      </c>
      <c r="AL39" s="204"/>
      <c r="AM39" s="197"/>
      <c r="AN39" s="198"/>
      <c r="AO39" s="142"/>
      <c r="AP39" s="131"/>
      <c r="AQ39" s="131"/>
      <c r="AR39" s="131"/>
      <c r="AS39" s="201"/>
      <c r="AT39" s="202"/>
      <c r="AU39" s="203"/>
      <c r="AV39" s="204"/>
      <c r="AW39" s="197"/>
      <c r="AX39" s="311"/>
      <c r="AY39" s="23"/>
      <c r="AZ39" s="142"/>
      <c r="BA39" s="131"/>
      <c r="BB39" s="131"/>
      <c r="BC39" s="131"/>
      <c r="BD39" s="201"/>
      <c r="BE39" s="202"/>
      <c r="BF39" s="203"/>
      <c r="BG39" s="204"/>
      <c r="BH39" s="197"/>
      <c r="BI39" s="198"/>
      <c r="BJ39" s="23"/>
      <c r="BK39" s="275"/>
      <c r="BL39" s="276"/>
      <c r="BM39" s="131">
        <v>57</v>
      </c>
      <c r="BN39" s="131"/>
      <c r="BO39" s="201"/>
      <c r="BP39" s="202"/>
      <c r="BQ39" s="203"/>
      <c r="BR39" s="204"/>
      <c r="BS39" s="197"/>
      <c r="BT39" s="198"/>
      <c r="BU39" s="23"/>
      <c r="BV39" s="275"/>
      <c r="BW39" s="276"/>
      <c r="BX39" s="131" t="str">
        <f t="shared" si="19"/>
        <v/>
      </c>
      <c r="BY39" s="131"/>
      <c r="BZ39" s="201"/>
      <c r="CA39" s="202"/>
      <c r="CB39" s="203" t="str">
        <f t="shared" si="10"/>
        <v/>
      </c>
      <c r="CC39" s="204"/>
      <c r="CD39" s="197"/>
      <c r="CE39" s="198"/>
      <c r="CF39" s="23"/>
      <c r="CG39" s="23"/>
      <c r="CH39" s="23"/>
      <c r="CI39" s="23"/>
      <c r="CJ39" s="23"/>
      <c r="CK39" s="23"/>
      <c r="CL39" s="23"/>
      <c r="CM39" s="23"/>
      <c r="CN39" s="23"/>
      <c r="CO39" s="23"/>
    </row>
    <row r="40" spans="1:93" ht="20" customHeight="1" x14ac:dyDescent="0.2">
      <c r="A40" s="61"/>
      <c r="B40" s="24"/>
      <c r="C40" s="24" t="s">
        <v>85</v>
      </c>
      <c r="D40" s="23" t="s">
        <v>135</v>
      </c>
      <c r="E40" s="23" t="s">
        <v>136</v>
      </c>
      <c r="F40" s="24">
        <v>2007</v>
      </c>
      <c r="G40" s="24">
        <v>240</v>
      </c>
      <c r="H40" s="89"/>
      <c r="I40" s="85" t="s">
        <v>221</v>
      </c>
      <c r="J40" s="116" t="s">
        <v>169</v>
      </c>
      <c r="K40" s="131"/>
      <c r="L40" s="131"/>
      <c r="M40" s="131" t="str">
        <f t="shared" si="15"/>
        <v/>
      </c>
      <c r="N40" s="131" t="str">
        <f t="shared" si="11"/>
        <v/>
      </c>
      <c r="O40" s="201"/>
      <c r="P40" s="201"/>
      <c r="Q40" s="202" t="str">
        <f t="shared" si="16"/>
        <v/>
      </c>
      <c r="R40" s="211" t="str">
        <f t="shared" si="12"/>
        <v/>
      </c>
      <c r="S40" s="197" t="str">
        <f t="shared" si="17"/>
        <v/>
      </c>
      <c r="T40" s="198"/>
      <c r="U40" s="131"/>
      <c r="V40" s="131"/>
      <c r="W40" s="131" t="str">
        <f t="shared" si="13"/>
        <v/>
      </c>
      <c r="X40" s="131" t="str">
        <f t="shared" si="3"/>
        <v/>
      </c>
      <c r="Y40" s="201"/>
      <c r="Z40" s="201"/>
      <c r="AA40" s="202" t="str">
        <f t="shared" si="4"/>
        <v/>
      </c>
      <c r="AB40" s="209" t="str">
        <f t="shared" si="5"/>
        <v/>
      </c>
      <c r="AC40" s="197" t="str">
        <f t="shared" si="6"/>
        <v/>
      </c>
      <c r="AD40" s="198"/>
      <c r="AE40" s="142"/>
      <c r="AF40" s="131"/>
      <c r="AG40" s="131" t="str">
        <f t="shared" si="18"/>
        <v/>
      </c>
      <c r="AH40" s="131"/>
      <c r="AI40" s="201"/>
      <c r="AJ40" s="202"/>
      <c r="AK40" s="203" t="str">
        <f t="shared" si="8"/>
        <v/>
      </c>
      <c r="AL40" s="204"/>
      <c r="AM40" s="197"/>
      <c r="AN40" s="198"/>
      <c r="AO40" s="142"/>
      <c r="AP40" s="131"/>
      <c r="AQ40" s="131"/>
      <c r="AR40" s="131"/>
      <c r="AS40" s="201"/>
      <c r="AT40" s="202"/>
      <c r="AU40" s="203"/>
      <c r="AV40" s="204"/>
      <c r="AW40" s="197"/>
      <c r="AX40" s="311"/>
      <c r="AY40" s="23"/>
      <c r="AZ40" s="142"/>
      <c r="BA40" s="131"/>
      <c r="BB40" s="131"/>
      <c r="BC40" s="131"/>
      <c r="BD40" s="201"/>
      <c r="BE40" s="202"/>
      <c r="BF40" s="203"/>
      <c r="BG40" s="204"/>
      <c r="BH40" s="197"/>
      <c r="BI40" s="198"/>
      <c r="BJ40" s="23"/>
      <c r="BK40" s="275"/>
      <c r="BL40" s="276"/>
      <c r="BM40" s="131">
        <v>44.4</v>
      </c>
      <c r="BN40" s="131"/>
      <c r="BO40" s="201"/>
      <c r="BP40" s="202"/>
      <c r="BQ40" s="203">
        <v>-12.8</v>
      </c>
      <c r="BR40" s="204"/>
      <c r="BS40" s="197"/>
      <c r="BT40" s="198"/>
      <c r="BU40" s="23"/>
      <c r="BV40" s="275"/>
      <c r="BW40" s="276"/>
      <c r="BX40" s="131" t="str">
        <f t="shared" si="19"/>
        <v/>
      </c>
      <c r="BY40" s="131"/>
      <c r="BZ40" s="201"/>
      <c r="CA40" s="202"/>
      <c r="CB40" s="203" t="str">
        <f t="shared" si="10"/>
        <v/>
      </c>
      <c r="CC40" s="204"/>
      <c r="CD40" s="197"/>
      <c r="CE40" s="198"/>
      <c r="CF40" s="23" t="s">
        <v>451</v>
      </c>
      <c r="CG40" s="23"/>
      <c r="CH40" s="23"/>
      <c r="CI40" s="23"/>
      <c r="CJ40" s="23"/>
      <c r="CK40" s="23"/>
      <c r="CL40" s="23"/>
      <c r="CM40" s="23"/>
      <c r="CN40" s="23"/>
      <c r="CO40" s="23"/>
    </row>
    <row r="41" spans="1:93" ht="20" customHeight="1" x14ac:dyDescent="0.2">
      <c r="A41" s="60"/>
      <c r="B41" s="82"/>
      <c r="C41" s="24" t="s">
        <v>85</v>
      </c>
      <c r="D41" s="23" t="s">
        <v>315</v>
      </c>
      <c r="E41" s="23" t="s">
        <v>316</v>
      </c>
      <c r="F41" s="24">
        <v>2010</v>
      </c>
      <c r="H41" s="89">
        <v>53</v>
      </c>
      <c r="I41" s="111" t="s">
        <v>371</v>
      </c>
      <c r="J41" s="116" t="s">
        <v>410</v>
      </c>
      <c r="K41" s="131"/>
      <c r="L41" s="131"/>
      <c r="M41" s="131" t="str">
        <f t="shared" si="15"/>
        <v/>
      </c>
      <c r="N41" s="131" t="str">
        <f t="shared" si="11"/>
        <v/>
      </c>
      <c r="O41" s="201"/>
      <c r="P41" s="201"/>
      <c r="Q41" s="202" t="str">
        <f t="shared" si="16"/>
        <v/>
      </c>
      <c r="R41" s="211" t="str">
        <f t="shared" si="12"/>
        <v/>
      </c>
      <c r="S41" s="197" t="str">
        <f t="shared" si="17"/>
        <v/>
      </c>
      <c r="T41" s="198"/>
      <c r="U41" s="131"/>
      <c r="V41" s="131"/>
      <c r="W41" s="131" t="str">
        <f t="shared" si="13"/>
        <v/>
      </c>
      <c r="X41" s="131" t="str">
        <f t="shared" si="3"/>
        <v/>
      </c>
      <c r="Y41" s="201"/>
      <c r="Z41" s="201"/>
      <c r="AA41" s="202" t="str">
        <f t="shared" si="4"/>
        <v/>
      </c>
      <c r="AB41" s="209" t="str">
        <f t="shared" si="5"/>
        <v/>
      </c>
      <c r="AC41" s="197" t="str">
        <f t="shared" si="6"/>
        <v/>
      </c>
      <c r="AD41" s="198"/>
      <c r="AE41" s="142"/>
      <c r="AF41" s="131"/>
      <c r="AG41" s="131" t="str">
        <f t="shared" si="18"/>
        <v/>
      </c>
      <c r="AH41" s="131"/>
      <c r="AI41" s="201"/>
      <c r="AJ41" s="202"/>
      <c r="AK41" s="203" t="str">
        <f t="shared" si="8"/>
        <v/>
      </c>
      <c r="AL41" s="204"/>
      <c r="AM41" s="197"/>
      <c r="AN41" s="198"/>
      <c r="AO41" s="142"/>
      <c r="AP41" s="131"/>
      <c r="AQ41" s="131"/>
      <c r="AR41" s="131"/>
      <c r="AS41" s="201"/>
      <c r="AT41" s="202"/>
      <c r="AU41" s="203"/>
      <c r="AV41" s="204"/>
      <c r="AW41" s="197"/>
      <c r="AX41" s="311"/>
      <c r="AY41" s="23"/>
      <c r="AZ41" s="142"/>
      <c r="BA41" s="131"/>
      <c r="BB41" s="131"/>
      <c r="BC41" s="131"/>
      <c r="BD41" s="201"/>
      <c r="BE41" s="202"/>
      <c r="BF41" s="203"/>
      <c r="BG41" s="204"/>
      <c r="BH41" s="197"/>
      <c r="BI41" s="198"/>
      <c r="BJ41" s="23"/>
      <c r="BK41" s="275"/>
      <c r="BL41" s="276"/>
      <c r="BM41" s="131"/>
      <c r="BN41" s="131"/>
      <c r="BO41" s="201"/>
      <c r="BP41" s="202"/>
      <c r="BQ41" s="203"/>
      <c r="BR41" s="204"/>
      <c r="BS41" s="197"/>
      <c r="BT41" s="198"/>
      <c r="BU41" s="23"/>
      <c r="BV41" s="275"/>
      <c r="BW41" s="276"/>
      <c r="BX41" s="131" t="str">
        <f t="shared" si="19"/>
        <v/>
      </c>
      <c r="BY41" s="131"/>
      <c r="BZ41" s="201"/>
      <c r="CA41" s="202"/>
      <c r="CB41" s="203" t="str">
        <f t="shared" si="10"/>
        <v/>
      </c>
      <c r="CC41" s="204"/>
      <c r="CD41" s="197"/>
      <c r="CE41" s="198"/>
      <c r="CF41" s="23"/>
      <c r="CG41" s="23"/>
      <c r="CH41" s="23"/>
      <c r="CI41" s="23"/>
      <c r="CJ41" s="23"/>
      <c r="CK41" s="23"/>
      <c r="CL41" s="23"/>
      <c r="CM41" s="23"/>
      <c r="CN41" s="23"/>
      <c r="CO41" s="23"/>
    </row>
    <row r="42" spans="1:93" ht="20" customHeight="1" x14ac:dyDescent="0.2">
      <c r="A42" s="60"/>
      <c r="B42" s="82"/>
      <c r="C42" s="24" t="s">
        <v>85</v>
      </c>
      <c r="D42" s="23" t="s">
        <v>319</v>
      </c>
      <c r="E42" s="23" t="s">
        <v>320</v>
      </c>
      <c r="F42" s="24">
        <v>2010</v>
      </c>
      <c r="H42" s="89">
        <v>789</v>
      </c>
      <c r="I42" s="85" t="s">
        <v>211</v>
      </c>
      <c r="J42" s="116" t="s">
        <v>375</v>
      </c>
      <c r="K42" s="131"/>
      <c r="L42" s="131"/>
      <c r="M42" s="131" t="str">
        <f t="shared" si="15"/>
        <v/>
      </c>
      <c r="N42" s="131" t="str">
        <f t="shared" si="11"/>
        <v/>
      </c>
      <c r="O42" s="201"/>
      <c r="P42" s="201"/>
      <c r="Q42" s="202" t="str">
        <f t="shared" si="16"/>
        <v/>
      </c>
      <c r="R42" s="211" t="str">
        <f t="shared" si="12"/>
        <v/>
      </c>
      <c r="S42" s="197" t="str">
        <f t="shared" si="17"/>
        <v/>
      </c>
      <c r="T42" s="198"/>
      <c r="U42" s="131"/>
      <c r="V42" s="131"/>
      <c r="W42" s="131" t="str">
        <f t="shared" si="13"/>
        <v/>
      </c>
      <c r="X42" s="131" t="str">
        <f t="shared" si="3"/>
        <v/>
      </c>
      <c r="Y42" s="201"/>
      <c r="Z42" s="201"/>
      <c r="AA42" s="202" t="str">
        <f t="shared" si="4"/>
        <v/>
      </c>
      <c r="AB42" s="209" t="str">
        <f t="shared" si="5"/>
        <v/>
      </c>
      <c r="AC42" s="197" t="str">
        <f t="shared" si="6"/>
        <v/>
      </c>
      <c r="AD42" s="198"/>
      <c r="AE42" s="142"/>
      <c r="AF42" s="131"/>
      <c r="AG42" s="131" t="str">
        <f t="shared" si="18"/>
        <v/>
      </c>
      <c r="AH42" s="131"/>
      <c r="AI42" s="201"/>
      <c r="AJ42" s="202"/>
      <c r="AK42" s="203" t="str">
        <f t="shared" si="8"/>
        <v/>
      </c>
      <c r="AL42" s="204"/>
      <c r="AM42" s="197"/>
      <c r="AN42" s="198"/>
      <c r="AO42" s="142"/>
      <c r="AP42" s="131"/>
      <c r="AQ42" s="131"/>
      <c r="AR42" s="131"/>
      <c r="AS42" s="201"/>
      <c r="AT42" s="202"/>
      <c r="AU42" s="203"/>
      <c r="AV42" s="204"/>
      <c r="AW42" s="197"/>
      <c r="AX42" s="311"/>
      <c r="AY42" s="23"/>
      <c r="AZ42" s="142"/>
      <c r="BA42" s="131"/>
      <c r="BB42" s="131"/>
      <c r="BC42" s="131"/>
      <c r="BD42" s="201"/>
      <c r="BE42" s="202"/>
      <c r="BF42" s="203"/>
      <c r="BG42" s="204"/>
      <c r="BH42" s="197"/>
      <c r="BI42" s="198"/>
      <c r="BJ42" s="23"/>
      <c r="BK42" s="275"/>
      <c r="BL42" s="276"/>
      <c r="BM42" s="131"/>
      <c r="BN42" s="131"/>
      <c r="BO42" s="201"/>
      <c r="BP42" s="202"/>
      <c r="BQ42" s="203"/>
      <c r="BR42" s="204"/>
      <c r="BS42" s="197"/>
      <c r="BT42" s="198"/>
      <c r="BU42" s="23"/>
      <c r="BV42" s="275"/>
      <c r="BW42" s="276"/>
      <c r="BX42" s="131" t="str">
        <f t="shared" si="19"/>
        <v/>
      </c>
      <c r="BY42" s="131"/>
      <c r="BZ42" s="201"/>
      <c r="CA42" s="202"/>
      <c r="CB42" s="203" t="str">
        <f t="shared" si="10"/>
        <v/>
      </c>
      <c r="CC42" s="204"/>
      <c r="CD42" s="197"/>
      <c r="CE42" s="198"/>
      <c r="CF42" s="23"/>
      <c r="CG42" s="23"/>
      <c r="CH42" s="23"/>
      <c r="CI42" s="23"/>
      <c r="CJ42" s="23"/>
      <c r="CK42" s="23"/>
      <c r="CL42" s="23"/>
      <c r="CM42" s="23"/>
      <c r="CN42" s="23"/>
      <c r="CO42" s="23"/>
    </row>
    <row r="43" spans="1:93" ht="20" customHeight="1" x14ac:dyDescent="0.2">
      <c r="A43" s="61"/>
      <c r="B43" s="24"/>
      <c r="C43" s="24" t="s">
        <v>85</v>
      </c>
      <c r="D43" s="23" t="s">
        <v>143</v>
      </c>
      <c r="E43" s="23" t="s">
        <v>144</v>
      </c>
      <c r="F43" s="24">
        <v>2008</v>
      </c>
      <c r="G43" s="24">
        <v>156</v>
      </c>
      <c r="H43" s="89">
        <v>50</v>
      </c>
      <c r="I43" s="85" t="s">
        <v>176</v>
      </c>
      <c r="J43" s="116"/>
      <c r="K43" s="131"/>
      <c r="L43" s="131"/>
      <c r="M43" s="131" t="str">
        <f t="shared" si="15"/>
        <v/>
      </c>
      <c r="N43" s="131" t="str">
        <f t="shared" si="11"/>
        <v/>
      </c>
      <c r="O43" s="201"/>
      <c r="P43" s="201"/>
      <c r="Q43" s="202" t="str">
        <f t="shared" si="16"/>
        <v/>
      </c>
      <c r="R43" s="211" t="str">
        <f t="shared" si="12"/>
        <v/>
      </c>
      <c r="S43" s="197" t="str">
        <f t="shared" si="17"/>
        <v/>
      </c>
      <c r="T43" s="198"/>
      <c r="U43" s="131"/>
      <c r="V43" s="131"/>
      <c r="W43" s="131" t="str">
        <f t="shared" si="13"/>
        <v/>
      </c>
      <c r="X43" s="131" t="str">
        <f t="shared" si="3"/>
        <v/>
      </c>
      <c r="Y43" s="201"/>
      <c r="Z43" s="201"/>
      <c r="AA43" s="202" t="str">
        <f t="shared" si="4"/>
        <v/>
      </c>
      <c r="AB43" s="209" t="str">
        <f t="shared" si="5"/>
        <v/>
      </c>
      <c r="AC43" s="197" t="str">
        <f t="shared" si="6"/>
        <v/>
      </c>
      <c r="AD43" s="198"/>
      <c r="AE43" s="142"/>
      <c r="AF43" s="131"/>
      <c r="AG43" s="131" t="str">
        <f t="shared" si="18"/>
        <v/>
      </c>
      <c r="AH43" s="131"/>
      <c r="AI43" s="201"/>
      <c r="AJ43" s="202"/>
      <c r="AK43" s="203" t="str">
        <f t="shared" si="8"/>
        <v/>
      </c>
      <c r="AL43" s="204"/>
      <c r="AM43" s="197"/>
      <c r="AN43" s="198"/>
      <c r="AO43" s="142"/>
      <c r="AP43" s="131"/>
      <c r="AQ43" s="131"/>
      <c r="AR43" s="131"/>
      <c r="AS43" s="201"/>
      <c r="AT43" s="202"/>
      <c r="AU43" s="203"/>
      <c r="AV43" s="204"/>
      <c r="AW43" s="197"/>
      <c r="AX43" s="311"/>
      <c r="AY43" s="23"/>
      <c r="AZ43" s="142"/>
      <c r="BA43" s="131"/>
      <c r="BB43" s="131"/>
      <c r="BC43" s="131"/>
      <c r="BD43" s="201"/>
      <c r="BE43" s="202"/>
      <c r="BF43" s="203"/>
      <c r="BG43" s="204"/>
      <c r="BH43" s="197"/>
      <c r="BI43" s="198"/>
      <c r="BJ43" s="23"/>
      <c r="BK43" s="275"/>
      <c r="BL43" s="276"/>
      <c r="BM43" s="131"/>
      <c r="BN43" s="131"/>
      <c r="BO43" s="201"/>
      <c r="BP43" s="202"/>
      <c r="BQ43" s="203"/>
      <c r="BR43" s="204"/>
      <c r="BS43" s="197"/>
      <c r="BT43" s="198"/>
      <c r="BU43" s="23"/>
      <c r="BV43" s="275"/>
      <c r="BW43" s="276"/>
      <c r="BX43" s="131" t="str">
        <f t="shared" si="19"/>
        <v/>
      </c>
      <c r="BY43" s="131"/>
      <c r="BZ43" s="201"/>
      <c r="CA43" s="202"/>
      <c r="CB43" s="203" t="str">
        <f t="shared" si="10"/>
        <v/>
      </c>
      <c r="CC43" s="204"/>
      <c r="CD43" s="197"/>
      <c r="CE43" s="198"/>
      <c r="CF43" s="23"/>
      <c r="CG43" s="23"/>
      <c r="CH43" s="23"/>
      <c r="CI43" s="23"/>
      <c r="CJ43" s="23"/>
      <c r="CK43" s="23"/>
      <c r="CL43" s="23"/>
      <c r="CM43" s="23"/>
      <c r="CN43" s="23"/>
      <c r="CO43" s="23"/>
    </row>
    <row r="44" spans="1:93" ht="20" customHeight="1" x14ac:dyDescent="0.2">
      <c r="A44" s="60"/>
      <c r="B44" s="83"/>
      <c r="C44" s="24" t="s">
        <v>85</v>
      </c>
      <c r="D44" s="23" t="s">
        <v>323</v>
      </c>
      <c r="E44" s="23" t="s">
        <v>324</v>
      </c>
      <c r="F44" s="24">
        <v>2009</v>
      </c>
      <c r="H44" s="89">
        <v>12</v>
      </c>
      <c r="I44" s="85" t="s">
        <v>214</v>
      </c>
      <c r="J44" s="116" t="s">
        <v>192</v>
      </c>
      <c r="K44" s="255"/>
      <c r="L44" s="255">
        <v>25.3</v>
      </c>
      <c r="M44" s="131" t="str">
        <f t="shared" si="15"/>
        <v/>
      </c>
      <c r="N44" s="131" t="str">
        <f t="shared" si="11"/>
        <v/>
      </c>
      <c r="O44" s="256"/>
      <c r="P44" s="256">
        <v>53.35</v>
      </c>
      <c r="Q44" s="202" t="str">
        <f t="shared" si="16"/>
        <v/>
      </c>
      <c r="R44" s="211" t="str">
        <f t="shared" si="12"/>
        <v/>
      </c>
      <c r="S44" s="197" t="str">
        <f t="shared" si="17"/>
        <v/>
      </c>
      <c r="T44" s="261"/>
      <c r="U44" s="255"/>
      <c r="V44" s="131">
        <v>495</v>
      </c>
      <c r="W44" s="131" t="str">
        <f t="shared" si="13"/>
        <v/>
      </c>
      <c r="X44" s="131" t="str">
        <f t="shared" si="3"/>
        <v/>
      </c>
      <c r="Y44" s="201"/>
      <c r="Z44" s="201">
        <v>474</v>
      </c>
      <c r="AA44" s="202" t="str">
        <f t="shared" si="4"/>
        <v/>
      </c>
      <c r="AB44" s="209" t="str">
        <f t="shared" si="5"/>
        <v/>
      </c>
      <c r="AC44" s="197" t="str">
        <f t="shared" si="6"/>
        <v/>
      </c>
      <c r="AD44" s="261"/>
      <c r="AE44" s="254"/>
      <c r="AF44" s="255">
        <v>1.99</v>
      </c>
      <c r="AG44" s="255" t="str">
        <f t="shared" si="18"/>
        <v/>
      </c>
      <c r="AH44" s="255"/>
      <c r="AI44" s="256"/>
      <c r="AJ44" s="257">
        <v>2.0699999999999998</v>
      </c>
      <c r="AK44" s="258" t="str">
        <f t="shared" si="8"/>
        <v/>
      </c>
      <c r="AL44" s="259"/>
      <c r="AM44" s="260">
        <v>-7.0000000000000007E-2</v>
      </c>
      <c r="AN44" s="261"/>
      <c r="AO44" s="142"/>
      <c r="AP44" s="131"/>
      <c r="AQ44" s="131"/>
      <c r="AR44" s="131"/>
      <c r="AS44" s="201"/>
      <c r="AT44" s="202"/>
      <c r="AU44" s="203"/>
      <c r="AV44" s="204"/>
      <c r="AW44" s="197"/>
      <c r="AX44" s="311"/>
      <c r="AY44" s="23"/>
      <c r="AZ44" s="142"/>
      <c r="BA44" s="131"/>
      <c r="BB44" s="131"/>
      <c r="BC44" s="131"/>
      <c r="BD44" s="201"/>
      <c r="BE44" s="202"/>
      <c r="BF44" s="203"/>
      <c r="BG44" s="204"/>
      <c r="BH44" s="197"/>
      <c r="BI44" s="198"/>
      <c r="BJ44" s="23"/>
      <c r="BK44" s="275"/>
      <c r="BL44" s="276"/>
      <c r="BM44" s="131"/>
      <c r="BN44" s="131"/>
      <c r="BO44" s="201"/>
      <c r="BP44" s="202"/>
      <c r="BQ44" s="203"/>
      <c r="BR44" s="204"/>
      <c r="BS44" s="197"/>
      <c r="BT44" s="198"/>
      <c r="BU44" s="23"/>
      <c r="BV44" s="275"/>
      <c r="BW44" s="276"/>
      <c r="BX44" s="131" t="str">
        <f t="shared" si="19"/>
        <v/>
      </c>
      <c r="BY44" s="131"/>
      <c r="BZ44" s="201"/>
      <c r="CA44" s="202"/>
      <c r="CB44" s="203" t="str">
        <f t="shared" si="10"/>
        <v/>
      </c>
      <c r="CC44" s="204"/>
      <c r="CD44" s="197"/>
      <c r="CE44" s="198"/>
      <c r="CF44" s="23"/>
      <c r="CG44" s="23"/>
      <c r="CH44" s="23"/>
      <c r="CI44" s="23"/>
      <c r="CJ44" s="23"/>
      <c r="CK44" s="23"/>
      <c r="CL44" s="23"/>
      <c r="CM44" s="23"/>
      <c r="CN44" s="23"/>
      <c r="CO44" s="23"/>
    </row>
    <row r="45" spans="1:93" ht="20" customHeight="1" thickBot="1" x14ac:dyDescent="0.25">
      <c r="A45" s="61"/>
      <c r="B45" s="24"/>
      <c r="C45" s="24" t="s">
        <v>85</v>
      </c>
      <c r="D45" s="23" t="s">
        <v>147</v>
      </c>
      <c r="E45" s="23" t="s">
        <v>148</v>
      </c>
      <c r="F45" s="24">
        <v>2011</v>
      </c>
      <c r="G45" s="24">
        <v>112</v>
      </c>
      <c r="H45" s="90">
        <v>22</v>
      </c>
      <c r="I45" s="87" t="s">
        <v>218</v>
      </c>
      <c r="J45" s="117" t="s">
        <v>193</v>
      </c>
      <c r="K45" s="137"/>
      <c r="L45" s="137"/>
      <c r="M45" s="137" t="str">
        <f t="shared" si="15"/>
        <v/>
      </c>
      <c r="N45" s="137" t="str">
        <f t="shared" si="11"/>
        <v/>
      </c>
      <c r="O45" s="205"/>
      <c r="P45" s="205"/>
      <c r="Q45" s="206" t="str">
        <f t="shared" si="16"/>
        <v/>
      </c>
      <c r="R45" s="212" t="str">
        <f t="shared" si="12"/>
        <v/>
      </c>
      <c r="S45" s="199" t="str">
        <f t="shared" si="17"/>
        <v/>
      </c>
      <c r="T45" s="200"/>
      <c r="U45" s="137"/>
      <c r="V45" s="137"/>
      <c r="W45" s="137" t="str">
        <f t="shared" si="13"/>
        <v/>
      </c>
      <c r="X45" s="137" t="str">
        <f t="shared" si="3"/>
        <v/>
      </c>
      <c r="Y45" s="205"/>
      <c r="Z45" s="205"/>
      <c r="AA45" s="206" t="str">
        <f t="shared" si="4"/>
        <v/>
      </c>
      <c r="AB45" s="210" t="str">
        <f t="shared" si="5"/>
        <v/>
      </c>
      <c r="AC45" s="199" t="str">
        <f t="shared" si="6"/>
        <v/>
      </c>
      <c r="AD45" s="200"/>
      <c r="AE45" s="303"/>
      <c r="AF45" s="304"/>
      <c r="AG45" s="304" t="str">
        <f t="shared" si="18"/>
        <v/>
      </c>
      <c r="AH45" s="304"/>
      <c r="AI45" s="305"/>
      <c r="AJ45" s="306"/>
      <c r="AK45" s="307" t="str">
        <f t="shared" si="8"/>
        <v/>
      </c>
      <c r="AL45" s="308"/>
      <c r="AM45" s="309"/>
      <c r="AN45" s="310"/>
      <c r="AO45" s="143"/>
      <c r="AP45" s="137"/>
      <c r="AQ45" s="137"/>
      <c r="AR45" s="137"/>
      <c r="AS45" s="205"/>
      <c r="AT45" s="206"/>
      <c r="AU45" s="207"/>
      <c r="AV45" s="208"/>
      <c r="AW45" s="199"/>
      <c r="AX45" s="313"/>
      <c r="AY45" s="23"/>
      <c r="AZ45" s="143"/>
      <c r="BA45" s="137"/>
      <c r="BB45" s="137"/>
      <c r="BC45" s="137"/>
      <c r="BD45" s="205"/>
      <c r="BE45" s="206"/>
      <c r="BF45" s="207"/>
      <c r="BG45" s="208"/>
      <c r="BH45" s="199"/>
      <c r="BI45" s="200"/>
      <c r="BJ45" s="23"/>
      <c r="BK45" s="279"/>
      <c r="BL45" s="280"/>
      <c r="BM45" s="137"/>
      <c r="BN45" s="137"/>
      <c r="BO45" s="205"/>
      <c r="BP45" s="206"/>
      <c r="BQ45" s="207"/>
      <c r="BR45" s="208"/>
      <c r="BS45" s="199"/>
      <c r="BT45" s="200"/>
      <c r="BU45" s="23"/>
      <c r="BV45" s="279"/>
      <c r="BW45" s="280"/>
      <c r="BX45" s="137" t="str">
        <f t="shared" si="19"/>
        <v/>
      </c>
      <c r="BY45" s="137"/>
      <c r="BZ45" s="205"/>
      <c r="CA45" s="206"/>
      <c r="CB45" s="207" t="str">
        <f t="shared" si="10"/>
        <v/>
      </c>
      <c r="CC45" s="208"/>
      <c r="CD45" s="199"/>
      <c r="CE45" s="200"/>
      <c r="CF45" s="23"/>
      <c r="CG45" s="23"/>
      <c r="CH45" s="23"/>
      <c r="CI45" s="23"/>
      <c r="CJ45" s="23"/>
      <c r="CK45" s="23"/>
      <c r="CL45" s="23"/>
      <c r="CM45" s="23"/>
      <c r="CN45" s="23"/>
      <c r="CO45" s="23"/>
    </row>
    <row r="46" spans="1:93" ht="22" customHeight="1" x14ac:dyDescent="0.2">
      <c r="E46" s="22"/>
      <c r="F46" s="22"/>
      <c r="G46" s="22"/>
      <c r="H46" s="22"/>
      <c r="I46" s="22"/>
      <c r="J46" s="22"/>
      <c r="K46" s="604" t="s">
        <v>502</v>
      </c>
      <c r="L46" s="518" t="s">
        <v>503</v>
      </c>
      <c r="M46" s="514" t="s">
        <v>548</v>
      </c>
      <c r="N46" s="514" t="s">
        <v>490</v>
      </c>
      <c r="O46" s="521" t="s">
        <v>502</v>
      </c>
      <c r="P46" s="524" t="s">
        <v>503</v>
      </c>
      <c r="Q46" s="644" t="s">
        <v>548</v>
      </c>
      <c r="R46" s="657" t="s">
        <v>490</v>
      </c>
      <c r="S46" s="530" t="s">
        <v>492</v>
      </c>
      <c r="T46" s="533" t="s">
        <v>241</v>
      </c>
      <c r="U46" s="604" t="s">
        <v>502</v>
      </c>
      <c r="V46" s="518" t="s">
        <v>503</v>
      </c>
      <c r="W46" s="514" t="s">
        <v>489</v>
      </c>
      <c r="X46" s="514" t="s">
        <v>490</v>
      </c>
      <c r="Y46" s="521" t="s">
        <v>502</v>
      </c>
      <c r="Z46" s="524" t="s">
        <v>503</v>
      </c>
      <c r="AA46" s="644" t="s">
        <v>489</v>
      </c>
      <c r="AB46" s="657" t="s">
        <v>490</v>
      </c>
      <c r="AC46" s="530" t="s">
        <v>492</v>
      </c>
      <c r="AD46" s="533" t="s">
        <v>241</v>
      </c>
      <c r="AE46" s="604" t="s">
        <v>549</v>
      </c>
      <c r="AF46" s="518" t="s">
        <v>550</v>
      </c>
      <c r="AG46" s="514" t="s">
        <v>532</v>
      </c>
      <c r="AH46" s="514" t="s">
        <v>490</v>
      </c>
      <c r="AI46" s="521" t="s">
        <v>549</v>
      </c>
      <c r="AJ46" s="524" t="s">
        <v>550</v>
      </c>
      <c r="AK46" s="644" t="s">
        <v>532</v>
      </c>
      <c r="AL46" s="602" t="s">
        <v>490</v>
      </c>
      <c r="AM46" s="530" t="s">
        <v>240</v>
      </c>
      <c r="AN46" s="533" t="s">
        <v>241</v>
      </c>
      <c r="AO46" s="604" t="s">
        <v>551</v>
      </c>
      <c r="AP46" s="518" t="s">
        <v>552</v>
      </c>
      <c r="AQ46" s="514" t="s">
        <v>493</v>
      </c>
      <c r="AR46" s="514" t="s">
        <v>490</v>
      </c>
      <c r="AS46" s="521" t="s">
        <v>551</v>
      </c>
      <c r="AT46" s="524" t="s">
        <v>552</v>
      </c>
      <c r="AU46" s="644" t="s">
        <v>493</v>
      </c>
      <c r="AV46" s="602" t="s">
        <v>490</v>
      </c>
      <c r="AW46" s="530" t="s">
        <v>553</v>
      </c>
      <c r="AX46" s="661" t="s">
        <v>241</v>
      </c>
      <c r="AY46" s="23"/>
      <c r="AZ46" s="604" t="s">
        <v>551</v>
      </c>
      <c r="BA46" s="518" t="s">
        <v>552</v>
      </c>
      <c r="BB46" s="514" t="s">
        <v>493</v>
      </c>
      <c r="BC46" s="514" t="s">
        <v>490</v>
      </c>
      <c r="BD46" s="521" t="s">
        <v>551</v>
      </c>
      <c r="BE46" s="524" t="s">
        <v>552</v>
      </c>
      <c r="BF46" s="644" t="s">
        <v>493</v>
      </c>
      <c r="BG46" s="602" t="s">
        <v>490</v>
      </c>
      <c r="BH46" s="530" t="s">
        <v>553</v>
      </c>
      <c r="BI46" s="533" t="s">
        <v>241</v>
      </c>
      <c r="BJ46" s="23"/>
      <c r="BK46" s="516" t="s">
        <v>505</v>
      </c>
      <c r="BL46" s="518" t="s">
        <v>506</v>
      </c>
      <c r="BM46" s="514" t="s">
        <v>489</v>
      </c>
      <c r="BN46" s="514" t="s">
        <v>490</v>
      </c>
      <c r="BO46" s="521" t="s">
        <v>505</v>
      </c>
      <c r="BP46" s="524" t="s">
        <v>506</v>
      </c>
      <c r="BQ46" s="526" t="s">
        <v>489</v>
      </c>
      <c r="BR46" s="528" t="s">
        <v>490</v>
      </c>
      <c r="BS46" s="530" t="s">
        <v>489</v>
      </c>
      <c r="BT46" s="533" t="s">
        <v>490</v>
      </c>
      <c r="BU46" s="23"/>
      <c r="BV46" s="604" t="s">
        <v>502</v>
      </c>
      <c r="BW46" s="518" t="s">
        <v>503</v>
      </c>
      <c r="BX46" s="514" t="s">
        <v>489</v>
      </c>
      <c r="BY46" s="514" t="s">
        <v>490</v>
      </c>
      <c r="BZ46" s="521" t="s">
        <v>502</v>
      </c>
      <c r="CA46" s="524" t="s">
        <v>503</v>
      </c>
      <c r="CB46" s="644" t="s">
        <v>489</v>
      </c>
      <c r="CC46" s="602" t="s">
        <v>490</v>
      </c>
      <c r="CD46" s="530" t="s">
        <v>492</v>
      </c>
      <c r="CE46" s="533" t="s">
        <v>241</v>
      </c>
      <c r="CF46" s="23"/>
      <c r="CG46" s="23"/>
      <c r="CH46" s="23"/>
      <c r="CI46" s="23"/>
      <c r="CJ46" s="23"/>
      <c r="CK46" s="23"/>
      <c r="CL46" s="23"/>
      <c r="CM46" s="23"/>
      <c r="CN46" s="23"/>
      <c r="CO46" s="23"/>
    </row>
    <row r="47" spans="1:93" ht="23" customHeight="1" x14ac:dyDescent="0.2">
      <c r="E47" s="22"/>
      <c r="F47" s="22"/>
      <c r="G47" s="22"/>
      <c r="H47" s="22"/>
      <c r="I47" s="22"/>
      <c r="J47" s="22"/>
      <c r="K47" s="604"/>
      <c r="L47" s="519"/>
      <c r="M47" s="514"/>
      <c r="N47" s="514"/>
      <c r="O47" s="522"/>
      <c r="P47" s="524"/>
      <c r="Q47" s="644"/>
      <c r="R47" s="657"/>
      <c r="S47" s="531"/>
      <c r="T47" s="534"/>
      <c r="U47" s="604"/>
      <c r="V47" s="519"/>
      <c r="W47" s="514"/>
      <c r="X47" s="514"/>
      <c r="Y47" s="522"/>
      <c r="Z47" s="524"/>
      <c r="AA47" s="644"/>
      <c r="AB47" s="657"/>
      <c r="AC47" s="531"/>
      <c r="AD47" s="534"/>
      <c r="AE47" s="604"/>
      <c r="AF47" s="519"/>
      <c r="AG47" s="514"/>
      <c r="AH47" s="514"/>
      <c r="AI47" s="522"/>
      <c r="AJ47" s="524"/>
      <c r="AK47" s="644"/>
      <c r="AL47" s="602"/>
      <c r="AM47" s="531"/>
      <c r="AN47" s="534"/>
      <c r="AO47" s="604"/>
      <c r="AP47" s="519"/>
      <c r="AQ47" s="514"/>
      <c r="AR47" s="514"/>
      <c r="AS47" s="522"/>
      <c r="AT47" s="524"/>
      <c r="AU47" s="644"/>
      <c r="AV47" s="602"/>
      <c r="AW47" s="531"/>
      <c r="AX47" s="662"/>
      <c r="AY47" s="23"/>
      <c r="AZ47" s="604"/>
      <c r="BA47" s="519"/>
      <c r="BB47" s="514"/>
      <c r="BC47" s="514"/>
      <c r="BD47" s="522"/>
      <c r="BE47" s="524"/>
      <c r="BF47" s="644"/>
      <c r="BG47" s="602"/>
      <c r="BH47" s="531"/>
      <c r="BI47" s="534"/>
      <c r="BJ47" s="23"/>
      <c r="BK47" s="516"/>
      <c r="BL47" s="519"/>
      <c r="BM47" s="514"/>
      <c r="BN47" s="514"/>
      <c r="BO47" s="522"/>
      <c r="BP47" s="524"/>
      <c r="BQ47" s="526"/>
      <c r="BR47" s="528"/>
      <c r="BS47" s="531"/>
      <c r="BT47" s="534"/>
      <c r="BU47" s="23"/>
      <c r="BV47" s="604"/>
      <c r="BW47" s="519"/>
      <c r="BX47" s="514"/>
      <c r="BY47" s="514"/>
      <c r="BZ47" s="522"/>
      <c r="CA47" s="524"/>
      <c r="CB47" s="644"/>
      <c r="CC47" s="602"/>
      <c r="CD47" s="531"/>
      <c r="CE47" s="534"/>
      <c r="CF47" s="23"/>
      <c r="CG47" s="23"/>
      <c r="CH47" s="23"/>
      <c r="CI47" s="23"/>
      <c r="CJ47" s="23"/>
      <c r="CK47" s="23"/>
      <c r="CL47" s="23"/>
      <c r="CM47" s="23"/>
      <c r="CN47" s="23"/>
      <c r="CO47" s="23"/>
    </row>
    <row r="48" spans="1:93" ht="23" customHeight="1" x14ac:dyDescent="0.2">
      <c r="E48" s="22"/>
      <c r="F48" s="22"/>
      <c r="G48" s="22"/>
      <c r="H48" s="22"/>
      <c r="I48" s="22"/>
      <c r="J48" s="22"/>
      <c r="K48" s="604"/>
      <c r="L48" s="519"/>
      <c r="M48" s="514"/>
      <c r="N48" s="514"/>
      <c r="O48" s="522"/>
      <c r="P48" s="524"/>
      <c r="Q48" s="644"/>
      <c r="R48" s="657"/>
      <c r="S48" s="531"/>
      <c r="T48" s="534"/>
      <c r="U48" s="604"/>
      <c r="V48" s="519"/>
      <c r="W48" s="514"/>
      <c r="X48" s="514"/>
      <c r="Y48" s="522"/>
      <c r="Z48" s="524"/>
      <c r="AA48" s="644"/>
      <c r="AB48" s="657"/>
      <c r="AC48" s="531"/>
      <c r="AD48" s="534"/>
      <c r="AE48" s="604"/>
      <c r="AF48" s="519"/>
      <c r="AG48" s="514"/>
      <c r="AH48" s="514"/>
      <c r="AI48" s="522"/>
      <c r="AJ48" s="524"/>
      <c r="AK48" s="644"/>
      <c r="AL48" s="602"/>
      <c r="AM48" s="531"/>
      <c r="AN48" s="534"/>
      <c r="AO48" s="604"/>
      <c r="AP48" s="519"/>
      <c r="AQ48" s="514"/>
      <c r="AR48" s="514"/>
      <c r="AS48" s="522"/>
      <c r="AT48" s="524"/>
      <c r="AU48" s="644"/>
      <c r="AV48" s="602"/>
      <c r="AW48" s="531"/>
      <c r="AX48" s="662"/>
      <c r="AY48" s="23"/>
      <c r="AZ48" s="604"/>
      <c r="BA48" s="519"/>
      <c r="BB48" s="514"/>
      <c r="BC48" s="514"/>
      <c r="BD48" s="522"/>
      <c r="BE48" s="524"/>
      <c r="BF48" s="644"/>
      <c r="BG48" s="602"/>
      <c r="BH48" s="531"/>
      <c r="BI48" s="534"/>
      <c r="BJ48" s="23"/>
      <c r="BK48" s="516"/>
      <c r="BL48" s="519"/>
      <c r="BM48" s="514"/>
      <c r="BN48" s="514"/>
      <c r="BO48" s="522"/>
      <c r="BP48" s="524"/>
      <c r="BQ48" s="526"/>
      <c r="BR48" s="528"/>
      <c r="BS48" s="531"/>
      <c r="BT48" s="534"/>
      <c r="BU48" s="23"/>
      <c r="BV48" s="604"/>
      <c r="BW48" s="519"/>
      <c r="BX48" s="514"/>
      <c r="BY48" s="514"/>
      <c r="BZ48" s="522"/>
      <c r="CA48" s="524"/>
      <c r="CB48" s="644"/>
      <c r="CC48" s="602"/>
      <c r="CD48" s="531"/>
      <c r="CE48" s="534"/>
      <c r="CF48" s="23"/>
      <c r="CG48" s="23"/>
      <c r="CH48" s="23"/>
      <c r="CI48" s="23"/>
      <c r="CJ48" s="23"/>
      <c r="CK48" s="23"/>
      <c r="CL48" s="23"/>
      <c r="CM48" s="23"/>
      <c r="CN48" s="23"/>
      <c r="CO48" s="23"/>
    </row>
    <row r="49" spans="1:94" ht="23" customHeight="1" x14ac:dyDescent="0.2">
      <c r="E49" s="22"/>
      <c r="F49" s="22"/>
      <c r="G49" s="22"/>
      <c r="H49" s="22"/>
      <c r="I49" s="22"/>
      <c r="J49" s="22"/>
      <c r="K49" s="604"/>
      <c r="L49" s="519"/>
      <c r="M49" s="514"/>
      <c r="N49" s="514"/>
      <c r="O49" s="522"/>
      <c r="P49" s="524"/>
      <c r="Q49" s="644"/>
      <c r="R49" s="657"/>
      <c r="S49" s="531"/>
      <c r="T49" s="534"/>
      <c r="U49" s="604"/>
      <c r="V49" s="519"/>
      <c r="W49" s="514"/>
      <c r="X49" s="514"/>
      <c r="Y49" s="522"/>
      <c r="Z49" s="524"/>
      <c r="AA49" s="644"/>
      <c r="AB49" s="657"/>
      <c r="AC49" s="531"/>
      <c r="AD49" s="534"/>
      <c r="AE49" s="604"/>
      <c r="AF49" s="519"/>
      <c r="AG49" s="514"/>
      <c r="AH49" s="514"/>
      <c r="AI49" s="522"/>
      <c r="AJ49" s="524"/>
      <c r="AK49" s="644"/>
      <c r="AL49" s="602"/>
      <c r="AM49" s="531"/>
      <c r="AN49" s="534"/>
      <c r="AO49" s="604"/>
      <c r="AP49" s="519"/>
      <c r="AQ49" s="514"/>
      <c r="AR49" s="514"/>
      <c r="AS49" s="522"/>
      <c r="AT49" s="524"/>
      <c r="AU49" s="644"/>
      <c r="AV49" s="602"/>
      <c r="AW49" s="531"/>
      <c r="AX49" s="662"/>
      <c r="AY49" s="23"/>
      <c r="AZ49" s="604"/>
      <c r="BA49" s="519"/>
      <c r="BB49" s="514"/>
      <c r="BC49" s="514"/>
      <c r="BD49" s="522"/>
      <c r="BE49" s="524"/>
      <c r="BF49" s="644"/>
      <c r="BG49" s="602"/>
      <c r="BH49" s="531"/>
      <c r="BI49" s="534"/>
      <c r="BJ49" s="23"/>
      <c r="BK49" s="516"/>
      <c r="BL49" s="519"/>
      <c r="BM49" s="514"/>
      <c r="BN49" s="514"/>
      <c r="BO49" s="522"/>
      <c r="BP49" s="524"/>
      <c r="BQ49" s="526"/>
      <c r="BR49" s="528"/>
      <c r="BS49" s="531"/>
      <c r="BT49" s="534"/>
      <c r="BU49" s="23"/>
      <c r="BV49" s="604"/>
      <c r="BW49" s="519"/>
      <c r="BX49" s="514"/>
      <c r="BY49" s="514"/>
      <c r="BZ49" s="522"/>
      <c r="CA49" s="524"/>
      <c r="CB49" s="644"/>
      <c r="CC49" s="602"/>
      <c r="CD49" s="531"/>
      <c r="CE49" s="534"/>
      <c r="CF49" s="23"/>
      <c r="CG49" s="23"/>
      <c r="CH49" s="23"/>
      <c r="CI49" s="23"/>
      <c r="CJ49" s="23"/>
      <c r="CK49" s="23"/>
      <c r="CL49" s="23"/>
      <c r="CM49" s="23"/>
      <c r="CN49" s="23"/>
      <c r="CO49" s="23"/>
    </row>
    <row r="50" spans="1:94" ht="23" customHeight="1" thickBot="1" x14ac:dyDescent="0.25">
      <c r="E50" s="22"/>
      <c r="F50" s="22"/>
      <c r="G50" s="22"/>
      <c r="H50" s="22"/>
      <c r="I50" s="22"/>
      <c r="J50" s="22"/>
      <c r="K50" s="605"/>
      <c r="L50" s="520"/>
      <c r="M50" s="515"/>
      <c r="N50" s="515"/>
      <c r="O50" s="523"/>
      <c r="P50" s="525"/>
      <c r="Q50" s="645"/>
      <c r="R50" s="658"/>
      <c r="S50" s="532"/>
      <c r="T50" s="535"/>
      <c r="U50" s="605"/>
      <c r="V50" s="520"/>
      <c r="W50" s="515"/>
      <c r="X50" s="515"/>
      <c r="Y50" s="523"/>
      <c r="Z50" s="525"/>
      <c r="AA50" s="645"/>
      <c r="AB50" s="658"/>
      <c r="AC50" s="532"/>
      <c r="AD50" s="535"/>
      <c r="AE50" s="605"/>
      <c r="AF50" s="520"/>
      <c r="AG50" s="515"/>
      <c r="AH50" s="515"/>
      <c r="AI50" s="523"/>
      <c r="AJ50" s="525"/>
      <c r="AK50" s="645"/>
      <c r="AL50" s="603"/>
      <c r="AM50" s="532"/>
      <c r="AN50" s="535"/>
      <c r="AO50" s="605"/>
      <c r="AP50" s="520"/>
      <c r="AQ50" s="515"/>
      <c r="AR50" s="515"/>
      <c r="AS50" s="523"/>
      <c r="AT50" s="525"/>
      <c r="AU50" s="645"/>
      <c r="AV50" s="603"/>
      <c r="AW50" s="532"/>
      <c r="AX50" s="663"/>
      <c r="AY50" s="23"/>
      <c r="AZ50" s="605"/>
      <c r="BA50" s="520"/>
      <c r="BB50" s="515"/>
      <c r="BC50" s="515"/>
      <c r="BD50" s="523"/>
      <c r="BE50" s="525"/>
      <c r="BF50" s="645"/>
      <c r="BG50" s="603"/>
      <c r="BH50" s="532"/>
      <c r="BI50" s="535"/>
      <c r="BJ50" s="23"/>
      <c r="BK50" s="517"/>
      <c r="BL50" s="520"/>
      <c r="BM50" s="515"/>
      <c r="BN50" s="515"/>
      <c r="BO50" s="523"/>
      <c r="BP50" s="525"/>
      <c r="BQ50" s="527"/>
      <c r="BR50" s="529"/>
      <c r="BS50" s="532"/>
      <c r="BT50" s="535"/>
      <c r="BU50" s="23"/>
      <c r="BV50" s="605"/>
      <c r="BW50" s="520"/>
      <c r="BX50" s="515"/>
      <c r="BY50" s="515"/>
      <c r="BZ50" s="523"/>
      <c r="CA50" s="525"/>
      <c r="CB50" s="645"/>
      <c r="CC50" s="603"/>
      <c r="CD50" s="532"/>
      <c r="CE50" s="535"/>
      <c r="CF50" s="23"/>
      <c r="CG50" s="23"/>
      <c r="CH50" s="23"/>
      <c r="CI50" s="23"/>
      <c r="CJ50" s="23"/>
      <c r="CK50" s="23"/>
      <c r="CL50" s="23"/>
      <c r="CM50" s="23"/>
      <c r="CN50" s="23"/>
      <c r="CO50" s="23"/>
    </row>
    <row r="51" spans="1:94" ht="20" customHeight="1" thickBot="1" x14ac:dyDescent="0.25">
      <c r="E51" s="22"/>
      <c r="F51" s="22"/>
      <c r="G51" s="22"/>
      <c r="H51" s="22"/>
      <c r="I51" s="22"/>
      <c r="J51" s="22"/>
      <c r="K51" s="399" t="s">
        <v>433</v>
      </c>
      <c r="L51" s="422"/>
      <c r="M51" s="422"/>
      <c r="N51" s="650"/>
      <c r="O51" s="654" t="s">
        <v>434</v>
      </c>
      <c r="P51" s="655"/>
      <c r="Q51" s="655"/>
      <c r="R51" s="656"/>
      <c r="S51" s="652" t="s">
        <v>491</v>
      </c>
      <c r="T51" s="653"/>
      <c r="U51" s="399" t="s">
        <v>433</v>
      </c>
      <c r="V51" s="422"/>
      <c r="W51" s="422"/>
      <c r="X51" s="650"/>
      <c r="Y51" s="654" t="s">
        <v>434</v>
      </c>
      <c r="Z51" s="655"/>
      <c r="AA51" s="655"/>
      <c r="AB51" s="656"/>
      <c r="AC51" s="652" t="s">
        <v>491</v>
      </c>
      <c r="AD51" s="653"/>
      <c r="AE51" s="397" t="s">
        <v>433</v>
      </c>
      <c r="AF51" s="416"/>
      <c r="AG51" s="416"/>
      <c r="AH51" s="536"/>
      <c r="AI51" s="537" t="s">
        <v>434</v>
      </c>
      <c r="AJ51" s="538"/>
      <c r="AK51" s="538"/>
      <c r="AL51" s="539"/>
      <c r="AM51" s="540" t="s">
        <v>491</v>
      </c>
      <c r="AN51" s="541"/>
      <c r="AO51" s="397" t="s">
        <v>433</v>
      </c>
      <c r="AP51" s="416"/>
      <c r="AQ51" s="416"/>
      <c r="AR51" s="536"/>
      <c r="AS51" s="537" t="s">
        <v>434</v>
      </c>
      <c r="AT51" s="538"/>
      <c r="AU51" s="538"/>
      <c r="AV51" s="539"/>
      <c r="AW51" s="540" t="s">
        <v>491</v>
      </c>
      <c r="AX51" s="670"/>
      <c r="AY51" s="23"/>
      <c r="AZ51" s="397" t="s">
        <v>433</v>
      </c>
      <c r="BA51" s="416"/>
      <c r="BB51" s="416"/>
      <c r="BC51" s="536"/>
      <c r="BD51" s="537" t="s">
        <v>434</v>
      </c>
      <c r="BE51" s="538"/>
      <c r="BF51" s="538"/>
      <c r="BG51" s="539"/>
      <c r="BH51" s="540" t="s">
        <v>491</v>
      </c>
      <c r="BI51" s="541"/>
      <c r="BJ51" s="23"/>
      <c r="BK51" s="397" t="s">
        <v>433</v>
      </c>
      <c r="BL51" s="416"/>
      <c r="BM51" s="416"/>
      <c r="BN51" s="536"/>
      <c r="BO51" s="537" t="s">
        <v>434</v>
      </c>
      <c r="BP51" s="538"/>
      <c r="BQ51" s="538"/>
      <c r="BR51" s="539"/>
      <c r="BS51" s="540" t="s">
        <v>491</v>
      </c>
      <c r="BT51" s="541"/>
      <c r="BU51" s="23"/>
      <c r="BV51" s="397" t="s">
        <v>433</v>
      </c>
      <c r="BW51" s="416"/>
      <c r="BX51" s="416"/>
      <c r="BY51" s="536"/>
      <c r="BZ51" s="537" t="s">
        <v>434</v>
      </c>
      <c r="CA51" s="538"/>
      <c r="CB51" s="538"/>
      <c r="CC51" s="539"/>
      <c r="CD51" s="540" t="s">
        <v>491</v>
      </c>
      <c r="CE51" s="541"/>
      <c r="CF51" s="23"/>
      <c r="CG51" s="23"/>
      <c r="CH51" s="23"/>
      <c r="CI51" s="23"/>
      <c r="CJ51" s="23"/>
      <c r="CK51" s="23"/>
      <c r="CL51" s="23"/>
      <c r="CM51" s="23"/>
      <c r="CN51" s="23"/>
      <c r="CO51" s="23"/>
    </row>
    <row r="52" spans="1:94" ht="20" customHeight="1" thickBot="1" x14ac:dyDescent="0.25">
      <c r="E52" s="22"/>
      <c r="F52" s="22"/>
      <c r="G52" s="22"/>
      <c r="H52" s="22"/>
      <c r="I52" s="22"/>
      <c r="J52" s="22"/>
      <c r="K52" s="614" t="s">
        <v>447</v>
      </c>
      <c r="L52" s="613"/>
      <c r="M52" s="613"/>
      <c r="N52" s="613"/>
      <c r="O52" s="613"/>
      <c r="P52" s="613"/>
      <c r="Q52" s="613"/>
      <c r="R52" s="613"/>
      <c r="S52" s="613"/>
      <c r="T52" s="615"/>
      <c r="U52" s="612" t="s">
        <v>437</v>
      </c>
      <c r="V52" s="613"/>
      <c r="W52" s="613"/>
      <c r="X52" s="613"/>
      <c r="Y52" s="613"/>
      <c r="Z52" s="613"/>
      <c r="AA52" s="613"/>
      <c r="AB52" s="613"/>
      <c r="AC52" s="613"/>
      <c r="AD52" s="613"/>
      <c r="AE52" s="599" t="s">
        <v>488</v>
      </c>
      <c r="AF52" s="600"/>
      <c r="AG52" s="600"/>
      <c r="AH52" s="600"/>
      <c r="AI52" s="600"/>
      <c r="AJ52" s="600"/>
      <c r="AK52" s="600"/>
      <c r="AL52" s="600"/>
      <c r="AM52" s="600"/>
      <c r="AN52" s="601"/>
      <c r="AO52" s="599" t="s">
        <v>533</v>
      </c>
      <c r="AP52" s="600"/>
      <c r="AQ52" s="600"/>
      <c r="AR52" s="600"/>
      <c r="AS52" s="600"/>
      <c r="AT52" s="600"/>
      <c r="AU52" s="600"/>
      <c r="AV52" s="600"/>
      <c r="AW52" s="600"/>
      <c r="AX52" s="664"/>
      <c r="AY52" s="23"/>
      <c r="AZ52" s="599" t="s">
        <v>498</v>
      </c>
      <c r="BA52" s="600"/>
      <c r="BB52" s="600"/>
      <c r="BC52" s="600"/>
      <c r="BD52" s="600"/>
      <c r="BE52" s="600"/>
      <c r="BF52" s="600"/>
      <c r="BG52" s="600"/>
      <c r="BH52" s="600"/>
      <c r="BI52" s="601"/>
      <c r="BJ52" s="23"/>
      <c r="BK52" s="599" t="s">
        <v>504</v>
      </c>
      <c r="BL52" s="600"/>
      <c r="BM52" s="600"/>
      <c r="BN52" s="600"/>
      <c r="BO52" s="600"/>
      <c r="BP52" s="600"/>
      <c r="BQ52" s="600"/>
      <c r="BR52" s="600"/>
      <c r="BS52" s="600"/>
      <c r="BT52" s="601"/>
      <c r="BU52" s="23"/>
      <c r="BV52" s="599" t="s">
        <v>518</v>
      </c>
      <c r="BW52" s="600"/>
      <c r="BX52" s="600"/>
      <c r="BY52" s="600"/>
      <c r="BZ52" s="600"/>
      <c r="CA52" s="600"/>
      <c r="CB52" s="600"/>
      <c r="CC52" s="600"/>
      <c r="CD52" s="600"/>
      <c r="CE52" s="601"/>
      <c r="CF52" s="23"/>
      <c r="CG52" s="23"/>
      <c r="CH52" s="23"/>
      <c r="CI52" s="23"/>
      <c r="CJ52" s="23"/>
      <c r="CK52" s="23"/>
      <c r="CL52" s="23"/>
      <c r="CM52" s="23"/>
      <c r="CN52" s="23"/>
      <c r="CO52" s="23"/>
    </row>
    <row r="53" spans="1:94" ht="20" customHeight="1" x14ac:dyDescent="0.2">
      <c r="E53" s="22"/>
      <c r="F53" s="22"/>
      <c r="G53" s="22"/>
      <c r="H53" s="22"/>
      <c r="I53" s="22"/>
      <c r="J53" s="22"/>
      <c r="K53" s="362" t="s">
        <v>529</v>
      </c>
      <c r="L53" s="421"/>
      <c r="M53" s="421"/>
      <c r="N53" s="421"/>
      <c r="O53" s="421"/>
      <c r="P53" s="421"/>
      <c r="Q53" s="421"/>
      <c r="R53" s="421"/>
      <c r="S53" s="421"/>
      <c r="T53" s="421"/>
      <c r="U53" s="421"/>
      <c r="V53" s="421"/>
      <c r="W53" s="421"/>
      <c r="X53" s="421"/>
      <c r="Y53" s="421"/>
      <c r="Z53" s="421"/>
      <c r="AA53" s="421"/>
      <c r="AB53" s="421"/>
      <c r="AC53" s="421"/>
      <c r="AD53" s="421"/>
      <c r="AE53" s="421"/>
      <c r="AF53" s="421"/>
      <c r="AG53" s="421"/>
      <c r="AH53" s="421"/>
      <c r="AI53" s="421"/>
      <c r="AJ53" s="421"/>
      <c r="AK53" s="421"/>
      <c r="AL53" s="421"/>
      <c r="AM53" s="421"/>
      <c r="AN53" s="421"/>
      <c r="AO53" s="421"/>
      <c r="AP53" s="421"/>
      <c r="AQ53" s="421"/>
      <c r="AR53" s="421"/>
      <c r="AS53" s="421"/>
      <c r="AT53" s="421"/>
      <c r="AU53" s="421"/>
      <c r="AV53" s="421"/>
      <c r="AW53" s="421"/>
      <c r="AX53" s="659"/>
      <c r="AY53" s="23"/>
      <c r="AZ53" s="362"/>
      <c r="BA53" s="421"/>
      <c r="BB53" s="421"/>
      <c r="BC53" s="421"/>
      <c r="BD53" s="421"/>
      <c r="BE53" s="421"/>
      <c r="BF53" s="421"/>
      <c r="BG53" s="421"/>
      <c r="BH53" s="421"/>
      <c r="BI53" s="396"/>
      <c r="BJ53" s="23"/>
      <c r="BK53" s="362"/>
      <c r="BL53" s="421"/>
      <c r="BM53" s="421"/>
      <c r="BN53" s="421"/>
      <c r="BO53" s="421"/>
      <c r="BP53" s="421"/>
      <c r="BQ53" s="421"/>
      <c r="BR53" s="421"/>
      <c r="BS53" s="421"/>
      <c r="BT53" s="396"/>
      <c r="BU53" s="23"/>
      <c r="BV53" s="362"/>
      <c r="BW53" s="421"/>
      <c r="BX53" s="421"/>
      <c r="BY53" s="421"/>
      <c r="BZ53" s="421"/>
      <c r="CA53" s="421"/>
      <c r="CB53" s="421"/>
      <c r="CC53" s="421"/>
      <c r="CD53" s="421"/>
      <c r="CE53" s="396"/>
      <c r="CF53" s="23"/>
      <c r="CG53" s="23"/>
      <c r="CH53" s="23"/>
      <c r="CI53" s="23"/>
      <c r="CJ53" s="23"/>
      <c r="CK53" s="23"/>
      <c r="CL53" s="23"/>
      <c r="CM53" s="23"/>
      <c r="CN53" s="23"/>
      <c r="CO53" s="23"/>
    </row>
    <row r="54" spans="1:94" ht="20" thickBot="1" x14ac:dyDescent="0.3">
      <c r="E54" s="22"/>
      <c r="F54" s="22"/>
      <c r="G54" s="22"/>
      <c r="H54" s="22"/>
      <c r="I54" s="22"/>
      <c r="J54" s="22"/>
      <c r="K54" s="542" t="s">
        <v>429</v>
      </c>
      <c r="L54" s="543"/>
      <c r="M54" s="543"/>
      <c r="N54" s="543"/>
      <c r="O54" s="543"/>
      <c r="P54" s="543"/>
      <c r="Q54" s="543"/>
      <c r="R54" s="543"/>
      <c r="S54" s="543"/>
      <c r="T54" s="543"/>
      <c r="U54" s="543"/>
      <c r="V54" s="543"/>
      <c r="W54" s="543"/>
      <c r="X54" s="543"/>
      <c r="Y54" s="543"/>
      <c r="Z54" s="543"/>
      <c r="AA54" s="543"/>
      <c r="AB54" s="543"/>
      <c r="AC54" s="543"/>
      <c r="AD54" s="543"/>
      <c r="AE54" s="543"/>
      <c r="AF54" s="543"/>
      <c r="AG54" s="543"/>
      <c r="AH54" s="543"/>
      <c r="AI54" s="543"/>
      <c r="AJ54" s="543"/>
      <c r="AK54" s="543"/>
      <c r="AL54" s="543"/>
      <c r="AM54" s="543"/>
      <c r="AN54" s="543"/>
      <c r="AO54" s="543"/>
      <c r="AP54" s="543"/>
      <c r="AQ54" s="543"/>
      <c r="AR54" s="543"/>
      <c r="AS54" s="543"/>
      <c r="AT54" s="543"/>
      <c r="AU54" s="543"/>
      <c r="AV54" s="543"/>
      <c r="AW54" s="543"/>
      <c r="AX54" s="665"/>
      <c r="AY54" s="23"/>
      <c r="AZ54" s="542"/>
      <c r="BA54" s="543"/>
      <c r="BB54" s="543"/>
      <c r="BC54" s="543"/>
      <c r="BD54" s="543"/>
      <c r="BE54" s="543"/>
      <c r="BF54" s="543"/>
      <c r="BG54" s="543"/>
      <c r="BH54" s="543"/>
      <c r="BI54" s="544"/>
      <c r="BJ54" s="23"/>
      <c r="BK54" s="542"/>
      <c r="BL54" s="543"/>
      <c r="BM54" s="543"/>
      <c r="BN54" s="543"/>
      <c r="BO54" s="543"/>
      <c r="BP54" s="543"/>
      <c r="BQ54" s="543"/>
      <c r="BR54" s="543"/>
      <c r="BS54" s="543"/>
      <c r="BT54" s="544"/>
      <c r="BU54" s="23"/>
      <c r="BV54" s="542"/>
      <c r="BW54" s="543"/>
      <c r="BX54" s="543"/>
      <c r="BY54" s="543"/>
      <c r="BZ54" s="543"/>
      <c r="CA54" s="543"/>
      <c r="CB54" s="543"/>
      <c r="CC54" s="543"/>
      <c r="CD54" s="543"/>
      <c r="CE54" s="544"/>
      <c r="CF54" s="23"/>
      <c r="CG54" s="23"/>
      <c r="CH54" s="23"/>
      <c r="CI54" s="23"/>
      <c r="CJ54" s="23"/>
      <c r="CK54" s="23"/>
      <c r="CL54" s="23"/>
      <c r="CM54" s="23"/>
      <c r="CN54" s="23"/>
      <c r="CO54" s="23"/>
    </row>
    <row r="55" spans="1:94" x14ac:dyDescent="0.2">
      <c r="E55" s="22"/>
      <c r="F55" s="22"/>
      <c r="G55" s="22"/>
      <c r="H55" s="22"/>
      <c r="I55" s="22"/>
      <c r="J55" s="22"/>
    </row>
    <row r="57" spans="1:94" ht="17" customHeight="1" thickBot="1" x14ac:dyDescent="0.25">
      <c r="E57" s="24"/>
      <c r="J57" s="24"/>
      <c r="CP57" s="24"/>
    </row>
    <row r="58" spans="1:94" ht="20" customHeight="1" x14ac:dyDescent="0.2">
      <c r="E58" s="24"/>
      <c r="K58" s="554" t="s">
        <v>429</v>
      </c>
      <c r="L58" s="555"/>
      <c r="M58" s="555"/>
      <c r="N58" s="555"/>
      <c r="O58" s="555"/>
      <c r="P58" s="555"/>
      <c r="Q58" s="555"/>
      <c r="R58" s="555"/>
      <c r="S58" s="555"/>
      <c r="T58" s="555"/>
      <c r="U58" s="555"/>
      <c r="V58" s="555"/>
      <c r="W58" s="555"/>
      <c r="X58" s="555"/>
      <c r="Y58" s="555"/>
      <c r="Z58" s="555"/>
      <c r="AA58" s="555"/>
      <c r="AB58" s="555"/>
      <c r="AC58" s="555"/>
      <c r="AD58" s="555"/>
      <c r="AE58" s="555"/>
      <c r="AF58" s="555"/>
      <c r="AG58" s="555"/>
      <c r="AH58" s="555"/>
      <c r="AI58" s="555"/>
      <c r="AJ58" s="555"/>
      <c r="AK58" s="555"/>
      <c r="AL58" s="555"/>
      <c r="AM58" s="555"/>
      <c r="AN58" s="555"/>
      <c r="AO58" s="555"/>
      <c r="AP58" s="555"/>
      <c r="AQ58" s="555"/>
      <c r="AR58" s="555"/>
      <c r="AS58" s="555"/>
      <c r="AT58" s="555"/>
      <c r="AU58" s="555"/>
      <c r="AV58" s="555"/>
      <c r="AW58" s="555"/>
      <c r="AX58" s="555"/>
      <c r="AY58" s="555"/>
      <c r="AZ58" s="555"/>
      <c r="BA58" s="555"/>
      <c r="BB58" s="555"/>
      <c r="BC58" s="555"/>
      <c r="BD58" s="555"/>
      <c r="BE58" s="555"/>
      <c r="BF58" s="555"/>
      <c r="BG58" s="555"/>
      <c r="BH58" s="555"/>
      <c r="BI58" s="555"/>
      <c r="BJ58" s="555"/>
      <c r="BK58" s="555"/>
      <c r="BL58" s="555"/>
      <c r="BM58" s="555"/>
      <c r="BN58" s="555"/>
      <c r="BO58" s="555"/>
      <c r="BP58" s="555"/>
      <c r="BQ58" s="555"/>
      <c r="BR58" s="555"/>
      <c r="BS58" s="555"/>
      <c r="BT58" s="555"/>
      <c r="BU58" s="555"/>
      <c r="BV58" s="555"/>
      <c r="BW58" s="555"/>
      <c r="BX58" s="555"/>
      <c r="BY58" s="555"/>
      <c r="BZ58" s="555"/>
      <c r="CA58" s="555"/>
      <c r="CB58" s="556"/>
      <c r="CC58" s="23"/>
      <c r="CD58" s="554"/>
      <c r="CE58" s="555"/>
      <c r="CF58" s="555"/>
      <c r="CG58" s="555"/>
      <c r="CH58" s="555"/>
      <c r="CI58" s="555"/>
      <c r="CJ58" s="555"/>
      <c r="CK58" s="555"/>
      <c r="CL58" s="555"/>
      <c r="CM58" s="556"/>
      <c r="CN58" s="23"/>
      <c r="CO58" s="23"/>
    </row>
    <row r="59" spans="1:94" ht="20" customHeight="1" thickBot="1" x14ac:dyDescent="0.25">
      <c r="D59" s="24"/>
      <c r="E59" s="24"/>
      <c r="K59" s="557" t="s">
        <v>430</v>
      </c>
      <c r="L59" s="558"/>
      <c r="M59" s="558"/>
      <c r="N59" s="558"/>
      <c r="O59" s="558"/>
      <c r="P59" s="558"/>
      <c r="Q59" s="558"/>
      <c r="R59" s="558"/>
      <c r="S59" s="558"/>
      <c r="T59" s="558"/>
      <c r="U59" s="558"/>
      <c r="V59" s="558"/>
      <c r="W59" s="558"/>
      <c r="X59" s="558"/>
      <c r="Y59" s="558"/>
      <c r="Z59" s="558"/>
      <c r="AA59" s="558"/>
      <c r="AB59" s="558"/>
      <c r="AC59" s="558"/>
      <c r="AD59" s="558"/>
      <c r="AE59" s="558"/>
      <c r="AF59" s="558"/>
      <c r="AG59" s="558"/>
      <c r="AH59" s="558"/>
      <c r="AI59" s="558"/>
      <c r="AJ59" s="558"/>
      <c r="AK59" s="558"/>
      <c r="AL59" s="558"/>
      <c r="AM59" s="558"/>
      <c r="AN59" s="558"/>
      <c r="AO59" s="558"/>
      <c r="AP59" s="558"/>
      <c r="AQ59" s="558"/>
      <c r="AR59" s="558"/>
      <c r="AS59" s="558"/>
      <c r="AT59" s="558"/>
      <c r="AU59" s="558"/>
      <c r="AV59" s="558"/>
      <c r="AW59" s="558"/>
      <c r="AX59" s="558"/>
      <c r="AY59" s="558"/>
      <c r="AZ59" s="558"/>
      <c r="BA59" s="558"/>
      <c r="BB59" s="558"/>
      <c r="BC59" s="558"/>
      <c r="BD59" s="558"/>
      <c r="BE59" s="558"/>
      <c r="BF59" s="558"/>
      <c r="BG59" s="558"/>
      <c r="BH59" s="558"/>
      <c r="BI59" s="558"/>
      <c r="BJ59" s="558"/>
      <c r="BK59" s="558"/>
      <c r="BL59" s="558"/>
      <c r="BM59" s="558"/>
      <c r="BN59" s="558"/>
      <c r="BO59" s="558"/>
      <c r="BP59" s="558"/>
      <c r="BQ59" s="558"/>
      <c r="BR59" s="558"/>
      <c r="BS59" s="558"/>
      <c r="BT59" s="558"/>
      <c r="BU59" s="558"/>
      <c r="BV59" s="558"/>
      <c r="BW59" s="558"/>
      <c r="BX59" s="558"/>
      <c r="BY59" s="558"/>
      <c r="BZ59" s="558"/>
      <c r="CA59" s="558"/>
      <c r="CB59" s="559"/>
      <c r="CC59" s="23"/>
      <c r="CD59" s="557"/>
      <c r="CE59" s="558"/>
      <c r="CF59" s="558"/>
      <c r="CG59" s="558"/>
      <c r="CH59" s="558"/>
      <c r="CI59" s="558"/>
      <c r="CJ59" s="558"/>
      <c r="CK59" s="558"/>
      <c r="CL59" s="558"/>
      <c r="CM59" s="559"/>
      <c r="CN59" s="23"/>
      <c r="CO59" s="23"/>
    </row>
    <row r="60" spans="1:94" ht="20" customHeight="1" thickBot="1" x14ac:dyDescent="0.25">
      <c r="B60" s="84"/>
      <c r="D60" s="334" t="s">
        <v>555</v>
      </c>
      <c r="E60" s="24"/>
      <c r="K60" s="592" t="s">
        <v>438</v>
      </c>
      <c r="L60" s="561"/>
      <c r="M60" s="561"/>
      <c r="N60" s="561"/>
      <c r="O60" s="561"/>
      <c r="P60" s="561"/>
      <c r="Q60" s="561"/>
      <c r="R60" s="561"/>
      <c r="S60" s="213"/>
      <c r="T60" s="213"/>
      <c r="U60" s="437" t="s">
        <v>439</v>
      </c>
      <c r="V60" s="438"/>
      <c r="W60" s="438"/>
      <c r="X60" s="438"/>
      <c r="Y60" s="438"/>
      <c r="Z60" s="438"/>
      <c r="AA60" s="438"/>
      <c r="AB60" s="438"/>
      <c r="AC60" s="438"/>
      <c r="AD60" s="553"/>
      <c r="AE60" s="560" t="s">
        <v>442</v>
      </c>
      <c r="AF60" s="561"/>
      <c r="AG60" s="561"/>
      <c r="AH60" s="561"/>
      <c r="AI60" s="561"/>
      <c r="AJ60" s="561"/>
      <c r="AK60" s="561"/>
      <c r="AL60" s="561"/>
      <c r="AM60" s="561"/>
      <c r="AN60" s="562"/>
      <c r="AO60" s="437" t="s">
        <v>443</v>
      </c>
      <c r="AP60" s="438"/>
      <c r="AQ60" s="438"/>
      <c r="AR60" s="438"/>
      <c r="AS60" s="438"/>
      <c r="AT60" s="438"/>
      <c r="AU60" s="438"/>
      <c r="AV60" s="438"/>
      <c r="AW60" s="438"/>
      <c r="AX60" s="553"/>
      <c r="AY60" s="437" t="s">
        <v>445</v>
      </c>
      <c r="AZ60" s="438"/>
      <c r="BA60" s="438"/>
      <c r="BB60" s="438"/>
      <c r="BC60" s="438"/>
      <c r="BD60" s="438"/>
      <c r="BE60" s="438"/>
      <c r="BF60" s="438"/>
      <c r="BG60" s="438"/>
      <c r="BH60" s="553"/>
      <c r="BI60" s="437" t="s">
        <v>449</v>
      </c>
      <c r="BJ60" s="438"/>
      <c r="BK60" s="438"/>
      <c r="BL60" s="438"/>
      <c r="BM60" s="438"/>
      <c r="BN60" s="438"/>
      <c r="BO60" s="438"/>
      <c r="BP60" s="438"/>
      <c r="BQ60" s="438"/>
      <c r="BR60" s="553"/>
      <c r="BS60" s="437" t="s">
        <v>499</v>
      </c>
      <c r="BT60" s="438"/>
      <c r="BU60" s="438"/>
      <c r="BV60" s="438"/>
      <c r="BW60" s="438"/>
      <c r="BX60" s="438"/>
      <c r="BY60" s="438"/>
      <c r="BZ60" s="438"/>
      <c r="CA60" s="438"/>
      <c r="CB60" s="553"/>
      <c r="CC60" s="23"/>
      <c r="CD60" s="437" t="s">
        <v>516</v>
      </c>
      <c r="CE60" s="438"/>
      <c r="CF60" s="438"/>
      <c r="CG60" s="438"/>
      <c r="CH60" s="438"/>
      <c r="CI60" s="438"/>
      <c r="CJ60" s="438"/>
      <c r="CK60" s="438"/>
      <c r="CL60" s="438"/>
      <c r="CM60" s="553"/>
      <c r="CN60" s="23"/>
      <c r="CO60" s="23"/>
    </row>
    <row r="61" spans="1:94" ht="20" customHeight="1" thickBot="1" x14ac:dyDescent="0.25">
      <c r="A61" s="120"/>
      <c r="B61" s="121"/>
      <c r="D61" s="651"/>
      <c r="E61" s="24"/>
      <c r="G61" s="63"/>
      <c r="H61" s="63"/>
      <c r="I61" s="63"/>
      <c r="J61" s="63"/>
      <c r="K61" s="616" t="s">
        <v>433</v>
      </c>
      <c r="L61" s="617"/>
      <c r="M61" s="617"/>
      <c r="N61" s="618"/>
      <c r="O61" s="641" t="s">
        <v>434</v>
      </c>
      <c r="P61" s="642"/>
      <c r="Q61" s="642"/>
      <c r="R61" s="643"/>
      <c r="S61" s="581" t="s">
        <v>495</v>
      </c>
      <c r="T61" s="582"/>
      <c r="U61" s="583" t="s">
        <v>433</v>
      </c>
      <c r="V61" s="584"/>
      <c r="W61" s="584"/>
      <c r="X61" s="585"/>
      <c r="Y61" s="586" t="s">
        <v>434</v>
      </c>
      <c r="Z61" s="587"/>
      <c r="AA61" s="587"/>
      <c r="AB61" s="588"/>
      <c r="AC61" s="581" t="s">
        <v>495</v>
      </c>
      <c r="AD61" s="582"/>
      <c r="AE61" s="583" t="s">
        <v>433</v>
      </c>
      <c r="AF61" s="584"/>
      <c r="AG61" s="584"/>
      <c r="AH61" s="585"/>
      <c r="AI61" s="586" t="s">
        <v>434</v>
      </c>
      <c r="AJ61" s="587"/>
      <c r="AK61" s="587"/>
      <c r="AL61" s="588"/>
      <c r="AM61" s="581" t="s">
        <v>495</v>
      </c>
      <c r="AN61" s="582"/>
      <c r="AO61" s="583" t="s">
        <v>433</v>
      </c>
      <c r="AP61" s="584"/>
      <c r="AQ61" s="584"/>
      <c r="AR61" s="585"/>
      <c r="AS61" s="586" t="s">
        <v>434</v>
      </c>
      <c r="AT61" s="587"/>
      <c r="AU61" s="587"/>
      <c r="AV61" s="588"/>
      <c r="AW61" s="581" t="s">
        <v>495</v>
      </c>
      <c r="AX61" s="582"/>
      <c r="AY61" s="583" t="s">
        <v>433</v>
      </c>
      <c r="AZ61" s="584"/>
      <c r="BA61" s="584"/>
      <c r="BB61" s="585"/>
      <c r="BC61" s="586" t="s">
        <v>434</v>
      </c>
      <c r="BD61" s="587"/>
      <c r="BE61" s="587"/>
      <c r="BF61" s="588"/>
      <c r="BG61" s="581" t="s">
        <v>495</v>
      </c>
      <c r="BH61" s="582"/>
      <c r="BI61" s="583" t="s">
        <v>433</v>
      </c>
      <c r="BJ61" s="584"/>
      <c r="BK61" s="584"/>
      <c r="BL61" s="585"/>
      <c r="BM61" s="586" t="s">
        <v>434</v>
      </c>
      <c r="BN61" s="587"/>
      <c r="BO61" s="587"/>
      <c r="BP61" s="588"/>
      <c r="BQ61" s="581" t="s">
        <v>495</v>
      </c>
      <c r="BR61" s="582"/>
      <c r="BS61" s="583" t="s">
        <v>433</v>
      </c>
      <c r="BT61" s="584"/>
      <c r="BU61" s="584"/>
      <c r="BV61" s="585"/>
      <c r="BW61" s="586" t="s">
        <v>434</v>
      </c>
      <c r="BX61" s="587"/>
      <c r="BY61" s="587"/>
      <c r="BZ61" s="588"/>
      <c r="CA61" s="581" t="s">
        <v>495</v>
      </c>
      <c r="CB61" s="582"/>
      <c r="CC61" s="23"/>
      <c r="CD61" s="583" t="s">
        <v>433</v>
      </c>
      <c r="CE61" s="584"/>
      <c r="CF61" s="584"/>
      <c r="CG61" s="585"/>
      <c r="CH61" s="586" t="s">
        <v>434</v>
      </c>
      <c r="CI61" s="587"/>
      <c r="CJ61" s="587"/>
      <c r="CK61" s="588"/>
      <c r="CL61" s="581" t="s">
        <v>495</v>
      </c>
      <c r="CM61" s="582"/>
      <c r="CN61" s="62"/>
      <c r="CO61" s="23"/>
    </row>
    <row r="62" spans="1:94" ht="20" customHeight="1" x14ac:dyDescent="0.2">
      <c r="A62" s="122"/>
      <c r="B62" s="123"/>
      <c r="D62" s="24"/>
      <c r="E62" s="24"/>
      <c r="G62" s="328" t="s">
        <v>24</v>
      </c>
      <c r="H62" s="339" t="s">
        <v>327</v>
      </c>
      <c r="I62" s="342" t="s">
        <v>325</v>
      </c>
      <c r="J62" s="632" t="s">
        <v>326</v>
      </c>
      <c r="K62" s="545" t="s">
        <v>444</v>
      </c>
      <c r="L62" s="549" t="s">
        <v>431</v>
      </c>
      <c r="M62" s="566" t="s">
        <v>493</v>
      </c>
      <c r="N62" s="566" t="s">
        <v>490</v>
      </c>
      <c r="O62" s="567" t="s">
        <v>444</v>
      </c>
      <c r="P62" s="570" t="s">
        <v>431</v>
      </c>
      <c r="Q62" s="572" t="s">
        <v>493</v>
      </c>
      <c r="R62" s="572" t="s">
        <v>490</v>
      </c>
      <c r="S62" s="575" t="s">
        <v>494</v>
      </c>
      <c r="T62" s="550" t="s">
        <v>241</v>
      </c>
      <c r="U62" s="545" t="s">
        <v>444</v>
      </c>
      <c r="V62" s="549" t="s">
        <v>431</v>
      </c>
      <c r="W62" s="566" t="s">
        <v>493</v>
      </c>
      <c r="X62" s="566" t="s">
        <v>490</v>
      </c>
      <c r="Y62" s="567" t="s">
        <v>444</v>
      </c>
      <c r="Z62" s="570" t="s">
        <v>431</v>
      </c>
      <c r="AA62" s="572" t="s">
        <v>493</v>
      </c>
      <c r="AB62" s="572" t="s">
        <v>490</v>
      </c>
      <c r="AC62" s="575" t="s">
        <v>494</v>
      </c>
      <c r="AD62" s="550" t="s">
        <v>241</v>
      </c>
      <c r="AE62" s="545" t="s">
        <v>444</v>
      </c>
      <c r="AF62" s="549" t="s">
        <v>431</v>
      </c>
      <c r="AG62" s="566" t="s">
        <v>493</v>
      </c>
      <c r="AH62" s="566" t="s">
        <v>490</v>
      </c>
      <c r="AI62" s="567" t="s">
        <v>444</v>
      </c>
      <c r="AJ62" s="570" t="s">
        <v>431</v>
      </c>
      <c r="AK62" s="572" t="s">
        <v>493</v>
      </c>
      <c r="AL62" s="572" t="s">
        <v>490</v>
      </c>
      <c r="AM62" s="575" t="s">
        <v>494</v>
      </c>
      <c r="AN62" s="550" t="s">
        <v>241</v>
      </c>
      <c r="AO62" s="545" t="s">
        <v>444</v>
      </c>
      <c r="AP62" s="549" t="s">
        <v>431</v>
      </c>
      <c r="AQ62" s="566" t="s">
        <v>493</v>
      </c>
      <c r="AR62" s="566" t="s">
        <v>490</v>
      </c>
      <c r="AS62" s="567" t="s">
        <v>444</v>
      </c>
      <c r="AT62" s="570" t="s">
        <v>431</v>
      </c>
      <c r="AU62" s="572" t="s">
        <v>493</v>
      </c>
      <c r="AV62" s="572" t="s">
        <v>490</v>
      </c>
      <c r="AW62" s="575" t="s">
        <v>494</v>
      </c>
      <c r="AX62" s="550" t="s">
        <v>241</v>
      </c>
      <c r="AY62" s="545" t="s">
        <v>444</v>
      </c>
      <c r="AZ62" s="549" t="s">
        <v>431</v>
      </c>
      <c r="BA62" s="566" t="s">
        <v>493</v>
      </c>
      <c r="BB62" s="566" t="s">
        <v>490</v>
      </c>
      <c r="BC62" s="567" t="s">
        <v>444</v>
      </c>
      <c r="BD62" s="570" t="s">
        <v>431</v>
      </c>
      <c r="BE62" s="572" t="s">
        <v>493</v>
      </c>
      <c r="BF62" s="572" t="s">
        <v>490</v>
      </c>
      <c r="BG62" s="575" t="s">
        <v>494</v>
      </c>
      <c r="BH62" s="550" t="s">
        <v>241</v>
      </c>
      <c r="BI62" s="545" t="s">
        <v>444</v>
      </c>
      <c r="BJ62" s="549" t="s">
        <v>431</v>
      </c>
      <c r="BK62" s="566" t="s">
        <v>493</v>
      </c>
      <c r="BL62" s="566" t="s">
        <v>490</v>
      </c>
      <c r="BM62" s="567" t="s">
        <v>444</v>
      </c>
      <c r="BN62" s="570" t="s">
        <v>431</v>
      </c>
      <c r="BO62" s="572" t="s">
        <v>493</v>
      </c>
      <c r="BP62" s="572" t="s">
        <v>490</v>
      </c>
      <c r="BQ62" s="575" t="s">
        <v>494</v>
      </c>
      <c r="BR62" s="550" t="s">
        <v>241</v>
      </c>
      <c r="BS62" s="545" t="s">
        <v>444</v>
      </c>
      <c r="BT62" s="549" t="s">
        <v>431</v>
      </c>
      <c r="BU62" s="566" t="s">
        <v>493</v>
      </c>
      <c r="BV62" s="566" t="s">
        <v>490</v>
      </c>
      <c r="BW62" s="567" t="s">
        <v>444</v>
      </c>
      <c r="BX62" s="570" t="s">
        <v>431</v>
      </c>
      <c r="BY62" s="572" t="s">
        <v>493</v>
      </c>
      <c r="BZ62" s="572" t="s">
        <v>490</v>
      </c>
      <c r="CA62" s="575" t="s">
        <v>494</v>
      </c>
      <c r="CB62" s="550" t="s">
        <v>241</v>
      </c>
      <c r="CC62" s="23"/>
      <c r="CD62" s="589" t="s">
        <v>444</v>
      </c>
      <c r="CE62" s="549" t="s">
        <v>431</v>
      </c>
      <c r="CF62" s="566" t="s">
        <v>493</v>
      </c>
      <c r="CG62" s="566" t="s">
        <v>490</v>
      </c>
      <c r="CH62" s="567" t="s">
        <v>444</v>
      </c>
      <c r="CI62" s="570" t="s">
        <v>431</v>
      </c>
      <c r="CJ62" s="572" t="s">
        <v>493</v>
      </c>
      <c r="CK62" s="572" t="s">
        <v>490</v>
      </c>
      <c r="CL62" s="575" t="s">
        <v>494</v>
      </c>
      <c r="CM62" s="550" t="s">
        <v>241</v>
      </c>
      <c r="CN62" s="62"/>
      <c r="CO62" s="23"/>
    </row>
    <row r="63" spans="1:94" ht="23" customHeight="1" x14ac:dyDescent="0.2">
      <c r="A63" s="328" t="s">
        <v>248</v>
      </c>
      <c r="B63" s="330" t="s">
        <v>487</v>
      </c>
      <c r="D63" s="24"/>
      <c r="E63" s="24"/>
      <c r="G63" s="328"/>
      <c r="H63" s="340"/>
      <c r="I63" s="343"/>
      <c r="J63" s="633"/>
      <c r="K63" s="441"/>
      <c r="L63" s="444"/>
      <c r="M63" s="447"/>
      <c r="N63" s="447"/>
      <c r="O63" s="568"/>
      <c r="P63" s="570"/>
      <c r="Q63" s="573"/>
      <c r="R63" s="573"/>
      <c r="S63" s="576"/>
      <c r="T63" s="551"/>
      <c r="U63" s="441"/>
      <c r="V63" s="444"/>
      <c r="W63" s="447"/>
      <c r="X63" s="447"/>
      <c r="Y63" s="568"/>
      <c r="Z63" s="570"/>
      <c r="AA63" s="573"/>
      <c r="AB63" s="573"/>
      <c r="AC63" s="576"/>
      <c r="AD63" s="551"/>
      <c r="AE63" s="441"/>
      <c r="AF63" s="444"/>
      <c r="AG63" s="447"/>
      <c r="AH63" s="447"/>
      <c r="AI63" s="568"/>
      <c r="AJ63" s="570"/>
      <c r="AK63" s="573"/>
      <c r="AL63" s="573"/>
      <c r="AM63" s="576"/>
      <c r="AN63" s="551"/>
      <c r="AO63" s="441"/>
      <c r="AP63" s="444"/>
      <c r="AQ63" s="447"/>
      <c r="AR63" s="447"/>
      <c r="AS63" s="568"/>
      <c r="AT63" s="570"/>
      <c r="AU63" s="573"/>
      <c r="AV63" s="573"/>
      <c r="AW63" s="576"/>
      <c r="AX63" s="551"/>
      <c r="AY63" s="441"/>
      <c r="AZ63" s="444"/>
      <c r="BA63" s="447"/>
      <c r="BB63" s="447"/>
      <c r="BC63" s="568"/>
      <c r="BD63" s="570"/>
      <c r="BE63" s="573"/>
      <c r="BF63" s="573"/>
      <c r="BG63" s="576"/>
      <c r="BH63" s="551"/>
      <c r="BI63" s="441"/>
      <c r="BJ63" s="444"/>
      <c r="BK63" s="447"/>
      <c r="BL63" s="447"/>
      <c r="BM63" s="568"/>
      <c r="BN63" s="570"/>
      <c r="BO63" s="573"/>
      <c r="BP63" s="573"/>
      <c r="BQ63" s="576"/>
      <c r="BR63" s="551"/>
      <c r="BS63" s="441"/>
      <c r="BT63" s="444"/>
      <c r="BU63" s="447"/>
      <c r="BV63" s="447"/>
      <c r="BW63" s="568"/>
      <c r="BX63" s="570"/>
      <c r="BY63" s="573"/>
      <c r="BZ63" s="573"/>
      <c r="CA63" s="576"/>
      <c r="CB63" s="551"/>
      <c r="CC63" s="23"/>
      <c r="CD63" s="590"/>
      <c r="CE63" s="444"/>
      <c r="CF63" s="447"/>
      <c r="CG63" s="447"/>
      <c r="CH63" s="568"/>
      <c r="CI63" s="570"/>
      <c r="CJ63" s="573"/>
      <c r="CK63" s="573"/>
      <c r="CL63" s="576"/>
      <c r="CM63" s="551"/>
      <c r="CN63" s="62"/>
      <c r="CO63" s="23"/>
    </row>
    <row r="64" spans="1:94" ht="23" customHeight="1" x14ac:dyDescent="0.2">
      <c r="A64" s="328"/>
      <c r="B64" s="330"/>
      <c r="C64" s="63"/>
      <c r="D64" s="62"/>
      <c r="E64" s="62"/>
      <c r="G64" s="328"/>
      <c r="H64" s="340"/>
      <c r="I64" s="343"/>
      <c r="J64" s="633"/>
      <c r="K64" s="441"/>
      <c r="L64" s="444"/>
      <c r="M64" s="447"/>
      <c r="N64" s="447"/>
      <c r="O64" s="568"/>
      <c r="P64" s="570"/>
      <c r="Q64" s="573"/>
      <c r="R64" s="573"/>
      <c r="S64" s="576"/>
      <c r="T64" s="551"/>
      <c r="U64" s="441"/>
      <c r="V64" s="444"/>
      <c r="W64" s="447"/>
      <c r="X64" s="447"/>
      <c r="Y64" s="568"/>
      <c r="Z64" s="570"/>
      <c r="AA64" s="573"/>
      <c r="AB64" s="573"/>
      <c r="AC64" s="576"/>
      <c r="AD64" s="551"/>
      <c r="AE64" s="441"/>
      <c r="AF64" s="444"/>
      <c r="AG64" s="447"/>
      <c r="AH64" s="447"/>
      <c r="AI64" s="568"/>
      <c r="AJ64" s="570"/>
      <c r="AK64" s="573"/>
      <c r="AL64" s="573"/>
      <c r="AM64" s="576"/>
      <c r="AN64" s="551"/>
      <c r="AO64" s="441"/>
      <c r="AP64" s="444"/>
      <c r="AQ64" s="447"/>
      <c r="AR64" s="447"/>
      <c r="AS64" s="568"/>
      <c r="AT64" s="570"/>
      <c r="AU64" s="573"/>
      <c r="AV64" s="573"/>
      <c r="AW64" s="576"/>
      <c r="AX64" s="551"/>
      <c r="AY64" s="441"/>
      <c r="AZ64" s="444"/>
      <c r="BA64" s="447"/>
      <c r="BB64" s="447"/>
      <c r="BC64" s="568"/>
      <c r="BD64" s="570"/>
      <c r="BE64" s="573"/>
      <c r="BF64" s="573"/>
      <c r="BG64" s="576"/>
      <c r="BH64" s="551"/>
      <c r="BI64" s="441"/>
      <c r="BJ64" s="444"/>
      <c r="BK64" s="447"/>
      <c r="BL64" s="447"/>
      <c r="BM64" s="568"/>
      <c r="BN64" s="570"/>
      <c r="BO64" s="573"/>
      <c r="BP64" s="573"/>
      <c r="BQ64" s="576"/>
      <c r="BR64" s="551"/>
      <c r="BS64" s="441"/>
      <c r="BT64" s="444"/>
      <c r="BU64" s="447"/>
      <c r="BV64" s="447"/>
      <c r="BW64" s="568"/>
      <c r="BX64" s="570"/>
      <c r="BY64" s="573"/>
      <c r="BZ64" s="573"/>
      <c r="CA64" s="576"/>
      <c r="CB64" s="551"/>
      <c r="CC64" s="23"/>
      <c r="CD64" s="590"/>
      <c r="CE64" s="444"/>
      <c r="CF64" s="447"/>
      <c r="CG64" s="447"/>
      <c r="CH64" s="568"/>
      <c r="CI64" s="570"/>
      <c r="CJ64" s="573"/>
      <c r="CK64" s="573"/>
      <c r="CL64" s="576"/>
      <c r="CM64" s="551"/>
      <c r="CN64" s="62"/>
      <c r="CO64" s="23"/>
    </row>
    <row r="65" spans="1:106" ht="23" customHeight="1" x14ac:dyDescent="0.2">
      <c r="A65" s="328"/>
      <c r="B65" s="330"/>
      <c r="C65" s="63"/>
      <c r="D65" s="62"/>
      <c r="E65" s="62"/>
      <c r="F65" s="63"/>
      <c r="G65" s="328"/>
      <c r="H65" s="340"/>
      <c r="I65" s="343"/>
      <c r="J65" s="633"/>
      <c r="K65" s="441"/>
      <c r="L65" s="444"/>
      <c r="M65" s="447"/>
      <c r="N65" s="447"/>
      <c r="O65" s="568"/>
      <c r="P65" s="570"/>
      <c r="Q65" s="573"/>
      <c r="R65" s="573"/>
      <c r="S65" s="576"/>
      <c r="T65" s="551"/>
      <c r="U65" s="441"/>
      <c r="V65" s="444"/>
      <c r="W65" s="447"/>
      <c r="X65" s="447"/>
      <c r="Y65" s="568"/>
      <c r="Z65" s="570"/>
      <c r="AA65" s="573"/>
      <c r="AB65" s="573"/>
      <c r="AC65" s="576"/>
      <c r="AD65" s="551"/>
      <c r="AE65" s="441"/>
      <c r="AF65" s="444"/>
      <c r="AG65" s="447"/>
      <c r="AH65" s="447"/>
      <c r="AI65" s="568"/>
      <c r="AJ65" s="570"/>
      <c r="AK65" s="573"/>
      <c r="AL65" s="573"/>
      <c r="AM65" s="576"/>
      <c r="AN65" s="551"/>
      <c r="AO65" s="441"/>
      <c r="AP65" s="444"/>
      <c r="AQ65" s="447"/>
      <c r="AR65" s="447"/>
      <c r="AS65" s="568"/>
      <c r="AT65" s="570"/>
      <c r="AU65" s="573"/>
      <c r="AV65" s="573"/>
      <c r="AW65" s="576"/>
      <c r="AX65" s="551"/>
      <c r="AY65" s="441"/>
      <c r="AZ65" s="444"/>
      <c r="BA65" s="447"/>
      <c r="BB65" s="447"/>
      <c r="BC65" s="568"/>
      <c r="BD65" s="570"/>
      <c r="BE65" s="573"/>
      <c r="BF65" s="573"/>
      <c r="BG65" s="576"/>
      <c r="BH65" s="551"/>
      <c r="BI65" s="441"/>
      <c r="BJ65" s="444"/>
      <c r="BK65" s="447"/>
      <c r="BL65" s="447"/>
      <c r="BM65" s="568"/>
      <c r="BN65" s="570"/>
      <c r="BO65" s="573"/>
      <c r="BP65" s="573"/>
      <c r="BQ65" s="576"/>
      <c r="BR65" s="551"/>
      <c r="BS65" s="441"/>
      <c r="BT65" s="444"/>
      <c r="BU65" s="447"/>
      <c r="BV65" s="447"/>
      <c r="BW65" s="568"/>
      <c r="BX65" s="570"/>
      <c r="BY65" s="573"/>
      <c r="BZ65" s="573"/>
      <c r="CA65" s="576"/>
      <c r="CB65" s="551"/>
      <c r="CC65" s="23"/>
      <c r="CD65" s="590"/>
      <c r="CE65" s="444"/>
      <c r="CF65" s="447"/>
      <c r="CG65" s="447"/>
      <c r="CH65" s="568"/>
      <c r="CI65" s="570"/>
      <c r="CJ65" s="573"/>
      <c r="CK65" s="573"/>
      <c r="CL65" s="576"/>
      <c r="CM65" s="551"/>
      <c r="CN65" s="62"/>
      <c r="CO65" s="23"/>
    </row>
    <row r="66" spans="1:106" ht="23" customHeight="1" thickBot="1" x14ac:dyDescent="0.25">
      <c r="A66" s="622"/>
      <c r="B66" s="623"/>
      <c r="C66" s="124" t="s">
        <v>20</v>
      </c>
      <c r="D66" s="125" t="s">
        <v>21</v>
      </c>
      <c r="E66" s="125" t="s">
        <v>22</v>
      </c>
      <c r="F66" s="124" t="s">
        <v>23</v>
      </c>
      <c r="G66" s="622"/>
      <c r="H66" s="630"/>
      <c r="I66" s="631"/>
      <c r="J66" s="634"/>
      <c r="K66" s="442"/>
      <c r="L66" s="445"/>
      <c r="M66" s="448"/>
      <c r="N66" s="448"/>
      <c r="O66" s="569"/>
      <c r="P66" s="571"/>
      <c r="Q66" s="574"/>
      <c r="R66" s="574"/>
      <c r="S66" s="577"/>
      <c r="T66" s="552"/>
      <c r="U66" s="442"/>
      <c r="V66" s="445"/>
      <c r="W66" s="448"/>
      <c r="X66" s="448"/>
      <c r="Y66" s="569"/>
      <c r="Z66" s="571"/>
      <c r="AA66" s="574"/>
      <c r="AB66" s="574"/>
      <c r="AC66" s="577"/>
      <c r="AD66" s="552"/>
      <c r="AE66" s="442"/>
      <c r="AF66" s="445"/>
      <c r="AG66" s="448"/>
      <c r="AH66" s="448"/>
      <c r="AI66" s="569"/>
      <c r="AJ66" s="571"/>
      <c r="AK66" s="574"/>
      <c r="AL66" s="574"/>
      <c r="AM66" s="577"/>
      <c r="AN66" s="552"/>
      <c r="AO66" s="442"/>
      <c r="AP66" s="445"/>
      <c r="AQ66" s="448"/>
      <c r="AR66" s="448"/>
      <c r="AS66" s="569"/>
      <c r="AT66" s="571"/>
      <c r="AU66" s="574"/>
      <c r="AV66" s="574"/>
      <c r="AW66" s="577"/>
      <c r="AX66" s="552"/>
      <c r="AY66" s="442"/>
      <c r="AZ66" s="445"/>
      <c r="BA66" s="448"/>
      <c r="BB66" s="448"/>
      <c r="BC66" s="569"/>
      <c r="BD66" s="571"/>
      <c r="BE66" s="574"/>
      <c r="BF66" s="574"/>
      <c r="BG66" s="577"/>
      <c r="BH66" s="552"/>
      <c r="BI66" s="442"/>
      <c r="BJ66" s="445"/>
      <c r="BK66" s="448"/>
      <c r="BL66" s="448"/>
      <c r="BM66" s="569"/>
      <c r="BN66" s="571"/>
      <c r="BO66" s="574"/>
      <c r="BP66" s="574"/>
      <c r="BQ66" s="577"/>
      <c r="BR66" s="552"/>
      <c r="BS66" s="442"/>
      <c r="BT66" s="445"/>
      <c r="BU66" s="448"/>
      <c r="BV66" s="448"/>
      <c r="BW66" s="569"/>
      <c r="BX66" s="571"/>
      <c r="BY66" s="574"/>
      <c r="BZ66" s="574"/>
      <c r="CA66" s="577"/>
      <c r="CB66" s="552"/>
      <c r="CC66" s="23"/>
      <c r="CD66" s="591"/>
      <c r="CE66" s="445"/>
      <c r="CF66" s="448"/>
      <c r="CG66" s="448"/>
      <c r="CH66" s="569"/>
      <c r="CI66" s="571"/>
      <c r="CJ66" s="574"/>
      <c r="CK66" s="574"/>
      <c r="CL66" s="577"/>
      <c r="CM66" s="552"/>
      <c r="CN66" s="186" t="s">
        <v>25</v>
      </c>
      <c r="CO66" s="187"/>
      <c r="CP66" s="187"/>
      <c r="CQ66" s="187"/>
      <c r="CR66" s="187"/>
      <c r="CS66" s="187"/>
      <c r="CT66" s="187"/>
      <c r="CU66" s="187"/>
      <c r="CV66" s="187"/>
      <c r="CW66" s="187"/>
      <c r="CX66" s="187"/>
      <c r="CY66" s="187"/>
      <c r="CZ66" s="187"/>
      <c r="DA66" s="187"/>
      <c r="DB66" s="187"/>
    </row>
    <row r="67" spans="1:106" ht="20" customHeight="1" x14ac:dyDescent="0.2">
      <c r="A67" s="60"/>
      <c r="B67" s="84"/>
      <c r="C67" s="63" t="s">
        <v>85</v>
      </c>
      <c r="D67" s="62" t="s">
        <v>249</v>
      </c>
      <c r="E67" s="62" t="s">
        <v>250</v>
      </c>
      <c r="F67" s="63">
        <v>2015</v>
      </c>
      <c r="G67" s="63"/>
      <c r="H67" s="114">
        <v>40</v>
      </c>
      <c r="I67" s="109" t="s">
        <v>328</v>
      </c>
      <c r="J67" s="115" t="s">
        <v>329</v>
      </c>
      <c r="K67" s="126">
        <v>4.5</v>
      </c>
      <c r="L67" s="127"/>
      <c r="M67" s="127" t="str">
        <f t="shared" ref="M67:M68" si="20">IF(AND(NOT(ISERROR(L67-K67)), K67&lt;&gt;"", L67&lt;&gt;""), L67-K67, "")</f>
        <v/>
      </c>
      <c r="N67" s="128"/>
      <c r="O67" s="214">
        <v>5</v>
      </c>
      <c r="P67" s="214"/>
      <c r="Q67" s="215" t="str">
        <f>IF(AND(NOT(ISERROR(P67-O67)), O67&lt;&gt;"", P67&lt;&gt;""), P67-O67, "")</f>
        <v/>
      </c>
      <c r="R67" s="215"/>
      <c r="S67" s="223"/>
      <c r="T67" s="224"/>
      <c r="U67" s="130"/>
      <c r="V67" s="127"/>
      <c r="W67" s="127" t="str">
        <f t="shared" ref="W67:W92" si="21">IF(AND(NOT(ISERROR(V67-U67)), U67&lt;&gt;"", V67&lt;&gt;""), V67-U67, "")</f>
        <v/>
      </c>
      <c r="X67" s="128" t="str">
        <f t="shared" ref="X67:X92" si="22">IF(NOT(ISERROR(100-(V67/U67)*100)), (100-(V67/U67)*100)*-1, "")</f>
        <v/>
      </c>
      <c r="Y67" s="214"/>
      <c r="Z67" s="214"/>
      <c r="AA67" s="215" t="str">
        <f t="shared" ref="AA67:AA92" si="23">IF(AND(NOT(ISERROR(Z67-Y67)), Y67&lt;&gt;"", Z67&lt;&gt;""), Z67-Y67, "")</f>
        <v/>
      </c>
      <c r="AB67" s="215" t="str">
        <f t="shared" ref="AB67:AB92" si="24">IF(NOT(ISERROR(100-(Z67/Y67)*100)), (100-(Z67/Y67)*100)*-1, "")</f>
        <v/>
      </c>
      <c r="AC67" s="223"/>
      <c r="AD67" s="224"/>
      <c r="AE67" s="138"/>
      <c r="AF67" s="129"/>
      <c r="AG67" s="129" t="str">
        <f t="shared" ref="AG67:AG92" si="25">IF(AND(NOT(ISERROR(AF67-AE67)), AE67&lt;&gt;"", AF67&lt;&gt;""), AF67-AE67, "")</f>
        <v/>
      </c>
      <c r="AH67" s="129"/>
      <c r="AI67" s="215"/>
      <c r="AJ67" s="215"/>
      <c r="AK67" s="215" t="str">
        <f t="shared" ref="AK67:AK92" si="26">IF(AND(NOT(ISERROR(AJ67-AI67)), AI67&lt;&gt;"", AJ67&lt;&gt;""), AJ67-AI67, "")</f>
        <v/>
      </c>
      <c r="AL67" s="220"/>
      <c r="AM67" s="223"/>
      <c r="AN67" s="224"/>
      <c r="AO67" s="140"/>
      <c r="AP67" s="129"/>
      <c r="AQ67" s="129"/>
      <c r="AR67" s="129"/>
      <c r="AS67" s="215"/>
      <c r="AT67" s="215"/>
      <c r="AU67" s="215"/>
      <c r="AV67" s="215"/>
      <c r="AW67" s="223"/>
      <c r="AX67" s="224"/>
      <c r="AY67" s="144"/>
      <c r="AZ67" s="129"/>
      <c r="BA67" s="129"/>
      <c r="BB67" s="129"/>
      <c r="BC67" s="215"/>
      <c r="BD67" s="215"/>
      <c r="BE67" s="215"/>
      <c r="BF67" s="215"/>
      <c r="BG67" s="223"/>
      <c r="BH67" s="224"/>
      <c r="BI67" s="138"/>
      <c r="BJ67" s="129"/>
      <c r="BK67" s="129"/>
      <c r="BL67" s="129"/>
      <c r="BM67" s="215"/>
      <c r="BN67" s="215"/>
      <c r="BO67" s="215"/>
      <c r="BP67" s="215"/>
      <c r="BQ67" s="223"/>
      <c r="BR67" s="224"/>
      <c r="BS67" s="138"/>
      <c r="BT67" s="129"/>
      <c r="BU67" s="129"/>
      <c r="BV67" s="129"/>
      <c r="BW67" s="215"/>
      <c r="BX67" s="215"/>
      <c r="BY67" s="215"/>
      <c r="BZ67" s="215"/>
      <c r="CA67" s="223"/>
      <c r="CB67" s="224"/>
      <c r="CC67" s="23"/>
      <c r="CD67" s="138"/>
      <c r="CE67" s="129"/>
      <c r="CF67" s="129"/>
      <c r="CG67" s="129"/>
      <c r="CH67" s="215"/>
      <c r="CI67" s="215"/>
      <c r="CJ67" s="215"/>
      <c r="CK67" s="215"/>
      <c r="CL67" s="223"/>
      <c r="CM67" s="224"/>
      <c r="CN67" s="62" t="s">
        <v>435</v>
      </c>
      <c r="CO67" s="23"/>
    </row>
    <row r="68" spans="1:106" ht="20" customHeight="1" x14ac:dyDescent="0.2">
      <c r="A68" s="60"/>
      <c r="B68" s="82"/>
      <c r="C68" s="24" t="s">
        <v>85</v>
      </c>
      <c r="D68" s="23" t="s">
        <v>253</v>
      </c>
      <c r="E68" s="23" t="s">
        <v>254</v>
      </c>
      <c r="F68" s="24">
        <v>2008</v>
      </c>
      <c r="H68" s="89">
        <v>13</v>
      </c>
      <c r="I68" s="85" t="s">
        <v>218</v>
      </c>
      <c r="J68" s="116" t="s">
        <v>335</v>
      </c>
      <c r="K68" s="132"/>
      <c r="L68" s="133"/>
      <c r="M68" s="133" t="str">
        <f t="shared" si="20"/>
        <v/>
      </c>
      <c r="N68" s="134" t="str">
        <f t="shared" ref="N68:N92" si="27">IF(NOT(ISERROR(100-(L68/K68)*100)), (100-(L68/K68)*100)*-1, "")</f>
        <v/>
      </c>
      <c r="O68" s="216"/>
      <c r="P68" s="216"/>
      <c r="Q68" s="217" t="str">
        <f t="shared" ref="Q68:Q92" si="28">IF(AND(NOT(ISERROR(P68-O68)), O68&lt;&gt;"", P68&lt;&gt;""), P68-O68, "")</f>
        <v/>
      </c>
      <c r="R68" s="217" t="str">
        <f t="shared" ref="R68:R92" si="29">IF(NOT(ISERROR(100-(P68/O68)*100)), (100-(P68/O68)*100)*-1, "")</f>
        <v/>
      </c>
      <c r="S68" s="225"/>
      <c r="T68" s="226"/>
      <c r="U68" s="136"/>
      <c r="V68" s="133"/>
      <c r="W68" s="133" t="str">
        <f t="shared" si="21"/>
        <v/>
      </c>
      <c r="X68" s="134" t="str">
        <f t="shared" si="22"/>
        <v/>
      </c>
      <c r="Y68" s="216"/>
      <c r="Z68" s="216"/>
      <c r="AA68" s="217" t="str">
        <f t="shared" si="23"/>
        <v/>
      </c>
      <c r="AB68" s="217" t="str">
        <f t="shared" si="24"/>
        <v/>
      </c>
      <c r="AC68" s="225"/>
      <c r="AD68" s="226"/>
      <c r="AE68" s="139"/>
      <c r="AF68" s="135"/>
      <c r="AG68" s="135" t="str">
        <f t="shared" si="25"/>
        <v/>
      </c>
      <c r="AH68" s="135"/>
      <c r="AI68" s="217"/>
      <c r="AJ68" s="217"/>
      <c r="AK68" s="217" t="str">
        <f t="shared" si="26"/>
        <v/>
      </c>
      <c r="AL68" s="221"/>
      <c r="AM68" s="225"/>
      <c r="AN68" s="226"/>
      <c r="AO68" s="141"/>
      <c r="AP68" s="135"/>
      <c r="AQ68" s="135"/>
      <c r="AR68" s="135"/>
      <c r="AS68" s="217"/>
      <c r="AT68" s="217"/>
      <c r="AU68" s="217"/>
      <c r="AV68" s="217"/>
      <c r="AW68" s="225"/>
      <c r="AX68" s="226"/>
      <c r="AY68" s="136"/>
      <c r="AZ68" s="135"/>
      <c r="BA68" s="135"/>
      <c r="BB68" s="135"/>
      <c r="BC68" s="217"/>
      <c r="BD68" s="217"/>
      <c r="BE68" s="217"/>
      <c r="BF68" s="217"/>
      <c r="BG68" s="225"/>
      <c r="BH68" s="226"/>
      <c r="BI68" s="139"/>
      <c r="BJ68" s="135"/>
      <c r="BK68" s="135"/>
      <c r="BL68" s="135"/>
      <c r="BM68" s="217"/>
      <c r="BN68" s="217"/>
      <c r="BO68" s="217"/>
      <c r="BP68" s="217"/>
      <c r="BQ68" s="225"/>
      <c r="BR68" s="226"/>
      <c r="BS68" s="262"/>
      <c r="BT68" s="263">
        <v>0.41</v>
      </c>
      <c r="BU68" s="263"/>
      <c r="BV68" s="263"/>
      <c r="BW68" s="217"/>
      <c r="BX68" s="217">
        <v>0.5</v>
      </c>
      <c r="BY68" s="217"/>
      <c r="BZ68" s="217"/>
      <c r="CA68" s="264">
        <v>-0.09</v>
      </c>
      <c r="CB68" s="265"/>
      <c r="CC68" s="23"/>
      <c r="CD68" s="262"/>
      <c r="CE68" s="263">
        <v>0.45</v>
      </c>
      <c r="CF68" s="263"/>
      <c r="CG68" s="263"/>
      <c r="CH68" s="217"/>
      <c r="CI68" s="293">
        <v>0.51</v>
      </c>
      <c r="CJ68" s="217"/>
      <c r="CK68" s="217"/>
      <c r="CL68" s="264">
        <v>-0.06</v>
      </c>
      <c r="CM68" s="265"/>
      <c r="CN68" s="23"/>
      <c r="CO68" s="23"/>
    </row>
    <row r="69" spans="1:106" ht="20" customHeight="1" x14ac:dyDescent="0.2">
      <c r="A69" s="60"/>
      <c r="B69" s="82"/>
      <c r="C69" s="24" t="s">
        <v>85</v>
      </c>
      <c r="D69" s="23" t="s">
        <v>41</v>
      </c>
      <c r="E69" s="23" t="s">
        <v>42</v>
      </c>
      <c r="F69" s="24">
        <v>2004</v>
      </c>
      <c r="G69" s="24">
        <v>79</v>
      </c>
      <c r="H69" s="89">
        <v>12</v>
      </c>
      <c r="I69" s="85" t="s">
        <v>168</v>
      </c>
      <c r="J69" s="116" t="s">
        <v>169</v>
      </c>
      <c r="K69" s="132">
        <v>7.4</v>
      </c>
      <c r="L69" s="133">
        <v>3.4</v>
      </c>
      <c r="M69" s="133">
        <f>IF(AND(NOT(ISERROR(L69-K69)), K69&lt;&gt;"", L69&lt;&gt;""), L69-K69, "")</f>
        <v>-4</v>
      </c>
      <c r="N69" s="134">
        <f t="shared" si="27"/>
        <v>-54.054054054054056</v>
      </c>
      <c r="O69" s="216">
        <v>8.9</v>
      </c>
      <c r="P69" s="216">
        <v>7</v>
      </c>
      <c r="Q69" s="217">
        <f t="shared" si="28"/>
        <v>-1.9000000000000004</v>
      </c>
      <c r="R69" s="217">
        <f t="shared" si="29"/>
        <v>-21.348314606741582</v>
      </c>
      <c r="S69" s="225"/>
      <c r="T69" s="226"/>
      <c r="U69" s="297">
        <v>8.9</v>
      </c>
      <c r="V69" s="295">
        <v>6</v>
      </c>
      <c r="W69" s="133">
        <f t="shared" si="21"/>
        <v>-2.9000000000000004</v>
      </c>
      <c r="X69" s="134">
        <f t="shared" si="22"/>
        <v>-32.584269662921344</v>
      </c>
      <c r="Y69" s="296">
        <v>7.3</v>
      </c>
      <c r="Z69" s="296">
        <v>5.7</v>
      </c>
      <c r="AA69" s="217">
        <f t="shared" si="23"/>
        <v>-1.5999999999999996</v>
      </c>
      <c r="AB69" s="217">
        <f t="shared" si="24"/>
        <v>-21.917808219178085</v>
      </c>
      <c r="AC69" s="264"/>
      <c r="AD69" s="265"/>
      <c r="AE69" s="139"/>
      <c r="AF69" s="135"/>
      <c r="AG69" s="135" t="str">
        <f t="shared" si="25"/>
        <v/>
      </c>
      <c r="AH69" s="135"/>
      <c r="AI69" s="217"/>
      <c r="AJ69" s="217"/>
      <c r="AK69" s="217" t="str">
        <f t="shared" si="26"/>
        <v/>
      </c>
      <c r="AL69" s="221"/>
      <c r="AM69" s="225"/>
      <c r="AN69" s="226"/>
      <c r="AO69" s="141"/>
      <c r="AP69" s="135"/>
      <c r="AQ69" s="135"/>
      <c r="AR69" s="135"/>
      <c r="AS69" s="217"/>
      <c r="AT69" s="217"/>
      <c r="AU69" s="217"/>
      <c r="AV69" s="217"/>
      <c r="AW69" s="225"/>
      <c r="AX69" s="226"/>
      <c r="AY69" s="136"/>
      <c r="AZ69" s="135"/>
      <c r="BA69" s="135"/>
      <c r="BB69" s="135"/>
      <c r="BC69" s="217"/>
      <c r="BD69" s="217"/>
      <c r="BE69" s="217"/>
      <c r="BF69" s="217"/>
      <c r="BG69" s="225"/>
      <c r="BH69" s="226"/>
      <c r="BI69" s="139"/>
      <c r="BJ69" s="135"/>
      <c r="BK69" s="135"/>
      <c r="BL69" s="135"/>
      <c r="BM69" s="217"/>
      <c r="BN69" s="217"/>
      <c r="BO69" s="217"/>
      <c r="BP69" s="217"/>
      <c r="BQ69" s="225"/>
      <c r="BR69" s="226"/>
      <c r="BS69" s="139"/>
      <c r="BT69" s="135"/>
      <c r="BU69" s="135"/>
      <c r="BV69" s="135"/>
      <c r="BW69" s="217"/>
      <c r="BX69" s="217"/>
      <c r="BY69" s="217"/>
      <c r="BZ69" s="217"/>
      <c r="CA69" s="225"/>
      <c r="CB69" s="226"/>
      <c r="CC69" s="23"/>
      <c r="CD69" s="139"/>
      <c r="CE69" s="135"/>
      <c r="CF69" s="135"/>
      <c r="CG69" s="135"/>
      <c r="CH69" s="217"/>
      <c r="CI69" s="217"/>
      <c r="CJ69" s="217"/>
      <c r="CK69" s="217"/>
      <c r="CL69" s="225"/>
      <c r="CM69" s="226"/>
      <c r="CN69" s="23" t="s">
        <v>440</v>
      </c>
      <c r="CO69" s="23"/>
    </row>
    <row r="70" spans="1:106" ht="20" customHeight="1" x14ac:dyDescent="0.2">
      <c r="A70" s="60"/>
      <c r="B70" s="83"/>
      <c r="C70" s="24" t="s">
        <v>85</v>
      </c>
      <c r="D70" s="23" t="s">
        <v>255</v>
      </c>
      <c r="E70" s="23" t="s">
        <v>256</v>
      </c>
      <c r="F70" s="24">
        <v>2014</v>
      </c>
      <c r="H70" s="89">
        <v>48</v>
      </c>
      <c r="I70" s="85" t="s">
        <v>214</v>
      </c>
      <c r="J70" s="116" t="s">
        <v>337</v>
      </c>
      <c r="K70" s="132">
        <v>7.2</v>
      </c>
      <c r="L70" s="133">
        <v>5.3</v>
      </c>
      <c r="M70" s="133">
        <f t="shared" ref="M70:M92" si="30">IF(AND(NOT(ISERROR(L70-K70)), K70&lt;&gt;"", L70&lt;&gt;""), L70-K70, "")</f>
        <v>-1.9000000000000004</v>
      </c>
      <c r="N70" s="134">
        <f t="shared" si="27"/>
        <v>-26.3888888888889</v>
      </c>
      <c r="O70" s="216">
        <v>5.5</v>
      </c>
      <c r="P70" s="216">
        <v>5.4</v>
      </c>
      <c r="Q70" s="217">
        <f t="shared" si="28"/>
        <v>-9.9999999999999645E-2</v>
      </c>
      <c r="R70" s="217">
        <f t="shared" si="29"/>
        <v>-1.818181818181813</v>
      </c>
      <c r="S70" s="225"/>
      <c r="T70" s="226"/>
      <c r="U70" s="136"/>
      <c r="V70" s="133"/>
      <c r="W70" s="133" t="str">
        <f t="shared" si="21"/>
        <v/>
      </c>
      <c r="X70" s="134" t="str">
        <f t="shared" si="22"/>
        <v/>
      </c>
      <c r="Y70" s="216"/>
      <c r="Z70" s="216"/>
      <c r="AA70" s="217" t="str">
        <f t="shared" si="23"/>
        <v/>
      </c>
      <c r="AB70" s="217" t="str">
        <f t="shared" si="24"/>
        <v/>
      </c>
      <c r="AC70" s="225"/>
      <c r="AD70" s="226"/>
      <c r="AE70" s="139"/>
      <c r="AF70" s="135"/>
      <c r="AG70" s="135" t="str">
        <f t="shared" si="25"/>
        <v/>
      </c>
      <c r="AH70" s="135"/>
      <c r="AI70" s="217"/>
      <c r="AJ70" s="217"/>
      <c r="AK70" s="217" t="str">
        <f t="shared" si="26"/>
        <v/>
      </c>
      <c r="AL70" s="221"/>
      <c r="AM70" s="225"/>
      <c r="AN70" s="226"/>
      <c r="AO70" s="141"/>
      <c r="AP70" s="135"/>
      <c r="AQ70" s="135"/>
      <c r="AR70" s="135"/>
      <c r="AS70" s="217"/>
      <c r="AT70" s="217"/>
      <c r="AU70" s="217"/>
      <c r="AV70" s="217"/>
      <c r="AW70" s="225"/>
      <c r="AX70" s="226"/>
      <c r="AY70" s="136"/>
      <c r="AZ70" s="135"/>
      <c r="BA70" s="135"/>
      <c r="BB70" s="135"/>
      <c r="BC70" s="217"/>
      <c r="BD70" s="217"/>
      <c r="BE70" s="217"/>
      <c r="BF70" s="217"/>
      <c r="BG70" s="225"/>
      <c r="BH70" s="226"/>
      <c r="BI70" s="139"/>
      <c r="BJ70" s="135"/>
      <c r="BK70" s="135"/>
      <c r="BL70" s="135"/>
      <c r="BM70" s="217"/>
      <c r="BN70" s="217"/>
      <c r="BO70" s="217"/>
      <c r="BP70" s="217"/>
      <c r="BQ70" s="225"/>
      <c r="BR70" s="226"/>
      <c r="BS70" s="139"/>
      <c r="BT70" s="135"/>
      <c r="BU70" s="135"/>
      <c r="BV70" s="135"/>
      <c r="BW70" s="217"/>
      <c r="BX70" s="217"/>
      <c r="BY70" s="217"/>
      <c r="BZ70" s="217"/>
      <c r="CA70" s="225"/>
      <c r="CB70" s="226"/>
      <c r="CC70" s="23"/>
      <c r="CD70" s="139"/>
      <c r="CE70" s="135"/>
      <c r="CF70" s="135"/>
      <c r="CG70" s="135"/>
      <c r="CH70" s="217"/>
      <c r="CI70" s="217"/>
      <c r="CJ70" s="217"/>
      <c r="CK70" s="217"/>
      <c r="CL70" s="225"/>
      <c r="CM70" s="226"/>
      <c r="CN70" s="23" t="s">
        <v>441</v>
      </c>
      <c r="CO70" s="23"/>
    </row>
    <row r="71" spans="1:106" ht="20" customHeight="1" x14ac:dyDescent="0.2">
      <c r="A71" s="60"/>
      <c r="B71" s="83"/>
      <c r="C71" s="24" t="s">
        <v>85</v>
      </c>
      <c r="D71" s="23" t="s">
        <v>259</v>
      </c>
      <c r="E71" s="23" t="s">
        <v>260</v>
      </c>
      <c r="F71" s="24">
        <v>2012</v>
      </c>
      <c r="H71" s="89">
        <v>80</v>
      </c>
      <c r="I71" s="85" t="s">
        <v>214</v>
      </c>
      <c r="J71" s="116" t="s">
        <v>191</v>
      </c>
      <c r="K71" s="132"/>
      <c r="L71" s="133"/>
      <c r="M71" s="133" t="str">
        <f t="shared" si="30"/>
        <v/>
      </c>
      <c r="N71" s="134" t="str">
        <f t="shared" si="27"/>
        <v/>
      </c>
      <c r="O71" s="216"/>
      <c r="P71" s="216"/>
      <c r="Q71" s="217" t="str">
        <f t="shared" si="28"/>
        <v/>
      </c>
      <c r="R71" s="217" t="str">
        <f t="shared" si="29"/>
        <v/>
      </c>
      <c r="S71" s="225"/>
      <c r="T71" s="226"/>
      <c r="U71" s="136"/>
      <c r="V71" s="133"/>
      <c r="W71" s="133" t="str">
        <f t="shared" si="21"/>
        <v/>
      </c>
      <c r="X71" s="134" t="str">
        <f t="shared" si="22"/>
        <v/>
      </c>
      <c r="Y71" s="216"/>
      <c r="Z71" s="216"/>
      <c r="AA71" s="217" t="str">
        <f t="shared" si="23"/>
        <v/>
      </c>
      <c r="AB71" s="217" t="str">
        <f t="shared" si="24"/>
        <v/>
      </c>
      <c r="AC71" s="225"/>
      <c r="AD71" s="226"/>
      <c r="AE71" s="139">
        <v>66.67</v>
      </c>
      <c r="AF71" s="135">
        <v>54.78</v>
      </c>
      <c r="AG71" s="135">
        <f t="shared" si="25"/>
        <v>-11.89</v>
      </c>
      <c r="AH71" s="135">
        <f t="shared" ref="AH71" si="31">IF(NOT(ISERROR(100-(AF71/AE71)*100)), (100-(AF71/AE71)*100)*-1, "")</f>
        <v>-17.834108294585278</v>
      </c>
      <c r="AI71" s="217">
        <v>64.2</v>
      </c>
      <c r="AJ71" s="217">
        <v>64.8</v>
      </c>
      <c r="AK71" s="217">
        <f t="shared" si="26"/>
        <v>0.59999999999999432</v>
      </c>
      <c r="AL71" s="221">
        <f t="shared" ref="AL71" si="32">IF(NOT(ISERROR(100-(AJ71/AI71)*100)), (100-(AJ71/AI71)*100)*-1, "")</f>
        <v>0.93457943925233167</v>
      </c>
      <c r="AM71" s="225"/>
      <c r="AN71" s="226"/>
      <c r="AO71" s="141"/>
      <c r="AP71" s="135"/>
      <c r="AQ71" s="135"/>
      <c r="AR71" s="135"/>
      <c r="AS71" s="217"/>
      <c r="AT71" s="217"/>
      <c r="AU71" s="217"/>
      <c r="AV71" s="217"/>
      <c r="AW71" s="225"/>
      <c r="AX71" s="226"/>
      <c r="AY71" s="136"/>
      <c r="AZ71" s="135"/>
      <c r="BA71" s="135"/>
      <c r="BB71" s="135"/>
      <c r="BC71" s="217"/>
      <c r="BD71" s="217"/>
      <c r="BE71" s="217"/>
      <c r="BF71" s="217"/>
      <c r="BG71" s="225"/>
      <c r="BH71" s="226"/>
      <c r="BI71" s="139"/>
      <c r="BJ71" s="135"/>
      <c r="BK71" s="135"/>
      <c r="BL71" s="135"/>
      <c r="BM71" s="217"/>
      <c r="BN71" s="217"/>
      <c r="BO71" s="217"/>
      <c r="BP71" s="217"/>
      <c r="BQ71" s="225"/>
      <c r="BR71" s="226"/>
      <c r="BS71" s="139"/>
      <c r="BT71" s="135"/>
      <c r="BU71" s="135"/>
      <c r="BV71" s="135"/>
      <c r="BW71" s="217"/>
      <c r="BX71" s="217"/>
      <c r="BY71" s="217"/>
      <c r="BZ71" s="217"/>
      <c r="CA71" s="225"/>
      <c r="CB71" s="226"/>
      <c r="CC71" s="23"/>
      <c r="CD71" s="139"/>
      <c r="CE71" s="135"/>
      <c r="CF71" s="135"/>
      <c r="CG71" s="135"/>
      <c r="CH71" s="217"/>
      <c r="CI71" s="217"/>
      <c r="CJ71" s="217"/>
      <c r="CK71" s="217"/>
      <c r="CL71" s="225"/>
      <c r="CM71" s="226"/>
      <c r="CN71" s="23" t="s">
        <v>225</v>
      </c>
      <c r="CO71" s="23"/>
    </row>
    <row r="72" spans="1:106" ht="20" customHeight="1" x14ac:dyDescent="0.2">
      <c r="A72" s="60"/>
      <c r="B72" s="82"/>
      <c r="C72" s="24" t="s">
        <v>85</v>
      </c>
      <c r="D72" s="23" t="s">
        <v>261</v>
      </c>
      <c r="E72" s="23" t="s">
        <v>262</v>
      </c>
      <c r="F72" s="24">
        <v>2013</v>
      </c>
      <c r="H72" s="89">
        <v>12</v>
      </c>
      <c r="I72" s="85" t="s">
        <v>214</v>
      </c>
      <c r="J72" s="116" t="s">
        <v>338</v>
      </c>
      <c r="K72" s="132"/>
      <c r="L72" s="133"/>
      <c r="M72" s="133" t="str">
        <f t="shared" si="30"/>
        <v/>
      </c>
      <c r="N72" s="134" t="str">
        <f t="shared" si="27"/>
        <v/>
      </c>
      <c r="O72" s="216"/>
      <c r="P72" s="216"/>
      <c r="Q72" s="217" t="str">
        <f t="shared" si="28"/>
        <v/>
      </c>
      <c r="R72" s="217" t="str">
        <f t="shared" si="29"/>
        <v/>
      </c>
      <c r="S72" s="225"/>
      <c r="T72" s="226"/>
      <c r="U72" s="136"/>
      <c r="V72" s="133"/>
      <c r="W72" s="133" t="str">
        <f t="shared" si="21"/>
        <v/>
      </c>
      <c r="X72" s="134" t="str">
        <f t="shared" si="22"/>
        <v/>
      </c>
      <c r="Y72" s="216"/>
      <c r="Z72" s="216"/>
      <c r="AA72" s="217" t="str">
        <f t="shared" si="23"/>
        <v/>
      </c>
      <c r="AB72" s="217" t="str">
        <f t="shared" si="24"/>
        <v/>
      </c>
      <c r="AC72" s="225"/>
      <c r="AD72" s="226"/>
      <c r="AE72" s="139"/>
      <c r="AF72" s="135"/>
      <c r="AG72" s="135" t="str">
        <f t="shared" si="25"/>
        <v/>
      </c>
      <c r="AH72" s="135"/>
      <c r="AI72" s="217"/>
      <c r="AJ72" s="217"/>
      <c r="AK72" s="217" t="str">
        <f t="shared" si="26"/>
        <v/>
      </c>
      <c r="AL72" s="221"/>
      <c r="AM72" s="225"/>
      <c r="AN72" s="226"/>
      <c r="AO72" s="141"/>
      <c r="AP72" s="135"/>
      <c r="AQ72" s="135"/>
      <c r="AR72" s="135"/>
      <c r="AS72" s="217"/>
      <c r="AT72" s="217"/>
      <c r="AU72" s="217"/>
      <c r="AV72" s="217"/>
      <c r="AW72" s="225"/>
      <c r="AX72" s="226"/>
      <c r="AY72" s="136"/>
      <c r="AZ72" s="135"/>
      <c r="BA72" s="135"/>
      <c r="BB72" s="135"/>
      <c r="BC72" s="217"/>
      <c r="BD72" s="217"/>
      <c r="BE72" s="217"/>
      <c r="BF72" s="217"/>
      <c r="BG72" s="225"/>
      <c r="BH72" s="226"/>
      <c r="BI72" s="139"/>
      <c r="BJ72" s="135"/>
      <c r="BK72" s="135"/>
      <c r="BL72" s="135"/>
      <c r="BM72" s="217"/>
      <c r="BN72" s="217"/>
      <c r="BO72" s="217"/>
      <c r="BP72" s="217"/>
      <c r="BQ72" s="225"/>
      <c r="BR72" s="226"/>
      <c r="BS72" s="139"/>
      <c r="BT72" s="135"/>
      <c r="BU72" s="135"/>
      <c r="BV72" s="135"/>
      <c r="BW72" s="217"/>
      <c r="BX72" s="217"/>
      <c r="BY72" s="217"/>
      <c r="BZ72" s="217"/>
      <c r="CA72" s="225"/>
      <c r="CB72" s="226"/>
      <c r="CC72" s="23"/>
      <c r="CD72" s="139"/>
      <c r="CE72" s="135"/>
      <c r="CF72" s="135"/>
      <c r="CG72" s="135"/>
      <c r="CH72" s="217"/>
      <c r="CI72" s="217"/>
      <c r="CJ72" s="217"/>
      <c r="CK72" s="217"/>
      <c r="CL72" s="225"/>
      <c r="CM72" s="226"/>
      <c r="CN72" s="23"/>
      <c r="CO72" s="23"/>
    </row>
    <row r="73" spans="1:106" ht="20" customHeight="1" x14ac:dyDescent="0.2">
      <c r="A73" s="61"/>
      <c r="B73" s="83"/>
      <c r="C73" s="24" t="s">
        <v>85</v>
      </c>
      <c r="D73" s="23" t="s">
        <v>52</v>
      </c>
      <c r="E73" s="23" t="s">
        <v>53</v>
      </c>
      <c r="F73" s="24">
        <v>2001</v>
      </c>
      <c r="G73" s="24">
        <v>118</v>
      </c>
      <c r="H73" s="89">
        <v>20</v>
      </c>
      <c r="I73" s="85"/>
      <c r="J73" s="116" t="s">
        <v>188</v>
      </c>
      <c r="K73" s="132"/>
      <c r="L73" s="133"/>
      <c r="M73" s="133" t="str">
        <f t="shared" si="30"/>
        <v/>
      </c>
      <c r="N73" s="134" t="str">
        <f t="shared" si="27"/>
        <v/>
      </c>
      <c r="O73" s="216"/>
      <c r="P73" s="216"/>
      <c r="Q73" s="217" t="str">
        <f t="shared" si="28"/>
        <v/>
      </c>
      <c r="R73" s="217" t="str">
        <f t="shared" si="29"/>
        <v/>
      </c>
      <c r="S73" s="225"/>
      <c r="T73" s="226"/>
      <c r="U73" s="136"/>
      <c r="V73" s="133"/>
      <c r="W73" s="133" t="str">
        <f t="shared" si="21"/>
        <v/>
      </c>
      <c r="X73" s="134" t="str">
        <f t="shared" si="22"/>
        <v/>
      </c>
      <c r="Y73" s="216"/>
      <c r="Z73" s="216"/>
      <c r="AA73" s="217" t="str">
        <f t="shared" si="23"/>
        <v/>
      </c>
      <c r="AB73" s="217" t="str">
        <f t="shared" si="24"/>
        <v/>
      </c>
      <c r="AC73" s="225"/>
      <c r="AD73" s="226"/>
      <c r="AE73" s="139"/>
      <c r="AF73" s="135"/>
      <c r="AG73" s="135" t="str">
        <f t="shared" si="25"/>
        <v/>
      </c>
      <c r="AH73" s="135"/>
      <c r="AI73" s="217"/>
      <c r="AJ73" s="217"/>
      <c r="AK73" s="217" t="str">
        <f t="shared" si="26"/>
        <v/>
      </c>
      <c r="AL73" s="221"/>
      <c r="AM73" s="225"/>
      <c r="AN73" s="226"/>
      <c r="AO73" s="141"/>
      <c r="AP73" s="135"/>
      <c r="AQ73" s="135"/>
      <c r="AR73" s="135"/>
      <c r="AS73" s="217"/>
      <c r="AT73" s="217"/>
      <c r="AU73" s="217"/>
      <c r="AV73" s="217"/>
      <c r="AW73" s="225"/>
      <c r="AX73" s="226"/>
      <c r="AY73" s="136"/>
      <c r="AZ73" s="135"/>
      <c r="BA73" s="135"/>
      <c r="BB73" s="135"/>
      <c r="BC73" s="217"/>
      <c r="BD73" s="217"/>
      <c r="BE73" s="217"/>
      <c r="BF73" s="217"/>
      <c r="BG73" s="225"/>
      <c r="BH73" s="226"/>
      <c r="BI73" s="139"/>
      <c r="BJ73" s="135"/>
      <c r="BK73" s="135"/>
      <c r="BL73" s="135"/>
      <c r="BM73" s="217"/>
      <c r="BN73" s="217"/>
      <c r="BO73" s="217"/>
      <c r="BP73" s="217"/>
      <c r="BQ73" s="225"/>
      <c r="BR73" s="226"/>
      <c r="BS73" s="139"/>
      <c r="BT73" s="135"/>
      <c r="BU73" s="135"/>
      <c r="BV73" s="135"/>
      <c r="BW73" s="217"/>
      <c r="BX73" s="217"/>
      <c r="BY73" s="217"/>
      <c r="BZ73" s="217"/>
      <c r="CA73" s="225"/>
      <c r="CB73" s="226"/>
      <c r="CC73" s="23"/>
      <c r="CD73" s="139"/>
      <c r="CE73" s="135"/>
      <c r="CF73" s="135"/>
      <c r="CG73" s="135"/>
      <c r="CH73" s="217"/>
      <c r="CI73" s="217"/>
      <c r="CJ73" s="217"/>
      <c r="CK73" s="217"/>
      <c r="CL73" s="225"/>
      <c r="CM73" s="226"/>
      <c r="CN73" s="23"/>
      <c r="CO73" s="23"/>
    </row>
    <row r="74" spans="1:106" ht="20" customHeight="1" x14ac:dyDescent="0.2">
      <c r="A74" s="60"/>
      <c r="B74" s="82"/>
      <c r="C74" s="24" t="s">
        <v>85</v>
      </c>
      <c r="D74" s="23" t="s">
        <v>267</v>
      </c>
      <c r="E74" s="23" t="s">
        <v>268</v>
      </c>
      <c r="F74" s="24">
        <v>1994</v>
      </c>
      <c r="H74" s="89">
        <v>20</v>
      </c>
      <c r="I74" s="85" t="s">
        <v>340</v>
      </c>
      <c r="J74" s="116"/>
      <c r="K74" s="132"/>
      <c r="L74" s="133"/>
      <c r="M74" s="133" t="str">
        <f t="shared" si="30"/>
        <v/>
      </c>
      <c r="N74" s="134" t="str">
        <f t="shared" si="27"/>
        <v/>
      </c>
      <c r="O74" s="216"/>
      <c r="P74" s="216"/>
      <c r="Q74" s="217" t="str">
        <f t="shared" si="28"/>
        <v/>
      </c>
      <c r="R74" s="217" t="str">
        <f t="shared" si="29"/>
        <v/>
      </c>
      <c r="S74" s="225"/>
      <c r="T74" s="226"/>
      <c r="U74" s="136"/>
      <c r="V74" s="133"/>
      <c r="W74" s="133" t="str">
        <f t="shared" si="21"/>
        <v/>
      </c>
      <c r="X74" s="134" t="str">
        <f t="shared" si="22"/>
        <v/>
      </c>
      <c r="Y74" s="216"/>
      <c r="Z74" s="216"/>
      <c r="AA74" s="217" t="str">
        <f t="shared" si="23"/>
        <v/>
      </c>
      <c r="AB74" s="217" t="str">
        <f t="shared" si="24"/>
        <v/>
      </c>
      <c r="AC74" s="225"/>
      <c r="AD74" s="226"/>
      <c r="AE74" s="139"/>
      <c r="AF74" s="135"/>
      <c r="AG74" s="135" t="str">
        <f t="shared" si="25"/>
        <v/>
      </c>
      <c r="AH74" s="135"/>
      <c r="AI74" s="217"/>
      <c r="AJ74" s="217"/>
      <c r="AK74" s="217" t="str">
        <f t="shared" si="26"/>
        <v/>
      </c>
      <c r="AL74" s="221"/>
      <c r="AM74" s="225"/>
      <c r="AN74" s="226"/>
      <c r="AO74" s="141">
        <v>3.61</v>
      </c>
      <c r="AP74" s="135"/>
      <c r="AQ74" s="135"/>
      <c r="AR74" s="135"/>
      <c r="AS74" s="217">
        <v>3.15</v>
      </c>
      <c r="AT74" s="217"/>
      <c r="AU74" s="217"/>
      <c r="AV74" s="217"/>
      <c r="AW74" s="225"/>
      <c r="AX74" s="226"/>
      <c r="AY74" s="136"/>
      <c r="AZ74" s="135"/>
      <c r="BA74" s="135"/>
      <c r="BB74" s="135"/>
      <c r="BC74" s="217"/>
      <c r="BD74" s="217"/>
      <c r="BE74" s="217"/>
      <c r="BF74" s="217"/>
      <c r="BG74" s="225"/>
      <c r="BH74" s="226"/>
      <c r="BI74" s="139"/>
      <c r="BJ74" s="135"/>
      <c r="BK74" s="135"/>
      <c r="BL74" s="135"/>
      <c r="BM74" s="217"/>
      <c r="BN74" s="217"/>
      <c r="BO74" s="217"/>
      <c r="BP74" s="217"/>
      <c r="BQ74" s="225"/>
      <c r="BR74" s="226"/>
      <c r="BS74" s="139"/>
      <c r="BT74" s="135"/>
      <c r="BU74" s="135"/>
      <c r="BV74" s="135"/>
      <c r="BW74" s="217"/>
      <c r="BX74" s="217"/>
      <c r="BY74" s="217"/>
      <c r="BZ74" s="217"/>
      <c r="CA74" s="225"/>
      <c r="CB74" s="226"/>
      <c r="CC74" s="23"/>
      <c r="CD74" s="139"/>
      <c r="CE74" s="135"/>
      <c r="CF74" s="135"/>
      <c r="CG74" s="135"/>
      <c r="CH74" s="217"/>
      <c r="CI74" s="217"/>
      <c r="CJ74" s="217"/>
      <c r="CK74" s="217"/>
      <c r="CL74" s="225"/>
      <c r="CM74" s="226"/>
      <c r="CN74" s="23"/>
      <c r="CO74" s="23"/>
    </row>
    <row r="75" spans="1:106" ht="20" customHeight="1" x14ac:dyDescent="0.2">
      <c r="A75" s="60"/>
      <c r="B75" s="83"/>
      <c r="C75" s="24" t="s">
        <v>85</v>
      </c>
      <c r="D75" s="23" t="s">
        <v>59</v>
      </c>
      <c r="E75" s="23" t="s">
        <v>60</v>
      </c>
      <c r="F75" s="24">
        <v>2009</v>
      </c>
      <c r="G75" s="24">
        <v>49</v>
      </c>
      <c r="H75" s="89">
        <v>22</v>
      </c>
      <c r="I75" s="85" t="s">
        <v>176</v>
      </c>
      <c r="J75" s="116" t="s">
        <v>189</v>
      </c>
      <c r="K75" s="132"/>
      <c r="L75" s="133"/>
      <c r="M75" s="133" t="str">
        <f t="shared" si="30"/>
        <v/>
      </c>
      <c r="N75" s="134" t="str">
        <f t="shared" si="27"/>
        <v/>
      </c>
      <c r="O75" s="216"/>
      <c r="P75" s="216"/>
      <c r="Q75" s="217" t="str">
        <f t="shared" si="28"/>
        <v/>
      </c>
      <c r="R75" s="217" t="str">
        <f t="shared" si="29"/>
        <v/>
      </c>
      <c r="S75" s="225"/>
      <c r="T75" s="226"/>
      <c r="U75" s="136"/>
      <c r="V75" s="133"/>
      <c r="W75" s="133" t="str">
        <f t="shared" si="21"/>
        <v/>
      </c>
      <c r="X75" s="134" t="str">
        <f t="shared" si="22"/>
        <v/>
      </c>
      <c r="Y75" s="216"/>
      <c r="Z75" s="216"/>
      <c r="AA75" s="217" t="str">
        <f t="shared" si="23"/>
        <v/>
      </c>
      <c r="AB75" s="217" t="str">
        <f t="shared" si="24"/>
        <v/>
      </c>
      <c r="AC75" s="225"/>
      <c r="AD75" s="226"/>
      <c r="AE75" s="139"/>
      <c r="AF75" s="135"/>
      <c r="AG75" s="135" t="str">
        <f t="shared" si="25"/>
        <v/>
      </c>
      <c r="AH75" s="135"/>
      <c r="AI75" s="217"/>
      <c r="AJ75" s="217"/>
      <c r="AK75" s="217" t="str">
        <f t="shared" si="26"/>
        <v/>
      </c>
      <c r="AL75" s="221"/>
      <c r="AM75" s="225"/>
      <c r="AN75" s="226"/>
      <c r="AO75" s="141"/>
      <c r="AP75" s="135"/>
      <c r="AQ75" s="135"/>
      <c r="AR75" s="135"/>
      <c r="AS75" s="217"/>
      <c r="AT75" s="217"/>
      <c r="AU75" s="217"/>
      <c r="AV75" s="217"/>
      <c r="AW75" s="225"/>
      <c r="AX75" s="226"/>
      <c r="AY75" s="136">
        <v>3.72</v>
      </c>
      <c r="AZ75" s="135">
        <v>1.78</v>
      </c>
      <c r="BA75" s="263">
        <f t="shared" ref="BA75" si="33">IF(AND(NOT(ISERROR(AZ75-AY75)), AY75&lt;&gt;"", AZ75&lt;&gt;""), AZ75-AY75, "")</f>
        <v>-1.9400000000000002</v>
      </c>
      <c r="BB75" s="135">
        <f t="shared" ref="BB75" si="34">IF(NOT(ISERROR(100-(AZ75/AY75)*100)), (100-(AZ75/AY75)*100)*-1, "")</f>
        <v>-52.150537634408607</v>
      </c>
      <c r="BC75" s="217">
        <v>3.72</v>
      </c>
      <c r="BD75" s="217">
        <v>3.44</v>
      </c>
      <c r="BE75" s="293">
        <f t="shared" ref="BE75" si="35">IF(AND(NOT(ISERROR(BD75-BC75)), BC75&lt;&gt;"", BD75&lt;&gt;""), BD75-BC75, "")</f>
        <v>-0.28000000000000025</v>
      </c>
      <c r="BF75" s="217">
        <f t="shared" ref="BF75" si="36">IF(NOT(ISERROR(100-(BD75/BC75)*100)), (100-(BD75/BC75)*100)*-1, "")</f>
        <v>-7.5268817204301115</v>
      </c>
      <c r="BG75" s="225"/>
      <c r="BH75" s="226"/>
      <c r="BI75" s="139"/>
      <c r="BJ75" s="135"/>
      <c r="BK75" s="135"/>
      <c r="BL75" s="135"/>
      <c r="BM75" s="217"/>
      <c r="BN75" s="217"/>
      <c r="BO75" s="293"/>
      <c r="BP75" s="217"/>
      <c r="BQ75" s="225"/>
      <c r="BR75" s="226"/>
      <c r="BS75" s="139"/>
      <c r="BT75" s="135"/>
      <c r="BU75" s="135"/>
      <c r="BV75" s="135"/>
      <c r="BW75" s="217"/>
      <c r="BX75" s="217"/>
      <c r="BY75" s="293"/>
      <c r="BZ75" s="217"/>
      <c r="CA75" s="225"/>
      <c r="CB75" s="226"/>
      <c r="CC75" s="23"/>
      <c r="CD75" s="139"/>
      <c r="CE75" s="135"/>
      <c r="CF75" s="135"/>
      <c r="CG75" s="135"/>
      <c r="CH75" s="217"/>
      <c r="CI75" s="217"/>
      <c r="CJ75" s="293"/>
      <c r="CK75" s="217"/>
      <c r="CL75" s="225"/>
      <c r="CM75" s="226"/>
      <c r="CN75" s="23"/>
      <c r="CO75" s="23"/>
    </row>
    <row r="76" spans="1:106" ht="20" customHeight="1" x14ac:dyDescent="0.2">
      <c r="A76" s="60"/>
      <c r="B76" s="24"/>
      <c r="C76" s="24" t="s">
        <v>85</v>
      </c>
      <c r="D76" s="23" t="s">
        <v>525</v>
      </c>
      <c r="E76" s="23" t="s">
        <v>526</v>
      </c>
      <c r="F76" s="24">
        <v>2012</v>
      </c>
      <c r="H76" s="89">
        <v>19</v>
      </c>
      <c r="I76" s="85" t="s">
        <v>527</v>
      </c>
      <c r="J76" s="116"/>
      <c r="K76" s="132"/>
      <c r="L76" s="133">
        <v>11.2</v>
      </c>
      <c r="M76" s="133" t="str">
        <f t="shared" si="30"/>
        <v/>
      </c>
      <c r="N76" s="134" t="str">
        <f t="shared" si="27"/>
        <v/>
      </c>
      <c r="O76" s="216"/>
      <c r="P76" s="216">
        <v>10.6</v>
      </c>
      <c r="Q76" s="217" t="str">
        <f t="shared" si="28"/>
        <v/>
      </c>
      <c r="R76" s="217" t="str">
        <f t="shared" si="29"/>
        <v/>
      </c>
      <c r="S76" s="225"/>
      <c r="T76" s="226"/>
      <c r="U76" s="136"/>
      <c r="V76" s="133"/>
      <c r="W76" s="133" t="str">
        <f t="shared" si="21"/>
        <v/>
      </c>
      <c r="X76" s="134" t="str">
        <f t="shared" si="22"/>
        <v/>
      </c>
      <c r="Y76" s="216"/>
      <c r="Z76" s="216"/>
      <c r="AA76" s="217" t="str">
        <f t="shared" si="23"/>
        <v/>
      </c>
      <c r="AB76" s="217" t="str">
        <f t="shared" si="24"/>
        <v/>
      </c>
      <c r="AC76" s="225"/>
      <c r="AD76" s="226"/>
      <c r="AE76" s="139"/>
      <c r="AF76" s="135"/>
      <c r="AG76" s="135" t="str">
        <f t="shared" si="25"/>
        <v/>
      </c>
      <c r="AH76" s="135"/>
      <c r="AI76" s="217"/>
      <c r="AJ76" s="217"/>
      <c r="AK76" s="217" t="str">
        <f t="shared" si="26"/>
        <v/>
      </c>
      <c r="AL76" s="221"/>
      <c r="AM76" s="225"/>
      <c r="AN76" s="226"/>
      <c r="AO76" s="141"/>
      <c r="AP76" s="135"/>
      <c r="AQ76" s="135"/>
      <c r="AR76" s="135"/>
      <c r="AS76" s="217"/>
      <c r="AT76" s="217"/>
      <c r="AU76" s="217"/>
      <c r="AV76" s="217"/>
      <c r="AW76" s="225"/>
      <c r="AX76" s="226"/>
      <c r="AY76" s="136"/>
      <c r="AZ76" s="135"/>
      <c r="BA76" s="135"/>
      <c r="BB76" s="135"/>
      <c r="BC76" s="217"/>
      <c r="BD76" s="217"/>
      <c r="BE76" s="217"/>
      <c r="BF76" s="217"/>
      <c r="BG76" s="225"/>
      <c r="BH76" s="226"/>
      <c r="BI76" s="139"/>
      <c r="BJ76" s="135"/>
      <c r="BK76" s="135"/>
      <c r="BL76" s="135"/>
      <c r="BM76" s="217"/>
      <c r="BN76" s="217"/>
      <c r="BO76" s="217"/>
      <c r="BP76" s="217"/>
      <c r="BQ76" s="225"/>
      <c r="BR76" s="226"/>
      <c r="BS76" s="139"/>
      <c r="BT76" s="135"/>
      <c r="BU76" s="135"/>
      <c r="BV76" s="135"/>
      <c r="BW76" s="217"/>
      <c r="BX76" s="217"/>
      <c r="BY76" s="217"/>
      <c r="BZ76" s="217"/>
      <c r="CA76" s="225"/>
      <c r="CB76" s="226"/>
      <c r="CC76" s="23"/>
      <c r="CD76" s="139"/>
      <c r="CE76" s="135"/>
      <c r="CF76" s="135"/>
      <c r="CG76" s="135"/>
      <c r="CH76" s="217"/>
      <c r="CI76" s="217"/>
      <c r="CJ76" s="217"/>
      <c r="CK76" s="217"/>
      <c r="CL76" s="225"/>
      <c r="CM76" s="226"/>
      <c r="CN76" s="23" t="s">
        <v>531</v>
      </c>
      <c r="CO76" s="23"/>
    </row>
    <row r="77" spans="1:106" ht="20" customHeight="1" x14ac:dyDescent="0.2">
      <c r="A77" s="60"/>
      <c r="B77" s="82"/>
      <c r="C77" s="24" t="s">
        <v>85</v>
      </c>
      <c r="D77" s="23" t="s">
        <v>63</v>
      </c>
      <c r="E77" s="23" t="s">
        <v>64</v>
      </c>
      <c r="F77" s="24">
        <v>2012</v>
      </c>
      <c r="G77" s="24">
        <v>83</v>
      </c>
      <c r="H77" s="89">
        <v>70</v>
      </c>
      <c r="I77" s="85" t="s">
        <v>182</v>
      </c>
      <c r="J77" s="116" t="s">
        <v>191</v>
      </c>
      <c r="K77" s="132"/>
      <c r="L77" s="133"/>
      <c r="M77" s="133" t="str">
        <f t="shared" si="30"/>
        <v/>
      </c>
      <c r="N77" s="134" t="str">
        <f t="shared" si="27"/>
        <v/>
      </c>
      <c r="O77" s="216"/>
      <c r="P77" s="216"/>
      <c r="Q77" s="217" t="str">
        <f t="shared" si="28"/>
        <v/>
      </c>
      <c r="R77" s="217" t="str">
        <f t="shared" si="29"/>
        <v/>
      </c>
      <c r="S77" s="225"/>
      <c r="T77" s="226"/>
      <c r="U77" s="136"/>
      <c r="V77" s="133"/>
      <c r="W77" s="133" t="str">
        <f t="shared" si="21"/>
        <v/>
      </c>
      <c r="X77" s="134" t="str">
        <f t="shared" si="22"/>
        <v/>
      </c>
      <c r="Y77" s="216"/>
      <c r="Z77" s="216"/>
      <c r="AA77" s="217" t="str">
        <f t="shared" si="23"/>
        <v/>
      </c>
      <c r="AB77" s="217" t="str">
        <f t="shared" si="24"/>
        <v/>
      </c>
      <c r="AC77" s="225"/>
      <c r="AD77" s="226"/>
      <c r="AE77" s="139"/>
      <c r="AF77" s="135"/>
      <c r="AG77" s="135" t="str">
        <f t="shared" si="25"/>
        <v/>
      </c>
      <c r="AH77" s="135"/>
      <c r="AI77" s="217"/>
      <c r="AJ77" s="217"/>
      <c r="AK77" s="217" t="str">
        <f t="shared" si="26"/>
        <v/>
      </c>
      <c r="AL77" s="221"/>
      <c r="AM77" s="225"/>
      <c r="AN77" s="226"/>
      <c r="AO77" s="141"/>
      <c r="AP77" s="135"/>
      <c r="AQ77" s="135"/>
      <c r="AR77" s="135"/>
      <c r="AS77" s="217"/>
      <c r="AT77" s="217"/>
      <c r="AU77" s="217"/>
      <c r="AV77" s="217"/>
      <c r="AW77" s="225"/>
      <c r="AX77" s="226"/>
      <c r="AY77" s="136"/>
      <c r="AZ77" s="135"/>
      <c r="BA77" s="135"/>
      <c r="BB77" s="135"/>
      <c r="BC77" s="217"/>
      <c r="BD77" s="217"/>
      <c r="BE77" s="217"/>
      <c r="BF77" s="217"/>
      <c r="BG77" s="225"/>
      <c r="BH77" s="226"/>
      <c r="BI77" s="139"/>
      <c r="BJ77" s="135"/>
      <c r="BK77" s="135"/>
      <c r="BL77" s="135"/>
      <c r="BM77" s="217"/>
      <c r="BN77" s="217"/>
      <c r="BO77" s="217"/>
      <c r="BP77" s="217"/>
      <c r="BQ77" s="225"/>
      <c r="BR77" s="226"/>
      <c r="BS77" s="139"/>
      <c r="BT77" s="135"/>
      <c r="BU77" s="135"/>
      <c r="BV77" s="135"/>
      <c r="BW77" s="217"/>
      <c r="BX77" s="217"/>
      <c r="BY77" s="217"/>
      <c r="BZ77" s="217"/>
      <c r="CA77" s="225"/>
      <c r="CB77" s="226"/>
      <c r="CC77" s="23"/>
      <c r="CD77" s="139"/>
      <c r="CE77" s="135"/>
      <c r="CF77" s="135"/>
      <c r="CG77" s="135"/>
      <c r="CH77" s="217"/>
      <c r="CI77" s="217"/>
      <c r="CJ77" s="217"/>
      <c r="CK77" s="217"/>
      <c r="CL77" s="225"/>
      <c r="CM77" s="226"/>
      <c r="CN77" s="23"/>
      <c r="CO77" s="23"/>
    </row>
    <row r="78" spans="1:106" ht="20" customHeight="1" x14ac:dyDescent="0.2">
      <c r="A78" s="60"/>
      <c r="B78" s="83"/>
      <c r="C78" s="24" t="s">
        <v>85</v>
      </c>
      <c r="D78" s="23" t="s">
        <v>280</v>
      </c>
      <c r="E78" s="23" t="s">
        <v>281</v>
      </c>
      <c r="F78" s="24">
        <v>2013</v>
      </c>
      <c r="H78" s="89">
        <v>23</v>
      </c>
      <c r="I78" s="85"/>
      <c r="J78" s="116"/>
      <c r="K78" s="132">
        <v>11.63</v>
      </c>
      <c r="L78" s="133">
        <v>8.6999999999999993</v>
      </c>
      <c r="M78" s="133">
        <f t="shared" si="30"/>
        <v>-2.9300000000000015</v>
      </c>
      <c r="N78" s="134">
        <f t="shared" si="27"/>
        <v>-25.193465176268276</v>
      </c>
      <c r="O78" s="216">
        <v>10.66</v>
      </c>
      <c r="P78" s="216">
        <v>10.11</v>
      </c>
      <c r="Q78" s="217">
        <f t="shared" si="28"/>
        <v>-0.55000000000000071</v>
      </c>
      <c r="R78" s="217">
        <f t="shared" si="29"/>
        <v>-5.1594746716697983</v>
      </c>
      <c r="S78" s="225"/>
      <c r="T78" s="226"/>
      <c r="U78" s="136">
        <v>7.04</v>
      </c>
      <c r="V78" s="133"/>
      <c r="W78" s="133" t="str">
        <f t="shared" si="21"/>
        <v/>
      </c>
      <c r="X78" s="134"/>
      <c r="Y78" s="216">
        <v>6.33</v>
      </c>
      <c r="Z78" s="216"/>
      <c r="AA78" s="217" t="str">
        <f t="shared" si="23"/>
        <v/>
      </c>
      <c r="AB78" s="217"/>
      <c r="AC78" s="225"/>
      <c r="AD78" s="226"/>
      <c r="AE78" s="139"/>
      <c r="AF78" s="135"/>
      <c r="AG78" s="135" t="str">
        <f t="shared" si="25"/>
        <v/>
      </c>
      <c r="AH78" s="135"/>
      <c r="AI78" s="217"/>
      <c r="AJ78" s="217"/>
      <c r="AK78" s="217" t="str">
        <f t="shared" si="26"/>
        <v/>
      </c>
      <c r="AL78" s="221"/>
      <c r="AM78" s="225"/>
      <c r="AN78" s="226"/>
      <c r="AO78" s="141"/>
      <c r="AP78" s="135"/>
      <c r="AQ78" s="135"/>
      <c r="AR78" s="135"/>
      <c r="AS78" s="217"/>
      <c r="AT78" s="217"/>
      <c r="AU78" s="217"/>
      <c r="AV78" s="217"/>
      <c r="AW78" s="225"/>
      <c r="AX78" s="226"/>
      <c r="AY78" s="136"/>
      <c r="AZ78" s="135"/>
      <c r="BA78" s="135"/>
      <c r="BB78" s="135"/>
      <c r="BC78" s="217"/>
      <c r="BD78" s="217"/>
      <c r="BE78" s="217"/>
      <c r="BF78" s="217"/>
      <c r="BG78" s="225"/>
      <c r="BH78" s="226"/>
      <c r="BI78" s="139"/>
      <c r="BJ78" s="135"/>
      <c r="BK78" s="135"/>
      <c r="BL78" s="135"/>
      <c r="BM78" s="217"/>
      <c r="BN78" s="217"/>
      <c r="BO78" s="217"/>
      <c r="BP78" s="217"/>
      <c r="BQ78" s="225"/>
      <c r="BR78" s="226"/>
      <c r="BS78" s="139"/>
      <c r="BT78" s="135"/>
      <c r="BU78" s="135"/>
      <c r="BV78" s="135"/>
      <c r="BW78" s="217"/>
      <c r="BX78" s="217"/>
      <c r="BY78" s="217"/>
      <c r="BZ78" s="217"/>
      <c r="CA78" s="225"/>
      <c r="CB78" s="226"/>
      <c r="CC78" s="23"/>
      <c r="CD78" s="139"/>
      <c r="CE78" s="135"/>
      <c r="CF78" s="135"/>
      <c r="CG78" s="135"/>
      <c r="CH78" s="217"/>
      <c r="CI78" s="217"/>
      <c r="CJ78" s="217"/>
      <c r="CK78" s="217"/>
      <c r="CL78" s="225"/>
      <c r="CM78" s="226"/>
      <c r="CN78" s="23"/>
      <c r="CO78" s="23"/>
    </row>
    <row r="79" spans="1:106" ht="20" customHeight="1" x14ac:dyDescent="0.2">
      <c r="A79" s="60"/>
      <c r="B79" s="82"/>
      <c r="C79" s="24" t="s">
        <v>85</v>
      </c>
      <c r="D79" s="23" t="s">
        <v>79</v>
      </c>
      <c r="E79" s="23" t="s">
        <v>80</v>
      </c>
      <c r="F79" s="24">
        <v>2015</v>
      </c>
      <c r="G79" s="24">
        <v>10</v>
      </c>
      <c r="H79" s="89">
        <v>11</v>
      </c>
      <c r="I79" s="85" t="s">
        <v>195</v>
      </c>
      <c r="J79" s="116" t="s">
        <v>169</v>
      </c>
      <c r="K79" s="132"/>
      <c r="L79" s="133"/>
      <c r="M79" s="133" t="str">
        <f t="shared" si="30"/>
        <v/>
      </c>
      <c r="N79" s="134" t="str">
        <f t="shared" si="27"/>
        <v/>
      </c>
      <c r="O79" s="216"/>
      <c r="P79" s="216"/>
      <c r="Q79" s="217" t="str">
        <f t="shared" si="28"/>
        <v/>
      </c>
      <c r="R79" s="217" t="str">
        <f t="shared" si="29"/>
        <v/>
      </c>
      <c r="S79" s="225"/>
      <c r="T79" s="226"/>
      <c r="U79" s="136"/>
      <c r="V79" s="133"/>
      <c r="W79" s="133" t="str">
        <f t="shared" si="21"/>
        <v/>
      </c>
      <c r="X79" s="134" t="str">
        <f t="shared" si="22"/>
        <v/>
      </c>
      <c r="Y79" s="216"/>
      <c r="Z79" s="216"/>
      <c r="AA79" s="217" t="str">
        <f t="shared" si="23"/>
        <v/>
      </c>
      <c r="AB79" s="217" t="str">
        <f t="shared" si="24"/>
        <v/>
      </c>
      <c r="AC79" s="225"/>
      <c r="AD79" s="226"/>
      <c r="AE79" s="139"/>
      <c r="AF79" s="135"/>
      <c r="AG79" s="135" t="str">
        <f t="shared" si="25"/>
        <v/>
      </c>
      <c r="AH79" s="135"/>
      <c r="AI79" s="217"/>
      <c r="AJ79" s="217"/>
      <c r="AK79" s="217" t="str">
        <f t="shared" si="26"/>
        <v/>
      </c>
      <c r="AL79" s="221"/>
      <c r="AM79" s="225"/>
      <c r="AN79" s="226"/>
      <c r="AO79" s="141"/>
      <c r="AP79" s="135"/>
      <c r="AQ79" s="135"/>
      <c r="AR79" s="135"/>
      <c r="AS79" s="217"/>
      <c r="AT79" s="217"/>
      <c r="AU79" s="217"/>
      <c r="AV79" s="217"/>
      <c r="AW79" s="225"/>
      <c r="AX79" s="226"/>
      <c r="AY79" s="136"/>
      <c r="AZ79" s="135"/>
      <c r="BA79" s="135"/>
      <c r="BB79" s="135"/>
      <c r="BC79" s="217"/>
      <c r="BD79" s="217"/>
      <c r="BE79" s="217"/>
      <c r="BF79" s="217"/>
      <c r="BG79" s="225"/>
      <c r="BH79" s="226"/>
      <c r="BI79" s="139">
        <v>59.2</v>
      </c>
      <c r="BJ79" s="135">
        <v>52.4</v>
      </c>
      <c r="BK79" s="263">
        <f t="shared" ref="BK79" si="37">IF(AND(NOT(ISERROR(BJ79-BI79)), BI79&lt;&gt;"", BJ79&lt;&gt;""), BJ79-BI79, "")</f>
        <v>-6.8000000000000043</v>
      </c>
      <c r="BL79" s="135">
        <f t="shared" ref="BL79" si="38">IF(NOT(ISERROR(100-(BJ79/BI79)*100)), (100-(BJ79/BI79)*100)*-1, "")</f>
        <v>-11.486486486486484</v>
      </c>
      <c r="BM79" s="217">
        <v>59.2</v>
      </c>
      <c r="BN79" s="217">
        <v>48.3</v>
      </c>
      <c r="BO79" s="217">
        <f t="shared" ref="BO79" si="39">IF(AND(NOT(ISERROR(BN79-BM79)), BM79&lt;&gt;"", BN79&lt;&gt;""), BN79-BM79, "")</f>
        <v>-10.900000000000006</v>
      </c>
      <c r="BP79" s="217">
        <f t="shared" ref="BP79" si="40">IF(NOT(ISERROR(100-(BN79/BM79)*100)), (100-(BN79/BM79)*100)*-1, "")</f>
        <v>-18.412162162162176</v>
      </c>
      <c r="BQ79" s="225"/>
      <c r="BR79" s="226"/>
      <c r="BS79" s="139"/>
      <c r="BT79" s="135"/>
      <c r="BU79" s="135"/>
      <c r="BV79" s="135"/>
      <c r="BW79" s="217"/>
      <c r="BX79" s="217"/>
      <c r="BY79" s="217"/>
      <c r="BZ79" s="217"/>
      <c r="CA79" s="225"/>
      <c r="CB79" s="226"/>
      <c r="CC79" s="23"/>
      <c r="CD79" s="139"/>
      <c r="CE79" s="135"/>
      <c r="CF79" s="135"/>
      <c r="CG79" s="135"/>
      <c r="CH79" s="217"/>
      <c r="CI79" s="217"/>
      <c r="CJ79" s="217"/>
      <c r="CK79" s="217"/>
      <c r="CL79" s="225"/>
      <c r="CM79" s="226"/>
      <c r="CN79" s="23"/>
      <c r="CO79" s="23"/>
    </row>
    <row r="80" spans="1:106" ht="20" customHeight="1" x14ac:dyDescent="0.2">
      <c r="A80" s="60"/>
      <c r="B80" s="24"/>
      <c r="C80" s="24" t="s">
        <v>85</v>
      </c>
      <c r="D80" s="23" t="s">
        <v>538</v>
      </c>
      <c r="E80" s="23" t="s">
        <v>537</v>
      </c>
      <c r="F80" s="24">
        <v>2000</v>
      </c>
      <c r="H80" s="89">
        <v>19</v>
      </c>
      <c r="I80" s="85" t="s">
        <v>345</v>
      </c>
      <c r="J80" s="116"/>
      <c r="K80" s="132"/>
      <c r="L80" s="133"/>
      <c r="M80" s="133" t="str">
        <f t="shared" si="30"/>
        <v/>
      </c>
      <c r="N80" s="134" t="str">
        <f t="shared" si="27"/>
        <v/>
      </c>
      <c r="O80" s="216"/>
      <c r="P80" s="216"/>
      <c r="Q80" s="217" t="str">
        <f t="shared" si="28"/>
        <v/>
      </c>
      <c r="R80" s="217" t="str">
        <f t="shared" si="29"/>
        <v/>
      </c>
      <c r="S80" s="225"/>
      <c r="T80" s="226"/>
      <c r="U80" s="136"/>
      <c r="V80" s="133"/>
      <c r="W80" s="133" t="str">
        <f t="shared" si="21"/>
        <v/>
      </c>
      <c r="X80" s="134" t="str">
        <f t="shared" si="22"/>
        <v/>
      </c>
      <c r="Y80" s="216"/>
      <c r="Z80" s="216"/>
      <c r="AA80" s="217" t="str">
        <f t="shared" si="23"/>
        <v/>
      </c>
      <c r="AB80" s="217" t="str">
        <f t="shared" si="24"/>
        <v/>
      </c>
      <c r="AC80" s="225"/>
      <c r="AD80" s="226"/>
      <c r="AE80" s="139"/>
      <c r="AF80" s="135"/>
      <c r="AG80" s="135" t="str">
        <f t="shared" si="25"/>
        <v/>
      </c>
      <c r="AH80" s="135"/>
      <c r="AI80" s="217"/>
      <c r="AJ80" s="217"/>
      <c r="AK80" s="217" t="str">
        <f t="shared" si="26"/>
        <v/>
      </c>
      <c r="AL80" s="221"/>
      <c r="AM80" s="225"/>
      <c r="AN80" s="226"/>
      <c r="AO80" s="292">
        <v>1.8846000000000001</v>
      </c>
      <c r="AP80" s="263">
        <v>2.2570999999999999</v>
      </c>
      <c r="AQ80" s="263">
        <f t="shared" ref="AQ80" si="41">IF(AND(NOT(ISERROR(AP80-AO80)), AO80&lt;&gt;"", AP80&lt;&gt;""), AP80-AO80, "")</f>
        <v>0.37249999999999983</v>
      </c>
      <c r="AR80" s="135">
        <f t="shared" ref="AR80" si="42">IF(NOT(ISERROR(100-(AP80/AO80)*100)), (100-(AP80/AO80)*100)*-1, "")</f>
        <v>19.765467473203842</v>
      </c>
      <c r="AS80" s="293">
        <v>1.88</v>
      </c>
      <c r="AT80" s="293">
        <v>2.1282000000000001</v>
      </c>
      <c r="AU80" s="293">
        <f t="shared" ref="AU80" si="43">IF(AND(NOT(ISERROR(AT80-AS80)), AS80&lt;&gt;"", AT80&lt;&gt;""), AT80-AS80, "")</f>
        <v>0.2482000000000002</v>
      </c>
      <c r="AV80" s="217">
        <f t="shared" ref="AV80" si="44">IF(NOT(ISERROR(100-(AT80/AS80)*100)), (100-(AT80/AS80)*100)*-1, "")</f>
        <v>13.202127659574472</v>
      </c>
      <c r="AW80" s="264"/>
      <c r="AX80" s="265"/>
      <c r="AY80" s="136"/>
      <c r="AZ80" s="135"/>
      <c r="BA80" s="135"/>
      <c r="BB80" s="135"/>
      <c r="BC80" s="217"/>
      <c r="BD80" s="217"/>
      <c r="BE80" s="217"/>
      <c r="BF80" s="217"/>
      <c r="BG80" s="225"/>
      <c r="BH80" s="226"/>
      <c r="BI80" s="139"/>
      <c r="BJ80" s="135"/>
      <c r="BK80" s="135"/>
      <c r="BL80" s="135"/>
      <c r="BM80" s="217"/>
      <c r="BN80" s="217"/>
      <c r="BO80" s="217"/>
      <c r="BP80" s="217"/>
      <c r="BQ80" s="225"/>
      <c r="BR80" s="226"/>
      <c r="BS80" s="139"/>
      <c r="BT80" s="135"/>
      <c r="BU80" s="135"/>
      <c r="BV80" s="135"/>
      <c r="BW80" s="217"/>
      <c r="BX80" s="217"/>
      <c r="BY80" s="217"/>
      <c r="BZ80" s="217"/>
      <c r="CA80" s="225"/>
      <c r="CB80" s="226"/>
      <c r="CC80" s="23"/>
      <c r="CD80" s="139"/>
      <c r="CE80" s="135"/>
      <c r="CF80" s="135"/>
      <c r="CG80" s="135"/>
      <c r="CH80" s="217"/>
      <c r="CI80" s="217"/>
      <c r="CJ80" s="217"/>
      <c r="CK80" s="217"/>
      <c r="CL80" s="225"/>
      <c r="CM80" s="226"/>
      <c r="CN80" s="23"/>
      <c r="CO80" s="23"/>
    </row>
    <row r="81" spans="1:93" ht="20" customHeight="1" x14ac:dyDescent="0.2">
      <c r="A81" s="61"/>
      <c r="B81" s="24"/>
      <c r="C81" s="24" t="s">
        <v>85</v>
      </c>
      <c r="D81" s="23" t="s">
        <v>297</v>
      </c>
      <c r="E81" s="23" t="s">
        <v>298</v>
      </c>
      <c r="F81" s="24">
        <v>2016</v>
      </c>
      <c r="H81" s="89">
        <v>25</v>
      </c>
      <c r="I81" s="85" t="s">
        <v>214</v>
      </c>
      <c r="J81" s="116" t="s">
        <v>192</v>
      </c>
      <c r="K81" s="132"/>
      <c r="L81" s="133"/>
      <c r="M81" s="133" t="str">
        <f t="shared" si="30"/>
        <v/>
      </c>
      <c r="N81" s="134" t="str">
        <f t="shared" si="27"/>
        <v/>
      </c>
      <c r="O81" s="216"/>
      <c r="P81" s="216"/>
      <c r="Q81" s="217" t="str">
        <f t="shared" si="28"/>
        <v/>
      </c>
      <c r="R81" s="217" t="str">
        <f t="shared" si="29"/>
        <v/>
      </c>
      <c r="S81" s="225"/>
      <c r="T81" s="226"/>
      <c r="U81" s="136"/>
      <c r="V81" s="133"/>
      <c r="W81" s="133" t="str">
        <f t="shared" si="21"/>
        <v/>
      </c>
      <c r="X81" s="134" t="str">
        <f t="shared" si="22"/>
        <v/>
      </c>
      <c r="Y81" s="216"/>
      <c r="Z81" s="216"/>
      <c r="AA81" s="217" t="str">
        <f t="shared" si="23"/>
        <v/>
      </c>
      <c r="AB81" s="217" t="str">
        <f t="shared" si="24"/>
        <v/>
      </c>
      <c r="AC81" s="225"/>
      <c r="AD81" s="226"/>
      <c r="AE81" s="139"/>
      <c r="AF81" s="135"/>
      <c r="AG81" s="135" t="str">
        <f t="shared" si="25"/>
        <v/>
      </c>
      <c r="AH81" s="135"/>
      <c r="AI81" s="217"/>
      <c r="AJ81" s="217"/>
      <c r="AK81" s="217" t="str">
        <f t="shared" si="26"/>
        <v/>
      </c>
      <c r="AL81" s="221"/>
      <c r="AM81" s="225"/>
      <c r="AN81" s="226"/>
      <c r="AO81" s="141"/>
      <c r="AP81" s="135"/>
      <c r="AQ81" s="135"/>
      <c r="AR81" s="135"/>
      <c r="AS81" s="217"/>
      <c r="AT81" s="217"/>
      <c r="AU81" s="217"/>
      <c r="AV81" s="217"/>
      <c r="AW81" s="225"/>
      <c r="AX81" s="226"/>
      <c r="AY81" s="136"/>
      <c r="AZ81" s="135"/>
      <c r="BA81" s="135"/>
      <c r="BB81" s="135"/>
      <c r="BC81" s="217"/>
      <c r="BD81" s="217"/>
      <c r="BE81" s="217"/>
      <c r="BF81" s="217"/>
      <c r="BG81" s="225"/>
      <c r="BH81" s="226"/>
      <c r="BI81" s="139"/>
      <c r="BJ81" s="135"/>
      <c r="BK81" s="135"/>
      <c r="BL81" s="135"/>
      <c r="BM81" s="217"/>
      <c r="BN81" s="217"/>
      <c r="BO81" s="217"/>
      <c r="BP81" s="217"/>
      <c r="BQ81" s="225"/>
      <c r="BR81" s="226"/>
      <c r="BS81" s="139"/>
      <c r="BT81" s="135"/>
      <c r="BU81" s="135"/>
      <c r="BV81" s="135"/>
      <c r="BW81" s="217"/>
      <c r="BX81" s="217"/>
      <c r="BY81" s="217"/>
      <c r="BZ81" s="217"/>
      <c r="CA81" s="225"/>
      <c r="CB81" s="226"/>
      <c r="CC81" s="23"/>
      <c r="CD81" s="139"/>
      <c r="CE81" s="135"/>
      <c r="CF81" s="135"/>
      <c r="CG81" s="135"/>
      <c r="CH81" s="217"/>
      <c r="CI81" s="217"/>
      <c r="CJ81" s="217"/>
      <c r="CK81" s="217"/>
      <c r="CL81" s="225"/>
      <c r="CM81" s="226"/>
      <c r="CN81" s="23"/>
      <c r="CO81" s="23"/>
    </row>
    <row r="82" spans="1:93" ht="20" customHeight="1" x14ac:dyDescent="0.2">
      <c r="A82" s="61"/>
      <c r="B82" s="83"/>
      <c r="C82" s="24" t="s">
        <v>85</v>
      </c>
      <c r="D82" s="23" t="s">
        <v>305</v>
      </c>
      <c r="E82" s="23" t="s">
        <v>306</v>
      </c>
      <c r="F82" s="24">
        <v>2011</v>
      </c>
      <c r="H82" s="89"/>
      <c r="I82" s="85"/>
      <c r="J82" s="116"/>
      <c r="K82" s="132"/>
      <c r="L82" s="133"/>
      <c r="M82" s="133" t="str">
        <f t="shared" si="30"/>
        <v/>
      </c>
      <c r="N82" s="134" t="str">
        <f t="shared" si="27"/>
        <v/>
      </c>
      <c r="O82" s="216"/>
      <c r="P82" s="216"/>
      <c r="Q82" s="217" t="str">
        <f t="shared" si="28"/>
        <v/>
      </c>
      <c r="R82" s="217" t="str">
        <f t="shared" si="29"/>
        <v/>
      </c>
      <c r="S82" s="225"/>
      <c r="T82" s="226"/>
      <c r="U82" s="136"/>
      <c r="V82" s="133"/>
      <c r="W82" s="133" t="str">
        <f t="shared" si="21"/>
        <v/>
      </c>
      <c r="X82" s="134" t="str">
        <f t="shared" si="22"/>
        <v/>
      </c>
      <c r="Y82" s="216"/>
      <c r="Z82" s="216"/>
      <c r="AA82" s="217" t="str">
        <f t="shared" si="23"/>
        <v/>
      </c>
      <c r="AB82" s="217" t="str">
        <f t="shared" si="24"/>
        <v/>
      </c>
      <c r="AC82" s="225"/>
      <c r="AD82" s="226"/>
      <c r="AE82" s="139"/>
      <c r="AF82" s="135"/>
      <c r="AG82" s="135" t="str">
        <f t="shared" si="25"/>
        <v/>
      </c>
      <c r="AH82" s="135"/>
      <c r="AI82" s="217"/>
      <c r="AJ82" s="217"/>
      <c r="AK82" s="217" t="str">
        <f t="shared" si="26"/>
        <v/>
      </c>
      <c r="AL82" s="221"/>
      <c r="AM82" s="225"/>
      <c r="AN82" s="226"/>
      <c r="AO82" s="141"/>
      <c r="AP82" s="135"/>
      <c r="AQ82" s="135"/>
      <c r="AR82" s="135"/>
      <c r="AS82" s="217"/>
      <c r="AT82" s="217"/>
      <c r="AU82" s="217"/>
      <c r="AV82" s="217"/>
      <c r="AW82" s="225"/>
      <c r="AX82" s="226"/>
      <c r="AY82" s="136"/>
      <c r="AZ82" s="135"/>
      <c r="BA82" s="135"/>
      <c r="BB82" s="135"/>
      <c r="BC82" s="217"/>
      <c r="BD82" s="217"/>
      <c r="BE82" s="217"/>
      <c r="BF82" s="217"/>
      <c r="BG82" s="225"/>
      <c r="BH82" s="226"/>
      <c r="BI82" s="139"/>
      <c r="BJ82" s="135"/>
      <c r="BK82" s="135"/>
      <c r="BL82" s="135"/>
      <c r="BM82" s="217"/>
      <c r="BN82" s="217"/>
      <c r="BO82" s="217"/>
      <c r="BP82" s="217"/>
      <c r="BQ82" s="225"/>
      <c r="BR82" s="226"/>
      <c r="BS82" s="139"/>
      <c r="BT82" s="135"/>
      <c r="BU82" s="135"/>
      <c r="BV82" s="135"/>
      <c r="BW82" s="217"/>
      <c r="BX82" s="217"/>
      <c r="BY82" s="217"/>
      <c r="BZ82" s="217"/>
      <c r="CA82" s="225"/>
      <c r="CB82" s="226"/>
      <c r="CC82" s="23"/>
      <c r="CD82" s="139"/>
      <c r="CE82" s="135"/>
      <c r="CF82" s="135"/>
      <c r="CG82" s="135"/>
      <c r="CH82" s="217"/>
      <c r="CI82" s="217"/>
      <c r="CJ82" s="217"/>
      <c r="CK82" s="217"/>
      <c r="CL82" s="225"/>
      <c r="CM82" s="226"/>
      <c r="CN82" s="23"/>
      <c r="CO82" s="23"/>
    </row>
    <row r="83" spans="1:93" ht="20" customHeight="1" x14ac:dyDescent="0.2">
      <c r="A83" s="60"/>
      <c r="B83" s="82"/>
      <c r="C83" s="24" t="s">
        <v>85</v>
      </c>
      <c r="D83" s="23" t="s">
        <v>107</v>
      </c>
      <c r="E83" s="23" t="s">
        <v>108</v>
      </c>
      <c r="F83" s="24">
        <v>2008</v>
      </c>
      <c r="G83" s="24">
        <v>54</v>
      </c>
      <c r="H83" s="89">
        <v>12</v>
      </c>
      <c r="I83" s="85" t="s">
        <v>168</v>
      </c>
      <c r="J83" s="116" t="s">
        <v>210</v>
      </c>
      <c r="K83" s="294">
        <v>7.75</v>
      </c>
      <c r="L83" s="295">
        <v>4.58</v>
      </c>
      <c r="M83" s="133">
        <f t="shared" si="30"/>
        <v>-3.17</v>
      </c>
      <c r="N83" s="134">
        <f t="shared" si="27"/>
        <v>-40.903225806451616</v>
      </c>
      <c r="O83" s="296">
        <v>6.38</v>
      </c>
      <c r="P83" s="296">
        <v>5.54</v>
      </c>
      <c r="Q83" s="217">
        <f t="shared" si="28"/>
        <v>-0.83999999999999986</v>
      </c>
      <c r="R83" s="217">
        <f t="shared" si="29"/>
        <v>-13.16614420062696</v>
      </c>
      <c r="S83" s="264"/>
      <c r="T83" s="265"/>
      <c r="U83" s="297">
        <v>7.83</v>
      </c>
      <c r="V83" s="295">
        <v>7.17</v>
      </c>
      <c r="W83" s="133">
        <f t="shared" si="21"/>
        <v>-0.66000000000000014</v>
      </c>
      <c r="X83" s="134">
        <f t="shared" si="22"/>
        <v>-8.4291187739463709</v>
      </c>
      <c r="Y83" s="296">
        <v>7.31</v>
      </c>
      <c r="Z83" s="296">
        <v>8.08</v>
      </c>
      <c r="AA83" s="217">
        <f t="shared" si="23"/>
        <v>0.77000000000000046</v>
      </c>
      <c r="AB83" s="217">
        <f t="shared" si="24"/>
        <v>10.533515731874161</v>
      </c>
      <c r="AC83" s="264"/>
      <c r="AD83" s="265"/>
      <c r="AE83" s="139"/>
      <c r="AF83" s="135"/>
      <c r="AG83" s="135" t="str">
        <f t="shared" si="25"/>
        <v/>
      </c>
      <c r="AH83" s="135"/>
      <c r="AI83" s="217"/>
      <c r="AJ83" s="217"/>
      <c r="AK83" s="217" t="str">
        <f t="shared" si="26"/>
        <v/>
      </c>
      <c r="AL83" s="221"/>
      <c r="AM83" s="225"/>
      <c r="AN83" s="226"/>
      <c r="AO83" s="141"/>
      <c r="AP83" s="135"/>
      <c r="AQ83" s="135"/>
      <c r="AR83" s="135"/>
      <c r="AS83" s="217"/>
      <c r="AT83" s="217"/>
      <c r="AU83" s="217"/>
      <c r="AV83" s="217"/>
      <c r="AW83" s="225"/>
      <c r="AX83" s="226"/>
      <c r="AY83" s="136"/>
      <c r="AZ83" s="135"/>
      <c r="BA83" s="135"/>
      <c r="BB83" s="135"/>
      <c r="BC83" s="217"/>
      <c r="BD83" s="217"/>
      <c r="BE83" s="217"/>
      <c r="BF83" s="217"/>
      <c r="BG83" s="225"/>
      <c r="BH83" s="226"/>
      <c r="BI83" s="139"/>
      <c r="BJ83" s="135"/>
      <c r="BK83" s="135"/>
      <c r="BL83" s="135"/>
      <c r="BM83" s="217"/>
      <c r="BN83" s="217"/>
      <c r="BO83" s="217"/>
      <c r="BP83" s="217"/>
      <c r="BQ83" s="225"/>
      <c r="BR83" s="226"/>
      <c r="BS83" s="139"/>
      <c r="BT83" s="135"/>
      <c r="BU83" s="135"/>
      <c r="BV83" s="135"/>
      <c r="BW83" s="217"/>
      <c r="BX83" s="217"/>
      <c r="BY83" s="217"/>
      <c r="BZ83" s="217"/>
      <c r="CA83" s="225"/>
      <c r="CB83" s="226"/>
      <c r="CC83" s="23"/>
      <c r="CD83" s="139"/>
      <c r="CE83" s="135"/>
      <c r="CF83" s="135"/>
      <c r="CG83" s="135"/>
      <c r="CH83" s="217"/>
      <c r="CI83" s="217"/>
      <c r="CJ83" s="217"/>
      <c r="CK83" s="217"/>
      <c r="CL83" s="225"/>
      <c r="CM83" s="226"/>
      <c r="CN83" s="23"/>
      <c r="CO83" s="23"/>
    </row>
    <row r="84" spans="1:93" ht="20" customHeight="1" x14ac:dyDescent="0.2">
      <c r="A84" s="60"/>
      <c r="B84" s="82"/>
      <c r="C84" s="24" t="s">
        <v>85</v>
      </c>
      <c r="D84" s="23" t="s">
        <v>119</v>
      </c>
      <c r="E84" s="23" t="s">
        <v>120</v>
      </c>
      <c r="F84" s="24">
        <v>2003</v>
      </c>
      <c r="G84" s="24">
        <v>45</v>
      </c>
      <c r="H84" s="89">
        <v>16</v>
      </c>
      <c r="I84" s="85" t="s">
        <v>176</v>
      </c>
      <c r="J84" s="116" t="s">
        <v>421</v>
      </c>
      <c r="K84" s="132"/>
      <c r="L84" s="133"/>
      <c r="M84" s="133" t="str">
        <f t="shared" si="30"/>
        <v/>
      </c>
      <c r="N84" s="134" t="str">
        <f t="shared" si="27"/>
        <v/>
      </c>
      <c r="O84" s="216"/>
      <c r="P84" s="216"/>
      <c r="Q84" s="217" t="str">
        <f t="shared" si="28"/>
        <v/>
      </c>
      <c r="R84" s="217" t="str">
        <f t="shared" si="29"/>
        <v/>
      </c>
      <c r="S84" s="225"/>
      <c r="T84" s="226"/>
      <c r="U84" s="136"/>
      <c r="V84" s="133"/>
      <c r="W84" s="133" t="str">
        <f t="shared" si="21"/>
        <v/>
      </c>
      <c r="X84" s="134" t="str">
        <f t="shared" si="22"/>
        <v/>
      </c>
      <c r="Y84" s="216"/>
      <c r="Z84" s="216"/>
      <c r="AA84" s="217" t="str">
        <f t="shared" si="23"/>
        <v/>
      </c>
      <c r="AB84" s="217" t="str">
        <f t="shared" si="24"/>
        <v/>
      </c>
      <c r="AC84" s="225"/>
      <c r="AD84" s="226"/>
      <c r="AE84" s="139"/>
      <c r="AF84" s="135"/>
      <c r="AG84" s="135" t="str">
        <f t="shared" si="25"/>
        <v/>
      </c>
      <c r="AH84" s="135"/>
      <c r="AI84" s="217"/>
      <c r="AJ84" s="217"/>
      <c r="AK84" s="217" t="str">
        <f t="shared" si="26"/>
        <v/>
      </c>
      <c r="AL84" s="221"/>
      <c r="AM84" s="225"/>
      <c r="AN84" s="226"/>
      <c r="AO84" s="141"/>
      <c r="AP84" s="135"/>
      <c r="AQ84" s="135"/>
      <c r="AR84" s="135"/>
      <c r="AS84" s="217"/>
      <c r="AT84" s="217"/>
      <c r="AU84" s="217"/>
      <c r="AV84" s="217"/>
      <c r="AW84" s="225"/>
      <c r="AX84" s="226"/>
      <c r="AY84" s="136"/>
      <c r="AZ84" s="135"/>
      <c r="BA84" s="135"/>
      <c r="BB84" s="135"/>
      <c r="BC84" s="217"/>
      <c r="BD84" s="217"/>
      <c r="BE84" s="217"/>
      <c r="BF84" s="217"/>
      <c r="BG84" s="225"/>
      <c r="BH84" s="226"/>
      <c r="BI84" s="139"/>
      <c r="BJ84" s="135"/>
      <c r="BK84" s="135"/>
      <c r="BL84" s="135"/>
      <c r="BM84" s="217"/>
      <c r="BN84" s="217"/>
      <c r="BO84" s="217"/>
      <c r="BP84" s="217"/>
      <c r="BQ84" s="225"/>
      <c r="BR84" s="226"/>
      <c r="BS84" s="139"/>
      <c r="BT84" s="135"/>
      <c r="BU84" s="135"/>
      <c r="BV84" s="135"/>
      <c r="BW84" s="217"/>
      <c r="BX84" s="217"/>
      <c r="BY84" s="217"/>
      <c r="BZ84" s="217"/>
      <c r="CA84" s="225"/>
      <c r="CB84" s="226"/>
      <c r="CC84" s="23"/>
      <c r="CD84" s="139"/>
      <c r="CE84" s="135"/>
      <c r="CF84" s="135"/>
      <c r="CG84" s="135"/>
      <c r="CH84" s="217"/>
      <c r="CI84" s="217"/>
      <c r="CJ84" s="217"/>
      <c r="CK84" s="217"/>
      <c r="CL84" s="225"/>
      <c r="CM84" s="226"/>
      <c r="CN84" s="23"/>
      <c r="CO84" s="23"/>
    </row>
    <row r="85" spans="1:93" ht="20" customHeight="1" x14ac:dyDescent="0.2">
      <c r="A85" s="61"/>
      <c r="B85" s="24"/>
      <c r="C85" s="24" t="s">
        <v>85</v>
      </c>
      <c r="D85" s="23" t="s">
        <v>127</v>
      </c>
      <c r="E85" s="23" t="s">
        <v>128</v>
      </c>
      <c r="F85" s="24">
        <v>2000</v>
      </c>
      <c r="G85" s="24">
        <v>252</v>
      </c>
      <c r="H85" s="89">
        <v>30</v>
      </c>
      <c r="I85" s="85" t="s">
        <v>218</v>
      </c>
      <c r="J85" s="116" t="s">
        <v>169</v>
      </c>
      <c r="K85" s="132"/>
      <c r="L85" s="133"/>
      <c r="M85" s="133" t="str">
        <f t="shared" si="30"/>
        <v/>
      </c>
      <c r="N85" s="134" t="str">
        <f t="shared" si="27"/>
        <v/>
      </c>
      <c r="O85" s="216"/>
      <c r="P85" s="216"/>
      <c r="Q85" s="217" t="str">
        <f t="shared" si="28"/>
        <v/>
      </c>
      <c r="R85" s="217" t="str">
        <f t="shared" si="29"/>
        <v/>
      </c>
      <c r="S85" s="225"/>
      <c r="T85" s="226"/>
      <c r="U85" s="136"/>
      <c r="V85" s="133"/>
      <c r="W85" s="133" t="str">
        <f t="shared" si="21"/>
        <v/>
      </c>
      <c r="X85" s="134" t="str">
        <f t="shared" si="22"/>
        <v/>
      </c>
      <c r="Y85" s="216"/>
      <c r="Z85" s="216"/>
      <c r="AA85" s="217" t="str">
        <f t="shared" si="23"/>
        <v/>
      </c>
      <c r="AB85" s="217" t="str">
        <f t="shared" si="24"/>
        <v/>
      </c>
      <c r="AC85" s="225"/>
      <c r="AD85" s="226"/>
      <c r="AE85" s="139"/>
      <c r="AF85" s="135"/>
      <c r="AG85" s="135" t="str">
        <f t="shared" si="25"/>
        <v/>
      </c>
      <c r="AH85" s="135"/>
      <c r="AI85" s="217"/>
      <c r="AJ85" s="217"/>
      <c r="AK85" s="217" t="str">
        <f t="shared" si="26"/>
        <v/>
      </c>
      <c r="AL85" s="221"/>
      <c r="AM85" s="225"/>
      <c r="AN85" s="226"/>
      <c r="AO85" s="141"/>
      <c r="AP85" s="135"/>
      <c r="AQ85" s="135"/>
      <c r="AR85" s="135"/>
      <c r="AS85" s="217"/>
      <c r="AT85" s="217"/>
      <c r="AU85" s="217"/>
      <c r="AV85" s="217"/>
      <c r="AW85" s="225"/>
      <c r="AX85" s="226"/>
      <c r="AY85" s="136"/>
      <c r="AZ85" s="135"/>
      <c r="BA85" s="135"/>
      <c r="BB85" s="135"/>
      <c r="BC85" s="217"/>
      <c r="BD85" s="217"/>
      <c r="BE85" s="217"/>
      <c r="BF85" s="217"/>
      <c r="BG85" s="225"/>
      <c r="BH85" s="226"/>
      <c r="BI85" s="139"/>
      <c r="BJ85" s="135"/>
      <c r="BK85" s="135"/>
      <c r="BL85" s="135"/>
      <c r="BM85" s="217"/>
      <c r="BN85" s="217"/>
      <c r="BO85" s="217"/>
      <c r="BP85" s="217"/>
      <c r="BQ85" s="225"/>
      <c r="BR85" s="226"/>
      <c r="BS85" s="139"/>
      <c r="BT85" s="135"/>
      <c r="BU85" s="135"/>
      <c r="BV85" s="135"/>
      <c r="BW85" s="217"/>
      <c r="BX85" s="217"/>
      <c r="BY85" s="217"/>
      <c r="BZ85" s="217"/>
      <c r="CA85" s="225"/>
      <c r="CB85" s="226"/>
      <c r="CC85" s="23"/>
      <c r="CD85" s="139"/>
      <c r="CE85" s="135"/>
      <c r="CF85" s="135"/>
      <c r="CG85" s="135"/>
      <c r="CH85" s="217"/>
      <c r="CI85" s="217"/>
      <c r="CJ85" s="217"/>
      <c r="CK85" s="217"/>
      <c r="CL85" s="225"/>
      <c r="CM85" s="226"/>
      <c r="CN85" s="23"/>
      <c r="CO85" s="23"/>
    </row>
    <row r="86" spans="1:93" ht="20" customHeight="1" x14ac:dyDescent="0.2">
      <c r="A86" s="61"/>
      <c r="B86" s="83"/>
      <c r="C86" s="24" t="s">
        <v>85</v>
      </c>
      <c r="D86" s="23" t="s">
        <v>545</v>
      </c>
      <c r="E86" s="23" t="s">
        <v>546</v>
      </c>
      <c r="F86" s="24">
        <v>2010</v>
      </c>
      <c r="H86" s="89"/>
      <c r="I86" s="85" t="s">
        <v>185</v>
      </c>
      <c r="J86" s="116" t="s">
        <v>169</v>
      </c>
      <c r="K86" s="132"/>
      <c r="L86" s="133"/>
      <c r="M86" s="133" t="str">
        <f t="shared" si="30"/>
        <v/>
      </c>
      <c r="N86" s="134" t="str">
        <f t="shared" si="27"/>
        <v/>
      </c>
      <c r="O86" s="216"/>
      <c r="P86" s="216"/>
      <c r="Q86" s="217" t="str">
        <f t="shared" si="28"/>
        <v/>
      </c>
      <c r="R86" s="217" t="str">
        <f t="shared" si="29"/>
        <v/>
      </c>
      <c r="S86" s="225"/>
      <c r="T86" s="226"/>
      <c r="U86" s="136"/>
      <c r="V86" s="133"/>
      <c r="W86" s="133" t="str">
        <f t="shared" si="21"/>
        <v/>
      </c>
      <c r="X86" s="134" t="str">
        <f t="shared" si="22"/>
        <v/>
      </c>
      <c r="Y86" s="216"/>
      <c r="Z86" s="216"/>
      <c r="AA86" s="217" t="str">
        <f t="shared" si="23"/>
        <v/>
      </c>
      <c r="AB86" s="217" t="str">
        <f t="shared" si="24"/>
        <v/>
      </c>
      <c r="AC86" s="225"/>
      <c r="AD86" s="226"/>
      <c r="AE86" s="139"/>
      <c r="AF86" s="135"/>
      <c r="AG86" s="135" t="str">
        <f t="shared" si="25"/>
        <v/>
      </c>
      <c r="AH86" s="135"/>
      <c r="AI86" s="217"/>
      <c r="AJ86" s="217"/>
      <c r="AK86" s="217" t="str">
        <f t="shared" si="26"/>
        <v/>
      </c>
      <c r="AL86" s="221"/>
      <c r="AM86" s="225"/>
      <c r="AN86" s="226"/>
      <c r="AO86" s="141"/>
      <c r="AP86" s="135"/>
      <c r="AQ86" s="135"/>
      <c r="AR86" s="135"/>
      <c r="AS86" s="217"/>
      <c r="AT86" s="217"/>
      <c r="AU86" s="217"/>
      <c r="AV86" s="217"/>
      <c r="AW86" s="225"/>
      <c r="AX86" s="226"/>
      <c r="AY86" s="136"/>
      <c r="AZ86" s="135"/>
      <c r="BA86" s="135"/>
      <c r="BB86" s="135"/>
      <c r="BC86" s="217"/>
      <c r="BD86" s="217"/>
      <c r="BE86" s="217"/>
      <c r="BF86" s="217"/>
      <c r="BG86" s="225"/>
      <c r="BH86" s="226"/>
      <c r="BI86" s="139"/>
      <c r="BJ86" s="135"/>
      <c r="BK86" s="135"/>
      <c r="BL86" s="135"/>
      <c r="BM86" s="217"/>
      <c r="BN86" s="217"/>
      <c r="BO86" s="217"/>
      <c r="BP86" s="217"/>
      <c r="BQ86" s="225"/>
      <c r="BR86" s="226"/>
      <c r="BS86" s="139"/>
      <c r="BT86" s="135"/>
      <c r="BU86" s="135"/>
      <c r="BV86" s="135"/>
      <c r="BW86" s="217"/>
      <c r="BX86" s="217"/>
      <c r="BY86" s="217"/>
      <c r="BZ86" s="217"/>
      <c r="CA86" s="225"/>
      <c r="CB86" s="226"/>
      <c r="CC86" s="23"/>
      <c r="CD86" s="139"/>
      <c r="CE86" s="135"/>
      <c r="CF86" s="135"/>
      <c r="CG86" s="135"/>
      <c r="CH86" s="217"/>
      <c r="CI86" s="217"/>
      <c r="CJ86" s="217"/>
      <c r="CK86" s="217"/>
      <c r="CL86" s="225"/>
      <c r="CM86" s="226"/>
      <c r="CN86" s="23"/>
      <c r="CO86" s="23"/>
    </row>
    <row r="87" spans="1:93" ht="20" customHeight="1" x14ac:dyDescent="0.2">
      <c r="A87" s="61"/>
      <c r="B87" s="82"/>
      <c r="C87" s="24" t="s">
        <v>85</v>
      </c>
      <c r="D87" s="23" t="s">
        <v>133</v>
      </c>
      <c r="E87" s="23" t="s">
        <v>134</v>
      </c>
      <c r="F87" s="24">
        <v>2001</v>
      </c>
      <c r="G87" s="24">
        <v>192</v>
      </c>
      <c r="H87" s="89"/>
      <c r="I87" s="85" t="s">
        <v>176</v>
      </c>
      <c r="J87" s="116" t="s">
        <v>169</v>
      </c>
      <c r="K87" s="132"/>
      <c r="L87" s="133"/>
      <c r="M87" s="133" t="str">
        <f t="shared" si="30"/>
        <v/>
      </c>
      <c r="N87" s="134" t="str">
        <f t="shared" si="27"/>
        <v/>
      </c>
      <c r="O87" s="216"/>
      <c r="P87" s="216"/>
      <c r="Q87" s="217" t="str">
        <f t="shared" si="28"/>
        <v/>
      </c>
      <c r="R87" s="217" t="str">
        <f t="shared" si="29"/>
        <v/>
      </c>
      <c r="S87" s="225"/>
      <c r="T87" s="226"/>
      <c r="U87" s="136"/>
      <c r="V87" s="133"/>
      <c r="W87" s="133" t="str">
        <f t="shared" si="21"/>
        <v/>
      </c>
      <c r="X87" s="134" t="str">
        <f t="shared" si="22"/>
        <v/>
      </c>
      <c r="Y87" s="216"/>
      <c r="Z87" s="216"/>
      <c r="AA87" s="217" t="str">
        <f t="shared" si="23"/>
        <v/>
      </c>
      <c r="AB87" s="217" t="str">
        <f t="shared" si="24"/>
        <v/>
      </c>
      <c r="AC87" s="225"/>
      <c r="AD87" s="226"/>
      <c r="AE87" s="139"/>
      <c r="AF87" s="135"/>
      <c r="AG87" s="135" t="str">
        <f t="shared" si="25"/>
        <v/>
      </c>
      <c r="AH87" s="135"/>
      <c r="AI87" s="217"/>
      <c r="AJ87" s="217"/>
      <c r="AK87" s="217" t="str">
        <f t="shared" si="26"/>
        <v/>
      </c>
      <c r="AL87" s="221"/>
      <c r="AM87" s="225"/>
      <c r="AN87" s="226"/>
      <c r="AO87" s="141"/>
      <c r="AP87" s="135"/>
      <c r="AQ87" s="135"/>
      <c r="AR87" s="135"/>
      <c r="AS87" s="217"/>
      <c r="AT87" s="217"/>
      <c r="AU87" s="217"/>
      <c r="AV87" s="217"/>
      <c r="AW87" s="225"/>
      <c r="AX87" s="226"/>
      <c r="AY87" s="136"/>
      <c r="AZ87" s="135"/>
      <c r="BA87" s="135"/>
      <c r="BB87" s="135"/>
      <c r="BC87" s="217"/>
      <c r="BD87" s="217"/>
      <c r="BE87" s="217"/>
      <c r="BF87" s="217"/>
      <c r="BG87" s="225"/>
      <c r="BH87" s="226"/>
      <c r="BI87" s="139"/>
      <c r="BJ87" s="135"/>
      <c r="BK87" s="135"/>
      <c r="BL87" s="135"/>
      <c r="BM87" s="217"/>
      <c r="BN87" s="217"/>
      <c r="BO87" s="217"/>
      <c r="BP87" s="217"/>
      <c r="BQ87" s="225"/>
      <c r="BR87" s="226"/>
      <c r="BS87" s="139"/>
      <c r="BT87" s="135"/>
      <c r="BU87" s="135"/>
      <c r="BV87" s="135"/>
      <c r="BW87" s="217"/>
      <c r="BX87" s="217"/>
      <c r="BY87" s="217"/>
      <c r="BZ87" s="217"/>
      <c r="CA87" s="225"/>
      <c r="CB87" s="226"/>
      <c r="CC87" s="23"/>
      <c r="CD87" s="139"/>
      <c r="CE87" s="135"/>
      <c r="CF87" s="135"/>
      <c r="CG87" s="135"/>
      <c r="CH87" s="217"/>
      <c r="CI87" s="217"/>
      <c r="CJ87" s="217"/>
      <c r="CK87" s="217"/>
      <c r="CL87" s="225"/>
      <c r="CM87" s="226"/>
      <c r="CN87" s="23"/>
      <c r="CO87" s="23"/>
    </row>
    <row r="88" spans="1:93" ht="20" customHeight="1" x14ac:dyDescent="0.2">
      <c r="A88" s="60"/>
      <c r="B88" s="82"/>
      <c r="C88" s="24" t="s">
        <v>85</v>
      </c>
      <c r="D88" s="23" t="s">
        <v>315</v>
      </c>
      <c r="E88" s="23" t="s">
        <v>316</v>
      </c>
      <c r="F88" s="24">
        <v>2010</v>
      </c>
      <c r="H88" s="89">
        <v>53</v>
      </c>
      <c r="I88" s="111" t="s">
        <v>371</v>
      </c>
      <c r="J88" s="116" t="s">
        <v>410</v>
      </c>
      <c r="K88" s="132"/>
      <c r="L88" s="133"/>
      <c r="M88" s="133" t="str">
        <f t="shared" si="30"/>
        <v/>
      </c>
      <c r="N88" s="134" t="str">
        <f t="shared" si="27"/>
        <v/>
      </c>
      <c r="O88" s="216"/>
      <c r="P88" s="216"/>
      <c r="Q88" s="217" t="str">
        <f t="shared" si="28"/>
        <v/>
      </c>
      <c r="R88" s="217" t="str">
        <f t="shared" si="29"/>
        <v/>
      </c>
      <c r="S88" s="225"/>
      <c r="T88" s="226"/>
      <c r="U88" s="136"/>
      <c r="V88" s="133"/>
      <c r="W88" s="133" t="str">
        <f t="shared" si="21"/>
        <v/>
      </c>
      <c r="X88" s="134" t="str">
        <f t="shared" si="22"/>
        <v/>
      </c>
      <c r="Y88" s="216"/>
      <c r="Z88" s="216"/>
      <c r="AA88" s="217" t="str">
        <f t="shared" si="23"/>
        <v/>
      </c>
      <c r="AB88" s="217" t="str">
        <f t="shared" si="24"/>
        <v/>
      </c>
      <c r="AC88" s="225"/>
      <c r="AD88" s="226"/>
      <c r="AE88" s="139"/>
      <c r="AF88" s="135"/>
      <c r="AG88" s="135" t="str">
        <f t="shared" si="25"/>
        <v/>
      </c>
      <c r="AH88" s="135"/>
      <c r="AI88" s="217"/>
      <c r="AJ88" s="217"/>
      <c r="AK88" s="217" t="str">
        <f t="shared" si="26"/>
        <v/>
      </c>
      <c r="AL88" s="221"/>
      <c r="AM88" s="225"/>
      <c r="AN88" s="226"/>
      <c r="AO88" s="141"/>
      <c r="AP88" s="135"/>
      <c r="AQ88" s="135"/>
      <c r="AR88" s="135"/>
      <c r="AS88" s="217"/>
      <c r="AT88" s="217"/>
      <c r="AU88" s="217"/>
      <c r="AV88" s="217"/>
      <c r="AW88" s="225"/>
      <c r="AX88" s="226"/>
      <c r="AY88" s="136"/>
      <c r="AZ88" s="135"/>
      <c r="BA88" s="135"/>
      <c r="BB88" s="135"/>
      <c r="BC88" s="217"/>
      <c r="BD88" s="217"/>
      <c r="BE88" s="217"/>
      <c r="BF88" s="217"/>
      <c r="BG88" s="225"/>
      <c r="BH88" s="226"/>
      <c r="BI88" s="139"/>
      <c r="BJ88" s="135"/>
      <c r="BK88" s="135"/>
      <c r="BL88" s="135"/>
      <c r="BM88" s="217"/>
      <c r="BN88" s="217"/>
      <c r="BO88" s="217"/>
      <c r="BP88" s="217"/>
      <c r="BQ88" s="225"/>
      <c r="BR88" s="226"/>
      <c r="BS88" s="139"/>
      <c r="BT88" s="135"/>
      <c r="BU88" s="135"/>
      <c r="BV88" s="135"/>
      <c r="BW88" s="217"/>
      <c r="BX88" s="217"/>
      <c r="BY88" s="217"/>
      <c r="BZ88" s="217"/>
      <c r="CA88" s="225"/>
      <c r="CB88" s="226"/>
      <c r="CC88" s="23"/>
      <c r="CD88" s="139"/>
      <c r="CE88" s="135"/>
      <c r="CF88" s="135"/>
      <c r="CG88" s="135"/>
      <c r="CH88" s="217"/>
      <c r="CI88" s="217"/>
      <c r="CJ88" s="217"/>
      <c r="CK88" s="217"/>
      <c r="CL88" s="225"/>
      <c r="CM88" s="226"/>
      <c r="CN88" s="23"/>
      <c r="CO88" s="23"/>
    </row>
    <row r="89" spans="1:93" ht="20" customHeight="1" x14ac:dyDescent="0.2">
      <c r="A89" s="60"/>
      <c r="B89" s="82"/>
      <c r="C89" s="24" t="s">
        <v>85</v>
      </c>
      <c r="D89" s="23" t="s">
        <v>317</v>
      </c>
      <c r="E89" s="23" t="s">
        <v>318</v>
      </c>
      <c r="F89" s="24">
        <v>2014</v>
      </c>
      <c r="H89" s="89">
        <v>39</v>
      </c>
      <c r="I89" s="85" t="s">
        <v>211</v>
      </c>
      <c r="J89" s="116" t="s">
        <v>373</v>
      </c>
      <c r="K89" s="132">
        <v>4.6100000000000003</v>
      </c>
      <c r="L89" s="133"/>
      <c r="M89" s="133" t="str">
        <f t="shared" si="30"/>
        <v/>
      </c>
      <c r="N89" s="134"/>
      <c r="O89" s="216">
        <v>4.03</v>
      </c>
      <c r="P89" s="216"/>
      <c r="Q89" s="217" t="str">
        <f t="shared" si="28"/>
        <v/>
      </c>
      <c r="R89" s="217"/>
      <c r="S89" s="225"/>
      <c r="T89" s="226"/>
      <c r="U89" s="136"/>
      <c r="V89" s="133"/>
      <c r="W89" s="133" t="str">
        <f t="shared" si="21"/>
        <v/>
      </c>
      <c r="X89" s="134" t="str">
        <f t="shared" si="22"/>
        <v/>
      </c>
      <c r="Y89" s="216"/>
      <c r="Z89" s="216"/>
      <c r="AA89" s="217" t="str">
        <f t="shared" si="23"/>
        <v/>
      </c>
      <c r="AB89" s="217" t="str">
        <f t="shared" si="24"/>
        <v/>
      </c>
      <c r="AC89" s="225"/>
      <c r="AD89" s="226"/>
      <c r="AE89" s="139"/>
      <c r="AF89" s="135"/>
      <c r="AG89" s="135" t="str">
        <f t="shared" si="25"/>
        <v/>
      </c>
      <c r="AH89" s="135"/>
      <c r="AI89" s="217"/>
      <c r="AJ89" s="217"/>
      <c r="AK89" s="217" t="str">
        <f t="shared" si="26"/>
        <v/>
      </c>
      <c r="AL89" s="221"/>
      <c r="AM89" s="225"/>
      <c r="AN89" s="226"/>
      <c r="AO89" s="141"/>
      <c r="AP89" s="135"/>
      <c r="AQ89" s="135"/>
      <c r="AR89" s="135"/>
      <c r="AS89" s="217"/>
      <c r="AT89" s="217"/>
      <c r="AU89" s="217"/>
      <c r="AV89" s="217"/>
      <c r="AW89" s="225"/>
      <c r="AX89" s="226"/>
      <c r="AY89" s="136"/>
      <c r="AZ89" s="135"/>
      <c r="BA89" s="135"/>
      <c r="BB89" s="135"/>
      <c r="BC89" s="217"/>
      <c r="BD89" s="217"/>
      <c r="BE89" s="217"/>
      <c r="BF89" s="217"/>
      <c r="BG89" s="225"/>
      <c r="BH89" s="226"/>
      <c r="BI89" s="139"/>
      <c r="BJ89" s="135"/>
      <c r="BK89" s="135"/>
      <c r="BL89" s="135"/>
      <c r="BM89" s="217"/>
      <c r="BN89" s="217"/>
      <c r="BO89" s="217"/>
      <c r="BP89" s="217"/>
      <c r="BQ89" s="225"/>
      <c r="BR89" s="226"/>
      <c r="BS89" s="139"/>
      <c r="BT89" s="135"/>
      <c r="BU89" s="135"/>
      <c r="BV89" s="135"/>
      <c r="BW89" s="217"/>
      <c r="BX89" s="217"/>
      <c r="BY89" s="217"/>
      <c r="BZ89" s="217"/>
      <c r="CA89" s="225"/>
      <c r="CB89" s="226"/>
      <c r="CC89" s="23"/>
      <c r="CD89" s="139"/>
      <c r="CE89" s="135"/>
      <c r="CF89" s="135"/>
      <c r="CG89" s="135"/>
      <c r="CH89" s="217"/>
      <c r="CI89" s="217"/>
      <c r="CJ89" s="217"/>
      <c r="CK89" s="217"/>
      <c r="CL89" s="225"/>
      <c r="CM89" s="226"/>
      <c r="CN89" s="23" t="s">
        <v>547</v>
      </c>
      <c r="CO89" s="23"/>
    </row>
    <row r="90" spans="1:93" ht="20" customHeight="1" x14ac:dyDescent="0.2">
      <c r="A90" s="60"/>
      <c r="B90" s="82"/>
      <c r="C90" s="24" t="s">
        <v>85</v>
      </c>
      <c r="D90" s="23" t="s">
        <v>319</v>
      </c>
      <c r="E90" s="23" t="s">
        <v>320</v>
      </c>
      <c r="F90" s="24">
        <v>2010</v>
      </c>
      <c r="H90" s="89">
        <v>789</v>
      </c>
      <c r="I90" s="85" t="s">
        <v>211</v>
      </c>
      <c r="J90" s="116" t="s">
        <v>375</v>
      </c>
      <c r="K90" s="132"/>
      <c r="L90" s="133"/>
      <c r="M90" s="133" t="str">
        <f t="shared" si="30"/>
        <v/>
      </c>
      <c r="N90" s="134" t="str">
        <f t="shared" si="27"/>
        <v/>
      </c>
      <c r="O90" s="216"/>
      <c r="P90" s="216"/>
      <c r="Q90" s="217" t="str">
        <f t="shared" si="28"/>
        <v/>
      </c>
      <c r="R90" s="217" t="str">
        <f t="shared" si="29"/>
        <v/>
      </c>
      <c r="S90" s="225"/>
      <c r="T90" s="226"/>
      <c r="U90" s="136"/>
      <c r="V90" s="133"/>
      <c r="W90" s="133" t="str">
        <f t="shared" si="21"/>
        <v/>
      </c>
      <c r="X90" s="134" t="str">
        <f t="shared" si="22"/>
        <v/>
      </c>
      <c r="Y90" s="216"/>
      <c r="Z90" s="216"/>
      <c r="AA90" s="217" t="str">
        <f t="shared" si="23"/>
        <v/>
      </c>
      <c r="AB90" s="217" t="str">
        <f t="shared" si="24"/>
        <v/>
      </c>
      <c r="AC90" s="225"/>
      <c r="AD90" s="226"/>
      <c r="AE90" s="139"/>
      <c r="AF90" s="135"/>
      <c r="AG90" s="135" t="str">
        <f t="shared" si="25"/>
        <v/>
      </c>
      <c r="AH90" s="135"/>
      <c r="AI90" s="217"/>
      <c r="AJ90" s="217"/>
      <c r="AK90" s="217" t="str">
        <f t="shared" si="26"/>
        <v/>
      </c>
      <c r="AL90" s="221"/>
      <c r="AM90" s="225"/>
      <c r="AN90" s="226"/>
      <c r="AO90" s="141"/>
      <c r="AP90" s="135"/>
      <c r="AQ90" s="135"/>
      <c r="AR90" s="135"/>
      <c r="AS90" s="217"/>
      <c r="AT90" s="217"/>
      <c r="AU90" s="217"/>
      <c r="AV90" s="217"/>
      <c r="AW90" s="225"/>
      <c r="AX90" s="226"/>
      <c r="AY90" s="136"/>
      <c r="AZ90" s="135"/>
      <c r="BA90" s="135"/>
      <c r="BB90" s="135"/>
      <c r="BC90" s="217"/>
      <c r="BD90" s="217"/>
      <c r="BE90" s="217"/>
      <c r="BF90" s="217"/>
      <c r="BG90" s="225"/>
      <c r="BH90" s="226"/>
      <c r="BI90" s="139"/>
      <c r="BJ90" s="135"/>
      <c r="BK90" s="135"/>
      <c r="BL90" s="135"/>
      <c r="BM90" s="217"/>
      <c r="BN90" s="217"/>
      <c r="BO90" s="217"/>
      <c r="BP90" s="217"/>
      <c r="BQ90" s="225"/>
      <c r="BR90" s="226"/>
      <c r="BS90" s="139"/>
      <c r="BT90" s="135"/>
      <c r="BU90" s="135"/>
      <c r="BV90" s="135"/>
      <c r="BW90" s="217"/>
      <c r="BX90" s="217"/>
      <c r="BY90" s="217"/>
      <c r="BZ90" s="217"/>
      <c r="CA90" s="225"/>
      <c r="CB90" s="226"/>
      <c r="CC90" s="23"/>
      <c r="CD90" s="139"/>
      <c r="CE90" s="135"/>
      <c r="CF90" s="135"/>
      <c r="CG90" s="135"/>
      <c r="CH90" s="217"/>
      <c r="CI90" s="217"/>
      <c r="CJ90" s="217"/>
      <c r="CK90" s="217"/>
      <c r="CL90" s="225"/>
      <c r="CM90" s="226"/>
      <c r="CN90" s="23"/>
      <c r="CO90" s="23"/>
    </row>
    <row r="91" spans="1:93" ht="20" customHeight="1" x14ac:dyDescent="0.2">
      <c r="A91" s="60"/>
      <c r="B91" s="83"/>
      <c r="C91" s="24" t="s">
        <v>85</v>
      </c>
      <c r="D91" s="23" t="s">
        <v>323</v>
      </c>
      <c r="E91" s="23" t="s">
        <v>324</v>
      </c>
      <c r="F91" s="24">
        <v>2009</v>
      </c>
      <c r="H91" s="89">
        <v>12</v>
      </c>
      <c r="I91" s="85" t="s">
        <v>214</v>
      </c>
      <c r="J91" s="116" t="s">
        <v>192</v>
      </c>
      <c r="K91" s="189"/>
      <c r="L91" s="133"/>
      <c r="M91" s="133" t="str">
        <f t="shared" si="30"/>
        <v/>
      </c>
      <c r="N91" s="134" t="str">
        <f t="shared" si="27"/>
        <v/>
      </c>
      <c r="O91" s="216"/>
      <c r="P91" s="216"/>
      <c r="Q91" s="217" t="str">
        <f t="shared" si="28"/>
        <v/>
      </c>
      <c r="R91" s="217" t="str">
        <f t="shared" si="29"/>
        <v/>
      </c>
      <c r="S91" s="225"/>
      <c r="T91" s="226"/>
      <c r="U91" s="136"/>
      <c r="V91" s="133"/>
      <c r="W91" s="133" t="str">
        <f t="shared" si="21"/>
        <v/>
      </c>
      <c r="X91" s="134" t="str">
        <f t="shared" si="22"/>
        <v/>
      </c>
      <c r="Y91" s="216"/>
      <c r="Z91" s="216"/>
      <c r="AA91" s="217" t="str">
        <f t="shared" si="23"/>
        <v/>
      </c>
      <c r="AB91" s="217" t="str">
        <f t="shared" si="24"/>
        <v/>
      </c>
      <c r="AC91" s="225"/>
      <c r="AD91" s="226"/>
      <c r="AE91" s="139"/>
      <c r="AF91" s="135"/>
      <c r="AG91" s="135" t="str">
        <f t="shared" si="25"/>
        <v/>
      </c>
      <c r="AH91" s="135"/>
      <c r="AI91" s="217"/>
      <c r="AJ91" s="217"/>
      <c r="AK91" s="217" t="str">
        <f t="shared" si="26"/>
        <v/>
      </c>
      <c r="AL91" s="221"/>
      <c r="AM91" s="225"/>
      <c r="AN91" s="226"/>
      <c r="AO91" s="141"/>
      <c r="AP91" s="135"/>
      <c r="AQ91" s="135"/>
      <c r="AR91" s="135"/>
      <c r="AS91" s="217"/>
      <c r="AT91" s="217"/>
      <c r="AU91" s="217"/>
      <c r="AV91" s="217"/>
      <c r="AW91" s="225"/>
      <c r="AX91" s="226"/>
      <c r="AY91" s="136"/>
      <c r="AZ91" s="135"/>
      <c r="BA91" s="135"/>
      <c r="BB91" s="135"/>
      <c r="BC91" s="217"/>
      <c r="BD91" s="217"/>
      <c r="BE91" s="217"/>
      <c r="BF91" s="217"/>
      <c r="BG91" s="225"/>
      <c r="BH91" s="226"/>
      <c r="BI91" s="139"/>
      <c r="BJ91" s="135"/>
      <c r="BK91" s="135"/>
      <c r="BL91" s="135"/>
      <c r="BM91" s="217"/>
      <c r="BN91" s="217"/>
      <c r="BO91" s="217"/>
      <c r="BP91" s="217"/>
      <c r="BQ91" s="225"/>
      <c r="BR91" s="226"/>
      <c r="BS91" s="139"/>
      <c r="BT91" s="135"/>
      <c r="BU91" s="135"/>
      <c r="BV91" s="135"/>
      <c r="BW91" s="217"/>
      <c r="BX91" s="217"/>
      <c r="BY91" s="217"/>
      <c r="BZ91" s="217"/>
      <c r="CA91" s="225"/>
      <c r="CB91" s="226"/>
      <c r="CC91" s="23"/>
      <c r="CD91" s="139"/>
      <c r="CE91" s="135"/>
      <c r="CF91" s="135"/>
      <c r="CG91" s="135"/>
      <c r="CH91" s="217"/>
      <c r="CI91" s="217"/>
      <c r="CJ91" s="217"/>
      <c r="CK91" s="217"/>
      <c r="CL91" s="225"/>
      <c r="CM91" s="226"/>
      <c r="CN91" s="23"/>
      <c r="CO91" s="23"/>
    </row>
    <row r="92" spans="1:93" ht="20" customHeight="1" thickBot="1" x14ac:dyDescent="0.25">
      <c r="A92" s="61"/>
      <c r="B92" s="24"/>
      <c r="C92" s="24" t="s">
        <v>85</v>
      </c>
      <c r="D92" s="23" t="s">
        <v>147</v>
      </c>
      <c r="E92" s="23" t="s">
        <v>148</v>
      </c>
      <c r="F92" s="24">
        <v>2011</v>
      </c>
      <c r="G92" s="24">
        <v>112</v>
      </c>
      <c r="H92" s="90">
        <v>22</v>
      </c>
      <c r="I92" s="87" t="s">
        <v>218</v>
      </c>
      <c r="J92" s="117" t="s">
        <v>193</v>
      </c>
      <c r="K92" s="190"/>
      <c r="L92" s="191"/>
      <c r="M92" s="191" t="str">
        <f t="shared" si="30"/>
        <v/>
      </c>
      <c r="N92" s="192" t="str">
        <f t="shared" si="27"/>
        <v/>
      </c>
      <c r="O92" s="218"/>
      <c r="P92" s="218"/>
      <c r="Q92" s="219" t="str">
        <f t="shared" si="28"/>
        <v/>
      </c>
      <c r="R92" s="219" t="str">
        <f t="shared" si="29"/>
        <v/>
      </c>
      <c r="S92" s="227"/>
      <c r="T92" s="228"/>
      <c r="U92" s="194"/>
      <c r="V92" s="191"/>
      <c r="W92" s="191" t="str">
        <f t="shared" si="21"/>
        <v/>
      </c>
      <c r="X92" s="192" t="str">
        <f t="shared" si="22"/>
        <v/>
      </c>
      <c r="Y92" s="218"/>
      <c r="Z92" s="218"/>
      <c r="AA92" s="219" t="str">
        <f t="shared" si="23"/>
        <v/>
      </c>
      <c r="AB92" s="219" t="str">
        <f t="shared" si="24"/>
        <v/>
      </c>
      <c r="AC92" s="227"/>
      <c r="AD92" s="228"/>
      <c r="AE92" s="195"/>
      <c r="AF92" s="193"/>
      <c r="AG92" s="193" t="str">
        <f t="shared" si="25"/>
        <v/>
      </c>
      <c r="AH92" s="193"/>
      <c r="AI92" s="219"/>
      <c r="AJ92" s="219"/>
      <c r="AK92" s="219" t="str">
        <f t="shared" si="26"/>
        <v/>
      </c>
      <c r="AL92" s="222"/>
      <c r="AM92" s="227"/>
      <c r="AN92" s="228"/>
      <c r="AO92" s="196"/>
      <c r="AP92" s="193"/>
      <c r="AQ92" s="193"/>
      <c r="AR92" s="193"/>
      <c r="AS92" s="219"/>
      <c r="AT92" s="219"/>
      <c r="AU92" s="219"/>
      <c r="AV92" s="219"/>
      <c r="AW92" s="227"/>
      <c r="AX92" s="228"/>
      <c r="AY92" s="194"/>
      <c r="AZ92" s="193"/>
      <c r="BA92" s="193"/>
      <c r="BB92" s="193"/>
      <c r="BC92" s="219"/>
      <c r="BD92" s="219"/>
      <c r="BE92" s="219"/>
      <c r="BF92" s="219"/>
      <c r="BG92" s="227"/>
      <c r="BH92" s="228"/>
      <c r="BI92" s="195"/>
      <c r="BJ92" s="193"/>
      <c r="BK92" s="193"/>
      <c r="BL92" s="193"/>
      <c r="BM92" s="219"/>
      <c r="BN92" s="219"/>
      <c r="BO92" s="219"/>
      <c r="BP92" s="219"/>
      <c r="BQ92" s="227"/>
      <c r="BR92" s="228"/>
      <c r="BS92" s="195"/>
      <c r="BT92" s="193"/>
      <c r="BU92" s="193"/>
      <c r="BV92" s="193"/>
      <c r="BW92" s="219"/>
      <c r="BX92" s="219"/>
      <c r="BY92" s="219"/>
      <c r="BZ92" s="219"/>
      <c r="CA92" s="227"/>
      <c r="CB92" s="228"/>
      <c r="CC92" s="23"/>
      <c r="CD92" s="195"/>
      <c r="CE92" s="193"/>
      <c r="CF92" s="193"/>
      <c r="CG92" s="193"/>
      <c r="CH92" s="219"/>
      <c r="CI92" s="219"/>
      <c r="CJ92" s="219"/>
      <c r="CK92" s="219"/>
      <c r="CL92" s="227"/>
      <c r="CM92" s="228"/>
      <c r="CN92" s="23"/>
      <c r="CO92" s="23"/>
    </row>
    <row r="93" spans="1:93" ht="20" customHeight="1" x14ac:dyDescent="0.2">
      <c r="E93" s="22"/>
      <c r="F93" s="22"/>
      <c r="G93" s="22"/>
      <c r="H93" s="22"/>
      <c r="I93" s="22"/>
      <c r="J93" s="22"/>
      <c r="K93" s="640" t="s">
        <v>444</v>
      </c>
      <c r="L93" s="443" t="s">
        <v>431</v>
      </c>
      <c r="M93" s="446" t="s">
        <v>493</v>
      </c>
      <c r="N93" s="446" t="s">
        <v>490</v>
      </c>
      <c r="O93" s="594" t="s">
        <v>444</v>
      </c>
      <c r="P93" s="595" t="s">
        <v>431</v>
      </c>
      <c r="Q93" s="596" t="s">
        <v>493</v>
      </c>
      <c r="R93" s="596" t="s">
        <v>490</v>
      </c>
      <c r="S93" s="597" t="s">
        <v>494</v>
      </c>
      <c r="T93" s="598" t="s">
        <v>241</v>
      </c>
      <c r="U93" s="440" t="s">
        <v>444</v>
      </c>
      <c r="V93" s="443" t="s">
        <v>431</v>
      </c>
      <c r="W93" s="446" t="s">
        <v>493</v>
      </c>
      <c r="X93" s="446" t="s">
        <v>490</v>
      </c>
      <c r="Y93" s="594" t="s">
        <v>444</v>
      </c>
      <c r="Z93" s="595" t="s">
        <v>431</v>
      </c>
      <c r="AA93" s="596" t="s">
        <v>493</v>
      </c>
      <c r="AB93" s="596" t="s">
        <v>490</v>
      </c>
      <c r="AC93" s="597" t="s">
        <v>494</v>
      </c>
      <c r="AD93" s="598" t="s">
        <v>241</v>
      </c>
      <c r="AE93" s="440" t="s">
        <v>444</v>
      </c>
      <c r="AF93" s="443" t="s">
        <v>431</v>
      </c>
      <c r="AG93" s="446" t="s">
        <v>493</v>
      </c>
      <c r="AH93" s="446" t="s">
        <v>490</v>
      </c>
      <c r="AI93" s="594" t="s">
        <v>444</v>
      </c>
      <c r="AJ93" s="595" t="s">
        <v>431</v>
      </c>
      <c r="AK93" s="596" t="s">
        <v>493</v>
      </c>
      <c r="AL93" s="596" t="s">
        <v>490</v>
      </c>
      <c r="AM93" s="597" t="s">
        <v>494</v>
      </c>
      <c r="AN93" s="598" t="s">
        <v>241</v>
      </c>
      <c r="AO93" s="440" t="s">
        <v>444</v>
      </c>
      <c r="AP93" s="443" t="s">
        <v>431</v>
      </c>
      <c r="AQ93" s="446" t="s">
        <v>493</v>
      </c>
      <c r="AR93" s="446" t="s">
        <v>490</v>
      </c>
      <c r="AS93" s="594" t="s">
        <v>444</v>
      </c>
      <c r="AT93" s="595" t="s">
        <v>431</v>
      </c>
      <c r="AU93" s="596" t="s">
        <v>493</v>
      </c>
      <c r="AV93" s="596" t="s">
        <v>490</v>
      </c>
      <c r="AW93" s="597" t="s">
        <v>494</v>
      </c>
      <c r="AX93" s="598" t="s">
        <v>241</v>
      </c>
      <c r="AY93" s="440" t="s">
        <v>444</v>
      </c>
      <c r="AZ93" s="443" t="s">
        <v>431</v>
      </c>
      <c r="BA93" s="446" t="s">
        <v>493</v>
      </c>
      <c r="BB93" s="446" t="s">
        <v>490</v>
      </c>
      <c r="BC93" s="594" t="s">
        <v>444</v>
      </c>
      <c r="BD93" s="595" t="s">
        <v>431</v>
      </c>
      <c r="BE93" s="596" t="s">
        <v>493</v>
      </c>
      <c r="BF93" s="596" t="s">
        <v>490</v>
      </c>
      <c r="BG93" s="597" t="s">
        <v>494</v>
      </c>
      <c r="BH93" s="598" t="s">
        <v>241</v>
      </c>
      <c r="BI93" s="440" t="s">
        <v>444</v>
      </c>
      <c r="BJ93" s="443" t="s">
        <v>431</v>
      </c>
      <c r="BK93" s="446" t="s">
        <v>493</v>
      </c>
      <c r="BL93" s="446" t="s">
        <v>490</v>
      </c>
      <c r="BM93" s="594" t="s">
        <v>444</v>
      </c>
      <c r="BN93" s="595" t="s">
        <v>431</v>
      </c>
      <c r="BO93" s="596" t="s">
        <v>493</v>
      </c>
      <c r="BP93" s="596" t="s">
        <v>490</v>
      </c>
      <c r="BQ93" s="597" t="s">
        <v>494</v>
      </c>
      <c r="BR93" s="598" t="s">
        <v>241</v>
      </c>
      <c r="BS93" s="440" t="s">
        <v>444</v>
      </c>
      <c r="BT93" s="443" t="s">
        <v>431</v>
      </c>
      <c r="BU93" s="446" t="s">
        <v>493</v>
      </c>
      <c r="BV93" s="446" t="s">
        <v>490</v>
      </c>
      <c r="BW93" s="594" t="s">
        <v>444</v>
      </c>
      <c r="BX93" s="595" t="s">
        <v>431</v>
      </c>
      <c r="BY93" s="596" t="s">
        <v>493</v>
      </c>
      <c r="BZ93" s="596" t="s">
        <v>490</v>
      </c>
      <c r="CA93" s="597" t="s">
        <v>494</v>
      </c>
      <c r="CB93" s="598" t="s">
        <v>241</v>
      </c>
      <c r="CC93" s="23"/>
      <c r="CD93" s="546" t="s">
        <v>444</v>
      </c>
      <c r="CE93" s="549" t="s">
        <v>431</v>
      </c>
      <c r="CF93" s="566" t="s">
        <v>493</v>
      </c>
      <c r="CG93" s="566" t="s">
        <v>490</v>
      </c>
      <c r="CH93" s="567" t="s">
        <v>444</v>
      </c>
      <c r="CI93" s="570" t="s">
        <v>431</v>
      </c>
      <c r="CJ93" s="572" t="s">
        <v>493</v>
      </c>
      <c r="CK93" s="572" t="s">
        <v>490</v>
      </c>
      <c r="CL93" s="575" t="s">
        <v>494</v>
      </c>
      <c r="CM93" s="550" t="s">
        <v>241</v>
      </c>
      <c r="CN93" s="23"/>
      <c r="CO93" s="23"/>
    </row>
    <row r="94" spans="1:93" ht="20" customHeight="1" x14ac:dyDescent="0.2">
      <c r="E94" s="22"/>
      <c r="F94" s="22"/>
      <c r="G94" s="22"/>
      <c r="H94" s="22"/>
      <c r="I94" s="22"/>
      <c r="J94" s="22"/>
      <c r="K94" s="547"/>
      <c r="L94" s="444"/>
      <c r="M94" s="447"/>
      <c r="N94" s="447"/>
      <c r="O94" s="568"/>
      <c r="P94" s="570"/>
      <c r="Q94" s="573"/>
      <c r="R94" s="573"/>
      <c r="S94" s="576"/>
      <c r="T94" s="551"/>
      <c r="U94" s="441"/>
      <c r="V94" s="444"/>
      <c r="W94" s="447"/>
      <c r="X94" s="447"/>
      <c r="Y94" s="568"/>
      <c r="Z94" s="570"/>
      <c r="AA94" s="573"/>
      <c r="AB94" s="573"/>
      <c r="AC94" s="576"/>
      <c r="AD94" s="551"/>
      <c r="AE94" s="441"/>
      <c r="AF94" s="444"/>
      <c r="AG94" s="447"/>
      <c r="AH94" s="447"/>
      <c r="AI94" s="568"/>
      <c r="AJ94" s="570"/>
      <c r="AK94" s="573"/>
      <c r="AL94" s="573"/>
      <c r="AM94" s="576"/>
      <c r="AN94" s="551"/>
      <c r="AO94" s="441"/>
      <c r="AP94" s="444"/>
      <c r="AQ94" s="447"/>
      <c r="AR94" s="447"/>
      <c r="AS94" s="568"/>
      <c r="AT94" s="570"/>
      <c r="AU94" s="573"/>
      <c r="AV94" s="573"/>
      <c r="AW94" s="576"/>
      <c r="AX94" s="551"/>
      <c r="AY94" s="441"/>
      <c r="AZ94" s="444"/>
      <c r="BA94" s="447"/>
      <c r="BB94" s="447"/>
      <c r="BC94" s="568"/>
      <c r="BD94" s="570"/>
      <c r="BE94" s="573"/>
      <c r="BF94" s="573"/>
      <c r="BG94" s="576"/>
      <c r="BH94" s="551"/>
      <c r="BI94" s="441"/>
      <c r="BJ94" s="444"/>
      <c r="BK94" s="447"/>
      <c r="BL94" s="447"/>
      <c r="BM94" s="568"/>
      <c r="BN94" s="570"/>
      <c r="BO94" s="573"/>
      <c r="BP94" s="573"/>
      <c r="BQ94" s="576"/>
      <c r="BR94" s="551"/>
      <c r="BS94" s="441"/>
      <c r="BT94" s="444"/>
      <c r="BU94" s="447"/>
      <c r="BV94" s="447"/>
      <c r="BW94" s="568"/>
      <c r="BX94" s="570"/>
      <c r="BY94" s="573"/>
      <c r="BZ94" s="573"/>
      <c r="CA94" s="576"/>
      <c r="CB94" s="551"/>
      <c r="CC94" s="23"/>
      <c r="CD94" s="547"/>
      <c r="CE94" s="444"/>
      <c r="CF94" s="447"/>
      <c r="CG94" s="447"/>
      <c r="CH94" s="568"/>
      <c r="CI94" s="570"/>
      <c r="CJ94" s="573"/>
      <c r="CK94" s="573"/>
      <c r="CL94" s="576"/>
      <c r="CM94" s="551"/>
      <c r="CN94" s="23"/>
      <c r="CO94" s="23"/>
    </row>
    <row r="95" spans="1:93" ht="20" customHeight="1" x14ac:dyDescent="0.2">
      <c r="E95" s="22"/>
      <c r="F95" s="22"/>
      <c r="G95" s="22"/>
      <c r="H95" s="22"/>
      <c r="I95" s="22"/>
      <c r="J95" s="22"/>
      <c r="K95" s="547"/>
      <c r="L95" s="444"/>
      <c r="M95" s="447"/>
      <c r="N95" s="447"/>
      <c r="O95" s="568"/>
      <c r="P95" s="570"/>
      <c r="Q95" s="573"/>
      <c r="R95" s="573"/>
      <c r="S95" s="576"/>
      <c r="T95" s="551"/>
      <c r="U95" s="441"/>
      <c r="V95" s="444"/>
      <c r="W95" s="447"/>
      <c r="X95" s="447"/>
      <c r="Y95" s="568"/>
      <c r="Z95" s="570"/>
      <c r="AA95" s="573"/>
      <c r="AB95" s="573"/>
      <c r="AC95" s="576"/>
      <c r="AD95" s="551"/>
      <c r="AE95" s="441"/>
      <c r="AF95" s="444"/>
      <c r="AG95" s="447"/>
      <c r="AH95" s="447"/>
      <c r="AI95" s="568"/>
      <c r="AJ95" s="570"/>
      <c r="AK95" s="573"/>
      <c r="AL95" s="573"/>
      <c r="AM95" s="576"/>
      <c r="AN95" s="551"/>
      <c r="AO95" s="441"/>
      <c r="AP95" s="444"/>
      <c r="AQ95" s="447"/>
      <c r="AR95" s="447"/>
      <c r="AS95" s="568"/>
      <c r="AT95" s="570"/>
      <c r="AU95" s="573"/>
      <c r="AV95" s="573"/>
      <c r="AW95" s="576"/>
      <c r="AX95" s="551"/>
      <c r="AY95" s="441"/>
      <c r="AZ95" s="444"/>
      <c r="BA95" s="447"/>
      <c r="BB95" s="447"/>
      <c r="BC95" s="568"/>
      <c r="BD95" s="570"/>
      <c r="BE95" s="573"/>
      <c r="BF95" s="573"/>
      <c r="BG95" s="576"/>
      <c r="BH95" s="551"/>
      <c r="BI95" s="441"/>
      <c r="BJ95" s="444"/>
      <c r="BK95" s="447"/>
      <c r="BL95" s="447"/>
      <c r="BM95" s="568"/>
      <c r="BN95" s="570"/>
      <c r="BO95" s="573"/>
      <c r="BP95" s="573"/>
      <c r="BQ95" s="576"/>
      <c r="BR95" s="551"/>
      <c r="BS95" s="441"/>
      <c r="BT95" s="444"/>
      <c r="BU95" s="447"/>
      <c r="BV95" s="447"/>
      <c r="BW95" s="568"/>
      <c r="BX95" s="570"/>
      <c r="BY95" s="573"/>
      <c r="BZ95" s="573"/>
      <c r="CA95" s="576"/>
      <c r="CB95" s="551"/>
      <c r="CC95" s="23"/>
      <c r="CD95" s="547"/>
      <c r="CE95" s="444"/>
      <c r="CF95" s="447"/>
      <c r="CG95" s="447"/>
      <c r="CH95" s="568"/>
      <c r="CI95" s="570"/>
      <c r="CJ95" s="573"/>
      <c r="CK95" s="573"/>
      <c r="CL95" s="576"/>
      <c r="CM95" s="551"/>
      <c r="CN95" s="23"/>
      <c r="CO95" s="23"/>
    </row>
    <row r="96" spans="1:93" ht="20" customHeight="1" x14ac:dyDescent="0.2">
      <c r="E96" s="22"/>
      <c r="F96" s="22"/>
      <c r="G96" s="22"/>
      <c r="H96" s="22"/>
      <c r="I96" s="22"/>
      <c r="J96" s="22"/>
      <c r="K96" s="547"/>
      <c r="L96" s="444"/>
      <c r="M96" s="447"/>
      <c r="N96" s="447"/>
      <c r="O96" s="568"/>
      <c r="P96" s="570"/>
      <c r="Q96" s="573"/>
      <c r="R96" s="573"/>
      <c r="S96" s="576"/>
      <c r="T96" s="551"/>
      <c r="U96" s="441"/>
      <c r="V96" s="444"/>
      <c r="W96" s="447"/>
      <c r="X96" s="447"/>
      <c r="Y96" s="568"/>
      <c r="Z96" s="570"/>
      <c r="AA96" s="573"/>
      <c r="AB96" s="573"/>
      <c r="AC96" s="576"/>
      <c r="AD96" s="551"/>
      <c r="AE96" s="441"/>
      <c r="AF96" s="444"/>
      <c r="AG96" s="447"/>
      <c r="AH96" s="447"/>
      <c r="AI96" s="568"/>
      <c r="AJ96" s="570"/>
      <c r="AK96" s="573"/>
      <c r="AL96" s="573"/>
      <c r="AM96" s="576"/>
      <c r="AN96" s="551"/>
      <c r="AO96" s="441"/>
      <c r="AP96" s="444"/>
      <c r="AQ96" s="447"/>
      <c r="AR96" s="447"/>
      <c r="AS96" s="568"/>
      <c r="AT96" s="570"/>
      <c r="AU96" s="573"/>
      <c r="AV96" s="573"/>
      <c r="AW96" s="576"/>
      <c r="AX96" s="551"/>
      <c r="AY96" s="441"/>
      <c r="AZ96" s="444"/>
      <c r="BA96" s="447"/>
      <c r="BB96" s="447"/>
      <c r="BC96" s="568"/>
      <c r="BD96" s="570"/>
      <c r="BE96" s="573"/>
      <c r="BF96" s="573"/>
      <c r="BG96" s="576"/>
      <c r="BH96" s="551"/>
      <c r="BI96" s="441"/>
      <c r="BJ96" s="444"/>
      <c r="BK96" s="447"/>
      <c r="BL96" s="447"/>
      <c r="BM96" s="568"/>
      <c r="BN96" s="570"/>
      <c r="BO96" s="573"/>
      <c r="BP96" s="573"/>
      <c r="BQ96" s="576"/>
      <c r="BR96" s="551"/>
      <c r="BS96" s="441"/>
      <c r="BT96" s="444"/>
      <c r="BU96" s="447"/>
      <c r="BV96" s="447"/>
      <c r="BW96" s="568"/>
      <c r="BX96" s="570"/>
      <c r="BY96" s="573"/>
      <c r="BZ96" s="573"/>
      <c r="CA96" s="576"/>
      <c r="CB96" s="551"/>
      <c r="CC96" s="23"/>
      <c r="CD96" s="547"/>
      <c r="CE96" s="444"/>
      <c r="CF96" s="447"/>
      <c r="CG96" s="447"/>
      <c r="CH96" s="568"/>
      <c r="CI96" s="570"/>
      <c r="CJ96" s="573"/>
      <c r="CK96" s="573"/>
      <c r="CL96" s="576"/>
      <c r="CM96" s="551"/>
      <c r="CN96" s="23"/>
      <c r="CO96" s="23"/>
    </row>
    <row r="97" spans="1:95" ht="20" customHeight="1" thickBot="1" x14ac:dyDescent="0.25">
      <c r="E97" s="22"/>
      <c r="F97" s="22"/>
      <c r="G97" s="22"/>
      <c r="H97" s="22"/>
      <c r="I97" s="22"/>
      <c r="J97" s="22"/>
      <c r="K97" s="548"/>
      <c r="L97" s="445"/>
      <c r="M97" s="448"/>
      <c r="N97" s="448"/>
      <c r="O97" s="569"/>
      <c r="P97" s="571"/>
      <c r="Q97" s="574"/>
      <c r="R97" s="574"/>
      <c r="S97" s="577"/>
      <c r="T97" s="552"/>
      <c r="U97" s="442"/>
      <c r="V97" s="445"/>
      <c r="W97" s="448"/>
      <c r="X97" s="448"/>
      <c r="Y97" s="569"/>
      <c r="Z97" s="571"/>
      <c r="AA97" s="574"/>
      <c r="AB97" s="574"/>
      <c r="AC97" s="577"/>
      <c r="AD97" s="552"/>
      <c r="AE97" s="442"/>
      <c r="AF97" s="445"/>
      <c r="AG97" s="448"/>
      <c r="AH97" s="448"/>
      <c r="AI97" s="569"/>
      <c r="AJ97" s="571"/>
      <c r="AK97" s="574"/>
      <c r="AL97" s="574"/>
      <c r="AM97" s="577"/>
      <c r="AN97" s="552"/>
      <c r="AO97" s="442"/>
      <c r="AP97" s="445"/>
      <c r="AQ97" s="448"/>
      <c r="AR97" s="448"/>
      <c r="AS97" s="569"/>
      <c r="AT97" s="571"/>
      <c r="AU97" s="574"/>
      <c r="AV97" s="574"/>
      <c r="AW97" s="577"/>
      <c r="AX97" s="552"/>
      <c r="AY97" s="442"/>
      <c r="AZ97" s="445"/>
      <c r="BA97" s="448"/>
      <c r="BB97" s="448"/>
      <c r="BC97" s="569"/>
      <c r="BD97" s="571"/>
      <c r="BE97" s="574"/>
      <c r="BF97" s="574"/>
      <c r="BG97" s="577"/>
      <c r="BH97" s="552"/>
      <c r="BI97" s="442"/>
      <c r="BJ97" s="445"/>
      <c r="BK97" s="448"/>
      <c r="BL97" s="448"/>
      <c r="BM97" s="569"/>
      <c r="BN97" s="571"/>
      <c r="BO97" s="574"/>
      <c r="BP97" s="574"/>
      <c r="BQ97" s="577"/>
      <c r="BR97" s="552"/>
      <c r="BS97" s="442"/>
      <c r="BT97" s="445"/>
      <c r="BU97" s="448"/>
      <c r="BV97" s="448"/>
      <c r="BW97" s="569"/>
      <c r="BX97" s="571"/>
      <c r="BY97" s="574"/>
      <c r="BZ97" s="574"/>
      <c r="CA97" s="577"/>
      <c r="CB97" s="552"/>
      <c r="CC97" s="23"/>
      <c r="CD97" s="548"/>
      <c r="CE97" s="445"/>
      <c r="CF97" s="448"/>
      <c r="CG97" s="448"/>
      <c r="CH97" s="569"/>
      <c r="CI97" s="571"/>
      <c r="CJ97" s="574"/>
      <c r="CK97" s="574"/>
      <c r="CL97" s="577"/>
      <c r="CM97" s="552"/>
      <c r="CN97" s="23"/>
      <c r="CO97" s="23"/>
    </row>
    <row r="98" spans="1:95" ht="20" customHeight="1" thickBot="1" x14ac:dyDescent="0.25">
      <c r="E98" s="22"/>
      <c r="F98" s="22"/>
      <c r="G98" s="22"/>
      <c r="H98" s="22"/>
      <c r="I98" s="22"/>
      <c r="J98" s="22"/>
      <c r="K98" s="639" t="s">
        <v>433</v>
      </c>
      <c r="L98" s="438"/>
      <c r="M98" s="438"/>
      <c r="N98" s="439"/>
      <c r="O98" s="578" t="s">
        <v>434</v>
      </c>
      <c r="P98" s="579"/>
      <c r="Q98" s="579"/>
      <c r="R98" s="579"/>
      <c r="S98" s="581" t="s">
        <v>495</v>
      </c>
      <c r="T98" s="582"/>
      <c r="U98" s="437" t="s">
        <v>433</v>
      </c>
      <c r="V98" s="438"/>
      <c r="W98" s="438"/>
      <c r="X98" s="439"/>
      <c r="Y98" s="578" t="s">
        <v>434</v>
      </c>
      <c r="Z98" s="579"/>
      <c r="AA98" s="579"/>
      <c r="AB98" s="579"/>
      <c r="AC98" s="581" t="s">
        <v>495</v>
      </c>
      <c r="AD98" s="582"/>
      <c r="AE98" s="437" t="s">
        <v>433</v>
      </c>
      <c r="AF98" s="438"/>
      <c r="AG98" s="438"/>
      <c r="AH98" s="439"/>
      <c r="AI98" s="606" t="s">
        <v>434</v>
      </c>
      <c r="AJ98" s="607"/>
      <c r="AK98" s="607"/>
      <c r="AL98" s="607"/>
      <c r="AM98" s="581" t="s">
        <v>495</v>
      </c>
      <c r="AN98" s="582"/>
      <c r="AO98" s="437" t="s">
        <v>433</v>
      </c>
      <c r="AP98" s="438"/>
      <c r="AQ98" s="438"/>
      <c r="AR98" s="439"/>
      <c r="AS98" s="606" t="s">
        <v>434</v>
      </c>
      <c r="AT98" s="607"/>
      <c r="AU98" s="607"/>
      <c r="AV98" s="607"/>
      <c r="AW98" s="581" t="s">
        <v>495</v>
      </c>
      <c r="AX98" s="582"/>
      <c r="AY98" s="437" t="s">
        <v>433</v>
      </c>
      <c r="AZ98" s="438"/>
      <c r="BA98" s="438"/>
      <c r="BB98" s="439"/>
      <c r="BC98" s="606" t="s">
        <v>434</v>
      </c>
      <c r="BD98" s="607"/>
      <c r="BE98" s="607"/>
      <c r="BF98" s="607"/>
      <c r="BG98" s="581" t="s">
        <v>495</v>
      </c>
      <c r="BH98" s="582"/>
      <c r="BI98" s="437" t="s">
        <v>433</v>
      </c>
      <c r="BJ98" s="438"/>
      <c r="BK98" s="438"/>
      <c r="BL98" s="439"/>
      <c r="BM98" s="578" t="s">
        <v>434</v>
      </c>
      <c r="BN98" s="579"/>
      <c r="BO98" s="579"/>
      <c r="BP98" s="580"/>
      <c r="BQ98" s="581" t="s">
        <v>495</v>
      </c>
      <c r="BR98" s="582"/>
      <c r="BS98" s="437" t="s">
        <v>433</v>
      </c>
      <c r="BT98" s="438"/>
      <c r="BU98" s="438"/>
      <c r="BV98" s="439"/>
      <c r="BW98" s="578" t="s">
        <v>434</v>
      </c>
      <c r="BX98" s="579"/>
      <c r="BY98" s="579"/>
      <c r="BZ98" s="580"/>
      <c r="CA98" s="581" t="s">
        <v>495</v>
      </c>
      <c r="CB98" s="582"/>
      <c r="CC98" s="23"/>
      <c r="CD98" s="437" t="s">
        <v>433</v>
      </c>
      <c r="CE98" s="438"/>
      <c r="CF98" s="438"/>
      <c r="CG98" s="439"/>
      <c r="CH98" s="578" t="s">
        <v>434</v>
      </c>
      <c r="CI98" s="579"/>
      <c r="CJ98" s="579"/>
      <c r="CK98" s="580"/>
      <c r="CL98" s="581" t="s">
        <v>495</v>
      </c>
      <c r="CM98" s="582"/>
      <c r="CN98" s="23"/>
      <c r="CO98" s="23"/>
    </row>
    <row r="99" spans="1:95" ht="20" customHeight="1" thickBot="1" x14ac:dyDescent="0.25">
      <c r="E99" s="22"/>
      <c r="F99" s="22"/>
      <c r="G99" s="22"/>
      <c r="H99" s="22"/>
      <c r="I99" s="22"/>
      <c r="J99" s="22"/>
      <c r="K99" s="638" t="s">
        <v>448</v>
      </c>
      <c r="L99" s="609"/>
      <c r="M99" s="609"/>
      <c r="N99" s="609"/>
      <c r="O99" s="609"/>
      <c r="P99" s="609"/>
      <c r="Q99" s="609"/>
      <c r="R99" s="609"/>
      <c r="S99" s="609"/>
      <c r="T99" s="610"/>
      <c r="U99" s="608" t="s">
        <v>439</v>
      </c>
      <c r="V99" s="609"/>
      <c r="W99" s="609"/>
      <c r="X99" s="609"/>
      <c r="Y99" s="609"/>
      <c r="Z99" s="609"/>
      <c r="AA99" s="609"/>
      <c r="AB99" s="609"/>
      <c r="AC99" s="609"/>
      <c r="AD99" s="610"/>
      <c r="AE99" s="608" t="s">
        <v>442</v>
      </c>
      <c r="AF99" s="609"/>
      <c r="AG99" s="609"/>
      <c r="AH99" s="609"/>
      <c r="AI99" s="609"/>
      <c r="AJ99" s="609"/>
      <c r="AK99" s="609"/>
      <c r="AL99" s="609"/>
      <c r="AM99" s="609"/>
      <c r="AN99" s="610"/>
      <c r="AO99" s="608" t="s">
        <v>443</v>
      </c>
      <c r="AP99" s="609"/>
      <c r="AQ99" s="609"/>
      <c r="AR99" s="609"/>
      <c r="AS99" s="609"/>
      <c r="AT99" s="609"/>
      <c r="AU99" s="609"/>
      <c r="AV99" s="609"/>
      <c r="AW99" s="609"/>
      <c r="AX99" s="610"/>
      <c r="AY99" s="608" t="s">
        <v>445</v>
      </c>
      <c r="AZ99" s="609"/>
      <c r="BA99" s="609"/>
      <c r="BB99" s="609"/>
      <c r="BC99" s="609"/>
      <c r="BD99" s="609"/>
      <c r="BE99" s="609"/>
      <c r="BF99" s="609"/>
      <c r="BG99" s="609"/>
      <c r="BH99" s="610"/>
      <c r="BI99" s="437" t="s">
        <v>449</v>
      </c>
      <c r="BJ99" s="438"/>
      <c r="BK99" s="438"/>
      <c r="BL99" s="438"/>
      <c r="BM99" s="438"/>
      <c r="BN99" s="438"/>
      <c r="BO99" s="438"/>
      <c r="BP99" s="438"/>
      <c r="BQ99" s="438"/>
      <c r="BR99" s="553"/>
      <c r="BS99" s="437" t="s">
        <v>499</v>
      </c>
      <c r="BT99" s="438"/>
      <c r="BU99" s="438"/>
      <c r="BV99" s="438"/>
      <c r="BW99" s="438"/>
      <c r="BX99" s="438"/>
      <c r="BY99" s="438"/>
      <c r="BZ99" s="438"/>
      <c r="CA99" s="438"/>
      <c r="CB99" s="553"/>
      <c r="CC99" s="23"/>
      <c r="CD99" s="437" t="s">
        <v>516</v>
      </c>
      <c r="CE99" s="438"/>
      <c r="CF99" s="438"/>
      <c r="CG99" s="438"/>
      <c r="CH99" s="438"/>
      <c r="CI99" s="438"/>
      <c r="CJ99" s="438"/>
      <c r="CK99" s="438"/>
      <c r="CL99" s="438"/>
      <c r="CM99" s="553"/>
      <c r="CN99" s="23"/>
      <c r="CO99" s="23"/>
    </row>
    <row r="100" spans="1:95" ht="20" customHeight="1" x14ac:dyDescent="0.2">
      <c r="E100" s="22"/>
      <c r="F100" s="22"/>
      <c r="G100" s="22"/>
      <c r="H100" s="22"/>
      <c r="I100" s="22"/>
      <c r="J100" s="22"/>
      <c r="K100" s="592" t="s">
        <v>430</v>
      </c>
      <c r="L100" s="561"/>
      <c r="M100" s="561"/>
      <c r="N100" s="561"/>
      <c r="O100" s="561"/>
      <c r="P100" s="561"/>
      <c r="Q100" s="561"/>
      <c r="R100" s="561"/>
      <c r="S100" s="561"/>
      <c r="T100" s="561"/>
      <c r="U100" s="561"/>
      <c r="V100" s="561"/>
      <c r="W100" s="561"/>
      <c r="X100" s="561"/>
      <c r="Y100" s="561"/>
      <c r="Z100" s="561"/>
      <c r="AA100" s="561"/>
      <c r="AB100" s="561"/>
      <c r="AC100" s="561"/>
      <c r="AD100" s="561"/>
      <c r="AE100" s="561"/>
      <c r="AF100" s="561"/>
      <c r="AG100" s="561"/>
      <c r="AH100" s="561"/>
      <c r="AI100" s="561"/>
      <c r="AJ100" s="561"/>
      <c r="AK100" s="561"/>
      <c r="AL100" s="561"/>
      <c r="AM100" s="561"/>
      <c r="AN100" s="561"/>
      <c r="AO100" s="561"/>
      <c r="AP100" s="561"/>
      <c r="AQ100" s="561"/>
      <c r="AR100" s="561"/>
      <c r="AS100" s="561"/>
      <c r="AT100" s="561"/>
      <c r="AU100" s="561"/>
      <c r="AV100" s="561"/>
      <c r="AW100" s="561"/>
      <c r="AX100" s="561"/>
      <c r="AY100" s="561"/>
      <c r="AZ100" s="561"/>
      <c r="BA100" s="561"/>
      <c r="BB100" s="561"/>
      <c r="BC100" s="561"/>
      <c r="BD100" s="561"/>
      <c r="BE100" s="561"/>
      <c r="BF100" s="561"/>
      <c r="BG100" s="561"/>
      <c r="BH100" s="561"/>
      <c r="BI100" s="561"/>
      <c r="BJ100" s="561"/>
      <c r="BK100" s="561"/>
      <c r="BL100" s="561"/>
      <c r="BM100" s="561"/>
      <c r="BN100" s="561"/>
      <c r="BO100" s="561"/>
      <c r="BP100" s="561"/>
      <c r="BQ100" s="561"/>
      <c r="BR100" s="561"/>
      <c r="BS100" s="561"/>
      <c r="BT100" s="561"/>
      <c r="BU100" s="561"/>
      <c r="BV100" s="561"/>
      <c r="BW100" s="561"/>
      <c r="BX100" s="561"/>
      <c r="BY100" s="561"/>
      <c r="BZ100" s="561"/>
      <c r="CA100" s="561"/>
      <c r="CB100" s="562"/>
      <c r="CC100" s="23"/>
      <c r="CD100" s="560"/>
      <c r="CE100" s="561"/>
      <c r="CF100" s="561"/>
      <c r="CG100" s="561"/>
      <c r="CH100" s="561"/>
      <c r="CI100" s="561"/>
      <c r="CJ100" s="561"/>
      <c r="CK100" s="561"/>
      <c r="CL100" s="561"/>
      <c r="CM100" s="562"/>
      <c r="CN100" s="23"/>
      <c r="CO100" s="23"/>
    </row>
    <row r="101" spans="1:95" ht="20" customHeight="1" thickBot="1" x14ac:dyDescent="0.25">
      <c r="E101" s="22"/>
      <c r="F101" s="22"/>
      <c r="G101" s="22"/>
      <c r="H101" s="22"/>
      <c r="I101" s="22"/>
      <c r="J101" s="22"/>
      <c r="K101" s="593" t="s">
        <v>429</v>
      </c>
      <c r="L101" s="564"/>
      <c r="M101" s="564"/>
      <c r="N101" s="564"/>
      <c r="O101" s="564"/>
      <c r="P101" s="564"/>
      <c r="Q101" s="564"/>
      <c r="R101" s="564"/>
      <c r="S101" s="564"/>
      <c r="T101" s="564"/>
      <c r="U101" s="564"/>
      <c r="V101" s="564"/>
      <c r="W101" s="564"/>
      <c r="X101" s="564"/>
      <c r="Y101" s="564"/>
      <c r="Z101" s="564"/>
      <c r="AA101" s="564"/>
      <c r="AB101" s="564"/>
      <c r="AC101" s="564"/>
      <c r="AD101" s="564"/>
      <c r="AE101" s="564"/>
      <c r="AF101" s="564"/>
      <c r="AG101" s="564"/>
      <c r="AH101" s="564"/>
      <c r="AI101" s="564"/>
      <c r="AJ101" s="564"/>
      <c r="AK101" s="564"/>
      <c r="AL101" s="564"/>
      <c r="AM101" s="564"/>
      <c r="AN101" s="564"/>
      <c r="AO101" s="564"/>
      <c r="AP101" s="564"/>
      <c r="AQ101" s="564"/>
      <c r="AR101" s="564"/>
      <c r="AS101" s="564"/>
      <c r="AT101" s="564"/>
      <c r="AU101" s="564"/>
      <c r="AV101" s="564"/>
      <c r="AW101" s="564"/>
      <c r="AX101" s="564"/>
      <c r="AY101" s="564"/>
      <c r="AZ101" s="564"/>
      <c r="BA101" s="564"/>
      <c r="BB101" s="564"/>
      <c r="BC101" s="564"/>
      <c r="BD101" s="564"/>
      <c r="BE101" s="564"/>
      <c r="BF101" s="564"/>
      <c r="BG101" s="564"/>
      <c r="BH101" s="564"/>
      <c r="BI101" s="564"/>
      <c r="BJ101" s="564"/>
      <c r="BK101" s="564"/>
      <c r="BL101" s="564"/>
      <c r="BM101" s="564"/>
      <c r="BN101" s="564"/>
      <c r="BO101" s="564"/>
      <c r="BP101" s="564"/>
      <c r="BQ101" s="564"/>
      <c r="BR101" s="564"/>
      <c r="BS101" s="564"/>
      <c r="BT101" s="564"/>
      <c r="BU101" s="564"/>
      <c r="BV101" s="564"/>
      <c r="BW101" s="564"/>
      <c r="BX101" s="564"/>
      <c r="BY101" s="564"/>
      <c r="BZ101" s="564"/>
      <c r="CA101" s="564"/>
      <c r="CB101" s="565"/>
      <c r="CC101" s="23"/>
      <c r="CD101" s="563"/>
      <c r="CE101" s="564"/>
      <c r="CF101" s="564"/>
      <c r="CG101" s="564"/>
      <c r="CH101" s="564"/>
      <c r="CI101" s="564"/>
      <c r="CJ101" s="564"/>
      <c r="CK101" s="564"/>
      <c r="CL101" s="564"/>
      <c r="CM101" s="565"/>
      <c r="CN101" s="23"/>
      <c r="CO101" s="23"/>
    </row>
    <row r="102" spans="1:95" x14ac:dyDescent="0.2">
      <c r="G102" s="22"/>
      <c r="H102" s="22"/>
      <c r="I102" s="22"/>
      <c r="J102" s="22"/>
      <c r="CP102" s="24"/>
      <c r="CQ102" s="24"/>
    </row>
    <row r="104" spans="1:95" ht="17" customHeight="1" thickBot="1" x14ac:dyDescent="0.25">
      <c r="E104" s="24"/>
      <c r="J104" s="24"/>
      <c r="CP104" s="24"/>
    </row>
    <row r="105" spans="1:95" ht="20" customHeight="1" x14ac:dyDescent="0.2">
      <c r="E105" s="24"/>
      <c r="K105" s="431" t="s">
        <v>429</v>
      </c>
      <c r="L105" s="432"/>
      <c r="M105" s="432"/>
      <c r="N105" s="432"/>
      <c r="O105" s="432"/>
      <c r="P105" s="432"/>
      <c r="Q105" s="432"/>
      <c r="R105" s="432"/>
      <c r="S105" s="432"/>
      <c r="T105" s="432"/>
      <c r="U105" s="432"/>
      <c r="V105" s="432"/>
      <c r="W105" s="432"/>
      <c r="X105" s="432"/>
      <c r="Y105" s="432"/>
      <c r="Z105" s="432"/>
      <c r="AA105" s="432"/>
      <c r="AB105" s="432"/>
      <c r="AC105" s="432"/>
      <c r="AD105" s="432"/>
      <c r="AE105" s="432"/>
      <c r="AF105" s="432"/>
      <c r="AG105" s="432"/>
      <c r="AH105" s="432"/>
      <c r="AI105" s="432"/>
      <c r="AJ105" s="432"/>
      <c r="AK105" s="432"/>
      <c r="AL105" s="432"/>
      <c r="AM105" s="432"/>
      <c r="AN105" s="432"/>
      <c r="AO105" s="432"/>
      <c r="AP105" s="432"/>
      <c r="AQ105" s="432"/>
      <c r="AR105" s="432"/>
      <c r="AS105" s="432"/>
      <c r="AT105" s="432"/>
      <c r="AU105" s="432"/>
      <c r="AV105" s="432"/>
      <c r="AW105" s="432"/>
      <c r="AX105" s="433"/>
      <c r="AY105" s="23"/>
      <c r="AZ105" s="431"/>
      <c r="BA105" s="432"/>
      <c r="BB105" s="432"/>
      <c r="BC105" s="432"/>
      <c r="BD105" s="432"/>
      <c r="BE105" s="432"/>
      <c r="BF105" s="432"/>
      <c r="BG105" s="432"/>
      <c r="BH105" s="432"/>
      <c r="BI105" s="433"/>
      <c r="BJ105" s="23"/>
      <c r="BK105" s="23"/>
      <c r="BL105" s="23"/>
      <c r="BM105" s="23"/>
      <c r="BN105" s="23"/>
      <c r="BO105" s="23"/>
      <c r="BP105" s="23"/>
      <c r="BQ105" s="23"/>
      <c r="BR105" s="23"/>
      <c r="BS105" s="23"/>
      <c r="BT105" s="23"/>
      <c r="BU105" s="23"/>
      <c r="BV105" s="23"/>
      <c r="BW105" s="23"/>
      <c r="BX105" s="23"/>
      <c r="BY105" s="23"/>
      <c r="BZ105" s="23"/>
      <c r="CA105" s="23"/>
      <c r="CB105" s="23"/>
      <c r="CC105" s="23"/>
      <c r="CD105" s="23"/>
      <c r="CE105" s="23"/>
      <c r="CF105" s="23"/>
      <c r="CG105" s="23"/>
      <c r="CH105" s="23"/>
      <c r="CI105" s="23"/>
      <c r="CJ105" s="23"/>
      <c r="CK105" s="23"/>
      <c r="CL105" s="23"/>
      <c r="CM105" s="23"/>
      <c r="CN105" s="23"/>
      <c r="CO105" s="23"/>
    </row>
    <row r="106" spans="1:95" ht="20" customHeight="1" thickBot="1" x14ac:dyDescent="0.25">
      <c r="D106" s="24"/>
      <c r="E106" s="24"/>
      <c r="K106" s="434" t="s">
        <v>446</v>
      </c>
      <c r="L106" s="435"/>
      <c r="M106" s="435"/>
      <c r="N106" s="435"/>
      <c r="O106" s="435"/>
      <c r="P106" s="435"/>
      <c r="Q106" s="435"/>
      <c r="R106" s="435"/>
      <c r="S106" s="435"/>
      <c r="T106" s="435"/>
      <c r="U106" s="435"/>
      <c r="V106" s="435"/>
      <c r="W106" s="435"/>
      <c r="X106" s="435"/>
      <c r="Y106" s="435"/>
      <c r="Z106" s="435"/>
      <c r="AA106" s="435"/>
      <c r="AB106" s="435"/>
      <c r="AC106" s="435"/>
      <c r="AD106" s="435"/>
      <c r="AE106" s="435"/>
      <c r="AF106" s="435"/>
      <c r="AG106" s="435"/>
      <c r="AH106" s="435"/>
      <c r="AI106" s="435"/>
      <c r="AJ106" s="435"/>
      <c r="AK106" s="435"/>
      <c r="AL106" s="435"/>
      <c r="AM106" s="435"/>
      <c r="AN106" s="435"/>
      <c r="AO106" s="435"/>
      <c r="AP106" s="435"/>
      <c r="AQ106" s="435"/>
      <c r="AR106" s="435"/>
      <c r="AS106" s="435"/>
      <c r="AT106" s="435"/>
      <c r="AU106" s="435"/>
      <c r="AV106" s="435"/>
      <c r="AW106" s="435"/>
      <c r="AX106" s="436"/>
      <c r="AY106" s="23"/>
      <c r="AZ106" s="434"/>
      <c r="BA106" s="435"/>
      <c r="BB106" s="435"/>
      <c r="BC106" s="435"/>
      <c r="BD106" s="435"/>
      <c r="BE106" s="435"/>
      <c r="BF106" s="435"/>
      <c r="BG106" s="435"/>
      <c r="BH106" s="435"/>
      <c r="BI106" s="436"/>
      <c r="BJ106" s="23"/>
      <c r="BK106" s="23"/>
      <c r="BL106" s="23"/>
      <c r="BM106" s="23"/>
      <c r="BN106" s="23"/>
      <c r="BO106" s="23"/>
      <c r="BP106" s="23"/>
      <c r="BQ106" s="23"/>
      <c r="BR106" s="23"/>
      <c r="BS106" s="23"/>
      <c r="BT106" s="23"/>
      <c r="BU106" s="23"/>
      <c r="BV106" s="23"/>
      <c r="BW106" s="23"/>
      <c r="BX106" s="23"/>
      <c r="BY106" s="23"/>
      <c r="BZ106" s="23"/>
      <c r="CA106" s="23"/>
      <c r="CB106" s="23"/>
      <c r="CC106" s="23"/>
      <c r="CD106" s="23"/>
      <c r="CE106" s="23"/>
      <c r="CF106" s="23"/>
      <c r="CG106" s="23"/>
      <c r="CH106" s="23"/>
      <c r="CI106" s="23"/>
      <c r="CJ106" s="23"/>
      <c r="CK106" s="23"/>
      <c r="CL106" s="23"/>
      <c r="CM106" s="23"/>
      <c r="CN106" s="23"/>
      <c r="CO106" s="23"/>
    </row>
    <row r="107" spans="1:95" ht="20" customHeight="1" thickBot="1" x14ac:dyDescent="0.25">
      <c r="B107" s="84"/>
      <c r="D107" s="334" t="s">
        <v>556</v>
      </c>
      <c r="E107" s="24"/>
      <c r="K107" s="457" t="s">
        <v>436</v>
      </c>
      <c r="L107" s="458"/>
      <c r="M107" s="458"/>
      <c r="N107" s="458"/>
      <c r="O107" s="458"/>
      <c r="P107" s="458"/>
      <c r="Q107" s="458"/>
      <c r="R107" s="458"/>
      <c r="S107" s="458"/>
      <c r="T107" s="458"/>
      <c r="U107" s="458" t="s">
        <v>437</v>
      </c>
      <c r="V107" s="458"/>
      <c r="W107" s="458"/>
      <c r="X107" s="458"/>
      <c r="Y107" s="458"/>
      <c r="Z107" s="458"/>
      <c r="AA107" s="458"/>
      <c r="AB107" s="458"/>
      <c r="AC107" s="458"/>
      <c r="AD107" s="458"/>
      <c r="AE107" s="458" t="s">
        <v>488</v>
      </c>
      <c r="AF107" s="458"/>
      <c r="AG107" s="458"/>
      <c r="AH107" s="458"/>
      <c r="AI107" s="458"/>
      <c r="AJ107" s="458"/>
      <c r="AK107" s="458"/>
      <c r="AL107" s="458"/>
      <c r="AM107" s="458"/>
      <c r="AN107" s="459"/>
      <c r="AO107" s="458" t="s">
        <v>500</v>
      </c>
      <c r="AP107" s="458"/>
      <c r="AQ107" s="458"/>
      <c r="AR107" s="458"/>
      <c r="AS107" s="458"/>
      <c r="AT107" s="458"/>
      <c r="AU107" s="458"/>
      <c r="AV107" s="458"/>
      <c r="AW107" s="458"/>
      <c r="AX107" s="459"/>
      <c r="AY107" s="23"/>
      <c r="AZ107" s="457" t="s">
        <v>518</v>
      </c>
      <c r="BA107" s="458"/>
      <c r="BB107" s="458"/>
      <c r="BC107" s="458"/>
      <c r="BD107" s="458"/>
      <c r="BE107" s="458"/>
      <c r="BF107" s="458"/>
      <c r="BG107" s="458"/>
      <c r="BH107" s="458"/>
      <c r="BI107" s="459"/>
      <c r="BJ107" s="23"/>
      <c r="BK107" s="23"/>
      <c r="BL107" s="23"/>
      <c r="BM107" s="23"/>
      <c r="BN107" s="23"/>
      <c r="BO107" s="23"/>
      <c r="BP107" s="23"/>
      <c r="BQ107" s="23"/>
      <c r="BR107" s="23"/>
      <c r="BS107" s="23"/>
      <c r="BT107" s="23"/>
      <c r="BU107" s="23"/>
      <c r="BV107" s="23"/>
      <c r="BW107" s="23"/>
      <c r="BX107" s="23"/>
      <c r="BY107" s="23"/>
      <c r="BZ107" s="23"/>
      <c r="CA107" s="23"/>
      <c r="CB107" s="23"/>
      <c r="CC107" s="23"/>
      <c r="CD107" s="23"/>
      <c r="CE107" s="23"/>
      <c r="CF107" s="23"/>
      <c r="CG107" s="23"/>
      <c r="CH107" s="23"/>
      <c r="CI107" s="23"/>
      <c r="CJ107" s="23"/>
      <c r="CK107" s="23"/>
      <c r="CL107" s="23"/>
      <c r="CM107" s="23"/>
      <c r="CN107" s="23"/>
      <c r="CO107" s="23"/>
    </row>
    <row r="108" spans="1:95" ht="20" customHeight="1" thickBot="1" x14ac:dyDescent="0.25">
      <c r="A108" s="120"/>
      <c r="B108" s="121"/>
      <c r="D108" s="651"/>
      <c r="E108" s="24"/>
      <c r="G108" s="63"/>
      <c r="H108" s="63"/>
      <c r="I108" s="63"/>
      <c r="J108" s="63"/>
      <c r="K108" s="460" t="s">
        <v>433</v>
      </c>
      <c r="L108" s="461"/>
      <c r="M108" s="461"/>
      <c r="N108" s="461"/>
      <c r="O108" s="462" t="s">
        <v>434</v>
      </c>
      <c r="P108" s="462"/>
      <c r="Q108" s="462"/>
      <c r="R108" s="463"/>
      <c r="S108" s="464" t="s">
        <v>495</v>
      </c>
      <c r="T108" s="465"/>
      <c r="U108" s="629" t="s">
        <v>433</v>
      </c>
      <c r="V108" s="461"/>
      <c r="W108" s="461"/>
      <c r="X108" s="461"/>
      <c r="Y108" s="462" t="s">
        <v>434</v>
      </c>
      <c r="Z108" s="462"/>
      <c r="AA108" s="462"/>
      <c r="AB108" s="463"/>
      <c r="AC108" s="464" t="s">
        <v>495</v>
      </c>
      <c r="AD108" s="465"/>
      <c r="AE108" s="629" t="s">
        <v>433</v>
      </c>
      <c r="AF108" s="461"/>
      <c r="AG108" s="461"/>
      <c r="AH108" s="461"/>
      <c r="AI108" s="462" t="s">
        <v>434</v>
      </c>
      <c r="AJ108" s="462"/>
      <c r="AK108" s="462"/>
      <c r="AL108" s="463"/>
      <c r="AM108" s="464" t="s">
        <v>495</v>
      </c>
      <c r="AN108" s="465"/>
      <c r="AO108" s="629" t="s">
        <v>433</v>
      </c>
      <c r="AP108" s="461"/>
      <c r="AQ108" s="461"/>
      <c r="AR108" s="461"/>
      <c r="AS108" s="462" t="s">
        <v>434</v>
      </c>
      <c r="AT108" s="462"/>
      <c r="AU108" s="462"/>
      <c r="AV108" s="463"/>
      <c r="AW108" s="464" t="s">
        <v>495</v>
      </c>
      <c r="AX108" s="465"/>
      <c r="AY108" s="23"/>
      <c r="AZ108" s="460" t="s">
        <v>433</v>
      </c>
      <c r="BA108" s="461"/>
      <c r="BB108" s="461"/>
      <c r="BC108" s="461"/>
      <c r="BD108" s="462" t="s">
        <v>434</v>
      </c>
      <c r="BE108" s="462"/>
      <c r="BF108" s="462"/>
      <c r="BG108" s="463"/>
      <c r="BH108" s="464" t="s">
        <v>495</v>
      </c>
      <c r="BI108" s="465"/>
      <c r="BJ108" s="62"/>
      <c r="BK108" s="23"/>
      <c r="BL108" s="23"/>
      <c r="BM108" s="23"/>
      <c r="BN108" s="23"/>
      <c r="BO108" s="23"/>
      <c r="BP108" s="23"/>
      <c r="BQ108" s="23"/>
      <c r="BR108" s="23"/>
      <c r="BS108" s="23"/>
      <c r="BT108" s="23"/>
      <c r="BU108" s="23"/>
      <c r="BV108" s="23"/>
      <c r="BW108" s="23"/>
      <c r="BX108" s="23"/>
      <c r="BY108" s="23"/>
      <c r="BZ108" s="23"/>
      <c r="CA108" s="23"/>
      <c r="CB108" s="23"/>
      <c r="CC108" s="23"/>
      <c r="CD108" s="23"/>
      <c r="CE108" s="23"/>
      <c r="CF108" s="23"/>
      <c r="CG108" s="23"/>
      <c r="CH108" s="23"/>
      <c r="CI108" s="23"/>
      <c r="CJ108" s="23"/>
      <c r="CK108" s="23"/>
      <c r="CL108" s="23"/>
      <c r="CM108" s="23"/>
      <c r="CN108" s="23"/>
      <c r="CO108" s="23"/>
    </row>
    <row r="109" spans="1:95" ht="20" customHeight="1" x14ac:dyDescent="0.2">
      <c r="A109" s="122"/>
      <c r="B109" s="123"/>
      <c r="D109" s="24"/>
      <c r="E109" s="24"/>
      <c r="G109" s="328" t="s">
        <v>24</v>
      </c>
      <c r="H109" s="339" t="s">
        <v>327</v>
      </c>
      <c r="I109" s="342" t="s">
        <v>325</v>
      </c>
      <c r="J109" s="632" t="s">
        <v>326</v>
      </c>
      <c r="K109" s="635" t="s">
        <v>502</v>
      </c>
      <c r="L109" s="469" t="s">
        <v>503</v>
      </c>
      <c r="M109" s="471" t="s">
        <v>489</v>
      </c>
      <c r="N109" s="471" t="s">
        <v>490</v>
      </c>
      <c r="O109" s="473" t="s">
        <v>502</v>
      </c>
      <c r="P109" s="473" t="s">
        <v>503</v>
      </c>
      <c r="Q109" s="473" t="s">
        <v>489</v>
      </c>
      <c r="R109" s="475" t="s">
        <v>490</v>
      </c>
      <c r="S109" s="477" t="s">
        <v>492</v>
      </c>
      <c r="T109" s="479" t="s">
        <v>241</v>
      </c>
      <c r="U109" s="626" t="s">
        <v>502</v>
      </c>
      <c r="V109" s="469" t="s">
        <v>503</v>
      </c>
      <c r="W109" s="471" t="s">
        <v>489</v>
      </c>
      <c r="X109" s="471" t="s">
        <v>490</v>
      </c>
      <c r="Y109" s="473" t="s">
        <v>502</v>
      </c>
      <c r="Z109" s="473" t="s">
        <v>503</v>
      </c>
      <c r="AA109" s="473" t="s">
        <v>489</v>
      </c>
      <c r="AB109" s="475" t="s">
        <v>490</v>
      </c>
      <c r="AC109" s="477" t="s">
        <v>492</v>
      </c>
      <c r="AD109" s="479" t="s">
        <v>241</v>
      </c>
      <c r="AE109" s="626" t="s">
        <v>444</v>
      </c>
      <c r="AF109" s="469" t="s">
        <v>431</v>
      </c>
      <c r="AG109" s="471" t="s">
        <v>432</v>
      </c>
      <c r="AH109" s="471" t="s">
        <v>490</v>
      </c>
      <c r="AI109" s="473" t="s">
        <v>444</v>
      </c>
      <c r="AJ109" s="473" t="s">
        <v>431</v>
      </c>
      <c r="AK109" s="473" t="s">
        <v>432</v>
      </c>
      <c r="AL109" s="475" t="s">
        <v>490</v>
      </c>
      <c r="AM109" s="477" t="s">
        <v>240</v>
      </c>
      <c r="AN109" s="479" t="s">
        <v>241</v>
      </c>
      <c r="AO109" s="626" t="s">
        <v>502</v>
      </c>
      <c r="AP109" s="469" t="s">
        <v>503</v>
      </c>
      <c r="AQ109" s="471" t="s">
        <v>489</v>
      </c>
      <c r="AR109" s="471" t="s">
        <v>490</v>
      </c>
      <c r="AS109" s="473" t="s">
        <v>502</v>
      </c>
      <c r="AT109" s="473" t="s">
        <v>503</v>
      </c>
      <c r="AU109" s="473" t="s">
        <v>489</v>
      </c>
      <c r="AV109" s="475" t="s">
        <v>490</v>
      </c>
      <c r="AW109" s="477" t="s">
        <v>492</v>
      </c>
      <c r="AX109" s="479" t="s">
        <v>241</v>
      </c>
      <c r="AY109" s="23"/>
      <c r="AZ109" s="466" t="s">
        <v>519</v>
      </c>
      <c r="BA109" s="469" t="s">
        <v>520</v>
      </c>
      <c r="BB109" s="471"/>
      <c r="BC109" s="471" t="s">
        <v>490</v>
      </c>
      <c r="BD109" s="473" t="s">
        <v>519</v>
      </c>
      <c r="BE109" s="473" t="s">
        <v>520</v>
      </c>
      <c r="BF109" s="473"/>
      <c r="BG109" s="475" t="s">
        <v>490</v>
      </c>
      <c r="BH109" s="477"/>
      <c r="BI109" s="479" t="s">
        <v>241</v>
      </c>
      <c r="BJ109" s="62"/>
      <c r="BK109" s="23"/>
      <c r="BL109" s="23"/>
      <c r="BM109" s="23"/>
      <c r="BN109" s="23"/>
      <c r="BO109" s="23"/>
      <c r="BP109" s="23"/>
      <c r="BQ109" s="23"/>
      <c r="BR109" s="23"/>
      <c r="BS109" s="23"/>
      <c r="BT109" s="23"/>
      <c r="BU109" s="23"/>
      <c r="BV109" s="23"/>
      <c r="BW109" s="23"/>
      <c r="BX109" s="23"/>
      <c r="BY109" s="23"/>
      <c r="BZ109" s="23"/>
      <c r="CA109" s="23"/>
      <c r="CB109" s="23"/>
      <c r="CC109" s="23"/>
      <c r="CD109" s="23"/>
      <c r="CE109" s="23"/>
      <c r="CF109" s="23"/>
      <c r="CG109" s="23"/>
      <c r="CH109" s="23"/>
      <c r="CI109" s="23"/>
      <c r="CJ109" s="23"/>
      <c r="CK109" s="23"/>
      <c r="CL109" s="23"/>
      <c r="CM109" s="23"/>
      <c r="CN109" s="23"/>
      <c r="CO109" s="23"/>
    </row>
    <row r="110" spans="1:95" ht="23" customHeight="1" x14ac:dyDescent="0.2">
      <c r="A110" s="328" t="s">
        <v>248</v>
      </c>
      <c r="B110" s="330" t="s">
        <v>487</v>
      </c>
      <c r="C110" s="63"/>
      <c r="D110" s="62"/>
      <c r="E110" s="62"/>
      <c r="G110" s="328"/>
      <c r="H110" s="340"/>
      <c r="I110" s="343"/>
      <c r="J110" s="633"/>
      <c r="K110" s="636"/>
      <c r="L110" s="469"/>
      <c r="M110" s="471"/>
      <c r="N110" s="471"/>
      <c r="O110" s="473"/>
      <c r="P110" s="473"/>
      <c r="Q110" s="473"/>
      <c r="R110" s="475"/>
      <c r="S110" s="477"/>
      <c r="T110" s="479"/>
      <c r="U110" s="627"/>
      <c r="V110" s="469"/>
      <c r="W110" s="471"/>
      <c r="X110" s="471"/>
      <c r="Y110" s="473"/>
      <c r="Z110" s="473"/>
      <c r="AA110" s="473"/>
      <c r="AB110" s="475"/>
      <c r="AC110" s="477"/>
      <c r="AD110" s="479"/>
      <c r="AE110" s="627"/>
      <c r="AF110" s="469"/>
      <c r="AG110" s="471"/>
      <c r="AH110" s="471"/>
      <c r="AI110" s="473"/>
      <c r="AJ110" s="473"/>
      <c r="AK110" s="473"/>
      <c r="AL110" s="475"/>
      <c r="AM110" s="477"/>
      <c r="AN110" s="479"/>
      <c r="AO110" s="627"/>
      <c r="AP110" s="469"/>
      <c r="AQ110" s="471"/>
      <c r="AR110" s="471"/>
      <c r="AS110" s="473"/>
      <c r="AT110" s="473"/>
      <c r="AU110" s="473"/>
      <c r="AV110" s="475"/>
      <c r="AW110" s="477"/>
      <c r="AX110" s="479"/>
      <c r="AY110" s="23"/>
      <c r="AZ110" s="467"/>
      <c r="BA110" s="469"/>
      <c r="BB110" s="471"/>
      <c r="BC110" s="471"/>
      <c r="BD110" s="473"/>
      <c r="BE110" s="473"/>
      <c r="BF110" s="473"/>
      <c r="BG110" s="475"/>
      <c r="BH110" s="477"/>
      <c r="BI110" s="479"/>
      <c r="BJ110" s="62"/>
      <c r="BK110" s="23"/>
      <c r="BL110" s="23"/>
      <c r="BM110" s="23"/>
      <c r="BN110" s="23"/>
      <c r="BO110" s="23"/>
      <c r="BP110" s="23"/>
      <c r="BQ110" s="23"/>
      <c r="BR110" s="23"/>
      <c r="BS110" s="23"/>
      <c r="BT110" s="23"/>
      <c r="BU110" s="23"/>
      <c r="BV110" s="23"/>
      <c r="BW110" s="23"/>
      <c r="BX110" s="23"/>
      <c r="BY110" s="23"/>
      <c r="BZ110" s="23"/>
      <c r="CA110" s="23"/>
      <c r="CB110" s="23"/>
      <c r="CC110" s="23"/>
      <c r="CD110" s="23"/>
      <c r="CE110" s="23"/>
      <c r="CF110" s="23"/>
      <c r="CG110" s="23"/>
      <c r="CH110" s="23"/>
      <c r="CI110" s="23"/>
      <c r="CJ110" s="23"/>
      <c r="CK110" s="23"/>
      <c r="CL110" s="23"/>
      <c r="CM110" s="23"/>
      <c r="CN110" s="23"/>
      <c r="CO110" s="23"/>
    </row>
    <row r="111" spans="1:95" ht="23" customHeight="1" x14ac:dyDescent="0.2">
      <c r="A111" s="328"/>
      <c r="B111" s="330"/>
      <c r="C111" s="63"/>
      <c r="D111" s="62"/>
      <c r="E111" s="62"/>
      <c r="G111" s="328"/>
      <c r="H111" s="340"/>
      <c r="I111" s="343"/>
      <c r="J111" s="633"/>
      <c r="K111" s="636"/>
      <c r="L111" s="469"/>
      <c r="M111" s="471"/>
      <c r="N111" s="471"/>
      <c r="O111" s="473"/>
      <c r="P111" s="473"/>
      <c r="Q111" s="473"/>
      <c r="R111" s="475"/>
      <c r="S111" s="477"/>
      <c r="T111" s="479"/>
      <c r="U111" s="627"/>
      <c r="V111" s="469"/>
      <c r="W111" s="471"/>
      <c r="X111" s="471"/>
      <c r="Y111" s="473"/>
      <c r="Z111" s="473"/>
      <c r="AA111" s="473"/>
      <c r="AB111" s="475"/>
      <c r="AC111" s="477"/>
      <c r="AD111" s="479"/>
      <c r="AE111" s="627"/>
      <c r="AF111" s="469"/>
      <c r="AG111" s="471"/>
      <c r="AH111" s="471"/>
      <c r="AI111" s="473"/>
      <c r="AJ111" s="473"/>
      <c r="AK111" s="473"/>
      <c r="AL111" s="475"/>
      <c r="AM111" s="477"/>
      <c r="AN111" s="479"/>
      <c r="AO111" s="627"/>
      <c r="AP111" s="469"/>
      <c r="AQ111" s="471"/>
      <c r="AR111" s="471"/>
      <c r="AS111" s="473"/>
      <c r="AT111" s="473"/>
      <c r="AU111" s="473"/>
      <c r="AV111" s="475"/>
      <c r="AW111" s="477"/>
      <c r="AX111" s="479"/>
      <c r="AY111" s="23"/>
      <c r="AZ111" s="467"/>
      <c r="BA111" s="469"/>
      <c r="BB111" s="471"/>
      <c r="BC111" s="471"/>
      <c r="BD111" s="473"/>
      <c r="BE111" s="473"/>
      <c r="BF111" s="473"/>
      <c r="BG111" s="475"/>
      <c r="BH111" s="477"/>
      <c r="BI111" s="479"/>
      <c r="BJ111" s="62"/>
      <c r="BK111" s="23"/>
      <c r="BL111" s="23"/>
      <c r="BM111" s="23"/>
      <c r="BN111" s="23"/>
      <c r="BO111" s="23"/>
      <c r="BP111" s="23"/>
      <c r="BQ111" s="23"/>
      <c r="BR111" s="23"/>
      <c r="BS111" s="23"/>
      <c r="BT111" s="23"/>
      <c r="BU111" s="23"/>
      <c r="BV111" s="23"/>
      <c r="BW111" s="23"/>
      <c r="BX111" s="23"/>
      <c r="BY111" s="23"/>
      <c r="BZ111" s="23"/>
      <c r="CA111" s="23"/>
      <c r="CB111" s="23"/>
      <c r="CC111" s="23"/>
      <c r="CD111" s="23"/>
      <c r="CE111" s="23"/>
      <c r="CF111" s="23"/>
      <c r="CG111" s="23"/>
      <c r="CH111" s="23"/>
      <c r="CI111" s="23"/>
      <c r="CJ111" s="23"/>
      <c r="CK111" s="23"/>
      <c r="CL111" s="23"/>
      <c r="CM111" s="23"/>
      <c r="CN111" s="23"/>
      <c r="CO111" s="23"/>
    </row>
    <row r="112" spans="1:95" ht="23" customHeight="1" x14ac:dyDescent="0.2">
      <c r="A112" s="328"/>
      <c r="B112" s="330"/>
      <c r="C112" s="63"/>
      <c r="D112" s="62"/>
      <c r="E112" s="62"/>
      <c r="F112" s="63"/>
      <c r="G112" s="328"/>
      <c r="H112" s="340"/>
      <c r="I112" s="343"/>
      <c r="J112" s="633"/>
      <c r="K112" s="636"/>
      <c r="L112" s="469"/>
      <c r="M112" s="471"/>
      <c r="N112" s="471"/>
      <c r="O112" s="473"/>
      <c r="P112" s="473"/>
      <c r="Q112" s="473"/>
      <c r="R112" s="475"/>
      <c r="S112" s="477"/>
      <c r="T112" s="479"/>
      <c r="U112" s="627"/>
      <c r="V112" s="469"/>
      <c r="W112" s="471"/>
      <c r="X112" s="471"/>
      <c r="Y112" s="473"/>
      <c r="Z112" s="473"/>
      <c r="AA112" s="473"/>
      <c r="AB112" s="475"/>
      <c r="AC112" s="477"/>
      <c r="AD112" s="479"/>
      <c r="AE112" s="627"/>
      <c r="AF112" s="469"/>
      <c r="AG112" s="471"/>
      <c r="AH112" s="471"/>
      <c r="AI112" s="473"/>
      <c r="AJ112" s="473"/>
      <c r="AK112" s="473"/>
      <c r="AL112" s="475"/>
      <c r="AM112" s="477"/>
      <c r="AN112" s="479"/>
      <c r="AO112" s="627"/>
      <c r="AP112" s="469"/>
      <c r="AQ112" s="471"/>
      <c r="AR112" s="471"/>
      <c r="AS112" s="473"/>
      <c r="AT112" s="473"/>
      <c r="AU112" s="473"/>
      <c r="AV112" s="475"/>
      <c r="AW112" s="477"/>
      <c r="AX112" s="479"/>
      <c r="AY112" s="23"/>
      <c r="AZ112" s="467"/>
      <c r="BA112" s="469"/>
      <c r="BB112" s="471"/>
      <c r="BC112" s="471"/>
      <c r="BD112" s="473"/>
      <c r="BE112" s="473"/>
      <c r="BF112" s="473"/>
      <c r="BG112" s="475"/>
      <c r="BH112" s="477"/>
      <c r="BI112" s="479"/>
      <c r="BJ112" s="62"/>
      <c r="BK112" s="23"/>
      <c r="BL112" s="23"/>
      <c r="BM112" s="23"/>
      <c r="BN112" s="23"/>
      <c r="BO112" s="23"/>
      <c r="BP112" s="23"/>
      <c r="BQ112" s="23"/>
      <c r="BR112" s="23"/>
      <c r="BS112" s="23"/>
      <c r="BT112" s="23"/>
      <c r="BU112" s="23"/>
      <c r="BV112" s="23"/>
      <c r="BW112" s="23"/>
      <c r="BX112" s="23"/>
      <c r="BY112" s="23"/>
      <c r="BZ112" s="23"/>
      <c r="CA112" s="23"/>
      <c r="CB112" s="23"/>
      <c r="CC112" s="23"/>
      <c r="CD112" s="23"/>
      <c r="CE112" s="23"/>
      <c r="CF112" s="23"/>
      <c r="CG112" s="23"/>
      <c r="CH112" s="23"/>
      <c r="CI112" s="23"/>
      <c r="CJ112" s="23"/>
      <c r="CK112" s="23"/>
      <c r="CL112" s="23"/>
      <c r="CM112" s="23"/>
      <c r="CN112" s="23"/>
      <c r="CO112" s="23"/>
    </row>
    <row r="113" spans="1:93" ht="23" customHeight="1" thickBot="1" x14ac:dyDescent="0.25">
      <c r="A113" s="622"/>
      <c r="B113" s="623"/>
      <c r="C113" s="124" t="s">
        <v>20</v>
      </c>
      <c r="D113" s="125" t="s">
        <v>21</v>
      </c>
      <c r="E113" s="125" t="s">
        <v>22</v>
      </c>
      <c r="F113" s="124" t="s">
        <v>23</v>
      </c>
      <c r="G113" s="622"/>
      <c r="H113" s="630"/>
      <c r="I113" s="631"/>
      <c r="J113" s="634"/>
      <c r="K113" s="637"/>
      <c r="L113" s="470"/>
      <c r="M113" s="472"/>
      <c r="N113" s="472"/>
      <c r="O113" s="474"/>
      <c r="P113" s="474"/>
      <c r="Q113" s="474"/>
      <c r="R113" s="476"/>
      <c r="S113" s="478"/>
      <c r="T113" s="480"/>
      <c r="U113" s="628"/>
      <c r="V113" s="470"/>
      <c r="W113" s="472"/>
      <c r="X113" s="472"/>
      <c r="Y113" s="474"/>
      <c r="Z113" s="474"/>
      <c r="AA113" s="474"/>
      <c r="AB113" s="476"/>
      <c r="AC113" s="478"/>
      <c r="AD113" s="480"/>
      <c r="AE113" s="628"/>
      <c r="AF113" s="470"/>
      <c r="AG113" s="472"/>
      <c r="AH113" s="472"/>
      <c r="AI113" s="474"/>
      <c r="AJ113" s="474"/>
      <c r="AK113" s="474"/>
      <c r="AL113" s="476"/>
      <c r="AM113" s="478"/>
      <c r="AN113" s="480"/>
      <c r="AO113" s="628"/>
      <c r="AP113" s="470"/>
      <c r="AQ113" s="472"/>
      <c r="AR113" s="472"/>
      <c r="AS113" s="474"/>
      <c r="AT113" s="474"/>
      <c r="AU113" s="474"/>
      <c r="AV113" s="476"/>
      <c r="AW113" s="478"/>
      <c r="AX113" s="480"/>
      <c r="AY113" s="23"/>
      <c r="AZ113" s="468"/>
      <c r="BA113" s="470"/>
      <c r="BB113" s="472"/>
      <c r="BC113" s="472"/>
      <c r="BD113" s="474"/>
      <c r="BE113" s="474"/>
      <c r="BF113" s="474"/>
      <c r="BG113" s="476"/>
      <c r="BH113" s="478"/>
      <c r="BI113" s="480"/>
      <c r="BJ113" s="125" t="s">
        <v>25</v>
      </c>
      <c r="BK113" s="188"/>
      <c r="BL113" s="188"/>
      <c r="BM113" s="188"/>
      <c r="BN113" s="188"/>
      <c r="BO113" s="188"/>
      <c r="BP113" s="188"/>
      <c r="BQ113" s="188"/>
      <c r="BR113" s="188"/>
      <c r="BS113" s="188"/>
      <c r="BT113" s="188"/>
      <c r="BU113" s="188"/>
      <c r="BV113" s="188"/>
      <c r="BW113" s="188"/>
      <c r="BX113" s="188"/>
      <c r="BY113" s="23"/>
      <c r="BZ113" s="23"/>
      <c r="CA113" s="23"/>
      <c r="CB113" s="23"/>
      <c r="CC113" s="23"/>
      <c r="CD113" s="23"/>
      <c r="CE113" s="23"/>
      <c r="CF113" s="23"/>
      <c r="CG113" s="23"/>
      <c r="CH113" s="23"/>
      <c r="CI113" s="23"/>
      <c r="CJ113" s="23"/>
      <c r="CK113" s="23"/>
      <c r="CL113" s="23"/>
      <c r="CM113" s="23"/>
      <c r="CN113" s="23"/>
      <c r="CO113" s="23"/>
    </row>
    <row r="114" spans="1:93" ht="23" customHeight="1" x14ac:dyDescent="0.2">
      <c r="A114" s="120"/>
      <c r="B114" s="242"/>
      <c r="C114" s="63" t="s">
        <v>85</v>
      </c>
      <c r="D114" s="62" t="s">
        <v>496</v>
      </c>
      <c r="E114" s="62" t="s">
        <v>497</v>
      </c>
      <c r="F114" s="63">
        <v>2012</v>
      </c>
      <c r="G114" s="243"/>
      <c r="H114" s="244"/>
      <c r="I114" s="245" t="s">
        <v>182</v>
      </c>
      <c r="J114" s="246" t="s">
        <v>191</v>
      </c>
      <c r="K114" s="247"/>
      <c r="L114" s="248"/>
      <c r="M114" s="318" t="str">
        <f t="shared" ref="M114:M138" si="45">IF(AND(NOT(ISERROR(L114-K114)), K114&lt;&gt;"", L114&lt;&gt;""), L114-K114, "")</f>
        <v/>
      </c>
      <c r="N114" s="318" t="str">
        <f t="shared" ref="N114:N138" si="46">IF(NOT(ISERROR(100-(L114/K114)*100)), (100-(L114/K114)*100)*-1, "")</f>
        <v/>
      </c>
      <c r="O114" s="250"/>
      <c r="P114" s="250"/>
      <c r="Q114" s="319" t="str">
        <f t="shared" ref="Q114:Q138" si="47">IF(AND(NOT(ISERROR(P114-O114)), O114&lt;&gt;"", P114&lt;&gt;""), P114-O114, "")</f>
        <v/>
      </c>
      <c r="R114" s="320" t="str">
        <f t="shared" ref="R114:R138" si="48">IF(NOT(ISERROR(100-(P114/O114)*100)), (100-(P114/O114)*100)*-1, "")</f>
        <v/>
      </c>
      <c r="S114" s="252">
        <v>22.43</v>
      </c>
      <c r="T114" s="253"/>
      <c r="U114" s="247"/>
      <c r="V114" s="248"/>
      <c r="W114" s="318" t="str">
        <f t="shared" ref="W114:W126" si="49">IF(AND(NOT(ISERROR(V114-U114)), U114&lt;&gt;"", V114&lt;&gt;""), V114-U114, "")</f>
        <v/>
      </c>
      <c r="X114" s="318" t="str">
        <f t="shared" ref="X114:X126" si="50">IF(NOT(ISERROR(100-(V114/U114)*100)), (100-(V114/U114)*100)*-1, "")</f>
        <v/>
      </c>
      <c r="Y114" s="250"/>
      <c r="Z114" s="250"/>
      <c r="AA114" s="319" t="str">
        <f t="shared" ref="AA114:AA127" si="51">IF(AND(NOT(ISERROR(Z114-Y114)), Y114&lt;&gt;"", Z114&lt;&gt;""), Z114-Y114, "")</f>
        <v/>
      </c>
      <c r="AB114" s="320" t="str">
        <f t="shared" ref="AB114:AB127" si="52">IF(NOT(ISERROR(100-(Z114/Y114)*100)), (100-(Z114/Y114)*100)*-1, "")</f>
        <v/>
      </c>
      <c r="AC114" s="321" t="str">
        <f t="shared" ref="AC114:AC138" si="53">IF(NOT(ISERROR(W114-AA114)), W114-AA114, "")</f>
        <v/>
      </c>
      <c r="AD114" s="253"/>
      <c r="AE114" s="247"/>
      <c r="AF114" s="248"/>
      <c r="AG114" s="322" t="str">
        <f t="shared" ref="AG114:AG115" si="54">IF(AND(NOT(ISERROR(AF114-AE114)), AF114&lt;&gt;"", AE114&lt;&gt;""), AF114-AE114, "")</f>
        <v/>
      </c>
      <c r="AH114" s="249"/>
      <c r="AI114" s="250"/>
      <c r="AJ114" s="250"/>
      <c r="AK114" s="324" t="str">
        <f t="shared" ref="AK114:AK115" si="55">IF(AND(NOT(ISERROR(AJ114-AI114)), AJ114&lt;&gt;"", AI114&lt;&gt;""), AJ114-AI114, "")</f>
        <v/>
      </c>
      <c r="AL114" s="251"/>
      <c r="AM114" s="252"/>
      <c r="AN114" s="253"/>
      <c r="AO114" s="247"/>
      <c r="AP114" s="248"/>
      <c r="AQ114" s="322" t="str">
        <f t="shared" ref="AQ114:AQ138" si="56">IF(AND(NOT(ISERROR(AP114-AO114)), AP114&lt;&gt;"", AO114&lt;&gt;""), AP114-AO114, "")</f>
        <v/>
      </c>
      <c r="AR114" s="249"/>
      <c r="AS114" s="250"/>
      <c r="AT114" s="250"/>
      <c r="AU114" s="324" t="str">
        <f t="shared" ref="AU114:AU138" si="57">IF(AND(NOT(ISERROR(AT114-AS114)), AT114&lt;&gt;"", AS114&lt;&gt;""), AT114-AS114, "")</f>
        <v/>
      </c>
      <c r="AV114" s="251"/>
      <c r="AW114" s="252"/>
      <c r="AX114" s="253"/>
      <c r="AY114" s="23"/>
      <c r="AZ114" s="288"/>
      <c r="BA114" s="248"/>
      <c r="BB114" s="249"/>
      <c r="BC114" s="249"/>
      <c r="BD114" s="250"/>
      <c r="BE114" s="250"/>
      <c r="BF114" s="250"/>
      <c r="BG114" s="251"/>
      <c r="BH114" s="252"/>
      <c r="BI114" s="253"/>
      <c r="BJ114" s="241"/>
      <c r="BK114" s="62"/>
      <c r="BL114" s="62"/>
      <c r="BM114" s="62"/>
      <c r="BN114" s="62"/>
      <c r="BO114" s="62"/>
      <c r="BP114" s="62"/>
      <c r="BQ114" s="62"/>
      <c r="BR114" s="62"/>
      <c r="BS114" s="62"/>
      <c r="BT114" s="62"/>
      <c r="BU114" s="62"/>
      <c r="BV114" s="62"/>
      <c r="BW114" s="62"/>
      <c r="BX114" s="62"/>
      <c r="BY114" s="23"/>
      <c r="BZ114" s="23"/>
      <c r="CA114" s="23"/>
      <c r="CB114" s="23"/>
      <c r="CC114" s="23"/>
      <c r="CD114" s="23"/>
      <c r="CE114" s="23"/>
      <c r="CF114" s="23"/>
      <c r="CG114" s="23"/>
      <c r="CH114" s="23"/>
      <c r="CI114" s="23"/>
      <c r="CJ114" s="23"/>
      <c r="CK114" s="23"/>
      <c r="CL114" s="23"/>
      <c r="CM114" s="23"/>
      <c r="CN114" s="23"/>
      <c r="CO114" s="23"/>
    </row>
    <row r="115" spans="1:93" ht="20" customHeight="1" x14ac:dyDescent="0.2">
      <c r="A115" s="60"/>
      <c r="B115" s="82"/>
      <c r="C115" s="24" t="s">
        <v>85</v>
      </c>
      <c r="D115" s="23" t="s">
        <v>253</v>
      </c>
      <c r="E115" s="23" t="s">
        <v>254</v>
      </c>
      <c r="F115" s="24">
        <v>2008</v>
      </c>
      <c r="H115" s="89">
        <v>13</v>
      </c>
      <c r="I115" s="85" t="s">
        <v>218</v>
      </c>
      <c r="J115" s="116" t="s">
        <v>335</v>
      </c>
      <c r="K115" s="229"/>
      <c r="L115" s="230"/>
      <c r="M115" s="230" t="str">
        <f t="shared" si="45"/>
        <v/>
      </c>
      <c r="N115" s="230" t="str">
        <f t="shared" si="46"/>
        <v/>
      </c>
      <c r="O115" s="231"/>
      <c r="P115" s="231"/>
      <c r="Q115" s="231" t="str">
        <f t="shared" si="47"/>
        <v/>
      </c>
      <c r="R115" s="237" t="str">
        <f t="shared" si="48"/>
        <v/>
      </c>
      <c r="S115" s="239" t="str">
        <f t="shared" ref="S115:S120" si="58">IF(NOT(ISERROR(M115-Q115)), M115-Q115, "")</f>
        <v/>
      </c>
      <c r="T115" s="232"/>
      <c r="U115" s="229"/>
      <c r="V115" s="230"/>
      <c r="W115" s="230" t="str">
        <f t="shared" si="49"/>
        <v/>
      </c>
      <c r="X115" s="230" t="str">
        <f t="shared" si="50"/>
        <v/>
      </c>
      <c r="Y115" s="231"/>
      <c r="Z115" s="231"/>
      <c r="AA115" s="231" t="str">
        <f t="shared" si="51"/>
        <v/>
      </c>
      <c r="AB115" s="237" t="str">
        <f t="shared" si="52"/>
        <v/>
      </c>
      <c r="AC115" s="239" t="str">
        <f t="shared" si="53"/>
        <v/>
      </c>
      <c r="AD115" s="232"/>
      <c r="AE115" s="229"/>
      <c r="AF115" s="230"/>
      <c r="AG115" s="270" t="str">
        <f t="shared" si="54"/>
        <v/>
      </c>
      <c r="AH115" s="230"/>
      <c r="AI115" s="231"/>
      <c r="AJ115" s="231"/>
      <c r="AK115" s="271" t="str">
        <f t="shared" si="55"/>
        <v/>
      </c>
      <c r="AL115" s="237"/>
      <c r="AM115" s="239"/>
      <c r="AN115" s="232"/>
      <c r="AO115" s="229"/>
      <c r="AP115" s="230"/>
      <c r="AQ115" s="270" t="str">
        <f t="shared" si="56"/>
        <v/>
      </c>
      <c r="AR115" s="230"/>
      <c r="AS115" s="231"/>
      <c r="AT115" s="231"/>
      <c r="AU115" s="271" t="str">
        <f t="shared" si="57"/>
        <v/>
      </c>
      <c r="AV115" s="237"/>
      <c r="AW115" s="239"/>
      <c r="AX115" s="232"/>
      <c r="AY115" s="23"/>
      <c r="AZ115" s="289"/>
      <c r="BA115" s="230"/>
      <c r="BB115" s="230"/>
      <c r="BC115" s="230"/>
      <c r="BD115" s="231"/>
      <c r="BE115" s="231"/>
      <c r="BF115" s="231"/>
      <c r="BG115" s="237"/>
      <c r="BH115" s="239"/>
      <c r="BI115" s="232"/>
      <c r="BJ115" s="23"/>
      <c r="BK115" s="23"/>
      <c r="BL115" s="23"/>
      <c r="BM115" s="23"/>
      <c r="BN115" s="23"/>
      <c r="BO115" s="23"/>
      <c r="BP115" s="23"/>
      <c r="BQ115" s="23"/>
      <c r="BR115" s="23"/>
      <c r="BS115" s="23"/>
      <c r="BT115" s="23"/>
      <c r="BU115" s="23"/>
      <c r="BV115" s="23"/>
      <c r="BW115" s="23"/>
      <c r="BX115" s="23"/>
      <c r="BY115" s="23"/>
      <c r="BZ115" s="23"/>
      <c r="CA115" s="23"/>
      <c r="CB115" s="23"/>
      <c r="CC115" s="23"/>
      <c r="CD115" s="23"/>
      <c r="CE115" s="23"/>
      <c r="CF115" s="23"/>
      <c r="CG115" s="23"/>
      <c r="CH115" s="23"/>
      <c r="CI115" s="23"/>
      <c r="CJ115" s="23"/>
      <c r="CK115" s="23"/>
      <c r="CL115" s="23"/>
      <c r="CM115" s="23"/>
      <c r="CN115" s="23"/>
      <c r="CO115" s="23"/>
    </row>
    <row r="116" spans="1:93" ht="20" customHeight="1" x14ac:dyDescent="0.2">
      <c r="A116" s="61"/>
      <c r="B116" s="82"/>
      <c r="C116" s="24" t="s">
        <v>85</v>
      </c>
      <c r="D116" s="23" t="s">
        <v>36</v>
      </c>
      <c r="E116" s="23" t="s">
        <v>37</v>
      </c>
      <c r="F116" s="24">
        <v>2008</v>
      </c>
      <c r="G116" s="24">
        <v>40</v>
      </c>
      <c r="H116" s="89">
        <v>29</v>
      </c>
      <c r="I116" s="85" t="s">
        <v>176</v>
      </c>
      <c r="J116" s="116" t="s">
        <v>169</v>
      </c>
      <c r="K116" s="229">
        <v>73.33</v>
      </c>
      <c r="L116" s="230">
        <v>31.25</v>
      </c>
      <c r="M116" s="230">
        <f t="shared" si="45"/>
        <v>-42.08</v>
      </c>
      <c r="N116" s="230">
        <f t="shared" si="46"/>
        <v>-57.384426564843857</v>
      </c>
      <c r="O116" s="231">
        <v>63.2</v>
      </c>
      <c r="P116" s="231">
        <v>50.6</v>
      </c>
      <c r="Q116" s="231">
        <f t="shared" si="47"/>
        <v>-12.600000000000001</v>
      </c>
      <c r="R116" s="237">
        <f t="shared" si="48"/>
        <v>-19.936708860759495</v>
      </c>
      <c r="S116" s="239">
        <f t="shared" si="58"/>
        <v>-29.479999999999997</v>
      </c>
      <c r="T116" s="232"/>
      <c r="U116" s="266">
        <v>514</v>
      </c>
      <c r="V116" s="267">
        <v>584</v>
      </c>
      <c r="W116" s="230">
        <f t="shared" si="49"/>
        <v>70</v>
      </c>
      <c r="X116" s="230">
        <f t="shared" si="50"/>
        <v>13.618677042801551</v>
      </c>
      <c r="Y116" s="268">
        <v>549</v>
      </c>
      <c r="Z116" s="268">
        <v>571</v>
      </c>
      <c r="AA116" s="231">
        <f t="shared" si="51"/>
        <v>22</v>
      </c>
      <c r="AB116" s="237">
        <f t="shared" si="52"/>
        <v>4.0072859744990836</v>
      </c>
      <c r="AC116" s="239">
        <f t="shared" si="53"/>
        <v>48</v>
      </c>
      <c r="AD116" s="232"/>
      <c r="AE116" s="269">
        <v>1.65</v>
      </c>
      <c r="AF116" s="270">
        <v>1.29</v>
      </c>
      <c r="AG116" s="270">
        <f>IF(AND(NOT(ISERROR(AF116-AE116)), AF116&lt;&gt;"", AE116&lt;&gt;""), AF116-AE116, "")</f>
        <v>-0.35999999999999988</v>
      </c>
      <c r="AH116" s="270"/>
      <c r="AI116" s="271">
        <v>1.43</v>
      </c>
      <c r="AJ116" s="271">
        <v>1.49</v>
      </c>
      <c r="AK116" s="271">
        <f>IF(AND(NOT(ISERROR(AJ116-AI116)), AJ116&lt;&gt;"", AI116&lt;&gt;""), AJ116-AI116, "")</f>
        <v>6.0000000000000053E-2</v>
      </c>
      <c r="AL116" s="272"/>
      <c r="AM116" s="273">
        <v>0.42</v>
      </c>
      <c r="AN116" s="274"/>
      <c r="AO116" s="269">
        <v>43.92</v>
      </c>
      <c r="AP116" s="270">
        <v>25.17</v>
      </c>
      <c r="AQ116" s="270">
        <f t="shared" si="56"/>
        <v>-18.75</v>
      </c>
      <c r="AR116" s="270"/>
      <c r="AS116" s="271">
        <v>13.52</v>
      </c>
      <c r="AT116" s="271">
        <v>12.05</v>
      </c>
      <c r="AU116" s="271">
        <f t="shared" si="57"/>
        <v>-1.4699999999999989</v>
      </c>
      <c r="AV116" s="272"/>
      <c r="AW116" s="273">
        <v>17.28</v>
      </c>
      <c r="AX116" s="274"/>
      <c r="AY116" s="23"/>
      <c r="AZ116" s="290"/>
      <c r="BA116" s="270"/>
      <c r="BB116" s="270"/>
      <c r="BC116" s="270"/>
      <c r="BD116" s="271"/>
      <c r="BE116" s="271"/>
      <c r="BF116" s="271"/>
      <c r="BG116" s="272"/>
      <c r="BH116" s="273"/>
      <c r="BI116" s="274"/>
      <c r="BJ116" s="23"/>
      <c r="BK116" s="23"/>
      <c r="BL116" s="23"/>
      <c r="BM116" s="23"/>
      <c r="BN116" s="23"/>
      <c r="BO116" s="23"/>
      <c r="BP116" s="23"/>
      <c r="BQ116" s="23"/>
      <c r="BR116" s="23"/>
      <c r="BS116" s="23"/>
      <c r="BT116" s="23"/>
      <c r="BU116" s="23"/>
      <c r="BV116" s="23"/>
      <c r="BW116" s="23"/>
      <c r="BX116" s="23"/>
      <c r="BY116" s="23"/>
      <c r="BZ116" s="23"/>
      <c r="CA116" s="23"/>
      <c r="CB116" s="23"/>
      <c r="CC116" s="23"/>
      <c r="CD116" s="23"/>
      <c r="CE116" s="23"/>
      <c r="CF116" s="23"/>
      <c r="CG116" s="23"/>
      <c r="CH116" s="23"/>
      <c r="CI116" s="23"/>
      <c r="CJ116" s="23"/>
      <c r="CK116" s="23"/>
      <c r="CL116" s="23"/>
      <c r="CM116" s="23"/>
      <c r="CN116" s="23"/>
      <c r="CO116" s="23"/>
    </row>
    <row r="117" spans="1:93" ht="20" customHeight="1" x14ac:dyDescent="0.2">
      <c r="A117" s="60"/>
      <c r="B117" s="83"/>
      <c r="C117" s="24" t="s">
        <v>85</v>
      </c>
      <c r="D117" s="23" t="s">
        <v>259</v>
      </c>
      <c r="E117" s="23" t="s">
        <v>260</v>
      </c>
      <c r="F117" s="24">
        <v>2012</v>
      </c>
      <c r="H117" s="89">
        <v>80</v>
      </c>
      <c r="I117" s="85" t="s">
        <v>214</v>
      </c>
      <c r="J117" s="116" t="s">
        <v>191</v>
      </c>
      <c r="K117" s="229"/>
      <c r="L117" s="230"/>
      <c r="M117" s="230" t="str">
        <f t="shared" si="45"/>
        <v/>
      </c>
      <c r="N117" s="230" t="str">
        <f t="shared" si="46"/>
        <v/>
      </c>
      <c r="O117" s="231"/>
      <c r="P117" s="231"/>
      <c r="Q117" s="231" t="str">
        <f t="shared" si="47"/>
        <v/>
      </c>
      <c r="R117" s="237" t="str">
        <f t="shared" si="48"/>
        <v/>
      </c>
      <c r="S117" s="239" t="str">
        <f t="shared" si="58"/>
        <v/>
      </c>
      <c r="T117" s="232"/>
      <c r="U117" s="229"/>
      <c r="V117" s="230"/>
      <c r="W117" s="230" t="str">
        <f t="shared" si="49"/>
        <v/>
      </c>
      <c r="X117" s="230" t="str">
        <f t="shared" si="50"/>
        <v/>
      </c>
      <c r="Y117" s="231"/>
      <c r="Z117" s="231"/>
      <c r="AA117" s="231" t="str">
        <f t="shared" si="51"/>
        <v/>
      </c>
      <c r="AB117" s="237" t="str">
        <f t="shared" si="52"/>
        <v/>
      </c>
      <c r="AC117" s="239" t="str">
        <f t="shared" si="53"/>
        <v/>
      </c>
      <c r="AD117" s="232"/>
      <c r="AE117" s="229"/>
      <c r="AF117" s="230"/>
      <c r="AG117" s="270" t="str">
        <f t="shared" ref="AG117:AG138" si="59">IF(AND(NOT(ISERROR(AF117-AE117)), AF117&lt;&gt;"", AE117&lt;&gt;""), AF117-AE117, "")</f>
        <v/>
      </c>
      <c r="AH117" s="230"/>
      <c r="AI117" s="231"/>
      <c r="AJ117" s="231"/>
      <c r="AK117" s="271" t="str">
        <f t="shared" ref="AK117:AK138" si="60">IF(AND(NOT(ISERROR(AJ117-AI117)), AJ117&lt;&gt;"", AI117&lt;&gt;""), AJ117-AI117, "")</f>
        <v/>
      </c>
      <c r="AL117" s="237"/>
      <c r="AM117" s="239"/>
      <c r="AN117" s="232"/>
      <c r="AO117" s="229"/>
      <c r="AP117" s="230"/>
      <c r="AQ117" s="270" t="str">
        <f t="shared" si="56"/>
        <v/>
      </c>
      <c r="AR117" s="230"/>
      <c r="AS117" s="231"/>
      <c r="AT117" s="231"/>
      <c r="AU117" s="271" t="str">
        <f t="shared" si="57"/>
        <v/>
      </c>
      <c r="AV117" s="237"/>
      <c r="AW117" s="239"/>
      <c r="AX117" s="232"/>
      <c r="AY117" s="23"/>
      <c r="AZ117" s="289"/>
      <c r="BA117" s="230"/>
      <c r="BB117" s="230"/>
      <c r="BC117" s="230"/>
      <c r="BD117" s="231"/>
      <c r="BE117" s="231"/>
      <c r="BF117" s="231"/>
      <c r="BG117" s="237"/>
      <c r="BH117" s="239"/>
      <c r="BI117" s="232"/>
      <c r="BJ117" s="23" t="s">
        <v>225</v>
      </c>
      <c r="BK117" s="23"/>
      <c r="BL117" s="23"/>
      <c r="BM117" s="23"/>
      <c r="BN117" s="23"/>
      <c r="BO117" s="23"/>
      <c r="BP117" s="23"/>
      <c r="BQ117" s="23"/>
      <c r="BR117" s="23"/>
      <c r="BS117" s="23"/>
      <c r="BT117" s="23"/>
      <c r="BU117" s="23"/>
      <c r="BV117" s="23"/>
      <c r="BW117" s="23"/>
      <c r="BX117" s="23"/>
      <c r="BY117" s="23"/>
      <c r="BZ117" s="23"/>
      <c r="CA117" s="23"/>
      <c r="CB117" s="23"/>
      <c r="CC117" s="23"/>
      <c r="CD117" s="23"/>
      <c r="CE117" s="23"/>
      <c r="CF117" s="23"/>
      <c r="CG117" s="23"/>
      <c r="CH117" s="23"/>
      <c r="CI117" s="23"/>
      <c r="CJ117" s="23"/>
      <c r="CK117" s="23"/>
      <c r="CL117" s="23"/>
      <c r="CM117" s="23"/>
      <c r="CN117" s="23"/>
      <c r="CO117" s="23"/>
    </row>
    <row r="118" spans="1:93" ht="20" customHeight="1" x14ac:dyDescent="0.2">
      <c r="A118" s="61"/>
      <c r="B118" s="83"/>
      <c r="C118" s="24" t="s">
        <v>85</v>
      </c>
      <c r="D118" s="23" t="s">
        <v>52</v>
      </c>
      <c r="E118" s="23" t="s">
        <v>53</v>
      </c>
      <c r="F118" s="24">
        <v>2001</v>
      </c>
      <c r="G118" s="24">
        <v>118</v>
      </c>
      <c r="H118" s="89">
        <v>20</v>
      </c>
      <c r="I118" s="85"/>
      <c r="J118" s="116" t="s">
        <v>188</v>
      </c>
      <c r="K118" s="229"/>
      <c r="L118" s="230"/>
      <c r="M118" s="230" t="str">
        <f t="shared" si="45"/>
        <v/>
      </c>
      <c r="N118" s="230" t="str">
        <f t="shared" si="46"/>
        <v/>
      </c>
      <c r="O118" s="231"/>
      <c r="P118" s="231"/>
      <c r="Q118" s="231" t="str">
        <f t="shared" si="47"/>
        <v/>
      </c>
      <c r="R118" s="237" t="str">
        <f t="shared" si="48"/>
        <v/>
      </c>
      <c r="S118" s="239" t="str">
        <f t="shared" si="58"/>
        <v/>
      </c>
      <c r="T118" s="232"/>
      <c r="U118" s="229"/>
      <c r="V118" s="230"/>
      <c r="W118" s="230" t="str">
        <f t="shared" si="49"/>
        <v/>
      </c>
      <c r="X118" s="230" t="str">
        <f t="shared" si="50"/>
        <v/>
      </c>
      <c r="Y118" s="231"/>
      <c r="Z118" s="231"/>
      <c r="AA118" s="231" t="str">
        <f t="shared" si="51"/>
        <v/>
      </c>
      <c r="AB118" s="237" t="str">
        <f t="shared" si="52"/>
        <v/>
      </c>
      <c r="AC118" s="239" t="str">
        <f t="shared" si="53"/>
        <v/>
      </c>
      <c r="AD118" s="232"/>
      <c r="AE118" s="229"/>
      <c r="AF118" s="230"/>
      <c r="AG118" s="270" t="str">
        <f t="shared" si="59"/>
        <v/>
      </c>
      <c r="AH118" s="230"/>
      <c r="AI118" s="231"/>
      <c r="AJ118" s="231"/>
      <c r="AK118" s="271" t="str">
        <f t="shared" si="60"/>
        <v/>
      </c>
      <c r="AL118" s="237"/>
      <c r="AM118" s="239"/>
      <c r="AN118" s="232"/>
      <c r="AO118" s="229"/>
      <c r="AP118" s="230"/>
      <c r="AQ118" s="270" t="str">
        <f t="shared" si="56"/>
        <v/>
      </c>
      <c r="AR118" s="230"/>
      <c r="AS118" s="231"/>
      <c r="AT118" s="231"/>
      <c r="AU118" s="271" t="str">
        <f t="shared" si="57"/>
        <v/>
      </c>
      <c r="AV118" s="237"/>
      <c r="AW118" s="239"/>
      <c r="AX118" s="232"/>
      <c r="AY118" s="23"/>
      <c r="AZ118" s="289"/>
      <c r="BA118" s="230"/>
      <c r="BB118" s="230"/>
      <c r="BC118" s="230"/>
      <c r="BD118" s="231"/>
      <c r="BE118" s="231"/>
      <c r="BF118" s="231"/>
      <c r="BG118" s="237"/>
      <c r="BH118" s="239"/>
      <c r="BI118" s="232"/>
      <c r="BJ118" s="23"/>
      <c r="BK118" s="23"/>
      <c r="BL118" s="23"/>
      <c r="BM118" s="23"/>
      <c r="BN118" s="23"/>
      <c r="BO118" s="23"/>
      <c r="BP118" s="23"/>
      <c r="BQ118" s="23"/>
      <c r="BR118" s="23"/>
      <c r="BS118" s="23"/>
      <c r="BT118" s="23"/>
      <c r="BU118" s="23"/>
      <c r="BV118" s="23"/>
      <c r="BW118" s="23"/>
      <c r="BX118" s="23"/>
      <c r="BY118" s="23"/>
      <c r="BZ118" s="23"/>
      <c r="CA118" s="23"/>
      <c r="CB118" s="23"/>
      <c r="CC118" s="23"/>
      <c r="CD118" s="23"/>
      <c r="CE118" s="23"/>
      <c r="CF118" s="23"/>
      <c r="CG118" s="23"/>
      <c r="CH118" s="23"/>
      <c r="CI118" s="23"/>
      <c r="CJ118" s="23"/>
      <c r="CK118" s="23"/>
      <c r="CL118" s="23"/>
      <c r="CM118" s="23"/>
      <c r="CN118" s="23"/>
      <c r="CO118" s="23"/>
    </row>
    <row r="119" spans="1:93" ht="20" customHeight="1" x14ac:dyDescent="0.2">
      <c r="A119" s="60"/>
      <c r="B119" s="82"/>
      <c r="C119" s="24" t="s">
        <v>85</v>
      </c>
      <c r="D119" s="23" t="s">
        <v>267</v>
      </c>
      <c r="E119" s="23" t="s">
        <v>268</v>
      </c>
      <c r="F119" s="24">
        <v>1994</v>
      </c>
      <c r="H119" s="89">
        <v>20</v>
      </c>
      <c r="I119" s="85" t="s">
        <v>340</v>
      </c>
      <c r="J119" s="116"/>
      <c r="K119" s="229"/>
      <c r="L119" s="230"/>
      <c r="M119" s="230" t="str">
        <f t="shared" si="45"/>
        <v/>
      </c>
      <c r="N119" s="230" t="str">
        <f t="shared" si="46"/>
        <v/>
      </c>
      <c r="O119" s="231"/>
      <c r="P119" s="231"/>
      <c r="Q119" s="231" t="str">
        <f t="shared" si="47"/>
        <v/>
      </c>
      <c r="R119" s="237" t="str">
        <f t="shared" si="48"/>
        <v/>
      </c>
      <c r="S119" s="239" t="str">
        <f t="shared" si="58"/>
        <v/>
      </c>
      <c r="T119" s="232"/>
      <c r="U119" s="229"/>
      <c r="V119" s="230"/>
      <c r="W119" s="230" t="str">
        <f t="shared" si="49"/>
        <v/>
      </c>
      <c r="X119" s="230" t="str">
        <f t="shared" si="50"/>
        <v/>
      </c>
      <c r="Y119" s="231"/>
      <c r="Z119" s="231"/>
      <c r="AA119" s="231" t="str">
        <f t="shared" si="51"/>
        <v/>
      </c>
      <c r="AB119" s="237" t="str">
        <f t="shared" si="52"/>
        <v/>
      </c>
      <c r="AC119" s="239" t="str">
        <f t="shared" si="53"/>
        <v/>
      </c>
      <c r="AD119" s="232"/>
      <c r="AE119" s="229"/>
      <c r="AF119" s="230"/>
      <c r="AG119" s="270" t="str">
        <f t="shared" si="59"/>
        <v/>
      </c>
      <c r="AH119" s="230"/>
      <c r="AI119" s="231"/>
      <c r="AJ119" s="231"/>
      <c r="AK119" s="271" t="str">
        <f t="shared" si="60"/>
        <v/>
      </c>
      <c r="AL119" s="237"/>
      <c r="AM119" s="239"/>
      <c r="AN119" s="232"/>
      <c r="AO119" s="229"/>
      <c r="AP119" s="230"/>
      <c r="AQ119" s="270" t="str">
        <f t="shared" si="56"/>
        <v/>
      </c>
      <c r="AR119" s="230"/>
      <c r="AS119" s="231"/>
      <c r="AT119" s="231"/>
      <c r="AU119" s="271" t="str">
        <f t="shared" si="57"/>
        <v/>
      </c>
      <c r="AV119" s="237"/>
      <c r="AW119" s="239"/>
      <c r="AX119" s="232"/>
      <c r="AY119" s="23"/>
      <c r="AZ119" s="289"/>
      <c r="BA119" s="230"/>
      <c r="BB119" s="230"/>
      <c r="BC119" s="230"/>
      <c r="BD119" s="231"/>
      <c r="BE119" s="231"/>
      <c r="BF119" s="231"/>
      <c r="BG119" s="237"/>
      <c r="BH119" s="239"/>
      <c r="BI119" s="232"/>
      <c r="BJ119" s="23"/>
      <c r="BK119" s="23"/>
      <c r="BL119" s="23"/>
      <c r="BM119" s="23"/>
      <c r="BN119" s="23"/>
      <c r="BO119" s="23"/>
      <c r="BP119" s="23"/>
      <c r="BQ119" s="23"/>
      <c r="BR119" s="23"/>
      <c r="BS119" s="23"/>
      <c r="BT119" s="23"/>
      <c r="BU119" s="23"/>
      <c r="BV119" s="23"/>
      <c r="BW119" s="23"/>
      <c r="BX119" s="23"/>
      <c r="BY119" s="23"/>
      <c r="BZ119" s="23"/>
      <c r="CA119" s="23"/>
      <c r="CB119" s="23"/>
      <c r="CC119" s="23"/>
      <c r="CD119" s="23"/>
      <c r="CE119" s="23"/>
      <c r="CF119" s="23"/>
      <c r="CG119" s="23"/>
      <c r="CH119" s="23"/>
      <c r="CI119" s="23"/>
      <c r="CJ119" s="23"/>
      <c r="CK119" s="23"/>
      <c r="CL119" s="23"/>
      <c r="CM119" s="23"/>
      <c r="CN119" s="23"/>
      <c r="CO119" s="23"/>
    </row>
    <row r="120" spans="1:93" ht="20" customHeight="1" x14ac:dyDescent="0.2">
      <c r="A120" s="60"/>
      <c r="B120" s="82"/>
      <c r="C120" s="24" t="s">
        <v>85</v>
      </c>
      <c r="D120" s="23" t="s">
        <v>63</v>
      </c>
      <c r="E120" s="23" t="s">
        <v>64</v>
      </c>
      <c r="F120" s="24">
        <v>2012</v>
      </c>
      <c r="G120" s="24">
        <v>83</v>
      </c>
      <c r="H120" s="89">
        <v>70</v>
      </c>
      <c r="I120" s="85" t="s">
        <v>182</v>
      </c>
      <c r="J120" s="116" t="s">
        <v>191</v>
      </c>
      <c r="K120" s="229">
        <v>102</v>
      </c>
      <c r="L120" s="230">
        <v>54.8</v>
      </c>
      <c r="M120" s="230">
        <f t="shared" si="45"/>
        <v>-47.2</v>
      </c>
      <c r="N120" s="230">
        <f t="shared" si="46"/>
        <v>-46.274509803921568</v>
      </c>
      <c r="O120" s="231">
        <v>102.1</v>
      </c>
      <c r="P120" s="231">
        <v>92.4</v>
      </c>
      <c r="Q120" s="231">
        <f t="shared" si="47"/>
        <v>-9.6999999999999886</v>
      </c>
      <c r="R120" s="237">
        <f t="shared" si="48"/>
        <v>-9.5004897159647328</v>
      </c>
      <c r="S120" s="239">
        <f t="shared" si="58"/>
        <v>-37.500000000000014</v>
      </c>
      <c r="T120" s="232"/>
      <c r="U120" s="229">
        <v>530.79999999999995</v>
      </c>
      <c r="V120" s="230">
        <v>571.29999999999995</v>
      </c>
      <c r="W120" s="230">
        <f t="shared" si="49"/>
        <v>40.5</v>
      </c>
      <c r="X120" s="230">
        <f t="shared" si="50"/>
        <v>7.6299924642049746</v>
      </c>
      <c r="Y120" s="231">
        <v>545.5</v>
      </c>
      <c r="Z120" s="231">
        <v>558</v>
      </c>
      <c r="AA120" s="231">
        <f t="shared" si="51"/>
        <v>12.5</v>
      </c>
      <c r="AB120" s="237">
        <f t="shared" si="52"/>
        <v>2.2914757103574601</v>
      </c>
      <c r="AC120" s="239">
        <f t="shared" si="53"/>
        <v>28</v>
      </c>
      <c r="AD120" s="232"/>
      <c r="AE120" s="229"/>
      <c r="AF120" s="230"/>
      <c r="AG120" s="270" t="str">
        <f t="shared" si="59"/>
        <v/>
      </c>
      <c r="AH120" s="230"/>
      <c r="AI120" s="231"/>
      <c r="AJ120" s="231"/>
      <c r="AK120" s="271" t="str">
        <f t="shared" si="60"/>
        <v/>
      </c>
      <c r="AL120" s="237"/>
      <c r="AM120" s="239"/>
      <c r="AN120" s="232"/>
      <c r="AO120" s="229"/>
      <c r="AP120" s="230"/>
      <c r="AQ120" s="270" t="str">
        <f t="shared" si="56"/>
        <v/>
      </c>
      <c r="AR120" s="230"/>
      <c r="AS120" s="231"/>
      <c r="AT120" s="231"/>
      <c r="AU120" s="271" t="str">
        <f t="shared" si="57"/>
        <v/>
      </c>
      <c r="AV120" s="237"/>
      <c r="AW120" s="239"/>
      <c r="AX120" s="232"/>
      <c r="AY120" s="23"/>
      <c r="AZ120" s="289"/>
      <c r="BA120" s="230"/>
      <c r="BB120" s="230"/>
      <c r="BC120" s="230"/>
      <c r="BD120" s="231"/>
      <c r="BE120" s="231"/>
      <c r="BF120" s="231"/>
      <c r="BG120" s="237"/>
      <c r="BH120" s="239"/>
      <c r="BI120" s="232"/>
      <c r="BJ120" s="23"/>
      <c r="BK120" s="23"/>
      <c r="BL120" s="23"/>
      <c r="BM120" s="23"/>
      <c r="BN120" s="23"/>
      <c r="BO120" s="23"/>
      <c r="BP120" s="23"/>
      <c r="BQ120" s="23"/>
      <c r="BR120" s="23"/>
      <c r="BS120" s="23"/>
      <c r="BT120" s="23"/>
      <c r="BU120" s="23"/>
      <c r="BV120" s="23"/>
      <c r="BW120" s="23"/>
      <c r="BX120" s="23"/>
      <c r="BY120" s="23"/>
      <c r="BZ120" s="23"/>
      <c r="CA120" s="23"/>
      <c r="CB120" s="23"/>
      <c r="CC120" s="23"/>
      <c r="CD120" s="23"/>
      <c r="CE120" s="23"/>
      <c r="CF120" s="23"/>
      <c r="CG120" s="23"/>
      <c r="CH120" s="23"/>
      <c r="CI120" s="23"/>
      <c r="CJ120" s="23"/>
      <c r="CK120" s="23"/>
      <c r="CL120" s="23"/>
      <c r="CM120" s="23"/>
      <c r="CN120" s="23"/>
      <c r="CO120" s="23"/>
    </row>
    <row r="121" spans="1:93" ht="20" customHeight="1" x14ac:dyDescent="0.2">
      <c r="A121" s="60"/>
      <c r="B121" s="82"/>
      <c r="C121" s="24" t="s">
        <v>85</v>
      </c>
      <c r="D121" s="23" t="s">
        <v>283</v>
      </c>
      <c r="E121" s="23" t="s">
        <v>284</v>
      </c>
      <c r="F121" s="24">
        <v>2014</v>
      </c>
      <c r="H121" s="89">
        <v>27</v>
      </c>
      <c r="I121" s="85" t="s">
        <v>185</v>
      </c>
      <c r="J121" s="116" t="s">
        <v>193</v>
      </c>
      <c r="K121" s="229"/>
      <c r="L121" s="230"/>
      <c r="M121" s="230" t="str">
        <f t="shared" si="45"/>
        <v/>
      </c>
      <c r="N121" s="230" t="str">
        <f t="shared" si="46"/>
        <v/>
      </c>
      <c r="O121" s="231"/>
      <c r="P121" s="231"/>
      <c r="Q121" s="231" t="str">
        <f t="shared" si="47"/>
        <v/>
      </c>
      <c r="R121" s="237" t="str">
        <f t="shared" si="48"/>
        <v/>
      </c>
      <c r="S121" s="273">
        <v>0.01</v>
      </c>
      <c r="T121" s="232"/>
      <c r="U121" s="229"/>
      <c r="V121" s="230"/>
      <c r="W121" s="230" t="str">
        <f t="shared" si="49"/>
        <v/>
      </c>
      <c r="X121" s="230" t="str">
        <f t="shared" si="50"/>
        <v/>
      </c>
      <c r="Y121" s="231"/>
      <c r="Z121" s="231"/>
      <c r="AA121" s="231" t="str">
        <f t="shared" si="51"/>
        <v/>
      </c>
      <c r="AB121" s="237" t="str">
        <f t="shared" si="52"/>
        <v/>
      </c>
      <c r="AC121" s="239" t="str">
        <f t="shared" si="53"/>
        <v/>
      </c>
      <c r="AD121" s="232"/>
      <c r="AE121" s="229"/>
      <c r="AF121" s="230"/>
      <c r="AG121" s="270" t="str">
        <f t="shared" si="59"/>
        <v/>
      </c>
      <c r="AH121" s="230"/>
      <c r="AI121" s="231"/>
      <c r="AJ121" s="231"/>
      <c r="AK121" s="271" t="str">
        <f t="shared" si="60"/>
        <v/>
      </c>
      <c r="AL121" s="237"/>
      <c r="AM121" s="273">
        <v>-0.26</v>
      </c>
      <c r="AN121" s="232"/>
      <c r="AO121" s="229"/>
      <c r="AP121" s="230"/>
      <c r="AQ121" s="270" t="str">
        <f t="shared" si="56"/>
        <v/>
      </c>
      <c r="AR121" s="230"/>
      <c r="AS121" s="231"/>
      <c r="AT121" s="231"/>
      <c r="AU121" s="271" t="str">
        <f t="shared" si="57"/>
        <v/>
      </c>
      <c r="AV121" s="237"/>
      <c r="AW121" s="239"/>
      <c r="AX121" s="232"/>
      <c r="AY121" s="23"/>
      <c r="AZ121" s="289"/>
      <c r="BA121" s="230"/>
      <c r="BB121" s="230"/>
      <c r="BC121" s="230"/>
      <c r="BD121" s="231"/>
      <c r="BE121" s="231"/>
      <c r="BF121" s="231"/>
      <c r="BG121" s="237"/>
      <c r="BH121" s="239"/>
      <c r="BI121" s="232">
        <v>0.6</v>
      </c>
      <c r="BJ121" s="23"/>
      <c r="BK121" s="23"/>
      <c r="BL121" s="23"/>
      <c r="BM121" s="23"/>
      <c r="BN121" s="23"/>
      <c r="BO121" s="23"/>
      <c r="BP121" s="23"/>
      <c r="BQ121" s="23"/>
      <c r="BR121" s="23"/>
      <c r="BS121" s="23"/>
      <c r="BT121" s="23"/>
      <c r="BU121" s="23"/>
      <c r="BV121" s="23"/>
      <c r="BW121" s="23"/>
      <c r="BX121" s="23"/>
      <c r="BY121" s="23"/>
      <c r="BZ121" s="23"/>
      <c r="CA121" s="23"/>
      <c r="CB121" s="23"/>
      <c r="CC121" s="23"/>
      <c r="CD121" s="23"/>
      <c r="CE121" s="23"/>
      <c r="CF121" s="23"/>
      <c r="CG121" s="23"/>
      <c r="CH121" s="23"/>
      <c r="CI121" s="23"/>
      <c r="CJ121" s="23"/>
      <c r="CK121" s="23"/>
      <c r="CL121" s="23"/>
      <c r="CM121" s="23"/>
      <c r="CN121" s="23"/>
      <c r="CO121" s="23"/>
    </row>
    <row r="122" spans="1:93" ht="20" customHeight="1" x14ac:dyDescent="0.2">
      <c r="A122" s="60"/>
      <c r="B122" s="82"/>
      <c r="C122" s="24" t="s">
        <v>85</v>
      </c>
      <c r="D122" s="23" t="s">
        <v>79</v>
      </c>
      <c r="E122" s="23" t="s">
        <v>80</v>
      </c>
      <c r="F122" s="24">
        <v>2015</v>
      </c>
      <c r="G122" s="24">
        <v>10</v>
      </c>
      <c r="H122" s="89">
        <v>11</v>
      </c>
      <c r="I122" s="85" t="s">
        <v>195</v>
      </c>
      <c r="J122" s="116" t="s">
        <v>169</v>
      </c>
      <c r="K122" s="229"/>
      <c r="L122" s="230"/>
      <c r="M122" s="230" t="str">
        <f t="shared" si="45"/>
        <v/>
      </c>
      <c r="N122" s="230" t="str">
        <f t="shared" si="46"/>
        <v/>
      </c>
      <c r="O122" s="231"/>
      <c r="P122" s="231"/>
      <c r="Q122" s="231" t="str">
        <f t="shared" si="47"/>
        <v/>
      </c>
      <c r="R122" s="237" t="str">
        <f t="shared" si="48"/>
        <v/>
      </c>
      <c r="S122" s="239" t="str">
        <f t="shared" ref="S122:S138" si="61">IF(NOT(ISERROR(M122-Q122)), M122-Q122, "")</f>
        <v/>
      </c>
      <c r="T122" s="232"/>
      <c r="U122" s="229">
        <v>584</v>
      </c>
      <c r="V122" s="230">
        <v>594</v>
      </c>
      <c r="W122" s="230">
        <f t="shared" si="49"/>
        <v>10</v>
      </c>
      <c r="X122" s="230">
        <f t="shared" si="50"/>
        <v>1.7123287671232816</v>
      </c>
      <c r="Y122" s="231">
        <v>584</v>
      </c>
      <c r="Z122" s="231">
        <v>574</v>
      </c>
      <c r="AA122" s="231">
        <f t="shared" si="51"/>
        <v>-10</v>
      </c>
      <c r="AB122" s="237">
        <f t="shared" si="52"/>
        <v>-1.7123287671232816</v>
      </c>
      <c r="AC122" s="239">
        <f t="shared" si="53"/>
        <v>20</v>
      </c>
      <c r="AD122" s="232"/>
      <c r="AE122" s="229"/>
      <c r="AF122" s="230"/>
      <c r="AG122" s="270" t="str">
        <f t="shared" si="59"/>
        <v/>
      </c>
      <c r="AH122" s="230"/>
      <c r="AI122" s="231"/>
      <c r="AJ122" s="231"/>
      <c r="AK122" s="271" t="str">
        <f t="shared" si="60"/>
        <v/>
      </c>
      <c r="AL122" s="237"/>
      <c r="AM122" s="239"/>
      <c r="AN122" s="232"/>
      <c r="AO122" s="229"/>
      <c r="AP122" s="230"/>
      <c r="AQ122" s="270" t="str">
        <f t="shared" si="56"/>
        <v/>
      </c>
      <c r="AR122" s="230"/>
      <c r="AS122" s="231"/>
      <c r="AT122" s="231"/>
      <c r="AU122" s="271" t="str">
        <f t="shared" si="57"/>
        <v/>
      </c>
      <c r="AV122" s="237"/>
      <c r="AW122" s="239"/>
      <c r="AX122" s="232"/>
      <c r="AY122" s="23"/>
      <c r="AZ122" s="289"/>
      <c r="BA122" s="230"/>
      <c r="BB122" s="230"/>
      <c r="BC122" s="230"/>
      <c r="BD122" s="231"/>
      <c r="BE122" s="231"/>
      <c r="BF122" s="231"/>
      <c r="BG122" s="237"/>
      <c r="BH122" s="239"/>
      <c r="BI122" s="232"/>
      <c r="BJ122" s="23" t="s">
        <v>225</v>
      </c>
      <c r="BK122" s="23"/>
      <c r="BL122" s="23"/>
      <c r="BM122" s="23"/>
      <c r="BN122" s="23"/>
      <c r="BO122" s="23"/>
      <c r="BP122" s="23"/>
      <c r="BQ122" s="23"/>
      <c r="BR122" s="23"/>
      <c r="BS122" s="23"/>
      <c r="BT122" s="23"/>
      <c r="BU122" s="23"/>
      <c r="BV122" s="23"/>
      <c r="BW122" s="23"/>
      <c r="BX122" s="23"/>
      <c r="BY122" s="23"/>
      <c r="BZ122" s="23"/>
      <c r="CA122" s="23"/>
      <c r="CB122" s="23"/>
      <c r="CC122" s="23"/>
      <c r="CD122" s="23"/>
      <c r="CE122" s="23"/>
      <c r="CF122" s="23"/>
      <c r="CG122" s="23"/>
      <c r="CH122" s="23"/>
      <c r="CI122" s="23"/>
      <c r="CJ122" s="23"/>
      <c r="CK122" s="23"/>
      <c r="CL122" s="23"/>
      <c r="CM122" s="23"/>
      <c r="CN122" s="23"/>
      <c r="CO122" s="23"/>
    </row>
    <row r="123" spans="1:93" ht="20" customHeight="1" x14ac:dyDescent="0.2">
      <c r="A123" s="61"/>
      <c r="B123" s="82"/>
      <c r="C123" s="24" t="s">
        <v>85</v>
      </c>
      <c r="D123" s="23" t="s">
        <v>534</v>
      </c>
      <c r="E123" s="23" t="s">
        <v>535</v>
      </c>
      <c r="F123" s="24">
        <v>1998</v>
      </c>
      <c r="H123" s="89">
        <v>22</v>
      </c>
      <c r="I123" s="85"/>
      <c r="J123" s="116"/>
      <c r="K123" s="229"/>
      <c r="L123" s="230"/>
      <c r="M123" s="230" t="str">
        <f t="shared" si="45"/>
        <v/>
      </c>
      <c r="N123" s="230" t="str">
        <f t="shared" si="46"/>
        <v/>
      </c>
      <c r="O123" s="231"/>
      <c r="P123" s="231"/>
      <c r="Q123" s="231" t="str">
        <f t="shared" si="47"/>
        <v/>
      </c>
      <c r="R123" s="237" t="str">
        <f t="shared" si="48"/>
        <v/>
      </c>
      <c r="S123" s="239" t="str">
        <f t="shared" si="61"/>
        <v/>
      </c>
      <c r="T123" s="232"/>
      <c r="U123" s="229"/>
      <c r="V123" s="230"/>
      <c r="W123" s="230" t="str">
        <f t="shared" si="49"/>
        <v/>
      </c>
      <c r="X123" s="230" t="str">
        <f t="shared" si="50"/>
        <v/>
      </c>
      <c r="Y123" s="231"/>
      <c r="Z123" s="231"/>
      <c r="AA123" s="231" t="str">
        <f t="shared" si="51"/>
        <v/>
      </c>
      <c r="AB123" s="237" t="str">
        <f t="shared" si="52"/>
        <v/>
      </c>
      <c r="AC123" s="239" t="str">
        <f t="shared" si="53"/>
        <v/>
      </c>
      <c r="AD123" s="232"/>
      <c r="AE123" s="229"/>
      <c r="AF123" s="230"/>
      <c r="AG123" s="270" t="str">
        <f t="shared" si="59"/>
        <v/>
      </c>
      <c r="AH123" s="230"/>
      <c r="AI123" s="231"/>
      <c r="AJ123" s="231"/>
      <c r="AK123" s="271" t="str">
        <f t="shared" si="60"/>
        <v/>
      </c>
      <c r="AL123" s="237"/>
      <c r="AM123" s="239"/>
      <c r="AN123" s="232"/>
      <c r="AO123" s="229"/>
      <c r="AP123" s="230"/>
      <c r="AQ123" s="270" t="str">
        <f t="shared" si="56"/>
        <v/>
      </c>
      <c r="AR123" s="230"/>
      <c r="AS123" s="231"/>
      <c r="AT123" s="231"/>
      <c r="AU123" s="271" t="str">
        <f t="shared" si="57"/>
        <v/>
      </c>
      <c r="AV123" s="237"/>
      <c r="AW123" s="239"/>
      <c r="AX123" s="232"/>
      <c r="AY123" s="23"/>
      <c r="AZ123" s="289"/>
      <c r="BA123" s="230"/>
      <c r="BB123" s="230"/>
      <c r="BC123" s="230"/>
      <c r="BD123" s="231"/>
      <c r="BE123" s="231"/>
      <c r="BF123" s="231"/>
      <c r="BG123" s="237"/>
      <c r="BH123" s="239"/>
      <c r="BI123" s="232"/>
      <c r="BJ123" s="23"/>
      <c r="BK123" s="23"/>
      <c r="BL123" s="23"/>
      <c r="BM123" s="23"/>
      <c r="BN123" s="23"/>
      <c r="BO123" s="23"/>
      <c r="BP123" s="23"/>
      <c r="BQ123" s="23"/>
      <c r="BR123" s="23"/>
      <c r="BS123" s="23"/>
      <c r="BT123" s="23"/>
      <c r="BU123" s="23"/>
      <c r="BV123" s="23"/>
      <c r="BW123" s="23"/>
      <c r="BX123" s="23"/>
      <c r="BY123" s="23"/>
      <c r="BZ123" s="23"/>
      <c r="CA123" s="23"/>
      <c r="CB123" s="23"/>
      <c r="CC123" s="23"/>
      <c r="CD123" s="23"/>
      <c r="CE123" s="23"/>
      <c r="CF123" s="23"/>
      <c r="CG123" s="23"/>
      <c r="CH123" s="23"/>
      <c r="CI123" s="23"/>
      <c r="CJ123" s="23"/>
      <c r="CK123" s="23"/>
      <c r="CL123" s="23"/>
      <c r="CM123" s="23"/>
      <c r="CN123" s="23"/>
      <c r="CO123" s="23"/>
    </row>
    <row r="124" spans="1:93" ht="20" customHeight="1" x14ac:dyDescent="0.2">
      <c r="A124" s="60"/>
      <c r="B124" s="83"/>
      <c r="C124" s="24" t="s">
        <v>85</v>
      </c>
      <c r="D124" s="23" t="s">
        <v>291</v>
      </c>
      <c r="E124" s="23" t="s">
        <v>292</v>
      </c>
      <c r="F124" s="24">
        <v>2009</v>
      </c>
      <c r="H124" s="89">
        <v>20</v>
      </c>
      <c r="I124" s="85" t="s">
        <v>214</v>
      </c>
      <c r="J124" s="116" t="s">
        <v>191</v>
      </c>
      <c r="K124" s="229"/>
      <c r="L124" s="230">
        <v>15</v>
      </c>
      <c r="M124" s="230" t="str">
        <f t="shared" si="45"/>
        <v/>
      </c>
      <c r="N124" s="230" t="str">
        <f t="shared" si="46"/>
        <v/>
      </c>
      <c r="O124" s="231"/>
      <c r="P124" s="231">
        <v>45</v>
      </c>
      <c r="Q124" s="231" t="str">
        <f t="shared" si="47"/>
        <v/>
      </c>
      <c r="R124" s="237" t="str">
        <f t="shared" si="48"/>
        <v/>
      </c>
      <c r="S124" s="239" t="str">
        <f t="shared" si="61"/>
        <v/>
      </c>
      <c r="T124" s="232"/>
      <c r="U124" s="229"/>
      <c r="V124" s="230">
        <v>480</v>
      </c>
      <c r="W124" s="230" t="str">
        <f t="shared" si="49"/>
        <v/>
      </c>
      <c r="X124" s="230" t="str">
        <f t="shared" si="50"/>
        <v/>
      </c>
      <c r="Y124" s="231"/>
      <c r="Z124" s="231">
        <v>345</v>
      </c>
      <c r="AA124" s="231" t="str">
        <f t="shared" si="51"/>
        <v/>
      </c>
      <c r="AB124" s="237" t="str">
        <f t="shared" si="52"/>
        <v/>
      </c>
      <c r="AC124" s="239" t="str">
        <f t="shared" si="53"/>
        <v/>
      </c>
      <c r="AD124" s="232"/>
      <c r="AE124" s="229"/>
      <c r="AF124" s="230"/>
      <c r="AG124" s="270" t="str">
        <f t="shared" si="59"/>
        <v/>
      </c>
      <c r="AH124" s="230"/>
      <c r="AI124" s="231"/>
      <c r="AJ124" s="231"/>
      <c r="AK124" s="271" t="str">
        <f t="shared" si="60"/>
        <v/>
      </c>
      <c r="AL124" s="237"/>
      <c r="AM124" s="239"/>
      <c r="AN124" s="232"/>
      <c r="AO124" s="229"/>
      <c r="AP124" s="230"/>
      <c r="AQ124" s="270" t="str">
        <f t="shared" si="56"/>
        <v/>
      </c>
      <c r="AR124" s="230"/>
      <c r="AS124" s="231"/>
      <c r="AT124" s="231"/>
      <c r="AU124" s="271" t="str">
        <f t="shared" si="57"/>
        <v/>
      </c>
      <c r="AV124" s="237"/>
      <c r="AW124" s="239"/>
      <c r="AX124" s="232"/>
      <c r="AY124" s="23"/>
      <c r="AZ124" s="289"/>
      <c r="BA124" s="230"/>
      <c r="BB124" s="230"/>
      <c r="BC124" s="230"/>
      <c r="BD124" s="231"/>
      <c r="BE124" s="231"/>
      <c r="BF124" s="231"/>
      <c r="BG124" s="237"/>
      <c r="BH124" s="239"/>
      <c r="BI124" s="232"/>
      <c r="BJ124" s="23" t="s">
        <v>450</v>
      </c>
      <c r="BK124" s="23"/>
      <c r="BL124" s="23"/>
      <c r="BM124" s="23"/>
      <c r="BN124" s="23"/>
      <c r="BO124" s="23"/>
      <c r="BP124" s="23"/>
      <c r="BQ124" s="23"/>
      <c r="BR124" s="23"/>
      <c r="BS124" s="23"/>
      <c r="BT124" s="23"/>
      <c r="BU124" s="23"/>
      <c r="BV124" s="23"/>
      <c r="BW124" s="23"/>
      <c r="BX124" s="23"/>
      <c r="BY124" s="23"/>
      <c r="BZ124" s="23"/>
      <c r="CA124" s="23"/>
      <c r="CB124" s="23"/>
      <c r="CC124" s="23"/>
      <c r="CD124" s="23"/>
      <c r="CE124" s="23"/>
      <c r="CF124" s="23"/>
      <c r="CG124" s="23"/>
      <c r="CH124" s="23"/>
      <c r="CI124" s="23"/>
      <c r="CJ124" s="23"/>
      <c r="CK124" s="23"/>
      <c r="CL124" s="23"/>
      <c r="CM124" s="23"/>
      <c r="CN124" s="23"/>
      <c r="CO124" s="23"/>
    </row>
    <row r="125" spans="1:93" ht="20" customHeight="1" x14ac:dyDescent="0.2">
      <c r="A125" s="60"/>
      <c r="B125" s="83"/>
      <c r="C125" s="24" t="s">
        <v>85</v>
      </c>
      <c r="D125" s="23" t="s">
        <v>301</v>
      </c>
      <c r="E125" s="23" t="s">
        <v>302</v>
      </c>
      <c r="F125" s="24">
        <v>2015</v>
      </c>
      <c r="H125" s="89">
        <v>41</v>
      </c>
      <c r="I125" s="85" t="s">
        <v>185</v>
      </c>
      <c r="J125" s="116"/>
      <c r="K125" s="229"/>
      <c r="L125" s="230"/>
      <c r="M125" s="230" t="str">
        <f t="shared" si="45"/>
        <v/>
      </c>
      <c r="N125" s="230" t="str">
        <f t="shared" si="46"/>
        <v/>
      </c>
      <c r="O125" s="231"/>
      <c r="P125" s="231"/>
      <c r="Q125" s="231" t="str">
        <f t="shared" si="47"/>
        <v/>
      </c>
      <c r="R125" s="237" t="str">
        <f t="shared" si="48"/>
        <v/>
      </c>
      <c r="S125" s="239" t="str">
        <f t="shared" si="61"/>
        <v/>
      </c>
      <c r="T125" s="232"/>
      <c r="U125" s="229"/>
      <c r="V125" s="230"/>
      <c r="W125" s="230" t="str">
        <f t="shared" si="49"/>
        <v/>
      </c>
      <c r="X125" s="230" t="str">
        <f t="shared" si="50"/>
        <v/>
      </c>
      <c r="Y125" s="231"/>
      <c r="Z125" s="231"/>
      <c r="AA125" s="231" t="str">
        <f t="shared" si="51"/>
        <v/>
      </c>
      <c r="AB125" s="237" t="str">
        <f t="shared" si="52"/>
        <v/>
      </c>
      <c r="AC125" s="239" t="str">
        <f t="shared" si="53"/>
        <v/>
      </c>
      <c r="AD125" s="232"/>
      <c r="AE125" s="229"/>
      <c r="AF125" s="230"/>
      <c r="AG125" s="270" t="str">
        <f t="shared" si="59"/>
        <v/>
      </c>
      <c r="AH125" s="230"/>
      <c r="AI125" s="231"/>
      <c r="AJ125" s="231"/>
      <c r="AK125" s="271" t="str">
        <f t="shared" si="60"/>
        <v/>
      </c>
      <c r="AL125" s="237"/>
      <c r="AM125" s="239"/>
      <c r="AN125" s="232"/>
      <c r="AO125" s="229"/>
      <c r="AP125" s="230"/>
      <c r="AQ125" s="270" t="str">
        <f t="shared" si="56"/>
        <v/>
      </c>
      <c r="AR125" s="230"/>
      <c r="AS125" s="231"/>
      <c r="AT125" s="231"/>
      <c r="AU125" s="271" t="str">
        <f t="shared" si="57"/>
        <v/>
      </c>
      <c r="AV125" s="237"/>
      <c r="AW125" s="239"/>
      <c r="AX125" s="232"/>
      <c r="AY125" s="23"/>
      <c r="AZ125" s="289"/>
      <c r="BA125" s="230"/>
      <c r="BB125" s="230"/>
      <c r="BC125" s="230"/>
      <c r="BD125" s="231"/>
      <c r="BE125" s="231"/>
      <c r="BF125" s="231"/>
      <c r="BG125" s="237"/>
      <c r="BH125" s="239"/>
      <c r="BI125" s="232"/>
      <c r="BJ125" s="23"/>
      <c r="BK125" s="23"/>
      <c r="BL125" s="23"/>
      <c r="BM125" s="23"/>
      <c r="BN125" s="23"/>
      <c r="BO125" s="23"/>
      <c r="BP125" s="23"/>
      <c r="BQ125" s="23"/>
      <c r="BR125" s="23"/>
      <c r="BS125" s="23"/>
      <c r="BT125" s="23"/>
      <c r="BU125" s="23"/>
      <c r="BV125" s="23"/>
      <c r="BW125" s="23"/>
      <c r="BX125" s="23"/>
      <c r="BY125" s="23"/>
      <c r="BZ125" s="23"/>
      <c r="CA125" s="23"/>
      <c r="CB125" s="23"/>
      <c r="CC125" s="23"/>
      <c r="CD125" s="23"/>
      <c r="CE125" s="23"/>
      <c r="CF125" s="23"/>
      <c r="CG125" s="23"/>
      <c r="CH125" s="23"/>
      <c r="CI125" s="23"/>
      <c r="CJ125" s="23"/>
      <c r="CK125" s="23"/>
      <c r="CL125" s="23"/>
      <c r="CM125" s="23"/>
      <c r="CN125" s="23"/>
      <c r="CO125" s="23"/>
    </row>
    <row r="126" spans="1:93" ht="20" customHeight="1" x14ac:dyDescent="0.2">
      <c r="A126" s="61"/>
      <c r="B126" s="24"/>
      <c r="C126" s="24" t="s">
        <v>85</v>
      </c>
      <c r="D126" s="23" t="s">
        <v>105</v>
      </c>
      <c r="E126" s="23" t="s">
        <v>106</v>
      </c>
      <c r="F126" s="24">
        <v>1989</v>
      </c>
      <c r="G126" s="24">
        <v>27</v>
      </c>
      <c r="H126" s="89"/>
      <c r="I126" s="85" t="s">
        <v>209</v>
      </c>
      <c r="J126" s="116" t="s">
        <v>178</v>
      </c>
      <c r="K126" s="229"/>
      <c r="L126" s="230"/>
      <c r="M126" s="230" t="str">
        <f t="shared" si="45"/>
        <v/>
      </c>
      <c r="N126" s="230" t="str">
        <f t="shared" si="46"/>
        <v/>
      </c>
      <c r="O126" s="231"/>
      <c r="P126" s="231"/>
      <c r="Q126" s="231" t="str">
        <f t="shared" si="47"/>
        <v/>
      </c>
      <c r="R126" s="237" t="str">
        <f t="shared" si="48"/>
        <v/>
      </c>
      <c r="S126" s="239" t="str">
        <f t="shared" si="61"/>
        <v/>
      </c>
      <c r="T126" s="232"/>
      <c r="U126" s="229"/>
      <c r="V126" s="230"/>
      <c r="W126" s="230" t="str">
        <f t="shared" si="49"/>
        <v/>
      </c>
      <c r="X126" s="230" t="str">
        <f t="shared" si="50"/>
        <v/>
      </c>
      <c r="Y126" s="231"/>
      <c r="Z126" s="231"/>
      <c r="AA126" s="231" t="str">
        <f t="shared" si="51"/>
        <v/>
      </c>
      <c r="AB126" s="237" t="str">
        <f t="shared" si="52"/>
        <v/>
      </c>
      <c r="AC126" s="239" t="str">
        <f t="shared" si="53"/>
        <v/>
      </c>
      <c r="AD126" s="232"/>
      <c r="AE126" s="229"/>
      <c r="AF126" s="230"/>
      <c r="AG126" s="270" t="str">
        <f t="shared" si="59"/>
        <v/>
      </c>
      <c r="AH126" s="230"/>
      <c r="AI126" s="231"/>
      <c r="AJ126" s="231"/>
      <c r="AK126" s="271" t="str">
        <f t="shared" si="60"/>
        <v/>
      </c>
      <c r="AL126" s="237"/>
      <c r="AM126" s="239"/>
      <c r="AN126" s="232"/>
      <c r="AO126" s="229"/>
      <c r="AP126" s="230"/>
      <c r="AQ126" s="270" t="str">
        <f t="shared" si="56"/>
        <v/>
      </c>
      <c r="AR126" s="230"/>
      <c r="AS126" s="231"/>
      <c r="AT126" s="231"/>
      <c r="AU126" s="271" t="str">
        <f t="shared" si="57"/>
        <v/>
      </c>
      <c r="AV126" s="237"/>
      <c r="AW126" s="239"/>
      <c r="AX126" s="232"/>
      <c r="AY126" s="23"/>
      <c r="AZ126" s="289"/>
      <c r="BA126" s="230"/>
      <c r="BB126" s="230"/>
      <c r="BC126" s="230"/>
      <c r="BD126" s="231"/>
      <c r="BE126" s="231"/>
      <c r="BF126" s="231"/>
      <c r="BG126" s="237"/>
      <c r="BH126" s="239"/>
      <c r="BI126" s="232"/>
      <c r="BJ126" s="23"/>
      <c r="BK126" s="23"/>
      <c r="BL126" s="23"/>
      <c r="BM126" s="23"/>
      <c r="BN126" s="23"/>
      <c r="BO126" s="23"/>
      <c r="BP126" s="23"/>
      <c r="BQ126" s="23"/>
      <c r="BR126" s="23"/>
      <c r="BS126" s="23"/>
      <c r="BT126" s="23"/>
      <c r="BU126" s="23"/>
      <c r="BV126" s="23"/>
      <c r="BW126" s="23"/>
      <c r="BX126" s="23"/>
      <c r="BY126" s="23"/>
      <c r="BZ126" s="23"/>
      <c r="CA126" s="23"/>
      <c r="CB126" s="23"/>
      <c r="CC126" s="23"/>
      <c r="CD126" s="23"/>
      <c r="CE126" s="23"/>
      <c r="CF126" s="23"/>
      <c r="CG126" s="23"/>
      <c r="CH126" s="23"/>
      <c r="CI126" s="23"/>
      <c r="CJ126" s="23"/>
      <c r="CK126" s="23"/>
      <c r="CL126" s="23"/>
      <c r="CM126" s="23"/>
      <c r="CN126" s="23"/>
      <c r="CO126" s="23"/>
    </row>
    <row r="127" spans="1:93" ht="20" customHeight="1" x14ac:dyDescent="0.2">
      <c r="A127" s="60"/>
      <c r="B127" s="83"/>
      <c r="C127" s="24" t="s">
        <v>85</v>
      </c>
      <c r="D127" s="23" t="s">
        <v>109</v>
      </c>
      <c r="E127" s="23" t="s">
        <v>110</v>
      </c>
      <c r="F127" s="24">
        <v>1999</v>
      </c>
      <c r="G127" s="24">
        <v>76</v>
      </c>
      <c r="H127" s="89">
        <v>7</v>
      </c>
      <c r="I127" s="85" t="s">
        <v>176</v>
      </c>
      <c r="J127" s="116" t="s">
        <v>192</v>
      </c>
      <c r="K127" s="229"/>
      <c r="L127" s="230"/>
      <c r="M127" s="230" t="str">
        <f t="shared" si="45"/>
        <v/>
      </c>
      <c r="N127" s="230" t="str">
        <f t="shared" si="46"/>
        <v/>
      </c>
      <c r="O127" s="231"/>
      <c r="P127" s="231"/>
      <c r="Q127" s="231" t="str">
        <f t="shared" si="47"/>
        <v/>
      </c>
      <c r="R127" s="237" t="str">
        <f t="shared" si="48"/>
        <v/>
      </c>
      <c r="S127" s="239" t="str">
        <f t="shared" si="61"/>
        <v/>
      </c>
      <c r="T127" s="232"/>
      <c r="U127" s="229"/>
      <c r="V127" s="230"/>
      <c r="W127" s="230">
        <v>33</v>
      </c>
      <c r="X127" s="230"/>
      <c r="Y127" s="231"/>
      <c r="Z127" s="231"/>
      <c r="AA127" s="231" t="str">
        <f t="shared" si="51"/>
        <v/>
      </c>
      <c r="AB127" s="237" t="str">
        <f t="shared" si="52"/>
        <v/>
      </c>
      <c r="AC127" s="239" t="str">
        <f t="shared" si="53"/>
        <v/>
      </c>
      <c r="AD127" s="232"/>
      <c r="AE127" s="229"/>
      <c r="AF127" s="230"/>
      <c r="AG127" s="270" t="str">
        <f t="shared" si="59"/>
        <v/>
      </c>
      <c r="AH127" s="230"/>
      <c r="AI127" s="231"/>
      <c r="AJ127" s="231"/>
      <c r="AK127" s="271" t="str">
        <f t="shared" si="60"/>
        <v/>
      </c>
      <c r="AL127" s="237"/>
      <c r="AM127" s="239"/>
      <c r="AN127" s="232"/>
      <c r="AO127" s="229"/>
      <c r="AP127" s="230"/>
      <c r="AQ127" s="270" t="str">
        <f t="shared" si="56"/>
        <v/>
      </c>
      <c r="AR127" s="230"/>
      <c r="AS127" s="231"/>
      <c r="AT127" s="231"/>
      <c r="AU127" s="271" t="str">
        <f t="shared" si="57"/>
        <v/>
      </c>
      <c r="AV127" s="237"/>
      <c r="AW127" s="239"/>
      <c r="AX127" s="232"/>
      <c r="AY127" s="23"/>
      <c r="AZ127" s="289"/>
      <c r="BA127" s="230"/>
      <c r="BB127" s="230"/>
      <c r="BC127" s="230"/>
      <c r="BD127" s="231"/>
      <c r="BE127" s="231"/>
      <c r="BF127" s="231"/>
      <c r="BG127" s="237"/>
      <c r="BH127" s="239"/>
      <c r="BI127" s="232"/>
      <c r="BJ127" s="23"/>
      <c r="BK127" s="23"/>
      <c r="BL127" s="23"/>
      <c r="BM127" s="23"/>
      <c r="BN127" s="23"/>
      <c r="BO127" s="23"/>
      <c r="BP127" s="23"/>
      <c r="BQ127" s="23"/>
      <c r="BR127" s="23"/>
      <c r="BS127" s="23"/>
      <c r="BT127" s="23"/>
      <c r="BU127" s="23"/>
      <c r="BV127" s="23"/>
      <c r="BW127" s="23"/>
      <c r="BX127" s="23"/>
      <c r="BY127" s="23"/>
      <c r="BZ127" s="23"/>
      <c r="CA127" s="23"/>
      <c r="CB127" s="23"/>
      <c r="CC127" s="23"/>
      <c r="CD127" s="23"/>
      <c r="CE127" s="23"/>
      <c r="CF127" s="23"/>
      <c r="CG127" s="23"/>
      <c r="CH127" s="23"/>
      <c r="CI127" s="23"/>
      <c r="CJ127" s="23"/>
      <c r="CK127" s="23"/>
      <c r="CL127" s="23"/>
      <c r="CM127" s="23"/>
      <c r="CN127" s="23"/>
      <c r="CO127" s="23"/>
    </row>
    <row r="128" spans="1:93" ht="20" customHeight="1" x14ac:dyDescent="0.2">
      <c r="A128" s="60"/>
      <c r="B128" s="82"/>
      <c r="C128" s="24" t="s">
        <v>85</v>
      </c>
      <c r="D128" s="23" t="s">
        <v>309</v>
      </c>
      <c r="E128" s="23" t="s">
        <v>310</v>
      </c>
      <c r="F128" s="24">
        <v>2015</v>
      </c>
      <c r="H128" s="89">
        <v>5</v>
      </c>
      <c r="I128" s="85" t="s">
        <v>211</v>
      </c>
      <c r="J128" s="116" t="s">
        <v>188</v>
      </c>
      <c r="K128" s="229"/>
      <c r="L128" s="230"/>
      <c r="M128" s="230" t="str">
        <f t="shared" si="45"/>
        <v/>
      </c>
      <c r="N128" s="230" t="str">
        <f t="shared" si="46"/>
        <v/>
      </c>
      <c r="O128" s="231"/>
      <c r="P128" s="231"/>
      <c r="Q128" s="231" t="str">
        <f t="shared" si="47"/>
        <v/>
      </c>
      <c r="R128" s="237" t="str">
        <f t="shared" si="48"/>
        <v/>
      </c>
      <c r="S128" s="239" t="str">
        <f t="shared" si="61"/>
        <v/>
      </c>
      <c r="T128" s="232"/>
      <c r="U128" s="229"/>
      <c r="V128" s="230"/>
      <c r="W128" s="230"/>
      <c r="X128" s="230">
        <v>43</v>
      </c>
      <c r="Y128" s="231"/>
      <c r="Z128" s="231"/>
      <c r="AA128" s="231"/>
      <c r="AB128" s="237">
        <v>16.2</v>
      </c>
      <c r="AC128" s="239">
        <f t="shared" si="53"/>
        <v>0</v>
      </c>
      <c r="AD128" s="232"/>
      <c r="AE128" s="229"/>
      <c r="AF128" s="230"/>
      <c r="AG128" s="270" t="str">
        <f t="shared" si="59"/>
        <v/>
      </c>
      <c r="AH128" s="230"/>
      <c r="AI128" s="231"/>
      <c r="AJ128" s="231"/>
      <c r="AK128" s="271" t="str">
        <f t="shared" si="60"/>
        <v/>
      </c>
      <c r="AL128" s="237"/>
      <c r="AM128" s="239"/>
      <c r="AN128" s="232"/>
      <c r="AO128" s="229"/>
      <c r="AP128" s="230"/>
      <c r="AQ128" s="270" t="str">
        <f t="shared" si="56"/>
        <v/>
      </c>
      <c r="AR128" s="230"/>
      <c r="AS128" s="231"/>
      <c r="AT128" s="231"/>
      <c r="AU128" s="271" t="str">
        <f t="shared" si="57"/>
        <v/>
      </c>
      <c r="AV128" s="237"/>
      <c r="AW128" s="239"/>
      <c r="AX128" s="232"/>
      <c r="AY128" s="23"/>
      <c r="AZ128" s="289"/>
      <c r="BA128" s="230"/>
      <c r="BB128" s="230"/>
      <c r="BC128" s="230"/>
      <c r="BD128" s="231"/>
      <c r="BE128" s="231"/>
      <c r="BF128" s="231"/>
      <c r="BG128" s="237"/>
      <c r="BH128" s="239"/>
      <c r="BI128" s="232"/>
      <c r="BJ128" s="23" t="s">
        <v>451</v>
      </c>
      <c r="BK128" s="23"/>
      <c r="BL128" s="23"/>
      <c r="BM128" s="23"/>
      <c r="BN128" s="23"/>
      <c r="BO128" s="23"/>
      <c r="BP128" s="23"/>
      <c r="BQ128" s="23"/>
      <c r="BR128" s="23"/>
      <c r="BS128" s="23"/>
      <c r="BT128" s="23"/>
      <c r="BU128" s="23"/>
      <c r="BV128" s="23"/>
      <c r="BW128" s="23"/>
      <c r="BX128" s="23"/>
      <c r="BY128" s="23"/>
      <c r="BZ128" s="23"/>
      <c r="CA128" s="23"/>
      <c r="CB128" s="23"/>
      <c r="CC128" s="23"/>
      <c r="CD128" s="23"/>
      <c r="CE128" s="23"/>
      <c r="CF128" s="23"/>
      <c r="CG128" s="23"/>
      <c r="CH128" s="23"/>
      <c r="CI128" s="23"/>
      <c r="CJ128" s="23"/>
      <c r="CK128" s="23"/>
      <c r="CL128" s="23"/>
      <c r="CM128" s="23"/>
      <c r="CN128" s="23"/>
      <c r="CO128" s="23"/>
    </row>
    <row r="129" spans="1:93" ht="20" customHeight="1" x14ac:dyDescent="0.2">
      <c r="A129" s="60"/>
      <c r="B129" s="83"/>
      <c r="C129" s="24" t="s">
        <v>85</v>
      </c>
      <c r="D129" s="23" t="s">
        <v>311</v>
      </c>
      <c r="E129" s="23" t="s">
        <v>312</v>
      </c>
      <c r="F129" s="24">
        <v>2008</v>
      </c>
      <c r="H129" s="89">
        <v>86</v>
      </c>
      <c r="I129" s="85" t="s">
        <v>176</v>
      </c>
      <c r="J129" s="116"/>
      <c r="K129" s="229">
        <v>37.5</v>
      </c>
      <c r="L129" s="230">
        <v>21.5</v>
      </c>
      <c r="M129" s="230">
        <f t="shared" si="45"/>
        <v>-16</v>
      </c>
      <c r="N129" s="230">
        <f t="shared" si="46"/>
        <v>-42.666666666666664</v>
      </c>
      <c r="O129" s="231">
        <v>37.5</v>
      </c>
      <c r="P129" s="231">
        <v>49.7</v>
      </c>
      <c r="Q129" s="231">
        <f t="shared" si="47"/>
        <v>12.200000000000003</v>
      </c>
      <c r="R129" s="237">
        <f t="shared" si="48"/>
        <v>32.53333333333336</v>
      </c>
      <c r="S129" s="239">
        <f t="shared" si="61"/>
        <v>-28.200000000000003</v>
      </c>
      <c r="T129" s="232"/>
      <c r="U129" s="229">
        <v>450.5</v>
      </c>
      <c r="V129" s="230">
        <v>392.1</v>
      </c>
      <c r="W129" s="230">
        <f t="shared" ref="W129:W138" si="62">IF(AND(NOT(ISERROR(V129-U129)), U129&lt;&gt;"", V129&lt;&gt;""), V129-U129, "")</f>
        <v>-58.399999999999977</v>
      </c>
      <c r="X129" s="230">
        <f t="shared" ref="X129:X138" si="63">IF(NOT(ISERROR(100-(V129/U129)*100)), (100-(V129/U129)*100)*-1, "")</f>
        <v>-12.963374028856819</v>
      </c>
      <c r="Y129" s="231">
        <v>450.5</v>
      </c>
      <c r="Z129" s="231">
        <v>372</v>
      </c>
      <c r="AA129" s="231">
        <f>Z129-Y129</f>
        <v>-78.5</v>
      </c>
      <c r="AB129" s="237">
        <v>17.425083240843506</v>
      </c>
      <c r="AC129" s="239">
        <f t="shared" si="53"/>
        <v>20.100000000000023</v>
      </c>
      <c r="AD129" s="232"/>
      <c r="AE129" s="229">
        <v>5.2</v>
      </c>
      <c r="AF129" s="230">
        <v>5.0999999999999996</v>
      </c>
      <c r="AG129" s="270">
        <f t="shared" si="59"/>
        <v>-0.10000000000000053</v>
      </c>
      <c r="AH129" s="230"/>
      <c r="AI129" s="231">
        <v>5.2</v>
      </c>
      <c r="AJ129" s="231">
        <v>5.0999999999999996</v>
      </c>
      <c r="AK129" s="271">
        <f t="shared" si="60"/>
        <v>-0.10000000000000053</v>
      </c>
      <c r="AL129" s="237"/>
      <c r="AM129" s="239"/>
      <c r="AN129" s="232"/>
      <c r="AO129" s="229"/>
      <c r="AP129" s="230"/>
      <c r="AQ129" s="270" t="str">
        <f t="shared" si="56"/>
        <v/>
      </c>
      <c r="AR129" s="230"/>
      <c r="AS129" s="231"/>
      <c r="AT129" s="231"/>
      <c r="AU129" s="271" t="str">
        <f t="shared" si="57"/>
        <v/>
      </c>
      <c r="AV129" s="237"/>
      <c r="AW129" s="239"/>
      <c r="AX129" s="232"/>
      <c r="AY129" s="23"/>
      <c r="AZ129" s="289"/>
      <c r="BA129" s="230"/>
      <c r="BB129" s="230"/>
      <c r="BC129" s="230"/>
      <c r="BD129" s="231"/>
      <c r="BE129" s="231"/>
      <c r="BF129" s="231"/>
      <c r="BG129" s="237"/>
      <c r="BH129" s="239"/>
      <c r="BI129" s="232"/>
      <c r="BJ129" s="23"/>
      <c r="BK129" s="23"/>
      <c r="BL129" s="23"/>
      <c r="BM129" s="23"/>
      <c r="BN129" s="23"/>
      <c r="BO129" s="23"/>
      <c r="BP129" s="23"/>
      <c r="BQ129" s="23"/>
      <c r="BR129" s="23"/>
      <c r="BS129" s="23"/>
      <c r="BT129" s="23"/>
      <c r="BU129" s="23"/>
      <c r="BV129" s="23"/>
      <c r="BW129" s="23"/>
      <c r="BX129" s="23"/>
      <c r="BY129" s="23"/>
      <c r="BZ129" s="23"/>
      <c r="CA129" s="23"/>
      <c r="CB129" s="23"/>
      <c r="CC129" s="23"/>
      <c r="CD129" s="23"/>
      <c r="CE129" s="23"/>
      <c r="CF129" s="23"/>
      <c r="CG129" s="23"/>
      <c r="CH129" s="23"/>
      <c r="CI129" s="23"/>
      <c r="CJ129" s="23"/>
      <c r="CK129" s="23"/>
      <c r="CL129" s="23"/>
      <c r="CM129" s="23"/>
      <c r="CN129" s="23"/>
      <c r="CO129" s="23"/>
    </row>
    <row r="130" spans="1:93" ht="20" customHeight="1" x14ac:dyDescent="0.2">
      <c r="A130" s="61"/>
      <c r="B130" s="24"/>
      <c r="C130" s="24" t="s">
        <v>85</v>
      </c>
      <c r="D130" s="23" t="s">
        <v>127</v>
      </c>
      <c r="E130" s="23" t="s">
        <v>128</v>
      </c>
      <c r="F130" s="24">
        <v>2000</v>
      </c>
      <c r="G130" s="24">
        <v>252</v>
      </c>
      <c r="H130" s="89">
        <v>30</v>
      </c>
      <c r="I130" s="85" t="s">
        <v>218</v>
      </c>
      <c r="J130" s="116" t="s">
        <v>169</v>
      </c>
      <c r="K130" s="229"/>
      <c r="L130" s="230"/>
      <c r="M130" s="230" t="str">
        <f t="shared" si="45"/>
        <v/>
      </c>
      <c r="N130" s="230" t="str">
        <f t="shared" si="46"/>
        <v/>
      </c>
      <c r="O130" s="231"/>
      <c r="P130" s="231"/>
      <c r="Q130" s="231" t="str">
        <f t="shared" si="47"/>
        <v/>
      </c>
      <c r="R130" s="237" t="str">
        <f t="shared" si="48"/>
        <v/>
      </c>
      <c r="S130" s="239" t="str">
        <f t="shared" si="61"/>
        <v/>
      </c>
      <c r="T130" s="232"/>
      <c r="U130" s="229"/>
      <c r="V130" s="230"/>
      <c r="W130" s="230" t="str">
        <f t="shared" si="62"/>
        <v/>
      </c>
      <c r="X130" s="230" t="str">
        <f t="shared" si="63"/>
        <v/>
      </c>
      <c r="Y130" s="231"/>
      <c r="Z130" s="231"/>
      <c r="AA130" s="231" t="str">
        <f t="shared" ref="AA130:AA138" si="64">IF(AND(NOT(ISERROR(Z130-Y130)), Y130&lt;&gt;"", Z130&lt;&gt;""), Z130-Y130, "")</f>
        <v/>
      </c>
      <c r="AB130" s="237" t="str">
        <f t="shared" ref="AB130:AB138" si="65">IF(NOT(ISERROR(100-(Z130/Y130)*100)), (100-(Z130/Y130)*100)*-1, "")</f>
        <v/>
      </c>
      <c r="AC130" s="239" t="str">
        <f t="shared" si="53"/>
        <v/>
      </c>
      <c r="AD130" s="232"/>
      <c r="AE130" s="229"/>
      <c r="AF130" s="230"/>
      <c r="AG130" s="270" t="str">
        <f t="shared" si="59"/>
        <v/>
      </c>
      <c r="AH130" s="230"/>
      <c r="AI130" s="231"/>
      <c r="AJ130" s="231"/>
      <c r="AK130" s="271" t="str">
        <f t="shared" si="60"/>
        <v/>
      </c>
      <c r="AL130" s="237"/>
      <c r="AM130" s="239"/>
      <c r="AN130" s="232"/>
      <c r="AO130" s="229"/>
      <c r="AP130" s="230"/>
      <c r="AQ130" s="270" t="str">
        <f t="shared" si="56"/>
        <v/>
      </c>
      <c r="AR130" s="230"/>
      <c r="AS130" s="231"/>
      <c r="AT130" s="231"/>
      <c r="AU130" s="271" t="str">
        <f t="shared" si="57"/>
        <v/>
      </c>
      <c r="AV130" s="237"/>
      <c r="AW130" s="239"/>
      <c r="AX130" s="232"/>
      <c r="AY130" s="23"/>
      <c r="AZ130" s="289"/>
      <c r="BA130" s="230"/>
      <c r="BB130" s="230"/>
      <c r="BC130" s="230"/>
      <c r="BD130" s="231"/>
      <c r="BE130" s="231"/>
      <c r="BF130" s="231"/>
      <c r="BG130" s="237"/>
      <c r="BH130" s="239"/>
      <c r="BI130" s="232"/>
      <c r="BJ130" s="23"/>
      <c r="BK130" s="23"/>
      <c r="BL130" s="23"/>
      <c r="BM130" s="23"/>
      <c r="BN130" s="23"/>
      <c r="BO130" s="23"/>
      <c r="BP130" s="23"/>
      <c r="BQ130" s="23"/>
      <c r="BR130" s="23"/>
      <c r="BS130" s="23"/>
      <c r="BT130" s="23"/>
      <c r="BU130" s="23"/>
      <c r="BV130" s="23"/>
      <c r="BW130" s="23"/>
      <c r="BX130" s="23"/>
      <c r="BY130" s="23"/>
      <c r="BZ130" s="23"/>
      <c r="CA130" s="23"/>
      <c r="CB130" s="23"/>
      <c r="CC130" s="23"/>
      <c r="CD130" s="23"/>
      <c r="CE130" s="23"/>
      <c r="CF130" s="23"/>
      <c r="CG130" s="23"/>
      <c r="CH130" s="23"/>
      <c r="CI130" s="23"/>
      <c r="CJ130" s="23"/>
      <c r="CK130" s="23"/>
      <c r="CL130" s="23"/>
      <c r="CM130" s="23"/>
      <c r="CN130" s="23"/>
      <c r="CO130" s="23"/>
    </row>
    <row r="131" spans="1:93" ht="20" customHeight="1" x14ac:dyDescent="0.2">
      <c r="A131" s="298"/>
      <c r="B131" s="299"/>
      <c r="C131" s="24" t="s">
        <v>85</v>
      </c>
      <c r="D131" s="23" t="s">
        <v>545</v>
      </c>
      <c r="E131" s="23" t="s">
        <v>546</v>
      </c>
      <c r="F131" s="24">
        <v>2010</v>
      </c>
      <c r="H131" s="300"/>
      <c r="I131" s="301" t="s">
        <v>185</v>
      </c>
      <c r="J131" s="302" t="s">
        <v>169</v>
      </c>
      <c r="K131" s="229"/>
      <c r="L131" s="230"/>
      <c r="M131" s="230" t="str">
        <f t="shared" si="45"/>
        <v/>
      </c>
      <c r="N131" s="230" t="str">
        <f t="shared" si="46"/>
        <v/>
      </c>
      <c r="O131" s="231"/>
      <c r="P131" s="231"/>
      <c r="Q131" s="231" t="str">
        <f t="shared" si="47"/>
        <v/>
      </c>
      <c r="R131" s="237" t="str">
        <f t="shared" si="48"/>
        <v/>
      </c>
      <c r="S131" s="239" t="str">
        <f t="shared" si="61"/>
        <v/>
      </c>
      <c r="T131" s="232"/>
      <c r="U131" s="229"/>
      <c r="V131" s="230"/>
      <c r="W131" s="230" t="str">
        <f t="shared" si="62"/>
        <v/>
      </c>
      <c r="X131" s="230" t="str">
        <f t="shared" si="63"/>
        <v/>
      </c>
      <c r="Y131" s="231"/>
      <c r="Z131" s="231"/>
      <c r="AA131" s="231" t="str">
        <f t="shared" si="64"/>
        <v/>
      </c>
      <c r="AB131" s="237" t="str">
        <f t="shared" si="65"/>
        <v/>
      </c>
      <c r="AC131" s="239" t="str">
        <f t="shared" si="53"/>
        <v/>
      </c>
      <c r="AD131" s="232"/>
      <c r="AE131" s="229"/>
      <c r="AF131" s="230"/>
      <c r="AG131" s="270" t="str">
        <f t="shared" si="59"/>
        <v/>
      </c>
      <c r="AH131" s="230"/>
      <c r="AI131" s="231"/>
      <c r="AJ131" s="231"/>
      <c r="AK131" s="271" t="str">
        <f t="shared" si="60"/>
        <v/>
      </c>
      <c r="AL131" s="237"/>
      <c r="AM131" s="239"/>
      <c r="AN131" s="232"/>
      <c r="AO131" s="229"/>
      <c r="AP131" s="230"/>
      <c r="AQ131" s="270" t="str">
        <f t="shared" si="56"/>
        <v/>
      </c>
      <c r="AR131" s="230"/>
      <c r="AS131" s="231"/>
      <c r="AT131" s="231"/>
      <c r="AU131" s="271" t="str">
        <f t="shared" si="57"/>
        <v/>
      </c>
      <c r="AV131" s="237"/>
      <c r="AW131" s="239"/>
      <c r="AX131" s="232"/>
      <c r="AY131" s="23"/>
      <c r="AZ131" s="289"/>
      <c r="BA131" s="230"/>
      <c r="BB131" s="230"/>
      <c r="BC131" s="230"/>
      <c r="BD131" s="231"/>
      <c r="BE131" s="231"/>
      <c r="BF131" s="231"/>
      <c r="BG131" s="237"/>
      <c r="BH131" s="239"/>
      <c r="BI131" s="232"/>
      <c r="BJ131" s="23"/>
      <c r="BK131" s="23"/>
      <c r="BL131" s="23"/>
      <c r="BM131" s="23"/>
      <c r="BN131" s="23"/>
      <c r="BO131" s="23"/>
      <c r="BP131" s="23"/>
      <c r="BQ131" s="23"/>
      <c r="BR131" s="23"/>
      <c r="BS131" s="23"/>
      <c r="BT131" s="23"/>
      <c r="BU131" s="23"/>
      <c r="BV131" s="23"/>
      <c r="BW131" s="23"/>
      <c r="BX131" s="23"/>
      <c r="BY131" s="23"/>
      <c r="BZ131" s="23"/>
      <c r="CA131" s="23"/>
      <c r="CB131" s="23"/>
      <c r="CC131" s="23"/>
      <c r="CD131" s="23"/>
      <c r="CE131" s="23"/>
      <c r="CF131" s="23"/>
      <c r="CG131" s="23"/>
      <c r="CH131" s="23"/>
      <c r="CI131" s="23"/>
      <c r="CJ131" s="23"/>
      <c r="CK131" s="23"/>
      <c r="CL131" s="23"/>
      <c r="CM131" s="23"/>
      <c r="CN131" s="23"/>
      <c r="CO131" s="23"/>
    </row>
    <row r="132" spans="1:93" ht="20" customHeight="1" x14ac:dyDescent="0.2">
      <c r="A132" s="61"/>
      <c r="B132" s="82"/>
      <c r="C132" s="24" t="s">
        <v>85</v>
      </c>
      <c r="D132" s="23" t="s">
        <v>133</v>
      </c>
      <c r="E132" s="23" t="s">
        <v>134</v>
      </c>
      <c r="F132" s="24">
        <v>2001</v>
      </c>
      <c r="G132" s="24">
        <v>192</v>
      </c>
      <c r="H132" s="89"/>
      <c r="I132" s="85" t="s">
        <v>176</v>
      </c>
      <c r="J132" s="116" t="s">
        <v>169</v>
      </c>
      <c r="K132" s="229"/>
      <c r="L132" s="230"/>
      <c r="M132" s="230" t="str">
        <f t="shared" si="45"/>
        <v/>
      </c>
      <c r="N132" s="230" t="str">
        <f t="shared" si="46"/>
        <v/>
      </c>
      <c r="O132" s="231"/>
      <c r="P132" s="231"/>
      <c r="Q132" s="231" t="str">
        <f t="shared" si="47"/>
        <v/>
      </c>
      <c r="R132" s="237" t="str">
        <f t="shared" si="48"/>
        <v/>
      </c>
      <c r="S132" s="239" t="str">
        <f t="shared" si="61"/>
        <v/>
      </c>
      <c r="T132" s="232"/>
      <c r="U132" s="229"/>
      <c r="V132" s="230"/>
      <c r="W132" s="230" t="str">
        <f t="shared" si="62"/>
        <v/>
      </c>
      <c r="X132" s="230" t="str">
        <f t="shared" si="63"/>
        <v/>
      </c>
      <c r="Y132" s="231"/>
      <c r="Z132" s="231"/>
      <c r="AA132" s="231" t="str">
        <f t="shared" si="64"/>
        <v/>
      </c>
      <c r="AB132" s="237" t="str">
        <f t="shared" si="65"/>
        <v/>
      </c>
      <c r="AC132" s="239" t="str">
        <f t="shared" si="53"/>
        <v/>
      </c>
      <c r="AD132" s="232"/>
      <c r="AE132" s="229"/>
      <c r="AF132" s="230"/>
      <c r="AG132" s="270" t="str">
        <f t="shared" si="59"/>
        <v/>
      </c>
      <c r="AH132" s="230"/>
      <c r="AI132" s="231"/>
      <c r="AJ132" s="231"/>
      <c r="AK132" s="271" t="str">
        <f t="shared" si="60"/>
        <v/>
      </c>
      <c r="AL132" s="237"/>
      <c r="AM132" s="239"/>
      <c r="AN132" s="232"/>
      <c r="AO132" s="229"/>
      <c r="AP132" s="230"/>
      <c r="AQ132" s="270" t="str">
        <f t="shared" si="56"/>
        <v/>
      </c>
      <c r="AR132" s="230"/>
      <c r="AS132" s="231"/>
      <c r="AT132" s="231"/>
      <c r="AU132" s="271" t="str">
        <f t="shared" si="57"/>
        <v/>
      </c>
      <c r="AV132" s="237"/>
      <c r="AW132" s="239"/>
      <c r="AX132" s="232"/>
      <c r="AY132" s="23"/>
      <c r="AZ132" s="289"/>
      <c r="BA132" s="230"/>
      <c r="BB132" s="230"/>
      <c r="BC132" s="230"/>
      <c r="BD132" s="231"/>
      <c r="BE132" s="231"/>
      <c r="BF132" s="231"/>
      <c r="BG132" s="237"/>
      <c r="BH132" s="239"/>
      <c r="BI132" s="232"/>
      <c r="BJ132" s="23"/>
      <c r="BK132" s="23"/>
      <c r="BL132" s="23"/>
      <c r="BM132" s="23"/>
      <c r="BN132" s="23"/>
      <c r="BO132" s="23"/>
      <c r="BP132" s="23"/>
      <c r="BQ132" s="23"/>
      <c r="BR132" s="23"/>
      <c r="BS132" s="23"/>
      <c r="BT132" s="23"/>
      <c r="BU132" s="23"/>
      <c r="BV132" s="23"/>
      <c r="BW132" s="23"/>
      <c r="BX132" s="23"/>
      <c r="BY132" s="23"/>
      <c r="BZ132" s="23"/>
      <c r="CA132" s="23"/>
      <c r="CB132" s="23"/>
      <c r="CC132" s="23"/>
      <c r="CD132" s="23"/>
      <c r="CE132" s="23"/>
      <c r="CF132" s="23"/>
      <c r="CG132" s="23"/>
      <c r="CH132" s="23"/>
      <c r="CI132" s="23"/>
      <c r="CJ132" s="23"/>
      <c r="CK132" s="23"/>
      <c r="CL132" s="23"/>
      <c r="CM132" s="23"/>
      <c r="CN132" s="23"/>
      <c r="CO132" s="23"/>
    </row>
    <row r="133" spans="1:93" ht="20" customHeight="1" x14ac:dyDescent="0.2">
      <c r="A133" s="61"/>
      <c r="B133" s="82"/>
      <c r="D133" s="23" t="s">
        <v>151</v>
      </c>
      <c r="E133" s="23" t="s">
        <v>424</v>
      </c>
      <c r="F133" s="24">
        <v>1999</v>
      </c>
      <c r="H133" s="89">
        <v>30</v>
      </c>
      <c r="I133" s="85" t="s">
        <v>425</v>
      </c>
      <c r="J133" s="116" t="s">
        <v>220</v>
      </c>
      <c r="K133" s="229"/>
      <c r="L133" s="230"/>
      <c r="M133" s="230" t="str">
        <f t="shared" si="45"/>
        <v/>
      </c>
      <c r="N133" s="230" t="str">
        <f t="shared" si="46"/>
        <v/>
      </c>
      <c r="O133" s="231"/>
      <c r="P133" s="231"/>
      <c r="Q133" s="231" t="str">
        <f t="shared" si="47"/>
        <v/>
      </c>
      <c r="R133" s="237" t="str">
        <f t="shared" si="48"/>
        <v/>
      </c>
      <c r="S133" s="239" t="str">
        <f t="shared" si="61"/>
        <v/>
      </c>
      <c r="T133" s="232"/>
      <c r="U133" s="229"/>
      <c r="V133" s="230"/>
      <c r="W133" s="230" t="str">
        <f t="shared" si="62"/>
        <v/>
      </c>
      <c r="X133" s="230" t="str">
        <f t="shared" si="63"/>
        <v/>
      </c>
      <c r="Y133" s="231"/>
      <c r="Z133" s="231"/>
      <c r="AA133" s="231" t="str">
        <f t="shared" si="64"/>
        <v/>
      </c>
      <c r="AB133" s="237" t="str">
        <f t="shared" si="65"/>
        <v/>
      </c>
      <c r="AC133" s="239" t="str">
        <f t="shared" si="53"/>
        <v/>
      </c>
      <c r="AD133" s="232"/>
      <c r="AE133" s="229"/>
      <c r="AF133" s="230"/>
      <c r="AG133" s="270" t="str">
        <f t="shared" si="59"/>
        <v/>
      </c>
      <c r="AH133" s="230"/>
      <c r="AI133" s="231"/>
      <c r="AJ133" s="231"/>
      <c r="AK133" s="271" t="str">
        <f t="shared" si="60"/>
        <v/>
      </c>
      <c r="AL133" s="237"/>
      <c r="AM133" s="239"/>
      <c r="AN133" s="232"/>
      <c r="AO133" s="229"/>
      <c r="AP133" s="230"/>
      <c r="AQ133" s="270" t="str">
        <f t="shared" si="56"/>
        <v/>
      </c>
      <c r="AR133" s="230"/>
      <c r="AS133" s="231"/>
      <c r="AT133" s="231"/>
      <c r="AU133" s="271" t="str">
        <f t="shared" si="57"/>
        <v/>
      </c>
      <c r="AV133" s="237"/>
      <c r="AW133" s="239"/>
      <c r="AX133" s="232"/>
      <c r="AY133" s="23"/>
      <c r="AZ133" s="289"/>
      <c r="BA133" s="230"/>
      <c r="BB133" s="230"/>
      <c r="BC133" s="230"/>
      <c r="BD133" s="231"/>
      <c r="BE133" s="231"/>
      <c r="BF133" s="231"/>
      <c r="BG133" s="237"/>
      <c r="BH133" s="239"/>
      <c r="BI133" s="232"/>
      <c r="BJ133" s="23"/>
      <c r="BK133" s="23"/>
      <c r="BL133" s="23"/>
      <c r="BM133" s="23"/>
      <c r="BN133" s="23"/>
      <c r="BO133" s="23"/>
      <c r="BP133" s="23"/>
      <c r="BQ133" s="23"/>
      <c r="BR133" s="23"/>
      <c r="BS133" s="23"/>
      <c r="BT133" s="23"/>
      <c r="BU133" s="23"/>
      <c r="BV133" s="23"/>
      <c r="BW133" s="23"/>
      <c r="BX133" s="23"/>
      <c r="BY133" s="23"/>
      <c r="BZ133" s="23"/>
      <c r="CA133" s="23"/>
      <c r="CB133" s="23"/>
      <c r="CC133" s="23"/>
      <c r="CD133" s="23"/>
      <c r="CE133" s="23"/>
      <c r="CF133" s="23"/>
      <c r="CG133" s="23"/>
      <c r="CH133" s="23"/>
      <c r="CI133" s="23"/>
      <c r="CJ133" s="23"/>
      <c r="CK133" s="23"/>
      <c r="CL133" s="23"/>
      <c r="CM133" s="23"/>
      <c r="CN133" s="23"/>
      <c r="CO133" s="23"/>
    </row>
    <row r="134" spans="1:93" ht="20" customHeight="1" x14ac:dyDescent="0.2">
      <c r="A134" s="60"/>
      <c r="B134" s="82"/>
      <c r="C134" s="24" t="s">
        <v>85</v>
      </c>
      <c r="D134" s="23" t="s">
        <v>315</v>
      </c>
      <c r="E134" s="23" t="s">
        <v>316</v>
      </c>
      <c r="F134" s="24">
        <v>2010</v>
      </c>
      <c r="H134" s="89">
        <v>53</v>
      </c>
      <c r="I134" s="111" t="s">
        <v>371</v>
      </c>
      <c r="J134" s="116" t="s">
        <v>410</v>
      </c>
      <c r="K134" s="229"/>
      <c r="L134" s="230"/>
      <c r="M134" s="230" t="str">
        <f t="shared" si="45"/>
        <v/>
      </c>
      <c r="N134" s="230" t="str">
        <f t="shared" si="46"/>
        <v/>
      </c>
      <c r="O134" s="231"/>
      <c r="P134" s="231"/>
      <c r="Q134" s="231" t="str">
        <f t="shared" si="47"/>
        <v/>
      </c>
      <c r="R134" s="237" t="str">
        <f t="shared" si="48"/>
        <v/>
      </c>
      <c r="S134" s="239" t="str">
        <f t="shared" si="61"/>
        <v/>
      </c>
      <c r="T134" s="232"/>
      <c r="U134" s="229"/>
      <c r="V134" s="230"/>
      <c r="W134" s="230" t="str">
        <f t="shared" si="62"/>
        <v/>
      </c>
      <c r="X134" s="230" t="str">
        <f t="shared" si="63"/>
        <v/>
      </c>
      <c r="Y134" s="231"/>
      <c r="Z134" s="231"/>
      <c r="AA134" s="231" t="str">
        <f t="shared" si="64"/>
        <v/>
      </c>
      <c r="AB134" s="237" t="str">
        <f t="shared" si="65"/>
        <v/>
      </c>
      <c r="AC134" s="239" t="str">
        <f t="shared" si="53"/>
        <v/>
      </c>
      <c r="AD134" s="232"/>
      <c r="AE134" s="229"/>
      <c r="AF134" s="230"/>
      <c r="AG134" s="270" t="str">
        <f t="shared" si="59"/>
        <v/>
      </c>
      <c r="AH134" s="230"/>
      <c r="AI134" s="231"/>
      <c r="AJ134" s="231"/>
      <c r="AK134" s="271" t="str">
        <f t="shared" si="60"/>
        <v/>
      </c>
      <c r="AL134" s="237"/>
      <c r="AM134" s="239"/>
      <c r="AN134" s="232"/>
      <c r="AO134" s="229"/>
      <c r="AP134" s="230"/>
      <c r="AQ134" s="270" t="str">
        <f t="shared" si="56"/>
        <v/>
      </c>
      <c r="AR134" s="230"/>
      <c r="AS134" s="231"/>
      <c r="AT134" s="231"/>
      <c r="AU134" s="271" t="str">
        <f t="shared" si="57"/>
        <v/>
      </c>
      <c r="AV134" s="237"/>
      <c r="AW134" s="239"/>
      <c r="AX134" s="232"/>
      <c r="AY134" s="23"/>
      <c r="AZ134" s="289"/>
      <c r="BA134" s="230"/>
      <c r="BB134" s="230"/>
      <c r="BC134" s="230"/>
      <c r="BD134" s="231"/>
      <c r="BE134" s="231"/>
      <c r="BF134" s="231"/>
      <c r="BG134" s="237"/>
      <c r="BH134" s="239"/>
      <c r="BI134" s="232"/>
      <c r="BJ134" s="23"/>
      <c r="BK134" s="23"/>
      <c r="BL134" s="23"/>
      <c r="BM134" s="23"/>
      <c r="BN134" s="23"/>
      <c r="BO134" s="23"/>
      <c r="BP134" s="23"/>
      <c r="BQ134" s="23"/>
      <c r="BR134" s="23"/>
      <c r="BS134" s="23"/>
      <c r="BT134" s="23"/>
      <c r="BU134" s="23"/>
      <c r="BV134" s="23"/>
      <c r="BW134" s="23"/>
      <c r="BX134" s="23"/>
      <c r="BY134" s="23"/>
      <c r="BZ134" s="23"/>
      <c r="CA134" s="23"/>
      <c r="CB134" s="23"/>
      <c r="CC134" s="23"/>
      <c r="CD134" s="23"/>
      <c r="CE134" s="23"/>
      <c r="CF134" s="23"/>
      <c r="CG134" s="23"/>
      <c r="CH134" s="23"/>
      <c r="CI134" s="23"/>
      <c r="CJ134" s="23"/>
      <c r="CK134" s="23"/>
      <c r="CL134" s="23"/>
      <c r="CM134" s="23"/>
      <c r="CN134" s="23"/>
      <c r="CO134" s="23"/>
    </row>
    <row r="135" spans="1:93" ht="20" customHeight="1" x14ac:dyDescent="0.2">
      <c r="A135" s="60"/>
      <c r="B135" s="82"/>
      <c r="C135" s="24" t="s">
        <v>85</v>
      </c>
      <c r="D135" s="23" t="s">
        <v>319</v>
      </c>
      <c r="E135" s="23" t="s">
        <v>320</v>
      </c>
      <c r="F135" s="24">
        <v>2010</v>
      </c>
      <c r="H135" s="89">
        <v>789</v>
      </c>
      <c r="I135" s="85" t="s">
        <v>211</v>
      </c>
      <c r="J135" s="116" t="s">
        <v>375</v>
      </c>
      <c r="K135" s="229"/>
      <c r="L135" s="230"/>
      <c r="M135" s="230" t="str">
        <f t="shared" si="45"/>
        <v/>
      </c>
      <c r="N135" s="230" t="str">
        <f t="shared" si="46"/>
        <v/>
      </c>
      <c r="O135" s="231"/>
      <c r="P135" s="231"/>
      <c r="Q135" s="231" t="str">
        <f t="shared" si="47"/>
        <v/>
      </c>
      <c r="R135" s="237" t="str">
        <f t="shared" si="48"/>
        <v/>
      </c>
      <c r="S135" s="239" t="str">
        <f t="shared" si="61"/>
        <v/>
      </c>
      <c r="T135" s="232"/>
      <c r="U135" s="229"/>
      <c r="V135" s="230"/>
      <c r="W135" s="230" t="str">
        <f t="shared" si="62"/>
        <v/>
      </c>
      <c r="X135" s="230" t="str">
        <f t="shared" si="63"/>
        <v/>
      </c>
      <c r="Y135" s="231"/>
      <c r="Z135" s="231"/>
      <c r="AA135" s="231" t="str">
        <f t="shared" si="64"/>
        <v/>
      </c>
      <c r="AB135" s="237" t="str">
        <f t="shared" si="65"/>
        <v/>
      </c>
      <c r="AC135" s="239" t="str">
        <f t="shared" si="53"/>
        <v/>
      </c>
      <c r="AD135" s="232"/>
      <c r="AE135" s="229"/>
      <c r="AF135" s="230"/>
      <c r="AG135" s="270" t="str">
        <f t="shared" si="59"/>
        <v/>
      </c>
      <c r="AH135" s="230"/>
      <c r="AI135" s="231"/>
      <c r="AJ135" s="231"/>
      <c r="AK135" s="271" t="str">
        <f t="shared" si="60"/>
        <v/>
      </c>
      <c r="AL135" s="237"/>
      <c r="AM135" s="239"/>
      <c r="AN135" s="232"/>
      <c r="AO135" s="229"/>
      <c r="AP135" s="230"/>
      <c r="AQ135" s="270" t="str">
        <f t="shared" si="56"/>
        <v/>
      </c>
      <c r="AR135" s="230"/>
      <c r="AS135" s="231"/>
      <c r="AT135" s="231"/>
      <c r="AU135" s="271" t="str">
        <f t="shared" si="57"/>
        <v/>
      </c>
      <c r="AV135" s="237"/>
      <c r="AW135" s="239"/>
      <c r="AX135" s="232"/>
      <c r="AY135" s="23"/>
      <c r="AZ135" s="289"/>
      <c r="BA135" s="230"/>
      <c r="BB135" s="230"/>
      <c r="BC135" s="230"/>
      <c r="BD135" s="231"/>
      <c r="BE135" s="231"/>
      <c r="BF135" s="231"/>
      <c r="BG135" s="237"/>
      <c r="BH135" s="239"/>
      <c r="BI135" s="232"/>
      <c r="BJ135" s="23"/>
      <c r="BK135" s="23"/>
      <c r="BL135" s="23"/>
      <c r="BM135" s="23"/>
      <c r="BN135" s="23"/>
      <c r="BO135" s="23"/>
      <c r="BP135" s="23"/>
      <c r="BQ135" s="23"/>
      <c r="BR135" s="23"/>
      <c r="BS135" s="23"/>
      <c r="BT135" s="23"/>
      <c r="BU135" s="23"/>
      <c r="BV135" s="23"/>
      <c r="BW135" s="23"/>
      <c r="BX135" s="23"/>
      <c r="BY135" s="23"/>
      <c r="BZ135" s="23"/>
      <c r="CA135" s="23"/>
      <c r="CB135" s="23"/>
      <c r="CC135" s="23"/>
      <c r="CD135" s="23"/>
      <c r="CE135" s="23"/>
      <c r="CF135" s="23"/>
      <c r="CG135" s="23"/>
      <c r="CH135" s="23"/>
      <c r="CI135" s="23"/>
      <c r="CJ135" s="23"/>
      <c r="CK135" s="23"/>
      <c r="CL135" s="23"/>
      <c r="CM135" s="23"/>
      <c r="CN135" s="23"/>
      <c r="CO135" s="23"/>
    </row>
    <row r="136" spans="1:93" ht="20" customHeight="1" x14ac:dyDescent="0.2">
      <c r="A136" s="61"/>
      <c r="B136" s="24"/>
      <c r="C136" s="24" t="s">
        <v>85</v>
      </c>
      <c r="D136" s="23" t="s">
        <v>143</v>
      </c>
      <c r="E136" s="23" t="s">
        <v>144</v>
      </c>
      <c r="F136" s="24">
        <v>2008</v>
      </c>
      <c r="G136" s="24">
        <v>156</v>
      </c>
      <c r="H136" s="89">
        <v>50</v>
      </c>
      <c r="I136" s="85" t="s">
        <v>176</v>
      </c>
      <c r="J136" s="116"/>
      <c r="K136" s="229"/>
      <c r="L136" s="230"/>
      <c r="M136" s="230" t="str">
        <f t="shared" si="45"/>
        <v/>
      </c>
      <c r="N136" s="230" t="str">
        <f t="shared" si="46"/>
        <v/>
      </c>
      <c r="O136" s="231"/>
      <c r="P136" s="231"/>
      <c r="Q136" s="231" t="str">
        <f t="shared" si="47"/>
        <v/>
      </c>
      <c r="R136" s="237" t="str">
        <f t="shared" si="48"/>
        <v/>
      </c>
      <c r="S136" s="239" t="str">
        <f t="shared" si="61"/>
        <v/>
      </c>
      <c r="T136" s="232"/>
      <c r="U136" s="229"/>
      <c r="V136" s="230"/>
      <c r="W136" s="230" t="str">
        <f t="shared" si="62"/>
        <v/>
      </c>
      <c r="X136" s="230" t="str">
        <f t="shared" si="63"/>
        <v/>
      </c>
      <c r="Y136" s="231"/>
      <c r="Z136" s="231"/>
      <c r="AA136" s="231" t="str">
        <f t="shared" si="64"/>
        <v/>
      </c>
      <c r="AB136" s="237" t="str">
        <f t="shared" si="65"/>
        <v/>
      </c>
      <c r="AC136" s="239" t="str">
        <f t="shared" si="53"/>
        <v/>
      </c>
      <c r="AD136" s="232"/>
      <c r="AE136" s="229"/>
      <c r="AF136" s="230"/>
      <c r="AG136" s="270" t="str">
        <f t="shared" si="59"/>
        <v/>
      </c>
      <c r="AH136" s="230"/>
      <c r="AI136" s="231"/>
      <c r="AJ136" s="231"/>
      <c r="AK136" s="271" t="str">
        <f t="shared" si="60"/>
        <v/>
      </c>
      <c r="AL136" s="237"/>
      <c r="AM136" s="239"/>
      <c r="AN136" s="232"/>
      <c r="AO136" s="229"/>
      <c r="AP136" s="230"/>
      <c r="AQ136" s="270" t="str">
        <f t="shared" si="56"/>
        <v/>
      </c>
      <c r="AR136" s="230"/>
      <c r="AS136" s="231"/>
      <c r="AT136" s="231"/>
      <c r="AU136" s="271" t="str">
        <f t="shared" si="57"/>
        <v/>
      </c>
      <c r="AV136" s="237"/>
      <c r="AW136" s="239"/>
      <c r="AX136" s="232"/>
      <c r="AY136" s="23"/>
      <c r="AZ136" s="289"/>
      <c r="BA136" s="230"/>
      <c r="BB136" s="230"/>
      <c r="BC136" s="230"/>
      <c r="BD136" s="231"/>
      <c r="BE136" s="231"/>
      <c r="BF136" s="231"/>
      <c r="BG136" s="237"/>
      <c r="BH136" s="239"/>
      <c r="BI136" s="232"/>
      <c r="BJ136" s="23"/>
      <c r="BK136" s="23"/>
      <c r="BL136" s="23"/>
      <c r="BM136" s="23"/>
      <c r="BN136" s="23"/>
      <c r="BO136" s="23"/>
      <c r="BP136" s="23"/>
      <c r="BQ136" s="23"/>
      <c r="BR136" s="23"/>
      <c r="BS136" s="23"/>
      <c r="BT136" s="23"/>
      <c r="BU136" s="23"/>
      <c r="BV136" s="23"/>
      <c r="BW136" s="23"/>
      <c r="BX136" s="23"/>
      <c r="BY136" s="23"/>
      <c r="BZ136" s="23"/>
      <c r="CA136" s="23"/>
      <c r="CB136" s="23"/>
      <c r="CC136" s="23"/>
      <c r="CD136" s="23"/>
      <c r="CE136" s="23"/>
      <c r="CF136" s="23"/>
      <c r="CG136" s="23"/>
      <c r="CH136" s="23"/>
      <c r="CI136" s="23"/>
      <c r="CJ136" s="23"/>
      <c r="CK136" s="23"/>
      <c r="CL136" s="23"/>
      <c r="CM136" s="23"/>
      <c r="CN136" s="23"/>
      <c r="CO136" s="23"/>
    </row>
    <row r="137" spans="1:93" ht="20" customHeight="1" x14ac:dyDescent="0.2">
      <c r="A137" s="60"/>
      <c r="B137" s="83"/>
      <c r="C137" s="24" t="s">
        <v>85</v>
      </c>
      <c r="D137" s="23" t="s">
        <v>323</v>
      </c>
      <c r="E137" s="23" t="s">
        <v>324</v>
      </c>
      <c r="F137" s="24">
        <v>2009</v>
      </c>
      <c r="H137" s="89">
        <v>12</v>
      </c>
      <c r="I137" s="85" t="s">
        <v>214</v>
      </c>
      <c r="J137" s="116" t="s">
        <v>192</v>
      </c>
      <c r="K137" s="229"/>
      <c r="L137" s="230"/>
      <c r="M137" s="230" t="str">
        <f t="shared" si="45"/>
        <v/>
      </c>
      <c r="N137" s="230" t="str">
        <f t="shared" si="46"/>
        <v/>
      </c>
      <c r="O137" s="231"/>
      <c r="P137" s="231"/>
      <c r="Q137" s="231" t="str">
        <f t="shared" si="47"/>
        <v/>
      </c>
      <c r="R137" s="237" t="str">
        <f t="shared" si="48"/>
        <v/>
      </c>
      <c r="S137" s="239" t="str">
        <f t="shared" si="61"/>
        <v/>
      </c>
      <c r="T137" s="232"/>
      <c r="U137" s="229"/>
      <c r="V137" s="230"/>
      <c r="W137" s="230" t="str">
        <f t="shared" si="62"/>
        <v/>
      </c>
      <c r="X137" s="230" t="str">
        <f t="shared" si="63"/>
        <v/>
      </c>
      <c r="Y137" s="231"/>
      <c r="Z137" s="231"/>
      <c r="AA137" s="231" t="str">
        <f t="shared" si="64"/>
        <v/>
      </c>
      <c r="AB137" s="237" t="str">
        <f t="shared" si="65"/>
        <v/>
      </c>
      <c r="AC137" s="239" t="str">
        <f t="shared" si="53"/>
        <v/>
      </c>
      <c r="AD137" s="232"/>
      <c r="AE137" s="229"/>
      <c r="AF137" s="230"/>
      <c r="AG137" s="270" t="str">
        <f t="shared" si="59"/>
        <v/>
      </c>
      <c r="AH137" s="230"/>
      <c r="AI137" s="231"/>
      <c r="AJ137" s="231"/>
      <c r="AK137" s="271" t="str">
        <f t="shared" si="60"/>
        <v/>
      </c>
      <c r="AL137" s="237"/>
      <c r="AM137" s="239"/>
      <c r="AN137" s="232"/>
      <c r="AO137" s="229"/>
      <c r="AP137" s="230"/>
      <c r="AQ137" s="270" t="str">
        <f t="shared" si="56"/>
        <v/>
      </c>
      <c r="AR137" s="230"/>
      <c r="AS137" s="231"/>
      <c r="AT137" s="231"/>
      <c r="AU137" s="271" t="str">
        <f t="shared" si="57"/>
        <v/>
      </c>
      <c r="AV137" s="237"/>
      <c r="AW137" s="239"/>
      <c r="AX137" s="232"/>
      <c r="AY137" s="23"/>
      <c r="AZ137" s="289"/>
      <c r="BA137" s="230"/>
      <c r="BB137" s="230"/>
      <c r="BC137" s="230"/>
      <c r="BD137" s="231"/>
      <c r="BE137" s="231"/>
      <c r="BF137" s="231"/>
      <c r="BG137" s="237"/>
      <c r="BH137" s="239"/>
      <c r="BI137" s="232"/>
      <c r="BJ137" s="23"/>
      <c r="BK137" s="23"/>
      <c r="BL137" s="23"/>
      <c r="BM137" s="23"/>
      <c r="BN137" s="23"/>
      <c r="BO137" s="23"/>
      <c r="BP137" s="23"/>
      <c r="BQ137" s="23"/>
      <c r="BR137" s="23"/>
      <c r="BS137" s="23"/>
      <c r="BT137" s="23"/>
      <c r="BU137" s="23"/>
      <c r="BV137" s="23"/>
      <c r="BW137" s="23"/>
      <c r="BX137" s="23"/>
      <c r="BY137" s="23"/>
      <c r="BZ137" s="23"/>
      <c r="CA137" s="23"/>
      <c r="CB137" s="23"/>
      <c r="CC137" s="23"/>
      <c r="CD137" s="23"/>
      <c r="CE137" s="23"/>
      <c r="CF137" s="23"/>
      <c r="CG137" s="23"/>
      <c r="CH137" s="23"/>
      <c r="CI137" s="23"/>
      <c r="CJ137" s="23"/>
      <c r="CK137" s="23"/>
      <c r="CL137" s="23"/>
      <c r="CM137" s="23"/>
      <c r="CN137" s="23"/>
      <c r="CO137" s="23"/>
    </row>
    <row r="138" spans="1:93" ht="20" customHeight="1" thickBot="1" x14ac:dyDescent="0.25">
      <c r="A138" s="61"/>
      <c r="B138" s="24"/>
      <c r="C138" s="24" t="s">
        <v>85</v>
      </c>
      <c r="D138" s="23" t="s">
        <v>147</v>
      </c>
      <c r="E138" s="23" t="s">
        <v>148</v>
      </c>
      <c r="F138" s="24">
        <v>2011</v>
      </c>
      <c r="G138" s="24">
        <v>112</v>
      </c>
      <c r="H138" s="90">
        <v>22</v>
      </c>
      <c r="I138" s="87" t="s">
        <v>218</v>
      </c>
      <c r="J138" s="117" t="s">
        <v>193</v>
      </c>
      <c r="K138" s="233"/>
      <c r="L138" s="234"/>
      <c r="M138" s="234" t="str">
        <f t="shared" si="45"/>
        <v/>
      </c>
      <c r="N138" s="234" t="str">
        <f t="shared" si="46"/>
        <v/>
      </c>
      <c r="O138" s="235"/>
      <c r="P138" s="235"/>
      <c r="Q138" s="235" t="str">
        <f t="shared" si="47"/>
        <v/>
      </c>
      <c r="R138" s="238" t="str">
        <f t="shared" si="48"/>
        <v/>
      </c>
      <c r="S138" s="240" t="str">
        <f t="shared" si="61"/>
        <v/>
      </c>
      <c r="T138" s="236"/>
      <c r="U138" s="233"/>
      <c r="V138" s="234"/>
      <c r="W138" s="234" t="str">
        <f t="shared" si="62"/>
        <v/>
      </c>
      <c r="X138" s="234" t="str">
        <f t="shared" si="63"/>
        <v/>
      </c>
      <c r="Y138" s="235"/>
      <c r="Z138" s="235"/>
      <c r="AA138" s="235" t="str">
        <f t="shared" si="64"/>
        <v/>
      </c>
      <c r="AB138" s="238" t="str">
        <f t="shared" si="65"/>
        <v/>
      </c>
      <c r="AC138" s="240" t="str">
        <f t="shared" si="53"/>
        <v/>
      </c>
      <c r="AD138" s="236"/>
      <c r="AE138" s="233"/>
      <c r="AF138" s="234"/>
      <c r="AG138" s="323" t="str">
        <f t="shared" si="59"/>
        <v/>
      </c>
      <c r="AH138" s="234"/>
      <c r="AI138" s="235"/>
      <c r="AJ138" s="235"/>
      <c r="AK138" s="325" t="str">
        <f t="shared" si="60"/>
        <v/>
      </c>
      <c r="AL138" s="238"/>
      <c r="AM138" s="240"/>
      <c r="AN138" s="236"/>
      <c r="AO138" s="233"/>
      <c r="AP138" s="234"/>
      <c r="AQ138" s="323" t="str">
        <f t="shared" si="56"/>
        <v/>
      </c>
      <c r="AR138" s="234"/>
      <c r="AS138" s="235"/>
      <c r="AT138" s="235"/>
      <c r="AU138" s="325" t="str">
        <f t="shared" si="57"/>
        <v/>
      </c>
      <c r="AV138" s="238"/>
      <c r="AW138" s="240"/>
      <c r="AX138" s="236"/>
      <c r="AY138" s="23"/>
      <c r="AZ138" s="291"/>
      <c r="BA138" s="234"/>
      <c r="BB138" s="234"/>
      <c r="BC138" s="234"/>
      <c r="BD138" s="235"/>
      <c r="BE138" s="235"/>
      <c r="BF138" s="235"/>
      <c r="BG138" s="238"/>
      <c r="BH138" s="240"/>
      <c r="BI138" s="236"/>
      <c r="BJ138" s="23"/>
      <c r="BK138" s="23"/>
      <c r="BL138" s="23"/>
      <c r="BM138" s="23"/>
      <c r="BN138" s="23"/>
      <c r="BO138" s="23"/>
      <c r="BP138" s="23"/>
      <c r="BQ138" s="23"/>
      <c r="BR138" s="23"/>
      <c r="BS138" s="23"/>
      <c r="BT138" s="23"/>
      <c r="BU138" s="23"/>
      <c r="BV138" s="23"/>
      <c r="BW138" s="23"/>
      <c r="BX138" s="23"/>
      <c r="BY138" s="23"/>
      <c r="BZ138" s="23"/>
      <c r="CA138" s="23"/>
      <c r="CB138" s="23"/>
      <c r="CC138" s="23"/>
      <c r="CD138" s="23"/>
      <c r="CE138" s="23"/>
      <c r="CF138" s="23"/>
      <c r="CG138" s="23"/>
      <c r="CH138" s="23"/>
      <c r="CI138" s="23"/>
      <c r="CJ138" s="23"/>
      <c r="CK138" s="23"/>
      <c r="CL138" s="23"/>
      <c r="CM138" s="23"/>
      <c r="CN138" s="23"/>
      <c r="CO138" s="23"/>
    </row>
    <row r="139" spans="1:93" ht="20" customHeight="1" x14ac:dyDescent="0.2">
      <c r="E139" s="22"/>
      <c r="F139" s="22"/>
      <c r="H139" s="22"/>
      <c r="I139" s="22"/>
      <c r="J139" s="22"/>
      <c r="K139" s="619" t="s">
        <v>444</v>
      </c>
      <c r="L139" s="495" t="s">
        <v>431</v>
      </c>
      <c r="M139" s="429" t="s">
        <v>489</v>
      </c>
      <c r="N139" s="429" t="s">
        <v>490</v>
      </c>
      <c r="O139" s="449" t="s">
        <v>444</v>
      </c>
      <c r="P139" s="449" t="s">
        <v>431</v>
      </c>
      <c r="Q139" s="449" t="s">
        <v>489</v>
      </c>
      <c r="R139" s="451" t="s">
        <v>490</v>
      </c>
      <c r="S139" s="453" t="s">
        <v>492</v>
      </c>
      <c r="T139" s="455" t="s">
        <v>241</v>
      </c>
      <c r="U139" s="492" t="s">
        <v>444</v>
      </c>
      <c r="V139" s="495" t="s">
        <v>431</v>
      </c>
      <c r="W139" s="429" t="s">
        <v>489</v>
      </c>
      <c r="X139" s="429" t="s">
        <v>490</v>
      </c>
      <c r="Y139" s="449" t="s">
        <v>444</v>
      </c>
      <c r="Z139" s="449" t="s">
        <v>431</v>
      </c>
      <c r="AA139" s="449" t="s">
        <v>489</v>
      </c>
      <c r="AB139" s="451" t="s">
        <v>490</v>
      </c>
      <c r="AC139" s="453" t="s">
        <v>492</v>
      </c>
      <c r="AD139" s="455" t="s">
        <v>241</v>
      </c>
      <c r="AE139" s="492" t="s">
        <v>444</v>
      </c>
      <c r="AF139" s="495" t="s">
        <v>431</v>
      </c>
      <c r="AG139" s="429" t="s">
        <v>489</v>
      </c>
      <c r="AH139" s="429" t="s">
        <v>490</v>
      </c>
      <c r="AI139" s="449" t="s">
        <v>444</v>
      </c>
      <c r="AJ139" s="449" t="s">
        <v>431</v>
      </c>
      <c r="AK139" s="449" t="s">
        <v>489</v>
      </c>
      <c r="AL139" s="451" t="s">
        <v>490</v>
      </c>
      <c r="AM139" s="453" t="s">
        <v>492</v>
      </c>
      <c r="AN139" s="455" t="s">
        <v>241</v>
      </c>
      <c r="AO139" s="492" t="s">
        <v>444</v>
      </c>
      <c r="AP139" s="495" t="s">
        <v>431</v>
      </c>
      <c r="AQ139" s="429" t="s">
        <v>489</v>
      </c>
      <c r="AR139" s="429" t="s">
        <v>490</v>
      </c>
      <c r="AS139" s="449" t="s">
        <v>444</v>
      </c>
      <c r="AT139" s="449" t="s">
        <v>431</v>
      </c>
      <c r="AU139" s="449" t="s">
        <v>489</v>
      </c>
      <c r="AV139" s="451" t="s">
        <v>490</v>
      </c>
      <c r="AW139" s="453" t="s">
        <v>492</v>
      </c>
      <c r="AX139" s="455" t="s">
        <v>241</v>
      </c>
      <c r="AY139" s="23"/>
      <c r="AZ139" s="619" t="s">
        <v>444</v>
      </c>
      <c r="BA139" s="495" t="s">
        <v>431</v>
      </c>
      <c r="BB139" s="429" t="s">
        <v>489</v>
      </c>
      <c r="BC139" s="429" t="s">
        <v>490</v>
      </c>
      <c r="BD139" s="449" t="s">
        <v>444</v>
      </c>
      <c r="BE139" s="449" t="s">
        <v>431</v>
      </c>
      <c r="BF139" s="449" t="s">
        <v>489</v>
      </c>
      <c r="BG139" s="451" t="s">
        <v>490</v>
      </c>
      <c r="BH139" s="453" t="s">
        <v>492</v>
      </c>
      <c r="BI139" s="455" t="s">
        <v>241</v>
      </c>
      <c r="BJ139" s="23"/>
      <c r="BK139" s="23"/>
      <c r="BL139" s="23"/>
      <c r="BM139" s="23"/>
      <c r="BN139" s="23"/>
      <c r="BO139" s="23"/>
      <c r="BP139" s="23"/>
      <c r="BQ139" s="23"/>
      <c r="BR139" s="23"/>
      <c r="BS139" s="23"/>
      <c r="BT139" s="23"/>
      <c r="BU139" s="23"/>
      <c r="BV139" s="23"/>
      <c r="BW139" s="23"/>
      <c r="BX139" s="23"/>
      <c r="BY139" s="23"/>
      <c r="BZ139" s="23"/>
      <c r="CA139" s="23"/>
      <c r="CB139" s="23"/>
      <c r="CC139" s="23"/>
      <c r="CD139" s="23"/>
      <c r="CE139" s="23"/>
      <c r="CF139" s="23"/>
      <c r="CG139" s="23"/>
      <c r="CH139" s="23"/>
      <c r="CI139" s="23"/>
      <c r="CJ139" s="23"/>
      <c r="CK139" s="23"/>
      <c r="CL139" s="23"/>
      <c r="CM139" s="23"/>
      <c r="CN139" s="23"/>
      <c r="CO139" s="23"/>
    </row>
    <row r="140" spans="1:93" ht="20" customHeight="1" x14ac:dyDescent="0.2">
      <c r="E140" s="22"/>
      <c r="F140" s="22"/>
      <c r="H140" s="22"/>
      <c r="I140" s="22"/>
      <c r="J140" s="22"/>
      <c r="K140" s="620"/>
      <c r="L140" s="495"/>
      <c r="M140" s="429"/>
      <c r="N140" s="429"/>
      <c r="O140" s="449"/>
      <c r="P140" s="449"/>
      <c r="Q140" s="449"/>
      <c r="R140" s="451"/>
      <c r="S140" s="453"/>
      <c r="T140" s="455"/>
      <c r="U140" s="493"/>
      <c r="V140" s="495"/>
      <c r="W140" s="429"/>
      <c r="X140" s="429"/>
      <c r="Y140" s="449"/>
      <c r="Z140" s="449"/>
      <c r="AA140" s="449"/>
      <c r="AB140" s="451"/>
      <c r="AC140" s="453"/>
      <c r="AD140" s="455"/>
      <c r="AE140" s="493"/>
      <c r="AF140" s="495"/>
      <c r="AG140" s="429"/>
      <c r="AH140" s="429"/>
      <c r="AI140" s="449"/>
      <c r="AJ140" s="449"/>
      <c r="AK140" s="449"/>
      <c r="AL140" s="451"/>
      <c r="AM140" s="453"/>
      <c r="AN140" s="455"/>
      <c r="AO140" s="493"/>
      <c r="AP140" s="495"/>
      <c r="AQ140" s="429"/>
      <c r="AR140" s="429"/>
      <c r="AS140" s="449"/>
      <c r="AT140" s="449"/>
      <c r="AU140" s="449"/>
      <c r="AV140" s="451"/>
      <c r="AW140" s="453"/>
      <c r="AX140" s="455"/>
      <c r="AY140" s="23"/>
      <c r="AZ140" s="620"/>
      <c r="BA140" s="495"/>
      <c r="BB140" s="429"/>
      <c r="BC140" s="429"/>
      <c r="BD140" s="449"/>
      <c r="BE140" s="449"/>
      <c r="BF140" s="449"/>
      <c r="BG140" s="451"/>
      <c r="BH140" s="453"/>
      <c r="BI140" s="455"/>
      <c r="BJ140" s="23"/>
      <c r="BK140" s="23"/>
      <c r="BL140" s="23"/>
      <c r="BM140" s="23"/>
      <c r="BN140" s="23"/>
      <c r="BO140" s="23"/>
      <c r="BP140" s="23"/>
      <c r="BQ140" s="23"/>
      <c r="BR140" s="23"/>
      <c r="BS140" s="23"/>
      <c r="BT140" s="23"/>
      <c r="BU140" s="23"/>
      <c r="BV140" s="23"/>
      <c r="BW140" s="23"/>
      <c r="BX140" s="23"/>
      <c r="BY140" s="23"/>
      <c r="BZ140" s="23"/>
      <c r="CA140" s="23"/>
      <c r="CB140" s="23"/>
      <c r="CC140" s="23"/>
      <c r="CD140" s="23"/>
      <c r="CE140" s="23"/>
      <c r="CF140" s="23"/>
      <c r="CG140" s="23"/>
      <c r="CH140" s="23"/>
      <c r="CI140" s="23"/>
      <c r="CJ140" s="23"/>
      <c r="CK140" s="23"/>
      <c r="CL140" s="23"/>
      <c r="CM140" s="23"/>
      <c r="CN140" s="23"/>
      <c r="CO140" s="23"/>
    </row>
    <row r="141" spans="1:93" ht="20" customHeight="1" x14ac:dyDescent="0.2">
      <c r="E141" s="22"/>
      <c r="F141" s="22"/>
      <c r="H141" s="22"/>
      <c r="I141" s="22"/>
      <c r="J141" s="22"/>
      <c r="K141" s="620"/>
      <c r="L141" s="495"/>
      <c r="M141" s="429"/>
      <c r="N141" s="429"/>
      <c r="O141" s="449"/>
      <c r="P141" s="449"/>
      <c r="Q141" s="449"/>
      <c r="R141" s="451"/>
      <c r="S141" s="453"/>
      <c r="T141" s="455"/>
      <c r="U141" s="493"/>
      <c r="V141" s="495"/>
      <c r="W141" s="429"/>
      <c r="X141" s="429"/>
      <c r="Y141" s="449"/>
      <c r="Z141" s="449"/>
      <c r="AA141" s="449"/>
      <c r="AB141" s="451"/>
      <c r="AC141" s="453"/>
      <c r="AD141" s="455"/>
      <c r="AE141" s="493"/>
      <c r="AF141" s="495"/>
      <c r="AG141" s="429"/>
      <c r="AH141" s="429"/>
      <c r="AI141" s="449"/>
      <c r="AJ141" s="449"/>
      <c r="AK141" s="449"/>
      <c r="AL141" s="451"/>
      <c r="AM141" s="453"/>
      <c r="AN141" s="455"/>
      <c r="AO141" s="493"/>
      <c r="AP141" s="495"/>
      <c r="AQ141" s="429"/>
      <c r="AR141" s="429"/>
      <c r="AS141" s="449"/>
      <c r="AT141" s="449"/>
      <c r="AU141" s="449"/>
      <c r="AV141" s="451"/>
      <c r="AW141" s="453"/>
      <c r="AX141" s="455"/>
      <c r="AY141" s="23"/>
      <c r="AZ141" s="620"/>
      <c r="BA141" s="495"/>
      <c r="BB141" s="429"/>
      <c r="BC141" s="429"/>
      <c r="BD141" s="449"/>
      <c r="BE141" s="449"/>
      <c r="BF141" s="449"/>
      <c r="BG141" s="451"/>
      <c r="BH141" s="453"/>
      <c r="BI141" s="455"/>
      <c r="BJ141" s="23"/>
      <c r="BK141" s="23"/>
      <c r="BL141" s="23"/>
      <c r="BM141" s="23"/>
      <c r="BN141" s="23"/>
      <c r="BO141" s="23"/>
      <c r="BP141" s="23"/>
      <c r="BQ141" s="23"/>
      <c r="BR141" s="23"/>
      <c r="BS141" s="23"/>
      <c r="BT141" s="23"/>
      <c r="BU141" s="23"/>
      <c r="BV141" s="23"/>
      <c r="BW141" s="23"/>
      <c r="BX141" s="23"/>
      <c r="BY141" s="23"/>
      <c r="BZ141" s="23"/>
      <c r="CA141" s="23"/>
      <c r="CB141" s="23"/>
      <c r="CC141" s="23"/>
      <c r="CD141" s="23"/>
      <c r="CE141" s="23"/>
      <c r="CF141" s="23"/>
      <c r="CG141" s="23"/>
      <c r="CH141" s="23"/>
      <c r="CI141" s="23"/>
      <c r="CJ141" s="23"/>
      <c r="CK141" s="23"/>
      <c r="CL141" s="23"/>
      <c r="CM141" s="23"/>
      <c r="CN141" s="23"/>
      <c r="CO141" s="23"/>
    </row>
    <row r="142" spans="1:93" ht="20" customHeight="1" x14ac:dyDescent="0.2">
      <c r="E142" s="22"/>
      <c r="F142" s="22"/>
      <c r="H142" s="22"/>
      <c r="I142" s="22"/>
      <c r="J142" s="22"/>
      <c r="K142" s="620"/>
      <c r="L142" s="495"/>
      <c r="M142" s="429"/>
      <c r="N142" s="429"/>
      <c r="O142" s="449"/>
      <c r="P142" s="449"/>
      <c r="Q142" s="449"/>
      <c r="R142" s="451"/>
      <c r="S142" s="453"/>
      <c r="T142" s="455"/>
      <c r="U142" s="493"/>
      <c r="V142" s="495"/>
      <c r="W142" s="429"/>
      <c r="X142" s="429"/>
      <c r="Y142" s="449"/>
      <c r="Z142" s="449"/>
      <c r="AA142" s="449"/>
      <c r="AB142" s="451"/>
      <c r="AC142" s="453"/>
      <c r="AD142" s="455"/>
      <c r="AE142" s="493"/>
      <c r="AF142" s="495"/>
      <c r="AG142" s="429"/>
      <c r="AH142" s="429"/>
      <c r="AI142" s="449"/>
      <c r="AJ142" s="449"/>
      <c r="AK142" s="449"/>
      <c r="AL142" s="451"/>
      <c r="AM142" s="453"/>
      <c r="AN142" s="455"/>
      <c r="AO142" s="493"/>
      <c r="AP142" s="495"/>
      <c r="AQ142" s="429"/>
      <c r="AR142" s="429"/>
      <c r="AS142" s="449"/>
      <c r="AT142" s="449"/>
      <c r="AU142" s="449"/>
      <c r="AV142" s="451"/>
      <c r="AW142" s="453"/>
      <c r="AX142" s="455"/>
      <c r="AY142" s="23"/>
      <c r="AZ142" s="620"/>
      <c r="BA142" s="495"/>
      <c r="BB142" s="429"/>
      <c r="BC142" s="429"/>
      <c r="BD142" s="449"/>
      <c r="BE142" s="449"/>
      <c r="BF142" s="449"/>
      <c r="BG142" s="451"/>
      <c r="BH142" s="453"/>
      <c r="BI142" s="455"/>
      <c r="BJ142" s="23"/>
      <c r="BK142" s="23"/>
      <c r="BL142" s="23"/>
      <c r="BM142" s="23"/>
      <c r="BN142" s="23"/>
      <c r="BO142" s="23"/>
      <c r="BP142" s="23"/>
      <c r="BQ142" s="23"/>
      <c r="BR142" s="23"/>
      <c r="BS142" s="23"/>
      <c r="BT142" s="23"/>
      <c r="BU142" s="23"/>
      <c r="BV142" s="23"/>
      <c r="BW142" s="23"/>
      <c r="BX142" s="23"/>
      <c r="BY142" s="23"/>
      <c r="BZ142" s="23"/>
      <c r="CA142" s="23"/>
      <c r="CB142" s="23"/>
      <c r="CC142" s="23"/>
      <c r="CD142" s="23"/>
      <c r="CE142" s="23"/>
      <c r="CF142" s="23"/>
      <c r="CG142" s="23"/>
      <c r="CH142" s="23"/>
      <c r="CI142" s="23"/>
      <c r="CJ142" s="23"/>
      <c r="CK142" s="23"/>
      <c r="CL142" s="23"/>
      <c r="CM142" s="23"/>
      <c r="CN142" s="23"/>
      <c r="CO142" s="23"/>
    </row>
    <row r="143" spans="1:93" ht="20" customHeight="1" x14ac:dyDescent="0.2">
      <c r="E143" s="22"/>
      <c r="F143" s="22"/>
      <c r="H143" s="22"/>
      <c r="I143" s="22"/>
      <c r="J143" s="22"/>
      <c r="K143" s="621"/>
      <c r="L143" s="496"/>
      <c r="M143" s="430"/>
      <c r="N143" s="430"/>
      <c r="O143" s="450"/>
      <c r="P143" s="450"/>
      <c r="Q143" s="450"/>
      <c r="R143" s="452"/>
      <c r="S143" s="624"/>
      <c r="T143" s="625"/>
      <c r="U143" s="494"/>
      <c r="V143" s="496"/>
      <c r="W143" s="430"/>
      <c r="X143" s="430"/>
      <c r="Y143" s="450"/>
      <c r="Z143" s="450"/>
      <c r="AA143" s="450"/>
      <c r="AB143" s="452"/>
      <c r="AC143" s="454"/>
      <c r="AD143" s="456"/>
      <c r="AE143" s="494"/>
      <c r="AF143" s="496"/>
      <c r="AG143" s="430"/>
      <c r="AH143" s="430"/>
      <c r="AI143" s="450"/>
      <c r="AJ143" s="450"/>
      <c r="AK143" s="450"/>
      <c r="AL143" s="452"/>
      <c r="AM143" s="454"/>
      <c r="AN143" s="456"/>
      <c r="AO143" s="494"/>
      <c r="AP143" s="496"/>
      <c r="AQ143" s="430"/>
      <c r="AR143" s="430"/>
      <c r="AS143" s="450"/>
      <c r="AT143" s="450"/>
      <c r="AU143" s="450"/>
      <c r="AV143" s="452"/>
      <c r="AW143" s="454"/>
      <c r="AX143" s="456"/>
      <c r="AY143" s="23"/>
      <c r="AZ143" s="621"/>
      <c r="BA143" s="496"/>
      <c r="BB143" s="430"/>
      <c r="BC143" s="430"/>
      <c r="BD143" s="450"/>
      <c r="BE143" s="450"/>
      <c r="BF143" s="450"/>
      <c r="BG143" s="452"/>
      <c r="BH143" s="454"/>
      <c r="BI143" s="456"/>
      <c r="BJ143" s="23"/>
      <c r="BK143" s="23"/>
      <c r="BL143" s="23"/>
      <c r="BM143" s="23"/>
      <c r="BN143" s="23"/>
      <c r="BO143" s="23"/>
      <c r="BP143" s="23"/>
      <c r="BQ143" s="23"/>
      <c r="BR143" s="23"/>
      <c r="BS143" s="23"/>
      <c r="BT143" s="23"/>
      <c r="BU143" s="23"/>
      <c r="BV143" s="23"/>
      <c r="BW143" s="23"/>
      <c r="BX143" s="23"/>
      <c r="BY143" s="23"/>
      <c r="BZ143" s="23"/>
      <c r="CA143" s="23"/>
      <c r="CB143" s="23"/>
      <c r="CC143" s="23"/>
      <c r="CD143" s="23"/>
      <c r="CE143" s="23"/>
      <c r="CF143" s="23"/>
      <c r="CG143" s="23"/>
      <c r="CH143" s="23"/>
      <c r="CI143" s="23"/>
      <c r="CJ143" s="23"/>
      <c r="CK143" s="23"/>
      <c r="CL143" s="23"/>
      <c r="CM143" s="23"/>
      <c r="CN143" s="23"/>
      <c r="CO143" s="23"/>
    </row>
    <row r="144" spans="1:93" ht="20" customHeight="1" thickBot="1" x14ac:dyDescent="0.25">
      <c r="E144" s="22"/>
      <c r="F144" s="22"/>
      <c r="H144" s="22"/>
      <c r="I144" s="22"/>
      <c r="J144" s="22"/>
      <c r="K144" s="423" t="s">
        <v>433</v>
      </c>
      <c r="L144" s="424"/>
      <c r="M144" s="424"/>
      <c r="N144" s="424"/>
      <c r="O144" s="425" t="s">
        <v>434</v>
      </c>
      <c r="P144" s="425"/>
      <c r="Q144" s="425"/>
      <c r="R144" s="426"/>
      <c r="S144" s="490" t="s">
        <v>495</v>
      </c>
      <c r="T144" s="428"/>
      <c r="U144" s="491" t="s">
        <v>433</v>
      </c>
      <c r="V144" s="424"/>
      <c r="W144" s="424"/>
      <c r="X144" s="424"/>
      <c r="Y144" s="425" t="s">
        <v>434</v>
      </c>
      <c r="Z144" s="425"/>
      <c r="AA144" s="425"/>
      <c r="AB144" s="426"/>
      <c r="AC144" s="427" t="s">
        <v>495</v>
      </c>
      <c r="AD144" s="428"/>
      <c r="AE144" s="491" t="s">
        <v>433</v>
      </c>
      <c r="AF144" s="424"/>
      <c r="AG144" s="424"/>
      <c r="AH144" s="424"/>
      <c r="AI144" s="425" t="s">
        <v>434</v>
      </c>
      <c r="AJ144" s="425"/>
      <c r="AK144" s="425"/>
      <c r="AL144" s="426"/>
      <c r="AM144" s="427" t="s">
        <v>495</v>
      </c>
      <c r="AN144" s="611"/>
      <c r="AO144" s="491" t="s">
        <v>433</v>
      </c>
      <c r="AP144" s="424"/>
      <c r="AQ144" s="424"/>
      <c r="AR144" s="424"/>
      <c r="AS144" s="425" t="s">
        <v>434</v>
      </c>
      <c r="AT144" s="425"/>
      <c r="AU144" s="425"/>
      <c r="AV144" s="426"/>
      <c r="AW144" s="427" t="s">
        <v>495</v>
      </c>
      <c r="AX144" s="428"/>
      <c r="AY144" s="23"/>
      <c r="AZ144" s="423" t="s">
        <v>433</v>
      </c>
      <c r="BA144" s="424"/>
      <c r="BB144" s="424"/>
      <c r="BC144" s="424"/>
      <c r="BD144" s="425" t="s">
        <v>434</v>
      </c>
      <c r="BE144" s="425"/>
      <c r="BF144" s="425"/>
      <c r="BG144" s="426"/>
      <c r="BH144" s="427" t="s">
        <v>495</v>
      </c>
      <c r="BI144" s="428"/>
      <c r="BJ144" s="23"/>
      <c r="BK144" s="23"/>
      <c r="BL144" s="23"/>
      <c r="BM144" s="23"/>
      <c r="BN144" s="23"/>
      <c r="BO144" s="23"/>
      <c r="BP144" s="23"/>
      <c r="BQ144" s="23"/>
      <c r="BR144" s="23"/>
      <c r="BS144" s="23"/>
      <c r="BT144" s="23"/>
      <c r="BU144" s="23"/>
      <c r="BV144" s="23"/>
      <c r="BW144" s="23"/>
      <c r="BX144" s="23"/>
      <c r="BY144" s="23"/>
      <c r="BZ144" s="23"/>
      <c r="CA144" s="23"/>
      <c r="CB144" s="23"/>
      <c r="CC144" s="23"/>
      <c r="CD144" s="23"/>
      <c r="CE144" s="23"/>
      <c r="CF144" s="23"/>
      <c r="CG144" s="23"/>
      <c r="CH144" s="23"/>
      <c r="CI144" s="23"/>
      <c r="CJ144" s="23"/>
      <c r="CK144" s="23"/>
      <c r="CL144" s="23"/>
      <c r="CM144" s="23"/>
      <c r="CN144" s="23"/>
      <c r="CO144" s="23"/>
    </row>
    <row r="145" spans="5:93" ht="20" customHeight="1" x14ac:dyDescent="0.2">
      <c r="E145" s="22"/>
      <c r="F145" s="22"/>
      <c r="H145" s="22"/>
      <c r="I145" s="22"/>
      <c r="J145" s="22"/>
      <c r="K145" s="484" t="s">
        <v>436</v>
      </c>
      <c r="L145" s="485"/>
      <c r="M145" s="485"/>
      <c r="N145" s="485"/>
      <c r="O145" s="485"/>
      <c r="P145" s="485"/>
      <c r="Q145" s="485"/>
      <c r="R145" s="485"/>
      <c r="S145" s="485"/>
      <c r="T145" s="486"/>
      <c r="U145" s="487" t="s">
        <v>437</v>
      </c>
      <c r="V145" s="487"/>
      <c r="W145" s="487"/>
      <c r="X145" s="487"/>
      <c r="Y145" s="487"/>
      <c r="Z145" s="487"/>
      <c r="AA145" s="487"/>
      <c r="AB145" s="487"/>
      <c r="AC145" s="487"/>
      <c r="AD145" s="487"/>
      <c r="AE145" s="488" t="s">
        <v>488</v>
      </c>
      <c r="AF145" s="485"/>
      <c r="AG145" s="485"/>
      <c r="AH145" s="485"/>
      <c r="AI145" s="485"/>
      <c r="AJ145" s="485"/>
      <c r="AK145" s="485"/>
      <c r="AL145" s="485"/>
      <c r="AM145" s="485"/>
      <c r="AN145" s="489"/>
      <c r="AO145" s="488" t="s">
        <v>500</v>
      </c>
      <c r="AP145" s="485"/>
      <c r="AQ145" s="485"/>
      <c r="AR145" s="485"/>
      <c r="AS145" s="485"/>
      <c r="AT145" s="485"/>
      <c r="AU145" s="485"/>
      <c r="AV145" s="485"/>
      <c r="AW145" s="485"/>
      <c r="AX145" s="489"/>
      <c r="AY145" s="23"/>
      <c r="AZ145" s="484" t="s">
        <v>518</v>
      </c>
      <c r="BA145" s="485"/>
      <c r="BB145" s="485"/>
      <c r="BC145" s="485"/>
      <c r="BD145" s="485"/>
      <c r="BE145" s="485"/>
      <c r="BF145" s="485"/>
      <c r="BG145" s="485"/>
      <c r="BH145" s="485"/>
      <c r="BI145" s="489"/>
      <c r="BJ145" s="23"/>
      <c r="BK145" s="23"/>
      <c r="BL145" s="23"/>
      <c r="BM145" s="23"/>
      <c r="BN145" s="23"/>
      <c r="BO145" s="23"/>
      <c r="BP145" s="23"/>
      <c r="BQ145" s="23"/>
      <c r="BR145" s="23"/>
      <c r="BS145" s="23"/>
      <c r="BT145" s="23"/>
      <c r="BU145" s="23"/>
      <c r="BV145" s="23"/>
      <c r="BW145" s="23"/>
      <c r="BX145" s="23"/>
      <c r="BY145" s="23"/>
      <c r="BZ145" s="23"/>
      <c r="CA145" s="23"/>
      <c r="CB145" s="23"/>
      <c r="CC145" s="23"/>
      <c r="CD145" s="23"/>
      <c r="CE145" s="23"/>
      <c r="CF145" s="23"/>
      <c r="CG145" s="23"/>
      <c r="CH145" s="23"/>
      <c r="CI145" s="23"/>
      <c r="CJ145" s="23"/>
      <c r="CK145" s="23"/>
      <c r="CL145" s="23"/>
      <c r="CM145" s="23"/>
      <c r="CN145" s="23"/>
      <c r="CO145" s="23"/>
    </row>
    <row r="146" spans="5:93" ht="20" customHeight="1" x14ac:dyDescent="0.2">
      <c r="E146" s="22"/>
      <c r="F146" s="22"/>
      <c r="H146" s="22"/>
      <c r="I146" s="22"/>
      <c r="J146" s="22"/>
      <c r="K146" s="481" t="s">
        <v>446</v>
      </c>
      <c r="L146" s="482"/>
      <c r="M146" s="482"/>
      <c r="N146" s="482"/>
      <c r="O146" s="482"/>
      <c r="P146" s="482"/>
      <c r="Q146" s="482"/>
      <c r="R146" s="482"/>
      <c r="S146" s="482"/>
      <c r="T146" s="482"/>
      <c r="U146" s="482"/>
      <c r="V146" s="482"/>
      <c r="W146" s="482"/>
      <c r="X146" s="482"/>
      <c r="Y146" s="482"/>
      <c r="Z146" s="482"/>
      <c r="AA146" s="482"/>
      <c r="AB146" s="482"/>
      <c r="AC146" s="482"/>
      <c r="AD146" s="482"/>
      <c r="AE146" s="482"/>
      <c r="AF146" s="482"/>
      <c r="AG146" s="482"/>
      <c r="AH146" s="482"/>
      <c r="AI146" s="482"/>
      <c r="AJ146" s="482"/>
      <c r="AK146" s="482"/>
      <c r="AL146" s="482"/>
      <c r="AM146" s="482"/>
      <c r="AN146" s="482"/>
      <c r="AO146" s="482"/>
      <c r="AP146" s="482"/>
      <c r="AQ146" s="482"/>
      <c r="AR146" s="482"/>
      <c r="AS146" s="482"/>
      <c r="AT146" s="482"/>
      <c r="AU146" s="482"/>
      <c r="AV146" s="482"/>
      <c r="AW146" s="482"/>
      <c r="AX146" s="483"/>
      <c r="AY146" s="23"/>
      <c r="AZ146" s="481"/>
      <c r="BA146" s="482"/>
      <c r="BB146" s="482"/>
      <c r="BC146" s="482"/>
      <c r="BD146" s="482"/>
      <c r="BE146" s="482"/>
      <c r="BF146" s="482"/>
      <c r="BG146" s="482"/>
      <c r="BH146" s="482"/>
      <c r="BI146" s="483"/>
      <c r="BJ146" s="23"/>
      <c r="BK146" s="23"/>
      <c r="BL146" s="23"/>
      <c r="BM146" s="23"/>
      <c r="BN146" s="23"/>
      <c r="BO146" s="23"/>
      <c r="BP146" s="23"/>
      <c r="BQ146" s="23"/>
      <c r="BR146" s="23"/>
      <c r="BS146" s="23"/>
      <c r="BT146" s="23"/>
      <c r="BU146" s="23"/>
      <c r="BV146" s="23"/>
      <c r="BW146" s="23"/>
      <c r="BX146" s="23"/>
      <c r="BY146" s="23"/>
      <c r="BZ146" s="23"/>
      <c r="CA146" s="23"/>
      <c r="CB146" s="23"/>
      <c r="CC146" s="23"/>
      <c r="CD146" s="23"/>
      <c r="CE146" s="23"/>
      <c r="CF146" s="23"/>
      <c r="CG146" s="23"/>
      <c r="CH146" s="23"/>
      <c r="CI146" s="23"/>
      <c r="CJ146" s="23"/>
      <c r="CK146" s="23"/>
      <c r="CL146" s="23"/>
      <c r="CM146" s="23"/>
      <c r="CN146" s="23"/>
      <c r="CO146" s="23"/>
    </row>
    <row r="147" spans="5:93" ht="20" customHeight="1" thickBot="1" x14ac:dyDescent="0.25">
      <c r="E147" s="22"/>
      <c r="F147" s="22"/>
      <c r="H147" s="22"/>
      <c r="I147" s="22"/>
      <c r="J147" s="22"/>
      <c r="K147" s="497" t="s">
        <v>429</v>
      </c>
      <c r="L147" s="498"/>
      <c r="M147" s="498"/>
      <c r="N147" s="498"/>
      <c r="O147" s="498"/>
      <c r="P147" s="498"/>
      <c r="Q147" s="498"/>
      <c r="R147" s="498"/>
      <c r="S147" s="498"/>
      <c r="T147" s="498"/>
      <c r="U147" s="498"/>
      <c r="V147" s="498"/>
      <c r="W147" s="498"/>
      <c r="X147" s="498"/>
      <c r="Y147" s="498"/>
      <c r="Z147" s="498"/>
      <c r="AA147" s="498"/>
      <c r="AB147" s="498"/>
      <c r="AC147" s="498"/>
      <c r="AD147" s="498"/>
      <c r="AE147" s="498"/>
      <c r="AF147" s="498"/>
      <c r="AG147" s="498"/>
      <c r="AH147" s="498"/>
      <c r="AI147" s="498"/>
      <c r="AJ147" s="498"/>
      <c r="AK147" s="498"/>
      <c r="AL147" s="498"/>
      <c r="AM147" s="498"/>
      <c r="AN147" s="498"/>
      <c r="AO147" s="498"/>
      <c r="AP147" s="498"/>
      <c r="AQ147" s="498"/>
      <c r="AR147" s="498"/>
      <c r="AS147" s="498"/>
      <c r="AT147" s="498"/>
      <c r="AU147" s="498"/>
      <c r="AV147" s="498"/>
      <c r="AW147" s="498"/>
      <c r="AX147" s="499"/>
      <c r="AY147" s="23"/>
      <c r="AZ147" s="497"/>
      <c r="BA147" s="498"/>
      <c r="BB147" s="498"/>
      <c r="BC147" s="498"/>
      <c r="BD147" s="498"/>
      <c r="BE147" s="498"/>
      <c r="BF147" s="498"/>
      <c r="BG147" s="498"/>
      <c r="BH147" s="498"/>
      <c r="BI147" s="499"/>
      <c r="BK147" s="23"/>
      <c r="BL147" s="23"/>
      <c r="BM147" s="23"/>
      <c r="BN147" s="23"/>
      <c r="BO147" s="23"/>
      <c r="BP147" s="23"/>
      <c r="BQ147" s="23"/>
      <c r="BR147" s="23"/>
      <c r="BS147" s="23"/>
      <c r="BT147" s="23"/>
      <c r="BU147" s="23"/>
      <c r="BV147" s="23"/>
      <c r="BW147" s="23"/>
      <c r="BX147" s="23"/>
      <c r="BY147" s="23"/>
      <c r="BZ147" s="23"/>
      <c r="CA147" s="23"/>
      <c r="CB147" s="23"/>
      <c r="CC147" s="23"/>
      <c r="CD147" s="23"/>
      <c r="CE147" s="23"/>
      <c r="CF147" s="23"/>
      <c r="CG147" s="23"/>
      <c r="CH147" s="23"/>
      <c r="CI147" s="23"/>
      <c r="CJ147" s="23"/>
      <c r="CK147" s="23"/>
      <c r="CL147" s="23"/>
      <c r="CM147" s="23"/>
      <c r="CN147" s="23"/>
      <c r="CO147" s="23"/>
    </row>
    <row r="148" spans="5:93" ht="20" customHeight="1" x14ac:dyDescent="0.2">
      <c r="H148" s="22"/>
      <c r="I148" s="22"/>
      <c r="J148" s="22"/>
    </row>
    <row r="149" spans="5:93" ht="20" customHeight="1" x14ac:dyDescent="0.2"/>
    <row r="150" spans="5:93" ht="20" customHeight="1" x14ac:dyDescent="0.2"/>
    <row r="151" spans="5:93" ht="20" customHeight="1" x14ac:dyDescent="0.2"/>
    <row r="152" spans="5:93" ht="20" customHeight="1" x14ac:dyDescent="0.2"/>
    <row r="153" spans="5:93" ht="20" customHeight="1" x14ac:dyDescent="0.2"/>
    <row r="154" spans="5:93" ht="20" customHeight="1" x14ac:dyDescent="0.2"/>
    <row r="155" spans="5:93" ht="20" customHeight="1" x14ac:dyDescent="0.2"/>
  </sheetData>
  <mergeCells count="613">
    <mergeCell ref="D107:D108"/>
    <mergeCell ref="AO52:AX52"/>
    <mergeCell ref="BV53:CE53"/>
    <mergeCell ref="BV54:CE54"/>
    <mergeCell ref="K54:AX54"/>
    <mergeCell ref="K53:AX53"/>
    <mergeCell ref="K3:AX3"/>
    <mergeCell ref="K4:AX4"/>
    <mergeCell ref="D60:D61"/>
    <mergeCell ref="AR46:AR50"/>
    <mergeCell ref="AS46:AS50"/>
    <mergeCell ref="AT46:AT50"/>
    <mergeCell ref="AU46:AU50"/>
    <mergeCell ref="AV46:AV50"/>
    <mergeCell ref="AW46:AW50"/>
    <mergeCell ref="AX46:AX50"/>
    <mergeCell ref="AO51:AR51"/>
    <mergeCell ref="AS51:AV51"/>
    <mergeCell ref="AW51:AX51"/>
    <mergeCell ref="CB46:CB50"/>
    <mergeCell ref="CC46:CC50"/>
    <mergeCell ref="CD46:CD50"/>
    <mergeCell ref="CE46:CE50"/>
    <mergeCell ref="BV51:BY51"/>
    <mergeCell ref="AO5:AX5"/>
    <mergeCell ref="AO6:AR6"/>
    <mergeCell ref="AS6:AV6"/>
    <mergeCell ref="AW6:AX6"/>
    <mergeCell ref="AO7:AO11"/>
    <mergeCell ref="AP7:AP11"/>
    <mergeCell ref="AQ7:AQ11"/>
    <mergeCell ref="AR7:AR11"/>
    <mergeCell ref="AS7:AS11"/>
    <mergeCell ref="AT7:AT11"/>
    <mergeCell ref="AU7:AU11"/>
    <mergeCell ref="AV7:AV11"/>
    <mergeCell ref="AW7:AW11"/>
    <mergeCell ref="AX7:AX11"/>
    <mergeCell ref="CA7:CA11"/>
    <mergeCell ref="CB7:CB11"/>
    <mergeCell ref="CC7:CC11"/>
    <mergeCell ref="CD7:CD11"/>
    <mergeCell ref="CE7:CE11"/>
    <mergeCell ref="BO7:BO11"/>
    <mergeCell ref="BP7:BP11"/>
    <mergeCell ref="BQ7:BQ11"/>
    <mergeCell ref="BR7:BR11"/>
    <mergeCell ref="BS7:BS11"/>
    <mergeCell ref="BT7:BT11"/>
    <mergeCell ref="BV7:BV11"/>
    <mergeCell ref="BW7:BW11"/>
    <mergeCell ref="BX7:BX11"/>
    <mergeCell ref="BY7:BY11"/>
    <mergeCell ref="BZ7:BZ11"/>
    <mergeCell ref="AZ51:BC51"/>
    <mergeCell ref="BD51:BG51"/>
    <mergeCell ref="BH51:BI51"/>
    <mergeCell ref="AQ46:AQ50"/>
    <mergeCell ref="AM51:AN51"/>
    <mergeCell ref="Z46:Z50"/>
    <mergeCell ref="AB46:AB50"/>
    <mergeCell ref="AE46:AE50"/>
    <mergeCell ref="AF46:AF50"/>
    <mergeCell ref="AL46:AL50"/>
    <mergeCell ref="AZ46:AZ50"/>
    <mergeCell ref="BA46:BA50"/>
    <mergeCell ref="BB46:BB50"/>
    <mergeCell ref="BC46:BC50"/>
    <mergeCell ref="BD46:BD50"/>
    <mergeCell ref="BE46:BE50"/>
    <mergeCell ref="BF46:BF50"/>
    <mergeCell ref="AH46:AH50"/>
    <mergeCell ref="AI46:AI50"/>
    <mergeCell ref="AJ46:AJ50"/>
    <mergeCell ref="AK46:AK50"/>
    <mergeCell ref="AM46:AM50"/>
    <mergeCell ref="AN46:AN50"/>
    <mergeCell ref="AO46:AO50"/>
    <mergeCell ref="BG7:BG11"/>
    <mergeCell ref="BH7:BH11"/>
    <mergeCell ref="BI7:BI11"/>
    <mergeCell ref="BE7:BE11"/>
    <mergeCell ref="BI46:BI50"/>
    <mergeCell ref="A8:A11"/>
    <mergeCell ref="B8:B11"/>
    <mergeCell ref="K46:K50"/>
    <mergeCell ref="G7:G11"/>
    <mergeCell ref="H7:H11"/>
    <mergeCell ref="I7:I11"/>
    <mergeCell ref="J7:J11"/>
    <mergeCell ref="K7:K11"/>
    <mergeCell ref="AP46:AP50"/>
    <mergeCell ref="R46:R50"/>
    <mergeCell ref="U46:U50"/>
    <mergeCell ref="V46:V50"/>
    <mergeCell ref="X46:X50"/>
    <mergeCell ref="Y46:Y50"/>
    <mergeCell ref="K51:N51"/>
    <mergeCell ref="L7:L11"/>
    <mergeCell ref="N7:N11"/>
    <mergeCell ref="L46:L50"/>
    <mergeCell ref="N46:N50"/>
    <mergeCell ref="M7:M11"/>
    <mergeCell ref="D2:D3"/>
    <mergeCell ref="K6:N6"/>
    <mergeCell ref="U6:X6"/>
    <mergeCell ref="O6:R6"/>
    <mergeCell ref="P7:P11"/>
    <mergeCell ref="O7:O11"/>
    <mergeCell ref="U5:AD5"/>
    <mergeCell ref="S51:T51"/>
    <mergeCell ref="AC51:AD51"/>
    <mergeCell ref="U51:X51"/>
    <mergeCell ref="Y51:AB51"/>
    <mergeCell ref="O51:R51"/>
    <mergeCell ref="Y6:AB6"/>
    <mergeCell ref="AI6:AL6"/>
    <mergeCell ref="AJ7:AJ11"/>
    <mergeCell ref="U7:U11"/>
    <mergeCell ref="V7:V11"/>
    <mergeCell ref="X7:X11"/>
    <mergeCell ref="Y7:Y11"/>
    <mergeCell ref="Z7:Z11"/>
    <mergeCell ref="AL7:AL11"/>
    <mergeCell ref="R7:R11"/>
    <mergeCell ref="AH7:AH11"/>
    <mergeCell ref="AC7:AC11"/>
    <mergeCell ref="AG7:AG11"/>
    <mergeCell ref="AB7:AB11"/>
    <mergeCell ref="AE7:AE11"/>
    <mergeCell ref="AF7:AF11"/>
    <mergeCell ref="T7:T11"/>
    <mergeCell ref="S6:T6"/>
    <mergeCell ref="W7:W11"/>
    <mergeCell ref="AA7:AA11"/>
    <mergeCell ref="AK7:AK11"/>
    <mergeCell ref="AC6:AD6"/>
    <mergeCell ref="AD7:AD11"/>
    <mergeCell ref="AI7:AI11"/>
    <mergeCell ref="AE6:AH6"/>
    <mergeCell ref="O61:R61"/>
    <mergeCell ref="BK7:BK11"/>
    <mergeCell ref="BL7:BL11"/>
    <mergeCell ref="BM7:BM11"/>
    <mergeCell ref="AE5:AN5"/>
    <mergeCell ref="AM6:AN6"/>
    <mergeCell ref="AM7:AM11"/>
    <mergeCell ref="AN7:AN11"/>
    <mergeCell ref="M46:M50"/>
    <mergeCell ref="Q46:Q50"/>
    <mergeCell ref="W46:W50"/>
    <mergeCell ref="AA46:AA50"/>
    <mergeCell ref="AG46:AG50"/>
    <mergeCell ref="AC46:AC50"/>
    <mergeCell ref="AD46:AD50"/>
    <mergeCell ref="S46:S50"/>
    <mergeCell ref="T46:T50"/>
    <mergeCell ref="AE52:AN52"/>
    <mergeCell ref="O46:O50"/>
    <mergeCell ref="P46:P50"/>
    <mergeCell ref="K5:T5"/>
    <mergeCell ref="S7:S11"/>
    <mergeCell ref="AE51:AH51"/>
    <mergeCell ref="AI51:AL51"/>
    <mergeCell ref="G62:G66"/>
    <mergeCell ref="H62:H66"/>
    <mergeCell ref="I62:I66"/>
    <mergeCell ref="J62:J66"/>
    <mergeCell ref="M62:M66"/>
    <mergeCell ref="Q62:Q66"/>
    <mergeCell ref="S62:S66"/>
    <mergeCell ref="T62:T66"/>
    <mergeCell ref="W62:W66"/>
    <mergeCell ref="AS62:AS66"/>
    <mergeCell ref="BK62:BK66"/>
    <mergeCell ref="BL62:BL66"/>
    <mergeCell ref="BA62:BA66"/>
    <mergeCell ref="BB62:BB66"/>
    <mergeCell ref="BC62:BC66"/>
    <mergeCell ref="BD62:BD66"/>
    <mergeCell ref="BE62:BE66"/>
    <mergeCell ref="BF62:BF66"/>
    <mergeCell ref="BG62:BG66"/>
    <mergeCell ref="BH62:BH66"/>
    <mergeCell ref="A63:A66"/>
    <mergeCell ref="B63:B66"/>
    <mergeCell ref="M93:M97"/>
    <mergeCell ref="Q93:Q97"/>
    <mergeCell ref="S93:S97"/>
    <mergeCell ref="T93:T97"/>
    <mergeCell ref="W93:W97"/>
    <mergeCell ref="AY62:AY66"/>
    <mergeCell ref="AZ62:AZ66"/>
    <mergeCell ref="P62:P66"/>
    <mergeCell ref="R62:R66"/>
    <mergeCell ref="U62:U66"/>
    <mergeCell ref="V62:V66"/>
    <mergeCell ref="K93:K97"/>
    <mergeCell ref="L93:L97"/>
    <mergeCell ref="N93:N97"/>
    <mergeCell ref="O93:O97"/>
    <mergeCell ref="P93:P97"/>
    <mergeCell ref="R93:R97"/>
    <mergeCell ref="U93:U97"/>
    <mergeCell ref="V93:V97"/>
    <mergeCell ref="X93:X97"/>
    <mergeCell ref="Y93:Y97"/>
    <mergeCell ref="Z93:Z97"/>
    <mergeCell ref="AA93:AA97"/>
    <mergeCell ref="BM93:BM97"/>
    <mergeCell ref="BG93:BG97"/>
    <mergeCell ref="BH93:BH97"/>
    <mergeCell ref="BI93:BI97"/>
    <mergeCell ref="BI62:BI66"/>
    <mergeCell ref="BJ62:BJ66"/>
    <mergeCell ref="X62:X66"/>
    <mergeCell ref="Y62:Y66"/>
    <mergeCell ref="Z62:Z66"/>
    <mergeCell ref="AB62:AB66"/>
    <mergeCell ref="AE62:AE66"/>
    <mergeCell ref="AA62:AA66"/>
    <mergeCell ref="BM62:BM66"/>
    <mergeCell ref="AT62:AT66"/>
    <mergeCell ref="AV62:AV66"/>
    <mergeCell ref="AF62:AF66"/>
    <mergeCell ref="AH62:AH66"/>
    <mergeCell ref="AI62:AI66"/>
    <mergeCell ref="AJ62:AJ66"/>
    <mergeCell ref="AL62:AL66"/>
    <mergeCell ref="AO62:AO66"/>
    <mergeCell ref="AP62:AP66"/>
    <mergeCell ref="AR62:AR66"/>
    <mergeCell ref="BD93:BD97"/>
    <mergeCell ref="BE93:BE97"/>
    <mergeCell ref="BF93:BF97"/>
    <mergeCell ref="AB93:AB97"/>
    <mergeCell ref="AE93:AE97"/>
    <mergeCell ref="AF93:AF97"/>
    <mergeCell ref="AH93:AH97"/>
    <mergeCell ref="AC93:AC97"/>
    <mergeCell ref="AD93:AD97"/>
    <mergeCell ref="AG93:AG97"/>
    <mergeCell ref="K107:T107"/>
    <mergeCell ref="U107:AD107"/>
    <mergeCell ref="K105:AX105"/>
    <mergeCell ref="K106:AX106"/>
    <mergeCell ref="BN93:BN97"/>
    <mergeCell ref="BP93:BP97"/>
    <mergeCell ref="AY93:AY97"/>
    <mergeCell ref="AZ93:AZ97"/>
    <mergeCell ref="AI93:AI97"/>
    <mergeCell ref="AJ93:AJ97"/>
    <mergeCell ref="AL93:AL97"/>
    <mergeCell ref="AO93:AO97"/>
    <mergeCell ref="AP93:AP97"/>
    <mergeCell ref="AR93:AR97"/>
    <mergeCell ref="AS93:AS97"/>
    <mergeCell ref="AT93:AT97"/>
    <mergeCell ref="AV93:AV97"/>
    <mergeCell ref="AK93:AK97"/>
    <mergeCell ref="AM93:AM97"/>
    <mergeCell ref="AN93:AN97"/>
    <mergeCell ref="AQ93:AQ97"/>
    <mergeCell ref="AU93:AU97"/>
    <mergeCell ref="BA93:BA97"/>
    <mergeCell ref="BB93:BB97"/>
    <mergeCell ref="S98:T98"/>
    <mergeCell ref="AC98:AD98"/>
    <mergeCell ref="AM98:AN98"/>
    <mergeCell ref="AE99:AN99"/>
    <mergeCell ref="U99:AD99"/>
    <mergeCell ref="K99:T99"/>
    <mergeCell ref="AE98:AH98"/>
    <mergeCell ref="K98:N98"/>
    <mergeCell ref="O98:R98"/>
    <mergeCell ref="U98:X98"/>
    <mergeCell ref="Y98:AB98"/>
    <mergeCell ref="AI98:AL98"/>
    <mergeCell ref="U108:X108"/>
    <mergeCell ref="Y108:AB108"/>
    <mergeCell ref="AE108:AH108"/>
    <mergeCell ref="AI108:AL108"/>
    <mergeCell ref="G109:G113"/>
    <mergeCell ref="H109:H113"/>
    <mergeCell ref="I109:I113"/>
    <mergeCell ref="J109:J113"/>
    <mergeCell ref="M109:M113"/>
    <mergeCell ref="Q109:Q113"/>
    <mergeCell ref="S109:S113"/>
    <mergeCell ref="T109:T113"/>
    <mergeCell ref="W109:W113"/>
    <mergeCell ref="K108:N108"/>
    <mergeCell ref="O108:R108"/>
    <mergeCell ref="S108:T108"/>
    <mergeCell ref="AC108:AD108"/>
    <mergeCell ref="K109:K113"/>
    <mergeCell ref="L109:L113"/>
    <mergeCell ref="N109:N113"/>
    <mergeCell ref="O109:O113"/>
    <mergeCell ref="P109:P113"/>
    <mergeCell ref="R109:R113"/>
    <mergeCell ref="U109:U113"/>
    <mergeCell ref="AQ109:AQ113"/>
    <mergeCell ref="AR109:AR113"/>
    <mergeCell ref="AS109:AS113"/>
    <mergeCell ref="AT109:AT113"/>
    <mergeCell ref="AU109:AU113"/>
    <mergeCell ref="AV109:AV113"/>
    <mergeCell ref="AW109:AW113"/>
    <mergeCell ref="AX109:AX113"/>
    <mergeCell ref="AO108:AR108"/>
    <mergeCell ref="AS108:AV108"/>
    <mergeCell ref="AW108:AX108"/>
    <mergeCell ref="AO109:AO113"/>
    <mergeCell ref="AP109:AP113"/>
    <mergeCell ref="AK109:AK113"/>
    <mergeCell ref="AM109:AM113"/>
    <mergeCell ref="AN109:AN113"/>
    <mergeCell ref="AA109:AA113"/>
    <mergeCell ref="AJ109:AJ113"/>
    <mergeCell ref="AL109:AL113"/>
    <mergeCell ref="A110:A113"/>
    <mergeCell ref="B110:B113"/>
    <mergeCell ref="M139:M143"/>
    <mergeCell ref="Q139:Q143"/>
    <mergeCell ref="S139:S143"/>
    <mergeCell ref="T139:T143"/>
    <mergeCell ref="W139:W143"/>
    <mergeCell ref="AA139:AA143"/>
    <mergeCell ref="V109:V113"/>
    <mergeCell ref="X109:X113"/>
    <mergeCell ref="Y109:Y113"/>
    <mergeCell ref="Z109:Z113"/>
    <mergeCell ref="AB109:AB113"/>
    <mergeCell ref="AE109:AE113"/>
    <mergeCell ref="AF109:AF113"/>
    <mergeCell ref="AH109:AH113"/>
    <mergeCell ref="AI109:AI113"/>
    <mergeCell ref="AG109:AG113"/>
    <mergeCell ref="AC109:AC113"/>
    <mergeCell ref="AD109:AD113"/>
    <mergeCell ref="AZ146:BI146"/>
    <mergeCell ref="AZ147:BI147"/>
    <mergeCell ref="AM139:AM143"/>
    <mergeCell ref="AN139:AN143"/>
    <mergeCell ref="AO139:AO143"/>
    <mergeCell ref="AP139:AP143"/>
    <mergeCell ref="AQ139:AQ143"/>
    <mergeCell ref="AR139:AR143"/>
    <mergeCell ref="AS139:AS143"/>
    <mergeCell ref="AT139:AT143"/>
    <mergeCell ref="AO144:AR144"/>
    <mergeCell ref="AU139:AU143"/>
    <mergeCell ref="AV139:AV143"/>
    <mergeCell ref="AW139:AW143"/>
    <mergeCell ref="AX139:AX143"/>
    <mergeCell ref="AS144:AV144"/>
    <mergeCell ref="AW144:AX144"/>
    <mergeCell ref="AO145:AX145"/>
    <mergeCell ref="AZ139:AZ143"/>
    <mergeCell ref="BA139:BA143"/>
    <mergeCell ref="AZ145:BI145"/>
    <mergeCell ref="AH139:AH143"/>
    <mergeCell ref="AI139:AI143"/>
    <mergeCell ref="AJ139:AJ143"/>
    <mergeCell ref="AL139:AL143"/>
    <mergeCell ref="K139:K143"/>
    <mergeCell ref="L139:L143"/>
    <mergeCell ref="N139:N143"/>
    <mergeCell ref="O139:O143"/>
    <mergeCell ref="P139:P143"/>
    <mergeCell ref="R139:R143"/>
    <mergeCell ref="U139:U143"/>
    <mergeCell ref="V139:V143"/>
    <mergeCell ref="X139:X143"/>
    <mergeCell ref="AC139:AC143"/>
    <mergeCell ref="AD139:AD143"/>
    <mergeCell ref="AG139:AG143"/>
    <mergeCell ref="AK139:AK143"/>
    <mergeCell ref="S61:T61"/>
    <mergeCell ref="AC61:AD61"/>
    <mergeCell ref="AM61:AN61"/>
    <mergeCell ref="Q7:Q11"/>
    <mergeCell ref="AE60:AN60"/>
    <mergeCell ref="U60:AD60"/>
    <mergeCell ref="AC62:AC66"/>
    <mergeCell ref="AD62:AD66"/>
    <mergeCell ref="AM62:AM66"/>
    <mergeCell ref="AN62:AN66"/>
    <mergeCell ref="AG62:AG66"/>
    <mergeCell ref="AK62:AK66"/>
    <mergeCell ref="U52:AD52"/>
    <mergeCell ref="K52:T52"/>
    <mergeCell ref="U61:X61"/>
    <mergeCell ref="Y61:AB61"/>
    <mergeCell ref="AE61:AH61"/>
    <mergeCell ref="AI61:AL61"/>
    <mergeCell ref="K62:K66"/>
    <mergeCell ref="L62:L66"/>
    <mergeCell ref="N62:N66"/>
    <mergeCell ref="O62:O66"/>
    <mergeCell ref="K60:R60"/>
    <mergeCell ref="K61:N61"/>
    <mergeCell ref="AC144:AD144"/>
    <mergeCell ref="AM144:AN144"/>
    <mergeCell ref="BI98:BL98"/>
    <mergeCell ref="BM98:BP98"/>
    <mergeCell ref="AY99:BH99"/>
    <mergeCell ref="BI60:BR60"/>
    <mergeCell ref="BI99:BR99"/>
    <mergeCell ref="BO93:BO97"/>
    <mergeCell ref="BQ93:BQ97"/>
    <mergeCell ref="BR93:BR97"/>
    <mergeCell ref="BQ98:BR98"/>
    <mergeCell ref="AY60:BH60"/>
    <mergeCell ref="AY61:BB61"/>
    <mergeCell ref="BC61:BF61"/>
    <mergeCell ref="BG61:BH61"/>
    <mergeCell ref="BI61:BL61"/>
    <mergeCell ref="BM61:BP61"/>
    <mergeCell ref="BQ61:BR61"/>
    <mergeCell ref="BO62:BO66"/>
    <mergeCell ref="BQ62:BQ66"/>
    <mergeCell ref="BR62:BR66"/>
    <mergeCell ref="BC98:BF98"/>
    <mergeCell ref="BG98:BH98"/>
    <mergeCell ref="BJ93:BJ97"/>
    <mergeCell ref="BD6:BG6"/>
    <mergeCell ref="BH6:BI6"/>
    <mergeCell ref="AZ7:AZ11"/>
    <mergeCell ref="BA7:BA11"/>
    <mergeCell ref="BB7:BB11"/>
    <mergeCell ref="BC7:BC11"/>
    <mergeCell ref="BD7:BD11"/>
    <mergeCell ref="BF7:BF11"/>
    <mergeCell ref="AM108:AN108"/>
    <mergeCell ref="AE107:AN107"/>
    <mergeCell ref="AY98:BB98"/>
    <mergeCell ref="AO98:AR98"/>
    <mergeCell ref="AS98:AV98"/>
    <mergeCell ref="AW98:AX98"/>
    <mergeCell ref="AO99:AX99"/>
    <mergeCell ref="AO61:AR61"/>
    <mergeCell ref="AS61:AV61"/>
    <mergeCell ref="AW61:AX61"/>
    <mergeCell ref="AQ62:AQ66"/>
    <mergeCell ref="AU62:AU66"/>
    <mergeCell ref="AW62:AW66"/>
    <mergeCell ref="AX62:AX66"/>
    <mergeCell ref="AO107:AX107"/>
    <mergeCell ref="BC93:BC97"/>
    <mergeCell ref="AO60:AX60"/>
    <mergeCell ref="AW93:AW97"/>
    <mergeCell ref="AX93:AX97"/>
    <mergeCell ref="AZ52:BI52"/>
    <mergeCell ref="AZ3:BI3"/>
    <mergeCell ref="AZ4:BI4"/>
    <mergeCell ref="BS60:CB60"/>
    <mergeCell ref="BS61:BV61"/>
    <mergeCell ref="BW61:BZ61"/>
    <mergeCell ref="CA61:CB61"/>
    <mergeCell ref="BK52:BT52"/>
    <mergeCell ref="AZ53:BI53"/>
    <mergeCell ref="AZ54:BI54"/>
    <mergeCell ref="BV3:CE3"/>
    <mergeCell ref="BV4:CE4"/>
    <mergeCell ref="BV5:CE5"/>
    <mergeCell ref="BV6:BY6"/>
    <mergeCell ref="BZ6:CC6"/>
    <mergeCell ref="CD6:CE6"/>
    <mergeCell ref="BV46:BV50"/>
    <mergeCell ref="BW46:BW50"/>
    <mergeCell ref="BX46:BX50"/>
    <mergeCell ref="AZ5:BI5"/>
    <mergeCell ref="AZ6:BC6"/>
    <mergeCell ref="BT62:BT66"/>
    <mergeCell ref="BU62:BU66"/>
    <mergeCell ref="BV62:BV66"/>
    <mergeCell ref="BW62:BW66"/>
    <mergeCell ref="BX62:BX66"/>
    <mergeCell ref="BY62:BY66"/>
    <mergeCell ref="BZ62:BZ66"/>
    <mergeCell ref="CA62:CA66"/>
    <mergeCell ref="BY46:BY50"/>
    <mergeCell ref="BZ46:BZ50"/>
    <mergeCell ref="CA46:CA50"/>
    <mergeCell ref="BW98:BZ98"/>
    <mergeCell ref="CA98:CB98"/>
    <mergeCell ref="BS99:CB99"/>
    <mergeCell ref="K100:CB100"/>
    <mergeCell ref="K101:CB101"/>
    <mergeCell ref="K58:CB58"/>
    <mergeCell ref="K59:CB59"/>
    <mergeCell ref="BW93:BW97"/>
    <mergeCell ref="BX93:BX97"/>
    <mergeCell ref="BY93:BY97"/>
    <mergeCell ref="BZ93:BZ97"/>
    <mergeCell ref="CA93:CA97"/>
    <mergeCell ref="CB93:CB97"/>
    <mergeCell ref="BV52:CE52"/>
    <mergeCell ref="BG46:BG50"/>
    <mergeCell ref="BH46:BH50"/>
    <mergeCell ref="BK93:BK97"/>
    <mergeCell ref="BL93:BL97"/>
    <mergeCell ref="BN62:BN66"/>
    <mergeCell ref="BP62:BP66"/>
    <mergeCell ref="BZ51:CC51"/>
    <mergeCell ref="CD51:CE51"/>
    <mergeCell ref="CE62:CE66"/>
    <mergeCell ref="CF62:CF66"/>
    <mergeCell ref="CG62:CG66"/>
    <mergeCell ref="CH62:CH66"/>
    <mergeCell ref="CI62:CI66"/>
    <mergeCell ref="CJ62:CJ66"/>
    <mergeCell ref="CK62:CK66"/>
    <mergeCell ref="CL62:CL66"/>
    <mergeCell ref="CM62:CM66"/>
    <mergeCell ref="CD93:CD97"/>
    <mergeCell ref="CE93:CE97"/>
    <mergeCell ref="CB62:CB66"/>
    <mergeCell ref="CD99:CM99"/>
    <mergeCell ref="CD58:CM58"/>
    <mergeCell ref="CD59:CM59"/>
    <mergeCell ref="CD100:CM100"/>
    <mergeCell ref="CD101:CM101"/>
    <mergeCell ref="CF93:CF97"/>
    <mergeCell ref="CG93:CG97"/>
    <mergeCell ref="CH93:CH97"/>
    <mergeCell ref="CI93:CI97"/>
    <mergeCell ref="CJ93:CJ97"/>
    <mergeCell ref="CK93:CK97"/>
    <mergeCell ref="CL93:CL97"/>
    <mergeCell ref="CM93:CM97"/>
    <mergeCell ref="CD98:CG98"/>
    <mergeCell ref="CH98:CK98"/>
    <mergeCell ref="CL98:CM98"/>
    <mergeCell ref="CD60:CM60"/>
    <mergeCell ref="CD61:CG61"/>
    <mergeCell ref="CH61:CK61"/>
    <mergeCell ref="CL61:CM61"/>
    <mergeCell ref="CD62:CD66"/>
    <mergeCell ref="K147:AX147"/>
    <mergeCell ref="BK3:BT3"/>
    <mergeCell ref="BK4:BT4"/>
    <mergeCell ref="BK5:BT5"/>
    <mergeCell ref="BK6:BN6"/>
    <mergeCell ref="BO6:BR6"/>
    <mergeCell ref="BS6:BT6"/>
    <mergeCell ref="BN7:BN11"/>
    <mergeCell ref="BK46:BK50"/>
    <mergeCell ref="BL46:BL50"/>
    <mergeCell ref="BM46:BM50"/>
    <mergeCell ref="BN46:BN50"/>
    <mergeCell ref="BO46:BO50"/>
    <mergeCell ref="BP46:BP50"/>
    <mergeCell ref="BQ46:BQ50"/>
    <mergeCell ref="BR46:BR50"/>
    <mergeCell ref="BS46:BS50"/>
    <mergeCell ref="BT46:BT50"/>
    <mergeCell ref="BK51:BN51"/>
    <mergeCell ref="BO51:BR51"/>
    <mergeCell ref="BS51:BT51"/>
    <mergeCell ref="BK53:BT53"/>
    <mergeCell ref="BK54:BT54"/>
    <mergeCell ref="BS62:BS66"/>
    <mergeCell ref="BB109:BB113"/>
    <mergeCell ref="BC109:BC113"/>
    <mergeCell ref="BD109:BD113"/>
    <mergeCell ref="BE109:BE113"/>
    <mergeCell ref="BF109:BF113"/>
    <mergeCell ref="BG109:BG113"/>
    <mergeCell ref="BH109:BH113"/>
    <mergeCell ref="BI109:BI113"/>
    <mergeCell ref="K146:AX146"/>
    <mergeCell ref="K145:T145"/>
    <mergeCell ref="U145:AD145"/>
    <mergeCell ref="AE145:AN145"/>
    <mergeCell ref="S144:T144"/>
    <mergeCell ref="K144:N144"/>
    <mergeCell ref="O144:R144"/>
    <mergeCell ref="U144:X144"/>
    <mergeCell ref="Y144:AB144"/>
    <mergeCell ref="AE144:AH144"/>
    <mergeCell ref="AI144:AL144"/>
    <mergeCell ref="Y139:Y143"/>
    <mergeCell ref="Z139:Z143"/>
    <mergeCell ref="AB139:AB143"/>
    <mergeCell ref="AE139:AE143"/>
    <mergeCell ref="AF139:AF143"/>
    <mergeCell ref="AZ144:BC144"/>
    <mergeCell ref="BD144:BG144"/>
    <mergeCell ref="BH144:BI144"/>
    <mergeCell ref="BB139:BB143"/>
    <mergeCell ref="BC139:BC143"/>
    <mergeCell ref="AZ105:BI105"/>
    <mergeCell ref="AZ106:BI106"/>
    <mergeCell ref="BS98:BV98"/>
    <mergeCell ref="BS93:BS97"/>
    <mergeCell ref="BT93:BT97"/>
    <mergeCell ref="BU93:BU97"/>
    <mergeCell ref="BV93:BV97"/>
    <mergeCell ref="BD139:BD143"/>
    <mergeCell ref="BE139:BE143"/>
    <mergeCell ref="BF139:BF143"/>
    <mergeCell ref="BG139:BG143"/>
    <mergeCell ref="BH139:BH143"/>
    <mergeCell ref="BI139:BI143"/>
    <mergeCell ref="AZ107:BI107"/>
    <mergeCell ref="AZ108:BC108"/>
    <mergeCell ref="BD108:BG108"/>
    <mergeCell ref="BH108:BI108"/>
    <mergeCell ref="AZ109:AZ113"/>
    <mergeCell ref="BA109:BA113"/>
  </mergeCells>
  <pageMargins left="0.7" right="0.7" top="0.75" bottom="0.75" header="0.3" footer="0.3"/>
  <ignoredErrors>
    <ignoredError sqref="J24 I68:I75 I115:I122 I77:I79 I39 I87 I132:I133 I81:I85 I124:I130 I40:I41 I88:I90 I134 I42:I45 I135:I138 I91:I92 I35:I37 I30:I32 I26:I28 I13:I23 I24 I12 I25 I29 I33:I34 I38"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Q78"/>
  <sheetViews>
    <sheetView showRuler="0" topLeftCell="A4"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68" width="6.83203125" style="24" customWidth="1"/>
    <col min="69" max="69" width="6.5" style="24" customWidth="1"/>
    <col min="70" max="94" width="6.83203125" style="24" customWidth="1"/>
    <col min="95" max="95" width="113.83203125" style="23" customWidth="1"/>
    <col min="96" max="16384" width="10.83203125" style="23"/>
  </cols>
  <sheetData>
    <row r="1" spans="1:95" ht="17" thickBot="1" x14ac:dyDescent="0.25"/>
    <row r="2" spans="1:95" ht="20" thickBot="1" x14ac:dyDescent="0.3">
      <c r="K2" s="390" t="s">
        <v>162</v>
      </c>
      <c r="L2" s="391"/>
      <c r="M2" s="391"/>
      <c r="N2" s="391"/>
      <c r="O2" s="391"/>
      <c r="P2" s="391"/>
      <c r="Q2" s="391"/>
      <c r="R2" s="391"/>
      <c r="S2" s="391"/>
      <c r="T2" s="391"/>
      <c r="U2" s="391"/>
      <c r="V2" s="391"/>
      <c r="W2" s="391"/>
      <c r="X2" s="391"/>
      <c r="Y2" s="391"/>
      <c r="Z2" s="391"/>
      <c r="AA2" s="391"/>
      <c r="AB2" s="391"/>
      <c r="AC2" s="391"/>
      <c r="AD2" s="391"/>
      <c r="AE2" s="391"/>
      <c r="AF2" s="391"/>
      <c r="AG2" s="391"/>
      <c r="AH2" s="391"/>
      <c r="AI2" s="391"/>
      <c r="AJ2" s="391"/>
      <c r="AK2" s="391"/>
      <c r="AL2" s="391"/>
      <c r="AM2" s="391"/>
      <c r="AN2" s="391"/>
      <c r="AO2" s="391"/>
      <c r="AP2" s="391"/>
      <c r="AQ2" s="391"/>
      <c r="AR2" s="391"/>
      <c r="AS2" s="391"/>
      <c r="AT2" s="391"/>
      <c r="AU2" s="391"/>
      <c r="AV2" s="391"/>
      <c r="AW2" s="391"/>
      <c r="AX2" s="391"/>
      <c r="AY2" s="391"/>
      <c r="AZ2" s="391"/>
      <c r="BA2" s="391"/>
      <c r="BB2" s="391"/>
      <c r="BC2" s="391"/>
      <c r="BD2" s="391"/>
      <c r="BE2" s="391"/>
      <c r="BF2" s="391"/>
      <c r="BG2" s="391"/>
      <c r="BH2" s="391"/>
      <c r="BI2" s="391"/>
      <c r="BJ2" s="391"/>
      <c r="BK2" s="391"/>
      <c r="BL2" s="391"/>
      <c r="BM2" s="391"/>
      <c r="BN2" s="391"/>
      <c r="BO2" s="391"/>
      <c r="BP2" s="391"/>
      <c r="BQ2" s="391"/>
      <c r="BR2" s="391"/>
      <c r="BS2" s="391"/>
      <c r="BT2" s="391"/>
      <c r="BU2" s="391"/>
      <c r="BV2" s="391"/>
      <c r="BW2" s="391"/>
      <c r="BX2" s="391"/>
      <c r="BY2" s="391"/>
      <c r="BZ2" s="391"/>
      <c r="CA2" s="391"/>
      <c r="CB2" s="391"/>
      <c r="CC2" s="391"/>
      <c r="CD2" s="391"/>
      <c r="CE2" s="391"/>
      <c r="CF2" s="391"/>
      <c r="CG2" s="391"/>
      <c r="CH2" s="391"/>
      <c r="CI2" s="391"/>
      <c r="CJ2" s="391"/>
      <c r="CK2" s="391"/>
      <c r="CL2" s="391"/>
      <c r="CM2" s="391"/>
      <c r="CN2" s="391"/>
      <c r="CO2" s="391"/>
      <c r="CP2" s="392"/>
    </row>
    <row r="3" spans="1:95" ht="16" customHeight="1" x14ac:dyDescent="0.2">
      <c r="D3" s="334" t="s">
        <v>232</v>
      </c>
      <c r="K3" s="362" t="s">
        <v>239</v>
      </c>
      <c r="L3" s="421"/>
      <c r="M3" s="421"/>
      <c r="N3" s="396"/>
      <c r="O3" s="362" t="s">
        <v>237</v>
      </c>
      <c r="P3" s="421"/>
      <c r="Q3" s="421"/>
      <c r="R3" s="396"/>
      <c r="S3" s="356" t="s">
        <v>208</v>
      </c>
      <c r="T3" s="404"/>
      <c r="U3" s="404"/>
      <c r="V3" s="357"/>
      <c r="W3" s="356" t="s">
        <v>172</v>
      </c>
      <c r="X3" s="404"/>
      <c r="Y3" s="404"/>
      <c r="Z3" s="357"/>
      <c r="AA3" s="356" t="s">
        <v>164</v>
      </c>
      <c r="AB3" s="404"/>
      <c r="AC3" s="404"/>
      <c r="AD3" s="357"/>
      <c r="AE3" s="356" t="s">
        <v>173</v>
      </c>
      <c r="AF3" s="404"/>
      <c r="AG3" s="404"/>
      <c r="AH3" s="357"/>
      <c r="AI3" s="356" t="s">
        <v>171</v>
      </c>
      <c r="AJ3" s="404"/>
      <c r="AK3" s="404"/>
      <c r="AL3" s="357"/>
      <c r="AM3" s="356" t="s">
        <v>174</v>
      </c>
      <c r="AN3" s="404"/>
      <c r="AO3" s="404"/>
      <c r="AP3" s="357"/>
      <c r="AQ3" s="356" t="s">
        <v>157</v>
      </c>
      <c r="AR3" s="404"/>
      <c r="AS3" s="404"/>
      <c r="AT3" s="357"/>
      <c r="AU3" s="356" t="s">
        <v>158</v>
      </c>
      <c r="AV3" s="404"/>
      <c r="AW3" s="404"/>
      <c r="AX3" s="357"/>
      <c r="AY3" s="362" t="s">
        <v>376</v>
      </c>
      <c r="AZ3" s="421"/>
      <c r="BA3" s="421"/>
      <c r="BB3" s="396"/>
      <c r="BC3" s="362" t="s">
        <v>236</v>
      </c>
      <c r="BD3" s="421"/>
      <c r="BE3" s="421"/>
      <c r="BF3" s="396"/>
      <c r="BG3" s="356" t="s">
        <v>163</v>
      </c>
      <c r="BH3" s="404"/>
      <c r="BI3" s="404"/>
      <c r="BJ3" s="357"/>
      <c r="BK3" s="356" t="s">
        <v>159</v>
      </c>
      <c r="BL3" s="404"/>
      <c r="BM3" s="404"/>
      <c r="BN3" s="357"/>
      <c r="BO3" s="362" t="s">
        <v>238</v>
      </c>
      <c r="BP3" s="421"/>
      <c r="BQ3" s="421"/>
      <c r="BR3" s="396"/>
      <c r="BS3" s="356" t="s">
        <v>160</v>
      </c>
      <c r="BT3" s="404"/>
      <c r="BU3" s="404"/>
      <c r="BV3" s="357"/>
      <c r="BW3" s="356" t="s">
        <v>206</v>
      </c>
      <c r="BX3" s="404"/>
      <c r="BY3" s="404"/>
      <c r="BZ3" s="357"/>
      <c r="CA3" s="356" t="s">
        <v>205</v>
      </c>
      <c r="CB3" s="404"/>
      <c r="CC3" s="404"/>
      <c r="CD3" s="357"/>
      <c r="CE3" s="356" t="s">
        <v>207</v>
      </c>
      <c r="CF3" s="404"/>
      <c r="CG3" s="404"/>
      <c r="CH3" s="357"/>
      <c r="CI3" s="356" t="s">
        <v>202</v>
      </c>
      <c r="CJ3" s="404"/>
      <c r="CK3" s="404"/>
      <c r="CL3" s="357"/>
      <c r="CM3" s="356" t="s">
        <v>161</v>
      </c>
      <c r="CN3" s="404"/>
      <c r="CO3" s="404"/>
      <c r="CP3" s="357"/>
    </row>
    <row r="4" spans="1:95" ht="20" customHeight="1" x14ac:dyDescent="0.2">
      <c r="B4" s="84"/>
      <c r="D4" s="335"/>
      <c r="K4" s="397"/>
      <c r="L4" s="416"/>
      <c r="M4" s="416"/>
      <c r="N4" s="398"/>
      <c r="O4" s="397"/>
      <c r="P4" s="416"/>
      <c r="Q4" s="416"/>
      <c r="R4" s="398"/>
      <c r="S4" s="358"/>
      <c r="T4" s="402"/>
      <c r="U4" s="402"/>
      <c r="V4" s="359"/>
      <c r="W4" s="358"/>
      <c r="X4" s="402"/>
      <c r="Y4" s="402"/>
      <c r="Z4" s="359"/>
      <c r="AA4" s="358"/>
      <c r="AB4" s="402"/>
      <c r="AC4" s="402"/>
      <c r="AD4" s="359"/>
      <c r="AE4" s="358"/>
      <c r="AF4" s="402"/>
      <c r="AG4" s="402"/>
      <c r="AH4" s="359"/>
      <c r="AI4" s="358"/>
      <c r="AJ4" s="402"/>
      <c r="AK4" s="402"/>
      <c r="AL4" s="359"/>
      <c r="AM4" s="358"/>
      <c r="AN4" s="402"/>
      <c r="AO4" s="402"/>
      <c r="AP4" s="359"/>
      <c r="AQ4" s="358"/>
      <c r="AR4" s="402"/>
      <c r="AS4" s="402"/>
      <c r="AT4" s="359"/>
      <c r="AU4" s="358"/>
      <c r="AV4" s="402"/>
      <c r="AW4" s="402"/>
      <c r="AX4" s="359"/>
      <c r="AY4" s="397"/>
      <c r="AZ4" s="416"/>
      <c r="BA4" s="416"/>
      <c r="BB4" s="398"/>
      <c r="BC4" s="397"/>
      <c r="BD4" s="416"/>
      <c r="BE4" s="416"/>
      <c r="BF4" s="398"/>
      <c r="BG4" s="358"/>
      <c r="BH4" s="402"/>
      <c r="BI4" s="402"/>
      <c r="BJ4" s="359"/>
      <c r="BK4" s="358"/>
      <c r="BL4" s="402"/>
      <c r="BM4" s="402"/>
      <c r="BN4" s="359"/>
      <c r="BO4" s="397"/>
      <c r="BP4" s="416"/>
      <c r="BQ4" s="416"/>
      <c r="BR4" s="398"/>
      <c r="BS4" s="358"/>
      <c r="BT4" s="402"/>
      <c r="BU4" s="402"/>
      <c r="BV4" s="359"/>
      <c r="BW4" s="358"/>
      <c r="BX4" s="402"/>
      <c r="BY4" s="402"/>
      <c r="BZ4" s="359"/>
      <c r="CA4" s="358"/>
      <c r="CB4" s="402"/>
      <c r="CC4" s="402"/>
      <c r="CD4" s="359"/>
      <c r="CE4" s="358"/>
      <c r="CF4" s="402"/>
      <c r="CG4" s="402"/>
      <c r="CH4" s="359"/>
      <c r="CI4" s="358"/>
      <c r="CJ4" s="402"/>
      <c r="CK4" s="402"/>
      <c r="CL4" s="359"/>
      <c r="CM4" s="358"/>
      <c r="CN4" s="402"/>
      <c r="CO4" s="402"/>
      <c r="CP4" s="359"/>
    </row>
    <row r="5" spans="1:95" ht="20" customHeight="1" thickBot="1" x14ac:dyDescent="0.25">
      <c r="A5" s="61"/>
      <c r="B5" s="83"/>
      <c r="D5" s="332" t="s">
        <v>245</v>
      </c>
      <c r="I5" s="24"/>
      <c r="J5" s="24"/>
      <c r="K5" s="399"/>
      <c r="L5" s="422"/>
      <c r="M5" s="422"/>
      <c r="N5" s="400"/>
      <c r="O5" s="399"/>
      <c r="P5" s="422"/>
      <c r="Q5" s="422"/>
      <c r="R5" s="400"/>
      <c r="S5" s="360"/>
      <c r="T5" s="405"/>
      <c r="U5" s="405"/>
      <c r="V5" s="361"/>
      <c r="W5" s="360"/>
      <c r="X5" s="405"/>
      <c r="Y5" s="405"/>
      <c r="Z5" s="361"/>
      <c r="AA5" s="360"/>
      <c r="AB5" s="405"/>
      <c r="AC5" s="405"/>
      <c r="AD5" s="361"/>
      <c r="AE5" s="360"/>
      <c r="AF5" s="405"/>
      <c r="AG5" s="405"/>
      <c r="AH5" s="361"/>
      <c r="AI5" s="360"/>
      <c r="AJ5" s="405"/>
      <c r="AK5" s="405"/>
      <c r="AL5" s="361"/>
      <c r="AM5" s="360"/>
      <c r="AN5" s="405"/>
      <c r="AO5" s="405"/>
      <c r="AP5" s="361"/>
      <c r="AQ5" s="360"/>
      <c r="AR5" s="405"/>
      <c r="AS5" s="405"/>
      <c r="AT5" s="361"/>
      <c r="AU5" s="360"/>
      <c r="AV5" s="405"/>
      <c r="AW5" s="405"/>
      <c r="AX5" s="361"/>
      <c r="AY5" s="399"/>
      <c r="AZ5" s="422"/>
      <c r="BA5" s="422"/>
      <c r="BB5" s="400"/>
      <c r="BC5" s="399"/>
      <c r="BD5" s="422"/>
      <c r="BE5" s="422"/>
      <c r="BF5" s="400"/>
      <c r="BG5" s="360"/>
      <c r="BH5" s="405"/>
      <c r="BI5" s="405"/>
      <c r="BJ5" s="361"/>
      <c r="BK5" s="360"/>
      <c r="BL5" s="405"/>
      <c r="BM5" s="405"/>
      <c r="BN5" s="361"/>
      <c r="BO5" s="399"/>
      <c r="BP5" s="422"/>
      <c r="BQ5" s="422"/>
      <c r="BR5" s="400"/>
      <c r="BS5" s="360"/>
      <c r="BT5" s="405"/>
      <c r="BU5" s="405"/>
      <c r="BV5" s="361"/>
      <c r="BW5" s="360"/>
      <c r="BX5" s="405"/>
      <c r="BY5" s="405"/>
      <c r="BZ5" s="361"/>
      <c r="CA5" s="360"/>
      <c r="CB5" s="405"/>
      <c r="CC5" s="405"/>
      <c r="CD5" s="361"/>
      <c r="CE5" s="360"/>
      <c r="CF5" s="405"/>
      <c r="CG5" s="405"/>
      <c r="CH5" s="361"/>
      <c r="CI5" s="360"/>
      <c r="CJ5" s="405"/>
      <c r="CK5" s="405"/>
      <c r="CL5" s="361"/>
      <c r="CM5" s="360"/>
      <c r="CN5" s="405"/>
      <c r="CO5" s="405"/>
      <c r="CP5" s="361"/>
    </row>
    <row r="6" spans="1:95" ht="20" customHeight="1" x14ac:dyDescent="0.2">
      <c r="A6" s="60"/>
      <c r="B6" s="82"/>
      <c r="D6" s="332"/>
      <c r="G6" s="328" t="s">
        <v>24</v>
      </c>
      <c r="H6" s="339" t="s">
        <v>327</v>
      </c>
      <c r="I6" s="342" t="s">
        <v>325</v>
      </c>
      <c r="J6" s="345" t="s">
        <v>326</v>
      </c>
      <c r="K6" s="336" t="s">
        <v>240</v>
      </c>
      <c r="L6" s="364" t="s">
        <v>241</v>
      </c>
      <c r="M6" s="675" t="s">
        <v>399</v>
      </c>
      <c r="N6" s="678" t="s">
        <v>454</v>
      </c>
      <c r="O6" s="363" t="s">
        <v>240</v>
      </c>
      <c r="P6" s="364" t="s">
        <v>241</v>
      </c>
      <c r="Q6" s="675" t="s">
        <v>399</v>
      </c>
      <c r="R6" s="678" t="s">
        <v>454</v>
      </c>
      <c r="S6" s="366" t="s">
        <v>240</v>
      </c>
      <c r="T6" s="364" t="s">
        <v>241</v>
      </c>
      <c r="U6" s="675" t="s">
        <v>399</v>
      </c>
      <c r="V6" s="678" t="s">
        <v>454</v>
      </c>
      <c r="W6" s="336" t="s">
        <v>240</v>
      </c>
      <c r="X6" s="364" t="s">
        <v>241</v>
      </c>
      <c r="Y6" s="675" t="s">
        <v>399</v>
      </c>
      <c r="Z6" s="678" t="s">
        <v>454</v>
      </c>
      <c r="AA6" s="336" t="s">
        <v>240</v>
      </c>
      <c r="AB6" s="364" t="s">
        <v>241</v>
      </c>
      <c r="AC6" s="675" t="s">
        <v>399</v>
      </c>
      <c r="AD6" s="678" t="s">
        <v>454</v>
      </c>
      <c r="AE6" s="369" t="s">
        <v>240</v>
      </c>
      <c r="AF6" s="364" t="s">
        <v>241</v>
      </c>
      <c r="AG6" s="675" t="s">
        <v>399</v>
      </c>
      <c r="AH6" s="678" t="s">
        <v>454</v>
      </c>
      <c r="AI6" s="336" t="s">
        <v>240</v>
      </c>
      <c r="AJ6" s="364" t="s">
        <v>241</v>
      </c>
      <c r="AK6" s="675" t="s">
        <v>399</v>
      </c>
      <c r="AL6" s="678" t="s">
        <v>454</v>
      </c>
      <c r="AM6" s="336" t="s">
        <v>240</v>
      </c>
      <c r="AN6" s="364" t="s">
        <v>241</v>
      </c>
      <c r="AO6" s="675" t="s">
        <v>399</v>
      </c>
      <c r="AP6" s="678" t="s">
        <v>454</v>
      </c>
      <c r="AQ6" s="348" t="s">
        <v>240</v>
      </c>
      <c r="AR6" s="406" t="s">
        <v>241</v>
      </c>
      <c r="AS6" s="675" t="s">
        <v>399</v>
      </c>
      <c r="AT6" s="678" t="s">
        <v>454</v>
      </c>
      <c r="AU6" s="336" t="s">
        <v>240</v>
      </c>
      <c r="AV6" s="364" t="s">
        <v>241</v>
      </c>
      <c r="AW6" s="675" t="s">
        <v>399</v>
      </c>
      <c r="AX6" s="678" t="s">
        <v>454</v>
      </c>
      <c r="AY6" s="366" t="s">
        <v>240</v>
      </c>
      <c r="AZ6" s="364" t="s">
        <v>241</v>
      </c>
      <c r="BA6" s="675" t="s">
        <v>399</v>
      </c>
      <c r="BB6" s="678" t="s">
        <v>454</v>
      </c>
      <c r="BC6" s="363" t="s">
        <v>240</v>
      </c>
      <c r="BD6" s="364" t="s">
        <v>241</v>
      </c>
      <c r="BE6" s="675" t="s">
        <v>399</v>
      </c>
      <c r="BF6" s="678" t="s">
        <v>454</v>
      </c>
      <c r="BG6" s="336" t="s">
        <v>240</v>
      </c>
      <c r="BH6" s="364" t="s">
        <v>241</v>
      </c>
      <c r="BI6" s="675" t="s">
        <v>399</v>
      </c>
      <c r="BJ6" s="678" t="s">
        <v>454</v>
      </c>
      <c r="BK6" s="336" t="s">
        <v>240</v>
      </c>
      <c r="BL6" s="364" t="s">
        <v>241</v>
      </c>
      <c r="BM6" s="675" t="s">
        <v>399</v>
      </c>
      <c r="BN6" s="678" t="s">
        <v>454</v>
      </c>
      <c r="BO6" s="363" t="s">
        <v>240</v>
      </c>
      <c r="BP6" s="364" t="s">
        <v>241</v>
      </c>
      <c r="BQ6" s="675" t="s">
        <v>399</v>
      </c>
      <c r="BR6" s="678" t="s">
        <v>454</v>
      </c>
      <c r="BS6" s="336" t="s">
        <v>240</v>
      </c>
      <c r="BT6" s="364" t="s">
        <v>241</v>
      </c>
      <c r="BU6" s="675" t="s">
        <v>399</v>
      </c>
      <c r="BV6" s="678" t="s">
        <v>454</v>
      </c>
      <c r="BW6" s="336" t="s">
        <v>240</v>
      </c>
      <c r="BX6" s="364" t="s">
        <v>241</v>
      </c>
      <c r="BY6" s="675" t="s">
        <v>399</v>
      </c>
      <c r="BZ6" s="678" t="s">
        <v>454</v>
      </c>
      <c r="CA6" s="336" t="s">
        <v>240</v>
      </c>
      <c r="CB6" s="364" t="s">
        <v>241</v>
      </c>
      <c r="CC6" s="675" t="s">
        <v>399</v>
      </c>
      <c r="CD6" s="678" t="s">
        <v>454</v>
      </c>
      <c r="CE6" s="336" t="s">
        <v>240</v>
      </c>
      <c r="CF6" s="364" t="s">
        <v>241</v>
      </c>
      <c r="CG6" s="675" t="s">
        <v>399</v>
      </c>
      <c r="CH6" s="678" t="s">
        <v>454</v>
      </c>
      <c r="CI6" s="336" t="s">
        <v>240</v>
      </c>
      <c r="CJ6" s="364" t="s">
        <v>241</v>
      </c>
      <c r="CK6" s="675" t="s">
        <v>399</v>
      </c>
      <c r="CL6" s="678" t="s">
        <v>454</v>
      </c>
      <c r="CM6" s="348" t="s">
        <v>240</v>
      </c>
      <c r="CN6" s="364" t="s">
        <v>241</v>
      </c>
      <c r="CO6" s="675" t="s">
        <v>399</v>
      </c>
      <c r="CP6" s="678" t="s">
        <v>454</v>
      </c>
    </row>
    <row r="7" spans="1:95" ht="23" customHeight="1" thickBot="1" x14ac:dyDescent="0.25">
      <c r="A7" s="328" t="s">
        <v>248</v>
      </c>
      <c r="B7" s="330" t="s">
        <v>487</v>
      </c>
      <c r="D7" s="333"/>
      <c r="G7" s="328"/>
      <c r="H7" s="340"/>
      <c r="I7" s="343"/>
      <c r="J7" s="346"/>
      <c r="K7" s="336"/>
      <c r="L7" s="364"/>
      <c r="M7" s="676"/>
      <c r="N7" s="679"/>
      <c r="O7" s="363"/>
      <c r="P7" s="364"/>
      <c r="Q7" s="676"/>
      <c r="R7" s="679"/>
      <c r="S7" s="366"/>
      <c r="T7" s="364"/>
      <c r="U7" s="676"/>
      <c r="V7" s="679"/>
      <c r="W7" s="336"/>
      <c r="X7" s="364"/>
      <c r="Y7" s="676"/>
      <c r="Z7" s="679"/>
      <c r="AA7" s="336"/>
      <c r="AB7" s="364"/>
      <c r="AC7" s="676"/>
      <c r="AD7" s="679"/>
      <c r="AE7" s="370"/>
      <c r="AF7" s="364"/>
      <c r="AG7" s="676"/>
      <c r="AH7" s="679"/>
      <c r="AI7" s="336"/>
      <c r="AJ7" s="364"/>
      <c r="AK7" s="676"/>
      <c r="AL7" s="679"/>
      <c r="AM7" s="336"/>
      <c r="AN7" s="364"/>
      <c r="AO7" s="676"/>
      <c r="AP7" s="679"/>
      <c r="AQ7" s="349"/>
      <c r="AR7" s="407"/>
      <c r="AS7" s="676"/>
      <c r="AT7" s="679"/>
      <c r="AU7" s="336"/>
      <c r="AV7" s="364"/>
      <c r="AW7" s="676"/>
      <c r="AX7" s="679"/>
      <c r="AY7" s="366"/>
      <c r="AZ7" s="364"/>
      <c r="BA7" s="676"/>
      <c r="BB7" s="679"/>
      <c r="BC7" s="336"/>
      <c r="BD7" s="364"/>
      <c r="BE7" s="676"/>
      <c r="BF7" s="679"/>
      <c r="BG7" s="336"/>
      <c r="BH7" s="364"/>
      <c r="BI7" s="676"/>
      <c r="BJ7" s="679"/>
      <c r="BK7" s="336"/>
      <c r="BL7" s="364"/>
      <c r="BM7" s="676"/>
      <c r="BN7" s="679"/>
      <c r="BO7" s="363"/>
      <c r="BP7" s="364"/>
      <c r="BQ7" s="676"/>
      <c r="BR7" s="679"/>
      <c r="BS7" s="336"/>
      <c r="BT7" s="364"/>
      <c r="BU7" s="676"/>
      <c r="BV7" s="679"/>
      <c r="BW7" s="336"/>
      <c r="BX7" s="364"/>
      <c r="BY7" s="676"/>
      <c r="BZ7" s="679"/>
      <c r="CA7" s="336"/>
      <c r="CB7" s="364"/>
      <c r="CC7" s="676"/>
      <c r="CD7" s="679"/>
      <c r="CE7" s="336"/>
      <c r="CF7" s="364"/>
      <c r="CG7" s="676"/>
      <c r="CH7" s="679"/>
      <c r="CI7" s="336"/>
      <c r="CJ7" s="364"/>
      <c r="CK7" s="676"/>
      <c r="CL7" s="679"/>
      <c r="CM7" s="349"/>
      <c r="CN7" s="364"/>
      <c r="CO7" s="676"/>
      <c r="CP7" s="679"/>
    </row>
    <row r="8" spans="1:95" ht="23" customHeight="1" x14ac:dyDescent="0.2">
      <c r="A8" s="328"/>
      <c r="B8" s="330"/>
      <c r="G8" s="328"/>
      <c r="H8" s="340"/>
      <c r="I8" s="343"/>
      <c r="J8" s="346"/>
      <c r="K8" s="336"/>
      <c r="L8" s="364"/>
      <c r="M8" s="676"/>
      <c r="N8" s="679"/>
      <c r="O8" s="363"/>
      <c r="P8" s="364"/>
      <c r="Q8" s="676"/>
      <c r="R8" s="679"/>
      <c r="S8" s="366"/>
      <c r="T8" s="364"/>
      <c r="U8" s="676"/>
      <c r="V8" s="679"/>
      <c r="W8" s="336"/>
      <c r="X8" s="364"/>
      <c r="Y8" s="676"/>
      <c r="Z8" s="679"/>
      <c r="AA8" s="336"/>
      <c r="AB8" s="364"/>
      <c r="AC8" s="676"/>
      <c r="AD8" s="679"/>
      <c r="AE8" s="370"/>
      <c r="AF8" s="364"/>
      <c r="AG8" s="676"/>
      <c r="AH8" s="679"/>
      <c r="AI8" s="336"/>
      <c r="AJ8" s="364"/>
      <c r="AK8" s="676"/>
      <c r="AL8" s="679"/>
      <c r="AM8" s="336"/>
      <c r="AN8" s="364"/>
      <c r="AO8" s="676"/>
      <c r="AP8" s="679"/>
      <c r="AQ8" s="349"/>
      <c r="AR8" s="407"/>
      <c r="AS8" s="676"/>
      <c r="AT8" s="679"/>
      <c r="AU8" s="336"/>
      <c r="AV8" s="364"/>
      <c r="AW8" s="676"/>
      <c r="AX8" s="679"/>
      <c r="AY8" s="366"/>
      <c r="AZ8" s="364"/>
      <c r="BA8" s="676"/>
      <c r="BB8" s="679"/>
      <c r="BC8" s="336"/>
      <c r="BD8" s="364"/>
      <c r="BE8" s="676"/>
      <c r="BF8" s="679"/>
      <c r="BG8" s="336"/>
      <c r="BH8" s="364"/>
      <c r="BI8" s="676"/>
      <c r="BJ8" s="679"/>
      <c r="BK8" s="336"/>
      <c r="BL8" s="364"/>
      <c r="BM8" s="676"/>
      <c r="BN8" s="679"/>
      <c r="BO8" s="363"/>
      <c r="BP8" s="364"/>
      <c r="BQ8" s="676"/>
      <c r="BR8" s="679"/>
      <c r="BS8" s="336"/>
      <c r="BT8" s="364"/>
      <c r="BU8" s="676"/>
      <c r="BV8" s="679"/>
      <c r="BW8" s="336"/>
      <c r="BX8" s="364"/>
      <c r="BY8" s="676"/>
      <c r="BZ8" s="679"/>
      <c r="CA8" s="336"/>
      <c r="CB8" s="364"/>
      <c r="CC8" s="676"/>
      <c r="CD8" s="679"/>
      <c r="CE8" s="336"/>
      <c r="CF8" s="364"/>
      <c r="CG8" s="676"/>
      <c r="CH8" s="679"/>
      <c r="CI8" s="336"/>
      <c r="CJ8" s="364"/>
      <c r="CK8" s="676"/>
      <c r="CL8" s="679"/>
      <c r="CM8" s="349"/>
      <c r="CN8" s="364"/>
      <c r="CO8" s="676"/>
      <c r="CP8" s="679"/>
    </row>
    <row r="9" spans="1:95" ht="23" customHeight="1" x14ac:dyDescent="0.2">
      <c r="A9" s="328"/>
      <c r="B9" s="330"/>
      <c r="G9" s="328"/>
      <c r="H9" s="340"/>
      <c r="I9" s="343"/>
      <c r="J9" s="346"/>
      <c r="K9" s="336"/>
      <c r="L9" s="364"/>
      <c r="M9" s="676"/>
      <c r="N9" s="679"/>
      <c r="O9" s="363"/>
      <c r="P9" s="364"/>
      <c r="Q9" s="676"/>
      <c r="R9" s="679"/>
      <c r="S9" s="366"/>
      <c r="T9" s="364"/>
      <c r="U9" s="676"/>
      <c r="V9" s="679"/>
      <c r="W9" s="336"/>
      <c r="X9" s="364"/>
      <c r="Y9" s="676"/>
      <c r="Z9" s="679"/>
      <c r="AA9" s="336"/>
      <c r="AB9" s="364"/>
      <c r="AC9" s="676"/>
      <c r="AD9" s="679"/>
      <c r="AE9" s="370"/>
      <c r="AF9" s="364"/>
      <c r="AG9" s="676"/>
      <c r="AH9" s="679"/>
      <c r="AI9" s="336"/>
      <c r="AJ9" s="364"/>
      <c r="AK9" s="676"/>
      <c r="AL9" s="679"/>
      <c r="AM9" s="336"/>
      <c r="AN9" s="364"/>
      <c r="AO9" s="676"/>
      <c r="AP9" s="679"/>
      <c r="AQ9" s="349"/>
      <c r="AR9" s="407"/>
      <c r="AS9" s="676"/>
      <c r="AT9" s="679"/>
      <c r="AU9" s="336"/>
      <c r="AV9" s="364"/>
      <c r="AW9" s="676"/>
      <c r="AX9" s="679"/>
      <c r="AY9" s="366"/>
      <c r="AZ9" s="364"/>
      <c r="BA9" s="676"/>
      <c r="BB9" s="679"/>
      <c r="BC9" s="336"/>
      <c r="BD9" s="364"/>
      <c r="BE9" s="676"/>
      <c r="BF9" s="679"/>
      <c r="BG9" s="336"/>
      <c r="BH9" s="364"/>
      <c r="BI9" s="676"/>
      <c r="BJ9" s="679"/>
      <c r="BK9" s="336"/>
      <c r="BL9" s="364"/>
      <c r="BM9" s="676"/>
      <c r="BN9" s="679"/>
      <c r="BO9" s="363"/>
      <c r="BP9" s="364"/>
      <c r="BQ9" s="676"/>
      <c r="BR9" s="679"/>
      <c r="BS9" s="336"/>
      <c r="BT9" s="364"/>
      <c r="BU9" s="676"/>
      <c r="BV9" s="679"/>
      <c r="BW9" s="336"/>
      <c r="BX9" s="364"/>
      <c r="BY9" s="676"/>
      <c r="BZ9" s="679"/>
      <c r="CA9" s="336"/>
      <c r="CB9" s="364"/>
      <c r="CC9" s="676"/>
      <c r="CD9" s="679"/>
      <c r="CE9" s="336"/>
      <c r="CF9" s="364"/>
      <c r="CG9" s="676"/>
      <c r="CH9" s="679"/>
      <c r="CI9" s="336"/>
      <c r="CJ9" s="364"/>
      <c r="CK9" s="676"/>
      <c r="CL9" s="679"/>
      <c r="CM9" s="349"/>
      <c r="CN9" s="364"/>
      <c r="CO9" s="676"/>
      <c r="CP9" s="679"/>
    </row>
    <row r="10" spans="1:95" s="22" customFormat="1" ht="23" customHeight="1" thickBot="1" x14ac:dyDescent="0.25">
      <c r="A10" s="329"/>
      <c r="B10" s="331"/>
      <c r="C10" s="21" t="s">
        <v>20</v>
      </c>
      <c r="D10" s="20" t="s">
        <v>21</v>
      </c>
      <c r="E10" s="20" t="s">
        <v>22</v>
      </c>
      <c r="F10" s="21" t="s">
        <v>23</v>
      </c>
      <c r="G10" s="338"/>
      <c r="H10" s="341"/>
      <c r="I10" s="344"/>
      <c r="J10" s="347"/>
      <c r="K10" s="337"/>
      <c r="L10" s="365"/>
      <c r="M10" s="677"/>
      <c r="N10" s="680"/>
      <c r="O10" s="368"/>
      <c r="P10" s="365"/>
      <c r="Q10" s="677"/>
      <c r="R10" s="680"/>
      <c r="S10" s="367"/>
      <c r="T10" s="365"/>
      <c r="U10" s="677"/>
      <c r="V10" s="680"/>
      <c r="W10" s="337"/>
      <c r="X10" s="365"/>
      <c r="Y10" s="677"/>
      <c r="Z10" s="680"/>
      <c r="AA10" s="337"/>
      <c r="AB10" s="365"/>
      <c r="AC10" s="677"/>
      <c r="AD10" s="680"/>
      <c r="AE10" s="371"/>
      <c r="AF10" s="365"/>
      <c r="AG10" s="677"/>
      <c r="AH10" s="680"/>
      <c r="AI10" s="337"/>
      <c r="AJ10" s="365"/>
      <c r="AK10" s="677"/>
      <c r="AL10" s="680"/>
      <c r="AM10" s="337"/>
      <c r="AN10" s="365"/>
      <c r="AO10" s="677"/>
      <c r="AP10" s="680"/>
      <c r="AQ10" s="350"/>
      <c r="AR10" s="408"/>
      <c r="AS10" s="677"/>
      <c r="AT10" s="680"/>
      <c r="AU10" s="337"/>
      <c r="AV10" s="365"/>
      <c r="AW10" s="677"/>
      <c r="AX10" s="680"/>
      <c r="AY10" s="367"/>
      <c r="AZ10" s="365"/>
      <c r="BA10" s="677"/>
      <c r="BB10" s="680"/>
      <c r="BC10" s="337"/>
      <c r="BD10" s="365"/>
      <c r="BE10" s="677"/>
      <c r="BF10" s="680"/>
      <c r="BG10" s="337"/>
      <c r="BH10" s="365"/>
      <c r="BI10" s="677"/>
      <c r="BJ10" s="680"/>
      <c r="BK10" s="337"/>
      <c r="BL10" s="365"/>
      <c r="BM10" s="677"/>
      <c r="BN10" s="680"/>
      <c r="BO10" s="368"/>
      <c r="BP10" s="365"/>
      <c r="BQ10" s="677"/>
      <c r="BR10" s="680"/>
      <c r="BS10" s="337"/>
      <c r="BT10" s="365"/>
      <c r="BU10" s="677"/>
      <c r="BV10" s="680"/>
      <c r="BW10" s="337"/>
      <c r="BX10" s="365"/>
      <c r="BY10" s="677"/>
      <c r="BZ10" s="680"/>
      <c r="CA10" s="337"/>
      <c r="CB10" s="365"/>
      <c r="CC10" s="677"/>
      <c r="CD10" s="680"/>
      <c r="CE10" s="337"/>
      <c r="CF10" s="365"/>
      <c r="CG10" s="677"/>
      <c r="CH10" s="680"/>
      <c r="CI10" s="337"/>
      <c r="CJ10" s="365"/>
      <c r="CK10" s="677"/>
      <c r="CL10" s="680"/>
      <c r="CM10" s="350"/>
      <c r="CN10" s="365"/>
      <c r="CO10" s="677"/>
      <c r="CP10" s="680"/>
      <c r="CQ10" s="20" t="s">
        <v>25</v>
      </c>
    </row>
    <row r="11" spans="1:95" s="22" customFormat="1" ht="20" customHeight="1" x14ac:dyDescent="0.2">
      <c r="A11" s="60"/>
      <c r="B11" s="84"/>
      <c r="C11" s="63" t="s">
        <v>85</v>
      </c>
      <c r="D11" s="62" t="s">
        <v>249</v>
      </c>
      <c r="E11" s="62" t="s">
        <v>250</v>
      </c>
      <c r="F11" s="63">
        <v>2015</v>
      </c>
      <c r="G11" s="63"/>
      <c r="H11" s="114">
        <v>40</v>
      </c>
      <c r="I11" s="109" t="s">
        <v>328</v>
      </c>
      <c r="J11" s="110" t="s">
        <v>329</v>
      </c>
      <c r="K11" s="70"/>
      <c r="L11" s="77" t="str">
        <f t="shared" ref="L11:L63" si="0">IF((ISERROR((K11/$H11)*100)), "", IF(AND(NOT(ISERROR((K11/$H11)*100)),((K11/$H11)*100) &lt;&gt; 0), (K11/$H11)*100, ""))</f>
        <v/>
      </c>
      <c r="M11" s="94"/>
      <c r="N11" s="95" t="str">
        <f t="shared" ref="N11:N63" si="1">IF(AND(NOT(ISERROR(K11-M11)), AND(M11&lt;&gt;"", K11&lt;&gt;"")), K11-M11, "")</f>
        <v/>
      </c>
      <c r="O11" s="71"/>
      <c r="P11" s="77" t="str">
        <f t="shared" ref="P11:P55" si="2">IF((ISERROR((O11/$H11)*100)), "", IF(AND(NOT(ISERROR((O11/$H11)*100)),((O11/$H11)*100) &lt;&gt; 0), (O11/$H11)*100, ""))</f>
        <v/>
      </c>
      <c r="Q11" s="94"/>
      <c r="R11" s="98" t="str">
        <f t="shared" ref="R11:R63" si="3">IF(AND(NOT(ISERROR(O11-Q11)), AND(Q11&lt;&gt;"", O11&lt;&gt;"")), O11-Q11, "")</f>
        <v/>
      </c>
      <c r="S11" s="72"/>
      <c r="T11" s="78" t="str">
        <f t="shared" ref="T11:T43" si="4">IF((ISERROR((S11/$H11)*100)), "", IF(AND(NOT(ISERROR((S11/$H11)*100)),((S11/$H11)*100) &lt;&gt; 0), (S11/$H11)*100, ""))</f>
        <v/>
      </c>
      <c r="U11" s="94"/>
      <c r="V11" s="98" t="str">
        <f t="shared" ref="V11:V63" si="5">IF(AND(NOT(ISERROR(S11-U11)), AND(U11&lt;&gt;"", S11&lt;&gt;"")), S11-U11, "")</f>
        <v/>
      </c>
      <c r="W11" s="70"/>
      <c r="X11" s="77" t="str">
        <f t="shared" ref="X11:X55" si="6">IF((ISERROR((W11/$H11)*100)), "", IF(AND(NOT(ISERROR((W11/$H11)*100)),((W11/$H11)*100) &lt;&gt; 0), (W11/$H11)*100, ""))</f>
        <v/>
      </c>
      <c r="Y11" s="94"/>
      <c r="Z11" s="98" t="str">
        <f t="shared" ref="Z11:Z63" si="7">IF(AND(NOT(ISERROR(W11-Y11)), AND(Y11&lt;&gt;"", W11&lt;&gt;"")), W11-Y11, "")</f>
        <v/>
      </c>
      <c r="AA11" s="70"/>
      <c r="AB11" s="77" t="str">
        <f t="shared" ref="AB11:AB55" si="8">IF((ISERROR((AA11/$H11)*100)), "", IF(AND(NOT(ISERROR((AA11/$H11)*100)),((AA11/$H11)*100) &lt;&gt; 0), (AA11/$H11)*100, ""))</f>
        <v/>
      </c>
      <c r="AC11" s="94"/>
      <c r="AD11" s="98" t="str">
        <f t="shared" ref="AD11:AD63" si="9">IF(AND(NOT(ISERROR(AA11-AC11)), AND(AC11&lt;&gt;"", AA11&lt;&gt;"")), AA11-AC11, "")</f>
        <v/>
      </c>
      <c r="AE11" s="71"/>
      <c r="AF11" s="77" t="str">
        <f t="shared" ref="AF11:AF59" si="10">IF((ISERROR((AE11/$H11)*100)), "", IF(AND(NOT(ISERROR((AE11/$H11)*100)),((AE11/$H11)*100) &lt;&gt; 0), (AE11/$H11)*100, ""))</f>
        <v/>
      </c>
      <c r="AG11" s="94"/>
      <c r="AH11" s="98" t="str">
        <f t="shared" ref="AH11:AH63" si="11">IF(AND(NOT(ISERROR(AE11-AG11)), AND(AG11&lt;&gt;"", AE11&lt;&gt;"")), AE11-AG11, "")</f>
        <v/>
      </c>
      <c r="AI11" s="70"/>
      <c r="AJ11" s="77" t="str">
        <f t="shared" ref="AJ11:AJ55" si="12">IF((ISERROR((AI11/$H11)*100)), "", IF(AND(NOT(ISERROR((AI11/$H11)*100)),((AI11/$H11)*100) &lt;&gt; 0), (AI11/$H11)*100, ""))</f>
        <v/>
      </c>
      <c r="AK11" s="94"/>
      <c r="AL11" s="98" t="str">
        <f t="shared" ref="AL11:AL63" si="13">IF(AND(NOT(ISERROR(AI11-AK11)), AND(AK11&lt;&gt;"", AI11&lt;&gt;"")), AI11-AK11, "")</f>
        <v/>
      </c>
      <c r="AM11" s="70"/>
      <c r="AN11" s="77" t="str">
        <f t="shared" ref="AN11:AN55" si="14">IF((ISERROR((AM11/$H11)*100)), "", IF(AND(NOT(ISERROR((AM11/$H11)*100)),((AM11/$H11)*100) &lt;&gt; 0), (AM11/$H11)*100, ""))</f>
        <v/>
      </c>
      <c r="AO11" s="94"/>
      <c r="AP11" s="98" t="str">
        <f t="shared" ref="AP11:AP63" si="15">IF(AND(NOT(ISERROR(AM11-AO11)), AND(AO11&lt;&gt;"", AM11&lt;&gt;"")), AM11-AO11, "")</f>
        <v/>
      </c>
      <c r="AQ11" s="70"/>
      <c r="AR11" s="77" t="str">
        <f t="shared" ref="AR11:AR55" si="16">IF((ISERROR((AQ11/$H11)*100)), "", IF(AND(NOT(ISERROR((AQ11/$H11)*100)),((AQ11/$H11)*100) &lt;&gt; 0), (AQ11/$H11)*100, ""))</f>
        <v/>
      </c>
      <c r="AS11" s="94"/>
      <c r="AT11" s="98" t="str">
        <f t="shared" ref="AT11:AT12" si="17">IF(AND(NOT(ISERROR(AQ11-AS11)), AND(AS11&lt;&gt;"", AQ11&lt;&gt;"")), AQ11-AS11, "")</f>
        <v/>
      </c>
      <c r="AU11" s="70"/>
      <c r="AV11" s="77" t="str">
        <f t="shared" ref="AV11:AV63" si="18">IF((ISERROR((AU11/$H11)*100)), "", IF(AND(NOT(ISERROR((AU11/$H11)*100)),((AU11/$H11)*100) &lt;&gt; 0), (AU11/$H11)*100, ""))</f>
        <v/>
      </c>
      <c r="AW11" s="94"/>
      <c r="AX11" s="98" t="str">
        <f t="shared" ref="AX11:AX63" si="19">IF(AND(NOT(ISERROR(AU11-AW11)), AND(AW11&lt;&gt;"", AU11&lt;&gt;"")), AU11-AW11, "")</f>
        <v/>
      </c>
      <c r="AY11" s="72"/>
      <c r="AZ11" s="78" t="str">
        <f t="shared" ref="AZ11:AZ55" si="20">IF((ISERROR((AY11/$H11)*100)), "", IF(AND(NOT(ISERROR((AY11/$H11)*100)),((AY11/$H11)*100) &lt;&gt; 0), (AY11/$H11)*100, ""))</f>
        <v/>
      </c>
      <c r="BA11" s="94"/>
      <c r="BB11" s="98" t="str">
        <f t="shared" ref="BB11:BB63" si="21">IF(AND(NOT(ISERROR(AY11-BA11)), AND(BA11&lt;&gt;"", AY11&lt;&gt;"")), AY11-BA11, "")</f>
        <v/>
      </c>
      <c r="BC11" s="70"/>
      <c r="BD11" s="77" t="str">
        <f t="shared" ref="BD11:BD55" si="22">IF((ISERROR((BC11/$H11)*100)), "", IF(AND(NOT(ISERROR((BC11/$H11)*100)),((BC11/$H11)*100) &lt;&gt; 0), (BC11/$H11)*100, ""))</f>
        <v/>
      </c>
      <c r="BE11" s="94"/>
      <c r="BF11" s="98" t="str">
        <f t="shared" ref="BF11:BF63" si="23">IF(AND(NOT(ISERROR(BC11-BE11)), AND(BE11&lt;&gt;"", BC11&lt;&gt;"")), BC11-BE11, "")</f>
        <v/>
      </c>
      <c r="BG11" s="70"/>
      <c r="BH11" s="77" t="str">
        <f t="shared" ref="BH11:BH55" si="24">IF((ISERROR((BG11/$H11)*100)), "", IF(AND(NOT(ISERROR((BG11/$H11)*100)),((BG11/$H11)*100) &lt;&gt; 0), (BG11/$H11)*100, ""))</f>
        <v/>
      </c>
      <c r="BI11" s="94"/>
      <c r="BJ11" s="98" t="str">
        <f t="shared" ref="BJ11:BJ63" si="25">IF(AND(NOT(ISERROR(BG11-BI11)), AND(BI11&lt;&gt;"", BG11&lt;&gt;"")), BG11-BI11, "")</f>
        <v/>
      </c>
      <c r="BK11" s="70"/>
      <c r="BL11" s="77" t="str">
        <f t="shared" ref="BL11:BL55" si="26">IF((ISERROR((BK11/$H11)*100)), "", IF(AND(NOT(ISERROR((BK11/$H11)*100)),((BK11/$H11)*100) &lt;&gt; 0), (BK11/$H11)*100, ""))</f>
        <v/>
      </c>
      <c r="BM11" s="94"/>
      <c r="BN11" s="98" t="str">
        <f t="shared" ref="BN11:BN63" si="27">IF(AND(NOT(ISERROR(BK11-BM11)), AND(BM11&lt;&gt;"", BK11&lt;&gt;"")), BK11-BM11, "")</f>
        <v/>
      </c>
      <c r="BO11" s="71"/>
      <c r="BP11" s="77" t="str">
        <f t="shared" ref="BP11:BP63" si="28">IF((ISERROR((BO11/$H11)*100)), "", IF(AND(NOT(ISERROR((BO11/$H11)*100)),((BO11/$H11)*100) &lt;&gt; 0), (BO11/$H11)*100, ""))</f>
        <v/>
      </c>
      <c r="BQ11" s="94"/>
      <c r="BR11" s="98" t="str">
        <f t="shared" ref="BR11:BR63" si="29">IF(AND(NOT(ISERROR(BO11-BQ11)), AND(BQ11&lt;&gt;"", BO11&lt;&gt;"")), BO11-BQ11, "")</f>
        <v/>
      </c>
      <c r="BS11" s="70"/>
      <c r="BT11" s="77" t="str">
        <f t="shared" ref="BT11:BT63" si="30">IF((ISERROR((BS11/$H11)*100)), "", IF(AND(NOT(ISERROR((BS11/$H11)*100)),((BS11/$H11)*100) &lt;&gt; 0), (BS11/$H11)*100, ""))</f>
        <v/>
      </c>
      <c r="BU11" s="94"/>
      <c r="BV11" s="98" t="str">
        <f t="shared" ref="BV11:BV63" si="31">IF(AND(NOT(ISERROR(BS11-BU11)), AND(BU11&lt;&gt;"", BS11&lt;&gt;"")), BS11-BU11, "")</f>
        <v/>
      </c>
      <c r="BW11" s="70"/>
      <c r="BX11" s="77" t="str">
        <f t="shared" ref="BX11:BX63" si="32">IF((ISERROR((BW11/$H11)*100)), "", IF(AND(NOT(ISERROR((BW11/$H11)*100)),((BW11/$H11)*100) &lt;&gt; 0), (BW11/$H11)*100, ""))</f>
        <v/>
      </c>
      <c r="BY11" s="94"/>
      <c r="BZ11" s="98" t="str">
        <f t="shared" ref="BZ11:BZ63" si="33">IF(AND(NOT(ISERROR(BW11-BY11)), AND(BY11&lt;&gt;"", BW11&lt;&gt;"")), BW11-BY11, "")</f>
        <v/>
      </c>
      <c r="CA11" s="70"/>
      <c r="CB11" s="77" t="str">
        <f t="shared" ref="CB11:CB63" si="34">IF((ISERROR((CA11/$H11)*100)), "", IF(AND(NOT(ISERROR((CA11/$H11)*100)),((CA11/$H11)*100) &lt;&gt; 0), (CA11/$H11)*100, ""))</f>
        <v/>
      </c>
      <c r="CC11" s="94"/>
      <c r="CD11" s="98" t="str">
        <f t="shared" ref="CD11:CD63" si="35">IF(AND(NOT(ISERROR(CA11-CC11)), AND(CC11&lt;&gt;"", CA11&lt;&gt;"")), CA11-CC11, "")</f>
        <v/>
      </c>
      <c r="CE11" s="70"/>
      <c r="CF11" s="77" t="str">
        <f t="shared" ref="CF11:CF63" si="36">IF((ISERROR((CE11/$H11)*100)), "", IF(AND(NOT(ISERROR((CE11/$H11)*100)),((CE11/$H11)*100) &lt;&gt; 0), (CE11/$H11)*100, ""))</f>
        <v/>
      </c>
      <c r="CG11" s="94"/>
      <c r="CH11" s="98" t="str">
        <f t="shared" ref="CH11:CH63" si="37">IF(AND(NOT(ISERROR(CE11-CG11)), AND(CG11&lt;&gt;"", CE11&lt;&gt;"")), CE11-CG11, "")</f>
        <v/>
      </c>
      <c r="CI11" s="70"/>
      <c r="CJ11" s="77" t="str">
        <f t="shared" ref="CJ11:CJ63" si="38">IF((ISERROR((CI11/$H11)*100)), "", IF(AND(NOT(ISERROR((CI11/$H11)*100)),((CI11/$H11)*100) &lt;&gt; 0), (CI11/$H11)*100, ""))</f>
        <v/>
      </c>
      <c r="CK11" s="94"/>
      <c r="CL11" s="98" t="str">
        <f t="shared" ref="CL11:CL63" si="39">IF(AND(NOT(ISERROR(CI11-CK11)), AND(CK11&lt;&gt;"", CI11&lt;&gt;"")), CI11-CK11, "")</f>
        <v/>
      </c>
      <c r="CM11" s="70"/>
      <c r="CN11" s="77" t="str">
        <f t="shared" ref="CN11:CN63" si="40">IF((ISERROR((CM11/$H11)*100)), "", IF(AND(NOT(ISERROR((CM11/$H11)*100)),((CM11/$H11)*100) &lt;&gt; 0), (CM11/$H11)*100, ""))</f>
        <v/>
      </c>
      <c r="CO11" s="94"/>
      <c r="CP11" s="98" t="str">
        <f t="shared" ref="CP11:CP63" si="41">IF(AND(NOT(ISERROR(CM11-CO11)), AND(CO11&lt;&gt;"", CM11&lt;&gt;"")), CM11-CO11, "")</f>
        <v/>
      </c>
      <c r="CQ11" s="62" t="s">
        <v>330</v>
      </c>
    </row>
    <row r="12" spans="1:95" customFormat="1" ht="20" customHeight="1" x14ac:dyDescent="0.2">
      <c r="A12" s="61"/>
      <c r="B12" s="83"/>
      <c r="C12" s="24" t="s">
        <v>85</v>
      </c>
      <c r="D12" s="23" t="s">
        <v>251</v>
      </c>
      <c r="E12" s="23" t="s">
        <v>252</v>
      </c>
      <c r="F12" s="24">
        <v>2016</v>
      </c>
      <c r="H12" s="89">
        <v>12</v>
      </c>
      <c r="I12" s="85" t="s">
        <v>332</v>
      </c>
      <c r="J12" s="86"/>
      <c r="K12" s="33"/>
      <c r="L12" s="36" t="str">
        <f t="shared" si="0"/>
        <v/>
      </c>
      <c r="M12" s="95"/>
      <c r="N12" s="95" t="str">
        <f t="shared" si="1"/>
        <v/>
      </c>
      <c r="O12" s="33"/>
      <c r="P12" s="36" t="str">
        <f t="shared" si="2"/>
        <v/>
      </c>
      <c r="Q12" s="95"/>
      <c r="R12" s="99" t="str">
        <f t="shared" si="3"/>
        <v/>
      </c>
      <c r="S12" s="76"/>
      <c r="T12" s="36" t="str">
        <f t="shared" si="4"/>
        <v/>
      </c>
      <c r="U12" s="95"/>
      <c r="V12" s="99" t="str">
        <f t="shared" si="5"/>
        <v/>
      </c>
      <c r="W12" s="33"/>
      <c r="X12" s="36" t="str">
        <f t="shared" si="6"/>
        <v/>
      </c>
      <c r="Y12" s="95"/>
      <c r="Z12" s="99" t="str">
        <f t="shared" si="7"/>
        <v/>
      </c>
      <c r="AA12" s="33"/>
      <c r="AB12" s="36" t="str">
        <f t="shared" si="8"/>
        <v/>
      </c>
      <c r="AC12" s="95"/>
      <c r="AD12" s="99" t="str">
        <f t="shared" si="9"/>
        <v/>
      </c>
      <c r="AE12" s="33"/>
      <c r="AF12" s="36" t="str">
        <f t="shared" si="10"/>
        <v/>
      </c>
      <c r="AG12" s="95"/>
      <c r="AH12" s="99" t="str">
        <f t="shared" si="11"/>
        <v/>
      </c>
      <c r="AI12" s="33"/>
      <c r="AJ12" s="36" t="str">
        <f t="shared" si="12"/>
        <v/>
      </c>
      <c r="AK12" s="95"/>
      <c r="AL12" s="99" t="str">
        <f t="shared" si="13"/>
        <v/>
      </c>
      <c r="AM12" s="33"/>
      <c r="AN12" s="36" t="str">
        <f t="shared" si="14"/>
        <v/>
      </c>
      <c r="AO12" s="95"/>
      <c r="AP12" s="99" t="str">
        <f t="shared" si="15"/>
        <v/>
      </c>
      <c r="AQ12" s="33"/>
      <c r="AR12" s="36" t="str">
        <f t="shared" si="16"/>
        <v/>
      </c>
      <c r="AS12" s="95"/>
      <c r="AT12" s="99" t="str">
        <f t="shared" si="17"/>
        <v/>
      </c>
      <c r="AU12" s="33"/>
      <c r="AV12" s="36" t="str">
        <f t="shared" si="18"/>
        <v/>
      </c>
      <c r="AW12" s="95"/>
      <c r="AX12" s="99" t="str">
        <f t="shared" si="19"/>
        <v/>
      </c>
      <c r="AY12" s="76"/>
      <c r="AZ12" s="36" t="str">
        <f t="shared" si="20"/>
        <v/>
      </c>
      <c r="BA12" s="95"/>
      <c r="BB12" s="99" t="str">
        <f t="shared" si="21"/>
        <v/>
      </c>
      <c r="BC12" s="33"/>
      <c r="BD12" s="36" t="str">
        <f t="shared" si="22"/>
        <v/>
      </c>
      <c r="BE12" s="95"/>
      <c r="BF12" s="99" t="str">
        <f t="shared" si="23"/>
        <v/>
      </c>
      <c r="BG12" s="33"/>
      <c r="BH12" s="36" t="str">
        <f t="shared" si="24"/>
        <v/>
      </c>
      <c r="BI12" s="95"/>
      <c r="BJ12" s="99" t="str">
        <f t="shared" si="25"/>
        <v/>
      </c>
      <c r="BK12" s="33"/>
      <c r="BL12" s="36" t="str">
        <f t="shared" si="26"/>
        <v/>
      </c>
      <c r="BM12" s="95"/>
      <c r="BN12" s="99" t="str">
        <f t="shared" si="27"/>
        <v/>
      </c>
      <c r="BO12" s="33"/>
      <c r="BP12" s="36" t="str">
        <f t="shared" si="28"/>
        <v/>
      </c>
      <c r="BQ12" s="95"/>
      <c r="BR12" s="99" t="str">
        <f t="shared" si="29"/>
        <v/>
      </c>
      <c r="BS12" s="33"/>
      <c r="BT12" s="36" t="str">
        <f t="shared" si="30"/>
        <v/>
      </c>
      <c r="BU12" s="95"/>
      <c r="BV12" s="99" t="str">
        <f t="shared" si="31"/>
        <v/>
      </c>
      <c r="BW12" s="33"/>
      <c r="BX12" s="36" t="str">
        <f t="shared" si="32"/>
        <v/>
      </c>
      <c r="BY12" s="95"/>
      <c r="BZ12" s="99" t="str">
        <f t="shared" si="33"/>
        <v/>
      </c>
      <c r="CA12" s="33"/>
      <c r="CB12" s="36" t="str">
        <f t="shared" si="34"/>
        <v/>
      </c>
      <c r="CC12" s="95"/>
      <c r="CD12" s="99" t="str">
        <f t="shared" si="35"/>
        <v/>
      </c>
      <c r="CE12" s="33"/>
      <c r="CF12" s="36" t="str">
        <f t="shared" si="36"/>
        <v/>
      </c>
      <c r="CG12" s="95"/>
      <c r="CH12" s="99" t="str">
        <f t="shared" si="37"/>
        <v/>
      </c>
      <c r="CI12" s="33"/>
      <c r="CJ12" s="36" t="str">
        <f t="shared" si="38"/>
        <v/>
      </c>
      <c r="CK12" s="95"/>
      <c r="CL12" s="99" t="str">
        <f t="shared" si="39"/>
        <v/>
      </c>
      <c r="CM12" s="33"/>
      <c r="CN12" s="36" t="str">
        <f t="shared" si="40"/>
        <v/>
      </c>
      <c r="CO12" s="95"/>
      <c r="CP12" s="99" t="str">
        <f t="shared" si="41"/>
        <v/>
      </c>
      <c r="CQ12" s="23" t="s">
        <v>333</v>
      </c>
    </row>
    <row r="13" spans="1:95" ht="20" customHeight="1" x14ac:dyDescent="0.2">
      <c r="A13" s="60"/>
      <c r="B13" s="82"/>
      <c r="C13" s="24" t="s">
        <v>85</v>
      </c>
      <c r="D13" s="23" t="s">
        <v>253</v>
      </c>
      <c r="E13" s="23" t="s">
        <v>254</v>
      </c>
      <c r="F13" s="24">
        <v>2008</v>
      </c>
      <c r="H13" s="89">
        <v>13</v>
      </c>
      <c r="I13" s="85" t="s">
        <v>218</v>
      </c>
      <c r="J13" s="86" t="s">
        <v>335</v>
      </c>
      <c r="K13" s="33"/>
      <c r="L13" s="36" t="str">
        <f t="shared" si="0"/>
        <v/>
      </c>
      <c r="M13" s="95"/>
      <c r="N13" s="95" t="str">
        <f t="shared" si="1"/>
        <v/>
      </c>
      <c r="O13" s="33"/>
      <c r="P13" s="36" t="str">
        <f t="shared" si="2"/>
        <v/>
      </c>
      <c r="Q13" s="95"/>
      <c r="R13" s="99" t="str">
        <f t="shared" si="3"/>
        <v/>
      </c>
      <c r="S13" s="76"/>
      <c r="T13" s="36" t="str">
        <f t="shared" si="4"/>
        <v/>
      </c>
      <c r="U13" s="95"/>
      <c r="V13" s="99" t="str">
        <f t="shared" si="5"/>
        <v/>
      </c>
      <c r="W13" s="33"/>
      <c r="X13" s="36" t="str">
        <f t="shared" si="6"/>
        <v/>
      </c>
      <c r="Y13" s="95"/>
      <c r="Z13" s="99" t="str">
        <f t="shared" si="7"/>
        <v/>
      </c>
      <c r="AA13" s="33"/>
      <c r="AB13" s="36" t="str">
        <f t="shared" si="8"/>
        <v/>
      </c>
      <c r="AC13" s="95"/>
      <c r="AD13" s="99" t="str">
        <f t="shared" si="9"/>
        <v/>
      </c>
      <c r="AE13" s="33"/>
      <c r="AF13" s="36" t="str">
        <f t="shared" si="10"/>
        <v/>
      </c>
      <c r="AG13" s="95"/>
      <c r="AH13" s="99" t="str">
        <f t="shared" si="11"/>
        <v/>
      </c>
      <c r="AI13" s="33"/>
      <c r="AJ13" s="36" t="str">
        <f t="shared" si="12"/>
        <v/>
      </c>
      <c r="AK13" s="95"/>
      <c r="AL13" s="99" t="str">
        <f t="shared" si="13"/>
        <v/>
      </c>
      <c r="AM13" s="33"/>
      <c r="AN13" s="36" t="str">
        <f t="shared" si="14"/>
        <v/>
      </c>
      <c r="AO13" s="95"/>
      <c r="AP13" s="99" t="str">
        <f t="shared" si="15"/>
        <v/>
      </c>
      <c r="AQ13" s="33">
        <v>1</v>
      </c>
      <c r="AR13" s="36">
        <f t="shared" si="16"/>
        <v>7.6923076923076925</v>
      </c>
      <c r="AS13" s="95">
        <v>0</v>
      </c>
      <c r="AT13" s="99">
        <f>IF(AND(NOT(ISERROR(AQ13-AS13)), AND(AS13&lt;&gt;"", AQ13&lt;&gt;"")), AQ13-AS13, "")</f>
        <v>1</v>
      </c>
      <c r="AU13" s="33"/>
      <c r="AV13" s="36" t="str">
        <f t="shared" si="18"/>
        <v/>
      </c>
      <c r="AW13" s="95"/>
      <c r="AX13" s="99" t="str">
        <f t="shared" si="19"/>
        <v/>
      </c>
      <c r="AY13" s="76"/>
      <c r="AZ13" s="36" t="str">
        <f t="shared" si="20"/>
        <v/>
      </c>
      <c r="BA13" s="95"/>
      <c r="BB13" s="99" t="str">
        <f t="shared" si="21"/>
        <v/>
      </c>
      <c r="BC13" s="33"/>
      <c r="BD13" s="36" t="str">
        <f t="shared" si="22"/>
        <v/>
      </c>
      <c r="BE13" s="95"/>
      <c r="BF13" s="99" t="str">
        <f t="shared" si="23"/>
        <v/>
      </c>
      <c r="BG13" s="33"/>
      <c r="BH13" s="36" t="str">
        <f t="shared" si="24"/>
        <v/>
      </c>
      <c r="BI13" s="95"/>
      <c r="BJ13" s="99" t="str">
        <f t="shared" si="25"/>
        <v/>
      </c>
      <c r="BK13" s="33"/>
      <c r="BL13" s="36" t="str">
        <f t="shared" si="26"/>
        <v/>
      </c>
      <c r="BM13" s="95"/>
      <c r="BN13" s="99" t="str">
        <f t="shared" si="27"/>
        <v/>
      </c>
      <c r="BO13" s="33"/>
      <c r="BP13" s="36" t="str">
        <f t="shared" si="28"/>
        <v/>
      </c>
      <c r="BQ13" s="95"/>
      <c r="BR13" s="99" t="str">
        <f t="shared" si="29"/>
        <v/>
      </c>
      <c r="BS13" s="33"/>
      <c r="BT13" s="36" t="str">
        <f t="shared" si="30"/>
        <v/>
      </c>
      <c r="BU13" s="95"/>
      <c r="BV13" s="99" t="str">
        <f t="shared" si="31"/>
        <v/>
      </c>
      <c r="BW13" s="33"/>
      <c r="BX13" s="36" t="str">
        <f t="shared" si="32"/>
        <v/>
      </c>
      <c r="BY13" s="95"/>
      <c r="BZ13" s="99" t="str">
        <f t="shared" si="33"/>
        <v/>
      </c>
      <c r="CA13" s="33"/>
      <c r="CB13" s="36" t="str">
        <f t="shared" si="34"/>
        <v/>
      </c>
      <c r="CC13" s="95"/>
      <c r="CD13" s="99" t="str">
        <f t="shared" si="35"/>
        <v/>
      </c>
      <c r="CE13" s="33"/>
      <c r="CF13" s="36" t="str">
        <f t="shared" si="36"/>
        <v/>
      </c>
      <c r="CG13" s="95"/>
      <c r="CH13" s="99" t="str">
        <f t="shared" si="37"/>
        <v/>
      </c>
      <c r="CI13" s="33"/>
      <c r="CJ13" s="36" t="str">
        <f t="shared" si="38"/>
        <v/>
      </c>
      <c r="CK13" s="95"/>
      <c r="CL13" s="99" t="str">
        <f t="shared" si="39"/>
        <v/>
      </c>
      <c r="CM13" s="33"/>
      <c r="CN13" s="36" t="str">
        <f t="shared" si="40"/>
        <v/>
      </c>
      <c r="CO13" s="95"/>
      <c r="CP13" s="99" t="str">
        <f t="shared" si="41"/>
        <v/>
      </c>
    </row>
    <row r="14" spans="1:95" ht="20" customHeight="1" x14ac:dyDescent="0.2">
      <c r="A14" s="61"/>
      <c r="B14" s="82"/>
      <c r="C14" s="24" t="s">
        <v>85</v>
      </c>
      <c r="D14" s="23" t="s">
        <v>36</v>
      </c>
      <c r="E14" s="23" t="s">
        <v>37</v>
      </c>
      <c r="F14" s="24">
        <v>2008</v>
      </c>
      <c r="G14" s="24">
        <v>40</v>
      </c>
      <c r="H14" s="89">
        <v>29</v>
      </c>
      <c r="I14" s="85" t="s">
        <v>176</v>
      </c>
      <c r="J14" s="86" t="s">
        <v>169</v>
      </c>
      <c r="K14" s="33"/>
      <c r="L14" s="36" t="str">
        <f t="shared" si="0"/>
        <v/>
      </c>
      <c r="M14" s="95"/>
      <c r="N14" s="95" t="str">
        <f t="shared" si="1"/>
        <v/>
      </c>
      <c r="O14" s="33"/>
      <c r="P14" s="36" t="str">
        <f t="shared" si="2"/>
        <v/>
      </c>
      <c r="Q14" s="95"/>
      <c r="R14" s="99" t="str">
        <f t="shared" si="3"/>
        <v/>
      </c>
      <c r="S14" s="76">
        <v>5</v>
      </c>
      <c r="T14" s="36">
        <f t="shared" si="4"/>
        <v>17.241379310344829</v>
      </c>
      <c r="U14" s="95"/>
      <c r="V14" s="99" t="str">
        <f t="shared" si="5"/>
        <v/>
      </c>
      <c r="W14" s="33"/>
      <c r="X14" s="36" t="str">
        <f t="shared" si="6"/>
        <v/>
      </c>
      <c r="Y14" s="95"/>
      <c r="Z14" s="99" t="str">
        <f t="shared" si="7"/>
        <v/>
      </c>
      <c r="AA14" s="33"/>
      <c r="AB14" s="36" t="str">
        <f t="shared" si="8"/>
        <v/>
      </c>
      <c r="AC14" s="95"/>
      <c r="AD14" s="99" t="str">
        <f t="shared" si="9"/>
        <v/>
      </c>
      <c r="AE14" s="33"/>
      <c r="AF14" s="36" t="str">
        <f t="shared" si="10"/>
        <v/>
      </c>
      <c r="AG14" s="95"/>
      <c r="AH14" s="99" t="str">
        <f t="shared" si="11"/>
        <v/>
      </c>
      <c r="AI14" s="33"/>
      <c r="AJ14" s="36" t="str">
        <f t="shared" si="12"/>
        <v/>
      </c>
      <c r="AK14" s="95"/>
      <c r="AL14" s="99" t="str">
        <f t="shared" si="13"/>
        <v/>
      </c>
      <c r="AM14" s="33">
        <v>5</v>
      </c>
      <c r="AN14" s="36">
        <f t="shared" si="14"/>
        <v>17.241379310344829</v>
      </c>
      <c r="AO14" s="95"/>
      <c r="AP14" s="99" t="str">
        <f t="shared" si="15"/>
        <v/>
      </c>
      <c r="AQ14" s="33"/>
      <c r="AR14" s="36" t="str">
        <f t="shared" si="16"/>
        <v/>
      </c>
      <c r="AS14" s="95"/>
      <c r="AT14" s="99" t="str">
        <f t="shared" ref="AT14:AT63" si="42">IF(AND(NOT(ISERROR(AQ14-AS14)), AND(AS14&lt;&gt;"", AQ14&lt;&gt;"")), AQ14-AS14, "")</f>
        <v/>
      </c>
      <c r="AU14" s="33"/>
      <c r="AV14" s="36" t="str">
        <f t="shared" si="18"/>
        <v/>
      </c>
      <c r="AW14" s="95"/>
      <c r="AX14" s="99" t="str">
        <f t="shared" si="19"/>
        <v/>
      </c>
      <c r="AY14" s="76"/>
      <c r="AZ14" s="36" t="str">
        <f t="shared" si="20"/>
        <v/>
      </c>
      <c r="BA14" s="95"/>
      <c r="BB14" s="99" t="str">
        <f t="shared" si="21"/>
        <v/>
      </c>
      <c r="BC14" s="33"/>
      <c r="BD14" s="36" t="str">
        <f t="shared" si="22"/>
        <v/>
      </c>
      <c r="BE14" s="95"/>
      <c r="BF14" s="99" t="str">
        <f t="shared" si="23"/>
        <v/>
      </c>
      <c r="BG14" s="33"/>
      <c r="BH14" s="36" t="str">
        <f t="shared" si="24"/>
        <v/>
      </c>
      <c r="BI14" s="95"/>
      <c r="BJ14" s="99" t="str">
        <f t="shared" si="25"/>
        <v/>
      </c>
      <c r="BK14" s="33"/>
      <c r="BL14" s="36" t="str">
        <f t="shared" si="26"/>
        <v/>
      </c>
      <c r="BM14" s="95"/>
      <c r="BN14" s="99" t="str">
        <f t="shared" si="27"/>
        <v/>
      </c>
      <c r="BO14" s="33"/>
      <c r="BP14" s="36" t="str">
        <f t="shared" si="28"/>
        <v/>
      </c>
      <c r="BQ14" s="95"/>
      <c r="BR14" s="99" t="str">
        <f t="shared" si="29"/>
        <v/>
      </c>
      <c r="BS14" s="33"/>
      <c r="BT14" s="36" t="str">
        <f t="shared" si="30"/>
        <v/>
      </c>
      <c r="BU14" s="95"/>
      <c r="BV14" s="99" t="str">
        <f t="shared" si="31"/>
        <v/>
      </c>
      <c r="BW14" s="33"/>
      <c r="BX14" s="36" t="str">
        <f t="shared" si="32"/>
        <v/>
      </c>
      <c r="BY14" s="95"/>
      <c r="BZ14" s="99" t="str">
        <f t="shared" si="33"/>
        <v/>
      </c>
      <c r="CA14" s="33"/>
      <c r="CB14" s="36" t="str">
        <f t="shared" si="34"/>
        <v/>
      </c>
      <c r="CC14" s="95"/>
      <c r="CD14" s="99" t="str">
        <f t="shared" si="35"/>
        <v/>
      </c>
      <c r="CE14" s="33"/>
      <c r="CF14" s="36" t="str">
        <f t="shared" si="36"/>
        <v/>
      </c>
      <c r="CG14" s="95"/>
      <c r="CH14" s="99" t="str">
        <f t="shared" si="37"/>
        <v/>
      </c>
      <c r="CI14" s="33"/>
      <c r="CJ14" s="36" t="str">
        <f t="shared" si="38"/>
        <v/>
      </c>
      <c r="CK14" s="95"/>
      <c r="CL14" s="99" t="str">
        <f t="shared" si="39"/>
        <v/>
      </c>
      <c r="CM14" s="33"/>
      <c r="CN14" s="36" t="str">
        <f t="shared" si="40"/>
        <v/>
      </c>
      <c r="CO14" s="95"/>
      <c r="CP14" s="99" t="str">
        <f t="shared" si="41"/>
        <v/>
      </c>
      <c r="CQ14" s="23" t="s">
        <v>480</v>
      </c>
    </row>
    <row r="15" spans="1:95" ht="20" customHeight="1" x14ac:dyDescent="0.2">
      <c r="A15" s="60"/>
      <c r="B15" s="82"/>
      <c r="C15" s="24" t="s">
        <v>85</v>
      </c>
      <c r="D15" s="23" t="s">
        <v>41</v>
      </c>
      <c r="E15" s="23" t="s">
        <v>42</v>
      </c>
      <c r="F15" s="24">
        <v>2004</v>
      </c>
      <c r="G15" s="24">
        <v>79</v>
      </c>
      <c r="H15" s="89">
        <v>12</v>
      </c>
      <c r="I15" s="85" t="s">
        <v>168</v>
      </c>
      <c r="J15" s="86" t="s">
        <v>169</v>
      </c>
      <c r="K15" s="33"/>
      <c r="L15" s="36" t="str">
        <f t="shared" si="0"/>
        <v/>
      </c>
      <c r="M15" s="95"/>
      <c r="N15" s="95" t="str">
        <f t="shared" si="1"/>
        <v/>
      </c>
      <c r="O15" s="33"/>
      <c r="P15" s="36" t="str">
        <f t="shared" si="2"/>
        <v/>
      </c>
      <c r="Q15" s="95"/>
      <c r="R15" s="99" t="str">
        <f t="shared" si="3"/>
        <v/>
      </c>
      <c r="S15" s="76"/>
      <c r="T15" s="36" t="str">
        <f t="shared" si="4"/>
        <v/>
      </c>
      <c r="U15" s="95"/>
      <c r="V15" s="99" t="str">
        <f t="shared" si="5"/>
        <v/>
      </c>
      <c r="W15" s="33"/>
      <c r="X15" s="36" t="str">
        <f t="shared" si="6"/>
        <v/>
      </c>
      <c r="Y15" s="95"/>
      <c r="Z15" s="99" t="str">
        <f t="shared" si="7"/>
        <v/>
      </c>
      <c r="AA15" s="33"/>
      <c r="AB15" s="36" t="str">
        <f t="shared" si="8"/>
        <v/>
      </c>
      <c r="AC15" s="95"/>
      <c r="AD15" s="99" t="str">
        <f t="shared" si="9"/>
        <v/>
      </c>
      <c r="AE15" s="33"/>
      <c r="AF15" s="36" t="str">
        <f t="shared" si="10"/>
        <v/>
      </c>
      <c r="AG15" s="95"/>
      <c r="AH15" s="99" t="str">
        <f t="shared" si="11"/>
        <v/>
      </c>
      <c r="AI15" s="33"/>
      <c r="AJ15" s="36" t="str">
        <f t="shared" si="12"/>
        <v/>
      </c>
      <c r="AK15" s="95"/>
      <c r="AL15" s="99" t="str">
        <f t="shared" si="13"/>
        <v/>
      </c>
      <c r="AM15" s="33"/>
      <c r="AN15" s="36" t="str">
        <f t="shared" si="14"/>
        <v/>
      </c>
      <c r="AO15" s="95"/>
      <c r="AP15" s="99" t="str">
        <f t="shared" si="15"/>
        <v/>
      </c>
      <c r="AQ15" s="33">
        <v>5</v>
      </c>
      <c r="AR15" s="36">
        <f t="shared" si="16"/>
        <v>41.666666666666671</v>
      </c>
      <c r="AS15" s="95">
        <v>3</v>
      </c>
      <c r="AT15" s="99">
        <f t="shared" si="42"/>
        <v>2</v>
      </c>
      <c r="AU15" s="33"/>
      <c r="AV15" s="36" t="str">
        <f t="shared" si="18"/>
        <v/>
      </c>
      <c r="AW15" s="95"/>
      <c r="AX15" s="99" t="str">
        <f t="shared" si="19"/>
        <v/>
      </c>
      <c r="AY15" s="76"/>
      <c r="AZ15" s="36" t="str">
        <f t="shared" si="20"/>
        <v/>
      </c>
      <c r="BA15" s="95"/>
      <c r="BB15" s="99" t="str">
        <f t="shared" si="21"/>
        <v/>
      </c>
      <c r="BC15" s="33"/>
      <c r="BD15" s="36" t="str">
        <f t="shared" si="22"/>
        <v/>
      </c>
      <c r="BE15" s="95"/>
      <c r="BF15" s="99" t="str">
        <f t="shared" si="23"/>
        <v/>
      </c>
      <c r="BG15" s="33"/>
      <c r="BH15" s="36" t="str">
        <f t="shared" si="24"/>
        <v/>
      </c>
      <c r="BI15" s="95"/>
      <c r="BJ15" s="99" t="str">
        <f t="shared" si="25"/>
        <v/>
      </c>
      <c r="BK15" s="33">
        <v>0</v>
      </c>
      <c r="BL15" s="36" t="str">
        <f t="shared" si="26"/>
        <v/>
      </c>
      <c r="BM15" s="95">
        <v>1</v>
      </c>
      <c r="BN15" s="102">
        <f t="shared" si="27"/>
        <v>-1</v>
      </c>
      <c r="BO15" s="33"/>
      <c r="BP15" s="36" t="str">
        <f t="shared" si="28"/>
        <v/>
      </c>
      <c r="BQ15" s="95"/>
      <c r="BR15" s="99" t="str">
        <f t="shared" si="29"/>
        <v/>
      </c>
      <c r="BS15" s="33"/>
      <c r="BT15" s="36" t="str">
        <f t="shared" si="30"/>
        <v/>
      </c>
      <c r="BU15" s="95"/>
      <c r="BV15" s="99" t="str">
        <f t="shared" si="31"/>
        <v/>
      </c>
      <c r="BW15" s="33"/>
      <c r="BX15" s="36" t="str">
        <f t="shared" si="32"/>
        <v/>
      </c>
      <c r="BY15" s="95"/>
      <c r="BZ15" s="99" t="str">
        <f t="shared" si="33"/>
        <v/>
      </c>
      <c r="CA15" s="33"/>
      <c r="CB15" s="36" t="str">
        <f t="shared" si="34"/>
        <v/>
      </c>
      <c r="CC15" s="95"/>
      <c r="CD15" s="99" t="str">
        <f t="shared" si="35"/>
        <v/>
      </c>
      <c r="CE15" s="33"/>
      <c r="CF15" s="36" t="str">
        <f t="shared" si="36"/>
        <v/>
      </c>
      <c r="CG15" s="95"/>
      <c r="CH15" s="99" t="str">
        <f t="shared" si="37"/>
        <v/>
      </c>
      <c r="CI15" s="33"/>
      <c r="CJ15" s="36" t="str">
        <f t="shared" si="38"/>
        <v/>
      </c>
      <c r="CK15" s="95"/>
      <c r="CL15" s="99" t="str">
        <f t="shared" si="39"/>
        <v/>
      </c>
      <c r="CM15" s="33"/>
      <c r="CN15" s="36" t="str">
        <f t="shared" si="40"/>
        <v/>
      </c>
      <c r="CO15" s="95"/>
      <c r="CP15" s="99" t="str">
        <f t="shared" si="41"/>
        <v/>
      </c>
      <c r="CQ15" s="23" t="s">
        <v>170</v>
      </c>
    </row>
    <row r="16" spans="1:95" ht="20" customHeight="1" x14ac:dyDescent="0.2">
      <c r="A16" s="60"/>
      <c r="B16" s="82"/>
      <c r="C16" s="24" t="s">
        <v>85</v>
      </c>
      <c r="D16" s="23" t="s">
        <v>43</v>
      </c>
      <c r="E16" s="23" t="s">
        <v>44</v>
      </c>
      <c r="F16" s="24">
        <v>1976</v>
      </c>
      <c r="G16" s="24">
        <v>179</v>
      </c>
      <c r="H16" s="89">
        <v>8</v>
      </c>
      <c r="I16" s="111" t="s">
        <v>336</v>
      </c>
      <c r="J16" s="86"/>
      <c r="K16" s="38">
        <v>5</v>
      </c>
      <c r="L16" s="39">
        <f t="shared" si="0"/>
        <v>62.5</v>
      </c>
      <c r="M16" s="118">
        <v>0</v>
      </c>
      <c r="N16" s="118">
        <f t="shared" si="1"/>
        <v>5</v>
      </c>
      <c r="O16" s="38">
        <v>2</v>
      </c>
      <c r="P16" s="39">
        <f t="shared" si="2"/>
        <v>25</v>
      </c>
      <c r="Q16" s="118">
        <v>0</v>
      </c>
      <c r="R16" s="119">
        <f t="shared" si="3"/>
        <v>2</v>
      </c>
      <c r="S16" s="76">
        <v>1</v>
      </c>
      <c r="T16" s="36">
        <f t="shared" si="4"/>
        <v>12.5</v>
      </c>
      <c r="U16" s="118">
        <v>0</v>
      </c>
      <c r="V16" s="119">
        <f t="shared" si="5"/>
        <v>1</v>
      </c>
      <c r="W16" s="38">
        <v>2</v>
      </c>
      <c r="X16" s="39">
        <f t="shared" si="6"/>
        <v>25</v>
      </c>
      <c r="Y16" s="118">
        <v>0</v>
      </c>
      <c r="Z16" s="119">
        <f t="shared" si="7"/>
        <v>2</v>
      </c>
      <c r="AA16" s="38">
        <v>1</v>
      </c>
      <c r="AB16" s="39">
        <f t="shared" si="8"/>
        <v>12.5</v>
      </c>
      <c r="AC16" s="118">
        <v>0</v>
      </c>
      <c r="AD16" s="119">
        <f t="shared" si="9"/>
        <v>1</v>
      </c>
      <c r="AE16" s="38">
        <v>1</v>
      </c>
      <c r="AF16" s="39">
        <f t="shared" si="10"/>
        <v>12.5</v>
      </c>
      <c r="AG16" s="118">
        <v>0</v>
      </c>
      <c r="AH16" s="119">
        <f t="shared" si="11"/>
        <v>1</v>
      </c>
      <c r="AI16" s="38">
        <v>1</v>
      </c>
      <c r="AJ16" s="39">
        <f t="shared" si="12"/>
        <v>12.5</v>
      </c>
      <c r="AK16" s="118">
        <v>0</v>
      </c>
      <c r="AL16" s="119">
        <f t="shared" si="13"/>
        <v>1</v>
      </c>
      <c r="AM16" s="38">
        <v>1</v>
      </c>
      <c r="AN16" s="39">
        <f t="shared" si="14"/>
        <v>12.5</v>
      </c>
      <c r="AO16" s="118">
        <v>0</v>
      </c>
      <c r="AP16" s="119">
        <f t="shared" si="15"/>
        <v>1</v>
      </c>
      <c r="AQ16" s="33"/>
      <c r="AR16" s="36" t="str">
        <f t="shared" si="16"/>
        <v/>
      </c>
      <c r="AS16" s="95"/>
      <c r="AT16" s="99" t="str">
        <f t="shared" si="42"/>
        <v/>
      </c>
      <c r="AU16" s="33"/>
      <c r="AV16" s="36" t="str">
        <f t="shared" si="18"/>
        <v/>
      </c>
      <c r="AW16" s="95"/>
      <c r="AX16" s="99" t="str">
        <f t="shared" si="19"/>
        <v/>
      </c>
      <c r="AY16" s="76"/>
      <c r="AZ16" s="36" t="str">
        <f t="shared" si="20"/>
        <v/>
      </c>
      <c r="BA16" s="95"/>
      <c r="BB16" s="99" t="str">
        <f t="shared" si="21"/>
        <v/>
      </c>
      <c r="BC16" s="33"/>
      <c r="BD16" s="36" t="str">
        <f t="shared" si="22"/>
        <v/>
      </c>
      <c r="BE16" s="95"/>
      <c r="BF16" s="99" t="str">
        <f t="shared" si="23"/>
        <v/>
      </c>
      <c r="BG16" s="38">
        <v>1</v>
      </c>
      <c r="BH16" s="39">
        <f t="shared" si="24"/>
        <v>12.5</v>
      </c>
      <c r="BI16" s="118">
        <v>0</v>
      </c>
      <c r="BJ16" s="119">
        <f t="shared" si="25"/>
        <v>1</v>
      </c>
      <c r="BK16" s="33"/>
      <c r="BL16" s="36" t="str">
        <f t="shared" si="26"/>
        <v/>
      </c>
      <c r="BM16" s="95"/>
      <c r="BN16" s="99" t="str">
        <f t="shared" si="27"/>
        <v/>
      </c>
      <c r="BO16" s="38">
        <v>1</v>
      </c>
      <c r="BP16" s="39">
        <f t="shared" si="28"/>
        <v>12.5</v>
      </c>
      <c r="BQ16" s="118">
        <v>0</v>
      </c>
      <c r="BR16" s="119">
        <f t="shared" si="29"/>
        <v>1</v>
      </c>
      <c r="BS16" s="33"/>
      <c r="BT16" s="36" t="str">
        <f t="shared" si="30"/>
        <v/>
      </c>
      <c r="BU16" s="95"/>
      <c r="BV16" s="99" t="str">
        <f t="shared" si="31"/>
        <v/>
      </c>
      <c r="BW16" s="38"/>
      <c r="BX16" s="39" t="str">
        <f t="shared" si="32"/>
        <v/>
      </c>
      <c r="BY16" s="118"/>
      <c r="BZ16" s="119" t="str">
        <f t="shared" si="33"/>
        <v/>
      </c>
      <c r="CA16" s="38"/>
      <c r="CB16" s="39" t="str">
        <f t="shared" si="34"/>
        <v/>
      </c>
      <c r="CC16" s="118"/>
      <c r="CD16" s="119" t="str">
        <f t="shared" si="35"/>
        <v/>
      </c>
      <c r="CE16" s="33"/>
      <c r="CF16" s="36" t="str">
        <f t="shared" si="36"/>
        <v/>
      </c>
      <c r="CG16" s="95"/>
      <c r="CH16" s="99" t="str">
        <f t="shared" si="37"/>
        <v/>
      </c>
      <c r="CI16" s="33"/>
      <c r="CJ16" s="36" t="str">
        <f t="shared" si="38"/>
        <v/>
      </c>
      <c r="CK16" s="95"/>
      <c r="CL16" s="99" t="str">
        <f t="shared" si="39"/>
        <v/>
      </c>
      <c r="CM16" s="33"/>
      <c r="CN16" s="36" t="str">
        <f t="shared" si="40"/>
        <v/>
      </c>
      <c r="CO16" s="95"/>
      <c r="CP16" s="99" t="str">
        <f t="shared" si="41"/>
        <v/>
      </c>
      <c r="CQ16" s="23" t="s">
        <v>183</v>
      </c>
    </row>
    <row r="17" spans="1:95" ht="20" customHeight="1" x14ac:dyDescent="0.2">
      <c r="A17" s="60"/>
      <c r="B17" s="83"/>
      <c r="C17" s="24" t="s">
        <v>85</v>
      </c>
      <c r="D17" s="23" t="s">
        <v>255</v>
      </c>
      <c r="E17" s="23" t="s">
        <v>256</v>
      </c>
      <c r="F17" s="24">
        <v>2014</v>
      </c>
      <c r="H17" s="89">
        <v>48</v>
      </c>
      <c r="I17" s="85" t="s">
        <v>214</v>
      </c>
      <c r="J17" s="86" t="s">
        <v>337</v>
      </c>
      <c r="K17" s="33"/>
      <c r="L17" s="36" t="str">
        <f t="shared" si="0"/>
        <v/>
      </c>
      <c r="M17" s="95"/>
      <c r="N17" s="95" t="str">
        <f t="shared" si="1"/>
        <v/>
      </c>
      <c r="O17" s="38"/>
      <c r="P17" s="38" t="str">
        <f t="shared" si="2"/>
        <v/>
      </c>
      <c r="Q17" s="118"/>
      <c r="R17" s="119" t="str">
        <f t="shared" si="3"/>
        <v/>
      </c>
      <c r="S17" s="76"/>
      <c r="T17" s="36" t="str">
        <f t="shared" si="4"/>
        <v/>
      </c>
      <c r="U17" s="95"/>
      <c r="V17" s="99" t="str">
        <f t="shared" si="5"/>
        <v/>
      </c>
      <c r="W17" s="33"/>
      <c r="X17" s="36" t="str">
        <f t="shared" si="6"/>
        <v/>
      </c>
      <c r="Y17" s="95"/>
      <c r="Z17" s="99" t="str">
        <f t="shared" si="7"/>
        <v/>
      </c>
      <c r="AA17" s="33"/>
      <c r="AB17" s="36" t="str">
        <f t="shared" si="8"/>
        <v/>
      </c>
      <c r="AC17" s="95"/>
      <c r="AD17" s="99" t="str">
        <f t="shared" si="9"/>
        <v/>
      </c>
      <c r="AE17" s="33"/>
      <c r="AF17" s="36" t="str">
        <f t="shared" si="10"/>
        <v/>
      </c>
      <c r="AG17" s="95"/>
      <c r="AH17" s="99" t="str">
        <f t="shared" si="11"/>
        <v/>
      </c>
      <c r="AI17" s="33"/>
      <c r="AJ17" s="36" t="str">
        <f t="shared" si="12"/>
        <v/>
      </c>
      <c r="AK17" s="95"/>
      <c r="AL17" s="99" t="str">
        <f t="shared" si="13"/>
        <v/>
      </c>
      <c r="AM17" s="33"/>
      <c r="AN17" s="36" t="str">
        <f t="shared" si="14"/>
        <v/>
      </c>
      <c r="AO17" s="95"/>
      <c r="AP17" s="99" t="str">
        <f t="shared" si="15"/>
        <v/>
      </c>
      <c r="AQ17" s="38"/>
      <c r="AR17" s="38" t="str">
        <f t="shared" si="16"/>
        <v/>
      </c>
      <c r="AS17" s="118"/>
      <c r="AT17" s="119" t="str">
        <f t="shared" si="42"/>
        <v/>
      </c>
      <c r="AU17" s="33"/>
      <c r="AV17" s="36" t="str">
        <f t="shared" si="18"/>
        <v/>
      </c>
      <c r="AW17" s="95"/>
      <c r="AX17" s="99" t="str">
        <f t="shared" si="19"/>
        <v/>
      </c>
      <c r="AY17" s="76"/>
      <c r="AZ17" s="36" t="str">
        <f t="shared" si="20"/>
        <v/>
      </c>
      <c r="BA17" s="95"/>
      <c r="BB17" s="99" t="str">
        <f t="shared" si="21"/>
        <v/>
      </c>
      <c r="BC17" s="33"/>
      <c r="BD17" s="36" t="str">
        <f t="shared" si="22"/>
        <v/>
      </c>
      <c r="BE17" s="95"/>
      <c r="BF17" s="99" t="str">
        <f t="shared" si="23"/>
        <v/>
      </c>
      <c r="BG17" s="33"/>
      <c r="BH17" s="36" t="str">
        <f t="shared" si="24"/>
        <v/>
      </c>
      <c r="BI17" s="95"/>
      <c r="BJ17" s="99" t="str">
        <f t="shared" si="25"/>
        <v/>
      </c>
      <c r="BK17" s="33"/>
      <c r="BL17" s="36" t="str">
        <f t="shared" si="26"/>
        <v/>
      </c>
      <c r="BM17" s="95"/>
      <c r="BN17" s="99" t="str">
        <f t="shared" si="27"/>
        <v/>
      </c>
      <c r="BO17" s="33"/>
      <c r="BP17" s="36" t="str">
        <f t="shared" si="28"/>
        <v/>
      </c>
      <c r="BQ17" s="95"/>
      <c r="BR17" s="99" t="str">
        <f t="shared" si="29"/>
        <v/>
      </c>
      <c r="BS17" s="33"/>
      <c r="BT17" s="36" t="str">
        <f t="shared" si="30"/>
        <v/>
      </c>
      <c r="BU17" s="95"/>
      <c r="BV17" s="99" t="str">
        <f t="shared" si="31"/>
        <v/>
      </c>
      <c r="BW17" s="33"/>
      <c r="BX17" s="36" t="str">
        <f t="shared" si="32"/>
        <v/>
      </c>
      <c r="BY17" s="95"/>
      <c r="BZ17" s="99" t="str">
        <f t="shared" si="33"/>
        <v/>
      </c>
      <c r="CA17" s="33"/>
      <c r="CB17" s="36" t="str">
        <f t="shared" si="34"/>
        <v/>
      </c>
      <c r="CC17" s="95"/>
      <c r="CD17" s="99" t="str">
        <f t="shared" si="35"/>
        <v/>
      </c>
      <c r="CE17" s="33"/>
      <c r="CF17" s="36" t="str">
        <f t="shared" si="36"/>
        <v/>
      </c>
      <c r="CG17" s="95"/>
      <c r="CH17" s="99" t="str">
        <f t="shared" si="37"/>
        <v/>
      </c>
      <c r="CI17" s="33"/>
      <c r="CJ17" s="36" t="str">
        <f t="shared" si="38"/>
        <v/>
      </c>
      <c r="CK17" s="95"/>
      <c r="CL17" s="99" t="str">
        <f t="shared" si="39"/>
        <v/>
      </c>
      <c r="CM17" s="33"/>
      <c r="CN17" s="36" t="str">
        <f t="shared" si="40"/>
        <v/>
      </c>
      <c r="CO17" s="95"/>
      <c r="CP17" s="99" t="str">
        <f t="shared" si="41"/>
        <v/>
      </c>
      <c r="CQ17" s="23" t="s">
        <v>400</v>
      </c>
    </row>
    <row r="18" spans="1:95" ht="20" customHeight="1" x14ac:dyDescent="0.2">
      <c r="A18" s="60"/>
      <c r="B18" s="83"/>
      <c r="C18" s="24" t="s">
        <v>85</v>
      </c>
      <c r="D18" s="23" t="s">
        <v>259</v>
      </c>
      <c r="E18" s="23" t="s">
        <v>260</v>
      </c>
      <c r="F18" s="24">
        <v>2012</v>
      </c>
      <c r="H18" s="89">
        <v>80</v>
      </c>
      <c r="I18" s="85" t="s">
        <v>214</v>
      </c>
      <c r="J18" s="86" t="s">
        <v>191</v>
      </c>
      <c r="K18" s="33"/>
      <c r="L18" s="36" t="str">
        <f t="shared" si="0"/>
        <v/>
      </c>
      <c r="M18" s="95"/>
      <c r="N18" s="95" t="str">
        <f t="shared" si="1"/>
        <v/>
      </c>
      <c r="O18" s="33"/>
      <c r="P18" s="36" t="str">
        <f t="shared" si="2"/>
        <v/>
      </c>
      <c r="Q18" s="95"/>
      <c r="R18" s="99" t="str">
        <f t="shared" si="3"/>
        <v/>
      </c>
      <c r="S18" s="76"/>
      <c r="T18" s="36" t="str">
        <f t="shared" si="4"/>
        <v/>
      </c>
      <c r="U18" s="95"/>
      <c r="V18" s="99" t="str">
        <f t="shared" si="5"/>
        <v/>
      </c>
      <c r="W18" s="33"/>
      <c r="X18" s="36" t="str">
        <f t="shared" si="6"/>
        <v/>
      </c>
      <c r="Y18" s="95"/>
      <c r="Z18" s="99" t="str">
        <f t="shared" si="7"/>
        <v/>
      </c>
      <c r="AA18" s="33"/>
      <c r="AB18" s="36" t="str">
        <f t="shared" si="8"/>
        <v/>
      </c>
      <c r="AC18" s="95"/>
      <c r="AD18" s="99" t="str">
        <f t="shared" si="9"/>
        <v/>
      </c>
      <c r="AE18" s="33"/>
      <c r="AF18" s="36" t="str">
        <f t="shared" si="10"/>
        <v/>
      </c>
      <c r="AG18" s="95"/>
      <c r="AH18" s="99" t="str">
        <f t="shared" si="11"/>
        <v/>
      </c>
      <c r="AI18" s="33"/>
      <c r="AJ18" s="36" t="str">
        <f t="shared" si="12"/>
        <v/>
      </c>
      <c r="AK18" s="95"/>
      <c r="AL18" s="99" t="str">
        <f t="shared" si="13"/>
        <v/>
      </c>
      <c r="AM18" s="33"/>
      <c r="AN18" s="36" t="str">
        <f t="shared" si="14"/>
        <v/>
      </c>
      <c r="AO18" s="95"/>
      <c r="AP18" s="99" t="str">
        <f t="shared" si="15"/>
        <v/>
      </c>
      <c r="AQ18" s="33"/>
      <c r="AR18" s="36" t="str">
        <f t="shared" si="16"/>
        <v/>
      </c>
      <c r="AS18" s="95"/>
      <c r="AT18" s="99" t="str">
        <f t="shared" si="42"/>
        <v/>
      </c>
      <c r="AU18" s="33"/>
      <c r="AV18" s="36" t="str">
        <f t="shared" si="18"/>
        <v/>
      </c>
      <c r="AW18" s="95"/>
      <c r="AX18" s="99" t="str">
        <f t="shared" si="19"/>
        <v/>
      </c>
      <c r="AY18" s="76"/>
      <c r="AZ18" s="36" t="str">
        <f t="shared" si="20"/>
        <v/>
      </c>
      <c r="BA18" s="95"/>
      <c r="BB18" s="99" t="str">
        <f t="shared" si="21"/>
        <v/>
      </c>
      <c r="BC18" s="33"/>
      <c r="BD18" s="36" t="str">
        <f t="shared" si="22"/>
        <v/>
      </c>
      <c r="BE18" s="95"/>
      <c r="BF18" s="99" t="str">
        <f t="shared" si="23"/>
        <v/>
      </c>
      <c r="BG18" s="33"/>
      <c r="BH18" s="36" t="str">
        <f t="shared" si="24"/>
        <v/>
      </c>
      <c r="BI18" s="95"/>
      <c r="BJ18" s="99" t="str">
        <f t="shared" si="25"/>
        <v/>
      </c>
      <c r="BK18" s="33"/>
      <c r="BL18" s="36" t="str">
        <f t="shared" si="26"/>
        <v/>
      </c>
      <c r="BM18" s="95"/>
      <c r="BN18" s="99" t="str">
        <f t="shared" si="27"/>
        <v/>
      </c>
      <c r="BO18" s="33"/>
      <c r="BP18" s="36" t="str">
        <f t="shared" si="28"/>
        <v/>
      </c>
      <c r="BQ18" s="95"/>
      <c r="BR18" s="99" t="str">
        <f t="shared" si="29"/>
        <v/>
      </c>
      <c r="BS18" s="33"/>
      <c r="BT18" s="36" t="str">
        <f t="shared" si="30"/>
        <v/>
      </c>
      <c r="BU18" s="95"/>
      <c r="BV18" s="99" t="str">
        <f t="shared" si="31"/>
        <v/>
      </c>
      <c r="BW18" s="33"/>
      <c r="BX18" s="36" t="str">
        <f t="shared" si="32"/>
        <v/>
      </c>
      <c r="BY18" s="95"/>
      <c r="BZ18" s="99" t="str">
        <f t="shared" si="33"/>
        <v/>
      </c>
      <c r="CA18" s="33"/>
      <c r="CB18" s="36" t="str">
        <f t="shared" si="34"/>
        <v/>
      </c>
      <c r="CC18" s="95"/>
      <c r="CD18" s="99" t="str">
        <f t="shared" si="35"/>
        <v/>
      </c>
      <c r="CE18" s="33"/>
      <c r="CF18" s="36" t="str">
        <f t="shared" si="36"/>
        <v/>
      </c>
      <c r="CG18" s="95"/>
      <c r="CH18" s="99" t="str">
        <f t="shared" si="37"/>
        <v/>
      </c>
      <c r="CI18" s="33"/>
      <c r="CJ18" s="36" t="str">
        <f t="shared" si="38"/>
        <v/>
      </c>
      <c r="CK18" s="95"/>
      <c r="CL18" s="99" t="str">
        <f t="shared" si="39"/>
        <v/>
      </c>
      <c r="CM18" s="33"/>
      <c r="CN18" s="36" t="str">
        <f t="shared" si="40"/>
        <v/>
      </c>
      <c r="CO18" s="95"/>
      <c r="CP18" s="99" t="str">
        <f t="shared" si="41"/>
        <v/>
      </c>
    </row>
    <row r="19" spans="1:95" ht="20" customHeight="1" x14ac:dyDescent="0.2">
      <c r="A19" s="60"/>
      <c r="B19" s="82"/>
      <c r="C19" s="24" t="s">
        <v>85</v>
      </c>
      <c r="D19" s="23" t="s">
        <v>261</v>
      </c>
      <c r="E19" s="23" t="s">
        <v>262</v>
      </c>
      <c r="F19" s="24">
        <v>2013</v>
      </c>
      <c r="H19" s="89">
        <v>12</v>
      </c>
      <c r="I19" s="85" t="s">
        <v>214</v>
      </c>
      <c r="J19" s="86" t="s">
        <v>338</v>
      </c>
      <c r="K19" s="33"/>
      <c r="L19" s="36" t="str">
        <f t="shared" si="0"/>
        <v/>
      </c>
      <c r="M19" s="95"/>
      <c r="N19" s="95" t="str">
        <f t="shared" si="1"/>
        <v/>
      </c>
      <c r="O19" s="33"/>
      <c r="P19" s="36" t="str">
        <f t="shared" si="2"/>
        <v/>
      </c>
      <c r="Q19" s="95"/>
      <c r="R19" s="99" t="str">
        <f t="shared" si="3"/>
        <v/>
      </c>
      <c r="S19" s="40"/>
      <c r="T19" s="39" t="str">
        <f t="shared" si="4"/>
        <v/>
      </c>
      <c r="U19" s="118"/>
      <c r="V19" s="119" t="str">
        <f t="shared" si="5"/>
        <v/>
      </c>
      <c r="W19" s="33"/>
      <c r="X19" s="36" t="str">
        <f t="shared" si="6"/>
        <v/>
      </c>
      <c r="Y19" s="95"/>
      <c r="Z19" s="99" t="str">
        <f t="shared" si="7"/>
        <v/>
      </c>
      <c r="AA19" s="38"/>
      <c r="AB19" s="39" t="str">
        <f t="shared" si="8"/>
        <v/>
      </c>
      <c r="AC19" s="118"/>
      <c r="AD19" s="119" t="str">
        <f t="shared" si="9"/>
        <v/>
      </c>
      <c r="AE19" s="33"/>
      <c r="AF19" s="36" t="str">
        <f t="shared" si="10"/>
        <v/>
      </c>
      <c r="AG19" s="95"/>
      <c r="AH19" s="99" t="str">
        <f t="shared" si="11"/>
        <v/>
      </c>
      <c r="AI19" s="33"/>
      <c r="AJ19" s="36" t="str">
        <f t="shared" si="12"/>
        <v/>
      </c>
      <c r="AK19" s="95"/>
      <c r="AL19" s="99" t="str">
        <f t="shared" si="13"/>
        <v/>
      </c>
      <c r="AM19" s="33"/>
      <c r="AN19" s="36" t="str">
        <f t="shared" si="14"/>
        <v/>
      </c>
      <c r="AO19" s="95"/>
      <c r="AP19" s="99" t="str">
        <f t="shared" si="15"/>
        <v/>
      </c>
      <c r="AQ19" s="33"/>
      <c r="AR19" s="36" t="str">
        <f t="shared" si="16"/>
        <v/>
      </c>
      <c r="AS19" s="95"/>
      <c r="AT19" s="99" t="str">
        <f t="shared" si="42"/>
        <v/>
      </c>
      <c r="AU19" s="33"/>
      <c r="AV19" s="36" t="str">
        <f t="shared" si="18"/>
        <v/>
      </c>
      <c r="AW19" s="95"/>
      <c r="AX19" s="99" t="str">
        <f t="shared" si="19"/>
        <v/>
      </c>
      <c r="AY19" s="76"/>
      <c r="AZ19" s="36" t="str">
        <f t="shared" si="20"/>
        <v/>
      </c>
      <c r="BA19" s="95"/>
      <c r="BB19" s="99" t="str">
        <f t="shared" si="21"/>
        <v/>
      </c>
      <c r="BC19" s="33"/>
      <c r="BD19" s="36" t="str">
        <f t="shared" si="22"/>
        <v/>
      </c>
      <c r="BE19" s="95"/>
      <c r="BF19" s="99" t="str">
        <f t="shared" si="23"/>
        <v/>
      </c>
      <c r="BG19" s="33"/>
      <c r="BH19" s="36" t="str">
        <f t="shared" si="24"/>
        <v/>
      </c>
      <c r="BI19" s="95"/>
      <c r="BJ19" s="99" t="str">
        <f t="shared" si="25"/>
        <v/>
      </c>
      <c r="BK19" s="33"/>
      <c r="BL19" s="36" t="str">
        <f t="shared" si="26"/>
        <v/>
      </c>
      <c r="BM19" s="95"/>
      <c r="BN19" s="99" t="str">
        <f t="shared" si="27"/>
        <v/>
      </c>
      <c r="BO19" s="33"/>
      <c r="BP19" s="36" t="str">
        <f t="shared" si="28"/>
        <v/>
      </c>
      <c r="BQ19" s="95"/>
      <c r="BR19" s="99" t="str">
        <f t="shared" si="29"/>
        <v/>
      </c>
      <c r="BS19" s="33"/>
      <c r="BT19" s="36" t="str">
        <f t="shared" si="30"/>
        <v/>
      </c>
      <c r="BU19" s="95"/>
      <c r="BV19" s="99" t="str">
        <f t="shared" si="31"/>
        <v/>
      </c>
      <c r="BW19" s="33"/>
      <c r="BX19" s="36" t="str">
        <f t="shared" si="32"/>
        <v/>
      </c>
      <c r="BY19" s="95"/>
      <c r="BZ19" s="99" t="str">
        <f t="shared" si="33"/>
        <v/>
      </c>
      <c r="CA19" s="33"/>
      <c r="CB19" s="36" t="str">
        <f t="shared" si="34"/>
        <v/>
      </c>
      <c r="CC19" s="95"/>
      <c r="CD19" s="99" t="str">
        <f t="shared" si="35"/>
        <v/>
      </c>
      <c r="CE19" s="33"/>
      <c r="CF19" s="36" t="str">
        <f t="shared" si="36"/>
        <v/>
      </c>
      <c r="CG19" s="95"/>
      <c r="CH19" s="99" t="str">
        <f t="shared" si="37"/>
        <v/>
      </c>
      <c r="CI19" s="33"/>
      <c r="CJ19" s="36" t="str">
        <f t="shared" si="38"/>
        <v/>
      </c>
      <c r="CK19" s="95"/>
      <c r="CL19" s="99" t="str">
        <f t="shared" si="39"/>
        <v/>
      </c>
      <c r="CM19" s="33"/>
      <c r="CN19" s="36" t="str">
        <f t="shared" si="40"/>
        <v/>
      </c>
      <c r="CO19" s="95"/>
      <c r="CP19" s="99" t="str">
        <f t="shared" si="41"/>
        <v/>
      </c>
      <c r="CQ19" s="23" t="s">
        <v>401</v>
      </c>
    </row>
    <row r="20" spans="1:95" ht="20" customHeight="1" x14ac:dyDescent="0.2">
      <c r="A20" s="60"/>
      <c r="B20" s="82"/>
      <c r="C20" s="24" t="s">
        <v>85</v>
      </c>
      <c r="D20" s="23" t="s">
        <v>402</v>
      </c>
      <c r="E20" s="23" t="s">
        <v>403</v>
      </c>
      <c r="F20" s="24">
        <v>2013</v>
      </c>
      <c r="H20" s="89">
        <v>38</v>
      </c>
      <c r="I20" s="85" t="s">
        <v>404</v>
      </c>
      <c r="J20" s="86" t="s">
        <v>169</v>
      </c>
      <c r="K20" s="33"/>
      <c r="L20" s="36" t="str">
        <f t="shared" si="0"/>
        <v/>
      </c>
      <c r="M20" s="95"/>
      <c r="N20" s="95"/>
      <c r="O20" s="33"/>
      <c r="P20" s="36" t="str">
        <f t="shared" si="2"/>
        <v/>
      </c>
      <c r="Q20" s="95"/>
      <c r="R20" s="99"/>
      <c r="S20" s="33"/>
      <c r="T20" s="36" t="str">
        <f t="shared" si="4"/>
        <v/>
      </c>
      <c r="U20" s="95"/>
      <c r="V20" s="99"/>
      <c r="W20" s="33"/>
      <c r="X20" s="36" t="str">
        <f t="shared" si="6"/>
        <v/>
      </c>
      <c r="Y20" s="95"/>
      <c r="Z20" s="99"/>
      <c r="AA20" s="33"/>
      <c r="AB20" s="36" t="str">
        <f t="shared" si="8"/>
        <v/>
      </c>
      <c r="AC20" s="95"/>
      <c r="AD20" s="99"/>
      <c r="AE20" s="33"/>
      <c r="AF20" s="36" t="str">
        <f t="shared" si="10"/>
        <v/>
      </c>
      <c r="AG20" s="95"/>
      <c r="AH20" s="99"/>
      <c r="AI20" s="33"/>
      <c r="AJ20" s="36" t="str">
        <f t="shared" si="12"/>
        <v/>
      </c>
      <c r="AK20" s="95"/>
      <c r="AL20" s="99"/>
      <c r="AM20" s="33"/>
      <c r="AN20" s="36" t="str">
        <f t="shared" si="14"/>
        <v/>
      </c>
      <c r="AO20" s="95"/>
      <c r="AP20" s="99"/>
      <c r="AQ20" s="33"/>
      <c r="AR20" s="36" t="str">
        <f t="shared" si="16"/>
        <v/>
      </c>
      <c r="AS20" s="95"/>
      <c r="AT20" s="99"/>
      <c r="AU20" s="33"/>
      <c r="AV20" s="36" t="str">
        <f t="shared" si="18"/>
        <v/>
      </c>
      <c r="AW20" s="95"/>
      <c r="AX20" s="99"/>
      <c r="AY20" s="76">
        <v>37</v>
      </c>
      <c r="AZ20" s="36">
        <f t="shared" si="20"/>
        <v>97.368421052631575</v>
      </c>
      <c r="BA20" s="95">
        <v>34</v>
      </c>
      <c r="BB20" s="99">
        <f t="shared" si="21"/>
        <v>3</v>
      </c>
      <c r="BC20" s="33"/>
      <c r="BD20" s="36" t="str">
        <f t="shared" si="22"/>
        <v/>
      </c>
      <c r="BE20" s="95"/>
      <c r="BF20" s="99"/>
      <c r="BG20" s="33"/>
      <c r="BH20" s="36" t="str">
        <f t="shared" si="24"/>
        <v/>
      </c>
      <c r="BI20" s="95"/>
      <c r="BJ20" s="99"/>
      <c r="BK20" s="33"/>
      <c r="BL20" s="36" t="str">
        <f t="shared" si="26"/>
        <v/>
      </c>
      <c r="BM20" s="95"/>
      <c r="BN20" s="99"/>
      <c r="BO20" s="33"/>
      <c r="BP20" s="36" t="str">
        <f t="shared" si="28"/>
        <v/>
      </c>
      <c r="BQ20" s="95"/>
      <c r="BR20" s="99"/>
      <c r="BS20" s="33"/>
      <c r="BT20" s="36" t="str">
        <f t="shared" si="30"/>
        <v/>
      </c>
      <c r="BU20" s="95"/>
      <c r="BV20" s="99"/>
      <c r="BW20" s="33"/>
      <c r="BX20" s="36" t="str">
        <f t="shared" si="32"/>
        <v/>
      </c>
      <c r="BY20" s="95"/>
      <c r="BZ20" s="99"/>
      <c r="CA20" s="33"/>
      <c r="CB20" s="36" t="str">
        <f t="shared" si="34"/>
        <v/>
      </c>
      <c r="CC20" s="95"/>
      <c r="CD20" s="99"/>
      <c r="CE20" s="33"/>
      <c r="CF20" s="36" t="str">
        <f t="shared" si="36"/>
        <v/>
      </c>
      <c r="CG20" s="95"/>
      <c r="CH20" s="99"/>
      <c r="CI20" s="33"/>
      <c r="CJ20" s="36" t="str">
        <f t="shared" si="38"/>
        <v/>
      </c>
      <c r="CK20" s="95"/>
      <c r="CL20" s="99"/>
      <c r="CM20" s="33"/>
      <c r="CN20" s="36" t="str">
        <f t="shared" si="40"/>
        <v/>
      </c>
      <c r="CO20" s="95"/>
      <c r="CP20" s="99"/>
      <c r="CQ20" s="23" t="s">
        <v>412</v>
      </c>
    </row>
    <row r="21" spans="1:95" ht="20" customHeight="1" x14ac:dyDescent="0.2">
      <c r="A21" s="61"/>
      <c r="B21" s="83"/>
      <c r="C21" s="24" t="s">
        <v>85</v>
      </c>
      <c r="D21" s="23" t="s">
        <v>52</v>
      </c>
      <c r="E21" s="23" t="s">
        <v>53</v>
      </c>
      <c r="F21" s="24">
        <v>2001</v>
      </c>
      <c r="G21" s="24">
        <v>118</v>
      </c>
      <c r="H21" s="89">
        <v>20</v>
      </c>
      <c r="I21" s="85"/>
      <c r="J21" s="86" t="s">
        <v>188</v>
      </c>
      <c r="K21" s="33"/>
      <c r="L21" s="36" t="str">
        <f t="shared" si="0"/>
        <v/>
      </c>
      <c r="M21" s="95"/>
      <c r="N21" s="95" t="str">
        <f t="shared" si="1"/>
        <v/>
      </c>
      <c r="O21" s="33"/>
      <c r="P21" s="36" t="str">
        <f t="shared" si="2"/>
        <v/>
      </c>
      <c r="Q21" s="95"/>
      <c r="R21" s="99" t="str">
        <f t="shared" si="3"/>
        <v/>
      </c>
      <c r="S21" s="76"/>
      <c r="T21" s="36" t="str">
        <f t="shared" si="4"/>
        <v/>
      </c>
      <c r="U21" s="95"/>
      <c r="V21" s="99" t="str">
        <f t="shared" si="5"/>
        <v/>
      </c>
      <c r="W21" s="33"/>
      <c r="X21" s="36" t="str">
        <f t="shared" si="6"/>
        <v/>
      </c>
      <c r="Y21" s="95"/>
      <c r="Z21" s="99" t="str">
        <f t="shared" si="7"/>
        <v/>
      </c>
      <c r="AA21" s="33"/>
      <c r="AB21" s="36" t="str">
        <f t="shared" si="8"/>
        <v/>
      </c>
      <c r="AC21" s="95"/>
      <c r="AD21" s="99" t="str">
        <f t="shared" si="9"/>
        <v/>
      </c>
      <c r="AE21" s="33"/>
      <c r="AF21" s="36" t="str">
        <f t="shared" si="10"/>
        <v/>
      </c>
      <c r="AG21" s="95"/>
      <c r="AH21" s="99" t="str">
        <f t="shared" si="11"/>
        <v/>
      </c>
      <c r="AI21" s="33"/>
      <c r="AJ21" s="36" t="str">
        <f t="shared" si="12"/>
        <v/>
      </c>
      <c r="AK21" s="95"/>
      <c r="AL21" s="99" t="str">
        <f t="shared" si="13"/>
        <v/>
      </c>
      <c r="AM21" s="33"/>
      <c r="AN21" s="36" t="str">
        <f t="shared" si="14"/>
        <v/>
      </c>
      <c r="AO21" s="95"/>
      <c r="AP21" s="99" t="str">
        <f t="shared" si="15"/>
        <v/>
      </c>
      <c r="AQ21" s="33"/>
      <c r="AR21" s="36" t="str">
        <f t="shared" si="16"/>
        <v/>
      </c>
      <c r="AS21" s="95"/>
      <c r="AT21" s="99" t="str">
        <f t="shared" si="42"/>
        <v/>
      </c>
      <c r="AU21" s="33"/>
      <c r="AV21" s="36" t="str">
        <f t="shared" si="18"/>
        <v/>
      </c>
      <c r="AW21" s="95"/>
      <c r="AX21" s="99" t="str">
        <f t="shared" si="19"/>
        <v/>
      </c>
      <c r="AY21" s="76"/>
      <c r="AZ21" s="36" t="str">
        <f t="shared" si="20"/>
        <v/>
      </c>
      <c r="BA21" s="95"/>
      <c r="BB21" s="99" t="str">
        <f t="shared" si="21"/>
        <v/>
      </c>
      <c r="BC21" s="33"/>
      <c r="BD21" s="36" t="str">
        <f t="shared" si="22"/>
        <v/>
      </c>
      <c r="BE21" s="95"/>
      <c r="BF21" s="99" t="str">
        <f t="shared" si="23"/>
        <v/>
      </c>
      <c r="BG21" s="33"/>
      <c r="BH21" s="36" t="str">
        <f t="shared" si="24"/>
        <v/>
      </c>
      <c r="BI21" s="95"/>
      <c r="BJ21" s="99" t="str">
        <f t="shared" si="25"/>
        <v/>
      </c>
      <c r="BK21" s="33"/>
      <c r="BL21" s="36" t="str">
        <f t="shared" si="26"/>
        <v/>
      </c>
      <c r="BM21" s="95"/>
      <c r="BN21" s="99" t="str">
        <f t="shared" si="27"/>
        <v/>
      </c>
      <c r="BO21" s="33"/>
      <c r="BP21" s="36" t="str">
        <f t="shared" si="28"/>
        <v/>
      </c>
      <c r="BQ21" s="95"/>
      <c r="BR21" s="99" t="str">
        <f t="shared" si="29"/>
        <v/>
      </c>
      <c r="BS21" s="33"/>
      <c r="BT21" s="36" t="str">
        <f t="shared" si="30"/>
        <v/>
      </c>
      <c r="BU21" s="95"/>
      <c r="BV21" s="99" t="str">
        <f t="shared" si="31"/>
        <v/>
      </c>
      <c r="BW21" s="33"/>
      <c r="BX21" s="36" t="str">
        <f t="shared" si="32"/>
        <v/>
      </c>
      <c r="BY21" s="95"/>
      <c r="BZ21" s="99" t="str">
        <f t="shared" si="33"/>
        <v/>
      </c>
      <c r="CA21" s="33"/>
      <c r="CB21" s="36" t="str">
        <f t="shared" si="34"/>
        <v/>
      </c>
      <c r="CC21" s="95"/>
      <c r="CD21" s="99" t="str">
        <f t="shared" si="35"/>
        <v/>
      </c>
      <c r="CE21" s="33"/>
      <c r="CF21" s="36" t="str">
        <f t="shared" si="36"/>
        <v/>
      </c>
      <c r="CG21" s="95"/>
      <c r="CH21" s="99" t="str">
        <f t="shared" si="37"/>
        <v/>
      </c>
      <c r="CI21" s="33"/>
      <c r="CJ21" s="36" t="str">
        <f t="shared" si="38"/>
        <v/>
      </c>
      <c r="CK21" s="95"/>
      <c r="CL21" s="99" t="str">
        <f t="shared" si="39"/>
        <v/>
      </c>
      <c r="CM21" s="33"/>
      <c r="CN21" s="36" t="str">
        <f t="shared" si="40"/>
        <v/>
      </c>
      <c r="CO21" s="95"/>
      <c r="CP21" s="99" t="str">
        <f t="shared" si="41"/>
        <v/>
      </c>
      <c r="CQ21" s="23" t="s">
        <v>180</v>
      </c>
    </row>
    <row r="22" spans="1:95" ht="20" customHeight="1" x14ac:dyDescent="0.2">
      <c r="A22" s="60"/>
      <c r="B22" s="82"/>
      <c r="C22" s="24" t="s">
        <v>85</v>
      </c>
      <c r="D22" s="23" t="s">
        <v>267</v>
      </c>
      <c r="E22" s="23" t="s">
        <v>268</v>
      </c>
      <c r="F22" s="24">
        <v>1994</v>
      </c>
      <c r="H22" s="89">
        <v>20</v>
      </c>
      <c r="I22" s="85" t="s">
        <v>340</v>
      </c>
      <c r="J22" s="86"/>
      <c r="K22" s="33"/>
      <c r="L22" s="36" t="str">
        <f t="shared" si="0"/>
        <v/>
      </c>
      <c r="M22" s="95"/>
      <c r="N22" s="95" t="str">
        <f t="shared" si="1"/>
        <v/>
      </c>
      <c r="O22" s="33"/>
      <c r="P22" s="36" t="str">
        <f t="shared" si="2"/>
        <v/>
      </c>
      <c r="Q22" s="95"/>
      <c r="R22" s="99" t="str">
        <f t="shared" si="3"/>
        <v/>
      </c>
      <c r="S22" s="40"/>
      <c r="T22" s="39" t="str">
        <f t="shared" si="4"/>
        <v/>
      </c>
      <c r="U22" s="118"/>
      <c r="V22" s="119" t="str">
        <f t="shared" si="5"/>
        <v/>
      </c>
      <c r="W22" s="33"/>
      <c r="X22" s="36" t="str">
        <f t="shared" si="6"/>
        <v/>
      </c>
      <c r="Y22" s="95"/>
      <c r="Z22" s="99" t="str">
        <f t="shared" si="7"/>
        <v/>
      </c>
      <c r="AA22" s="38"/>
      <c r="AB22" s="39" t="str">
        <f t="shared" si="8"/>
        <v/>
      </c>
      <c r="AC22" s="118"/>
      <c r="AD22" s="119" t="str">
        <f t="shared" si="9"/>
        <v/>
      </c>
      <c r="AE22" s="38"/>
      <c r="AF22" s="39" t="str">
        <f t="shared" si="10"/>
        <v/>
      </c>
      <c r="AG22" s="118"/>
      <c r="AH22" s="119" t="str">
        <f t="shared" si="11"/>
        <v/>
      </c>
      <c r="AI22" s="33"/>
      <c r="AJ22" s="36" t="str">
        <f t="shared" si="12"/>
        <v/>
      </c>
      <c r="AK22" s="95"/>
      <c r="AL22" s="99" t="str">
        <f t="shared" si="13"/>
        <v/>
      </c>
      <c r="AM22" s="33"/>
      <c r="AN22" s="36" t="str">
        <f t="shared" si="14"/>
        <v/>
      </c>
      <c r="AO22" s="95"/>
      <c r="AP22" s="99" t="str">
        <f t="shared" si="15"/>
        <v/>
      </c>
      <c r="AQ22" s="33"/>
      <c r="AR22" s="36" t="str">
        <f t="shared" si="16"/>
        <v/>
      </c>
      <c r="AS22" s="95"/>
      <c r="AT22" s="99" t="str">
        <f t="shared" si="42"/>
        <v/>
      </c>
      <c r="AU22" s="33"/>
      <c r="AV22" s="36" t="str">
        <f t="shared" si="18"/>
        <v/>
      </c>
      <c r="AW22" s="95"/>
      <c r="AX22" s="99" t="str">
        <f t="shared" si="19"/>
        <v/>
      </c>
      <c r="AY22" s="76"/>
      <c r="AZ22" s="36" t="str">
        <f t="shared" si="20"/>
        <v/>
      </c>
      <c r="BA22" s="95"/>
      <c r="BB22" s="99" t="str">
        <f t="shared" si="21"/>
        <v/>
      </c>
      <c r="BC22" s="33"/>
      <c r="BD22" s="36" t="str">
        <f t="shared" si="22"/>
        <v/>
      </c>
      <c r="BE22" s="95"/>
      <c r="BF22" s="99" t="str">
        <f t="shared" si="23"/>
        <v/>
      </c>
      <c r="BG22" s="33"/>
      <c r="BH22" s="36" t="str">
        <f t="shared" si="24"/>
        <v/>
      </c>
      <c r="BI22" s="95"/>
      <c r="BJ22" s="99" t="str">
        <f t="shared" si="25"/>
        <v/>
      </c>
      <c r="BK22" s="33"/>
      <c r="BL22" s="36" t="str">
        <f t="shared" si="26"/>
        <v/>
      </c>
      <c r="BM22" s="95"/>
      <c r="BN22" s="99" t="str">
        <f t="shared" si="27"/>
        <v/>
      </c>
      <c r="BO22" s="33"/>
      <c r="BP22" s="36" t="str">
        <f t="shared" si="28"/>
        <v/>
      </c>
      <c r="BQ22" s="95"/>
      <c r="BR22" s="99" t="str">
        <f t="shared" si="29"/>
        <v/>
      </c>
      <c r="BS22" s="33"/>
      <c r="BT22" s="36" t="str">
        <f t="shared" si="30"/>
        <v/>
      </c>
      <c r="BU22" s="95"/>
      <c r="BV22" s="99" t="str">
        <f t="shared" si="31"/>
        <v/>
      </c>
      <c r="BW22" s="33"/>
      <c r="BX22" s="36" t="str">
        <f t="shared" si="32"/>
        <v/>
      </c>
      <c r="BY22" s="95"/>
      <c r="BZ22" s="99" t="str">
        <f t="shared" si="33"/>
        <v/>
      </c>
      <c r="CA22" s="33"/>
      <c r="CB22" s="36" t="str">
        <f t="shared" si="34"/>
        <v/>
      </c>
      <c r="CC22" s="95"/>
      <c r="CD22" s="99" t="str">
        <f t="shared" si="35"/>
        <v/>
      </c>
      <c r="CE22" s="33"/>
      <c r="CF22" s="36" t="str">
        <f t="shared" si="36"/>
        <v/>
      </c>
      <c r="CG22" s="95"/>
      <c r="CH22" s="99" t="str">
        <f t="shared" si="37"/>
        <v/>
      </c>
      <c r="CI22" s="33"/>
      <c r="CJ22" s="36" t="str">
        <f t="shared" si="38"/>
        <v/>
      </c>
      <c r="CK22" s="95"/>
      <c r="CL22" s="99" t="str">
        <f t="shared" si="39"/>
        <v/>
      </c>
      <c r="CM22" s="33"/>
      <c r="CN22" s="36" t="str">
        <f t="shared" si="40"/>
        <v/>
      </c>
      <c r="CO22" s="95"/>
      <c r="CP22" s="99" t="str">
        <f t="shared" si="41"/>
        <v/>
      </c>
      <c r="CQ22" s="23" t="s">
        <v>405</v>
      </c>
    </row>
    <row r="23" spans="1:95" ht="20" customHeight="1" x14ac:dyDescent="0.2">
      <c r="A23" s="60"/>
      <c r="B23" s="83"/>
      <c r="C23" s="24" t="s">
        <v>85</v>
      </c>
      <c r="D23" s="23" t="s">
        <v>341</v>
      </c>
      <c r="E23" s="23" t="s">
        <v>342</v>
      </c>
      <c r="F23" s="24">
        <v>2008</v>
      </c>
      <c r="H23" s="89">
        <v>16</v>
      </c>
      <c r="I23" s="85" t="s">
        <v>176</v>
      </c>
      <c r="J23" s="86" t="s">
        <v>343</v>
      </c>
      <c r="K23" s="33"/>
      <c r="L23" s="36" t="str">
        <f t="shared" si="0"/>
        <v/>
      </c>
      <c r="M23" s="95"/>
      <c r="N23" s="95" t="str">
        <f t="shared" si="1"/>
        <v/>
      </c>
      <c r="O23" s="33"/>
      <c r="P23" s="36" t="str">
        <f t="shared" si="2"/>
        <v/>
      </c>
      <c r="Q23" s="95"/>
      <c r="R23" s="99" t="str">
        <f t="shared" si="3"/>
        <v/>
      </c>
      <c r="S23" s="76"/>
      <c r="T23" s="36" t="str">
        <f t="shared" si="4"/>
        <v/>
      </c>
      <c r="U23" s="95"/>
      <c r="V23" s="99" t="str">
        <f t="shared" si="5"/>
        <v/>
      </c>
      <c r="W23" s="33"/>
      <c r="X23" s="36" t="str">
        <f t="shared" si="6"/>
        <v/>
      </c>
      <c r="Y23" s="95"/>
      <c r="Z23" s="99" t="str">
        <f t="shared" si="7"/>
        <v/>
      </c>
      <c r="AA23" s="33"/>
      <c r="AB23" s="36" t="str">
        <f t="shared" si="8"/>
        <v/>
      </c>
      <c r="AC23" s="95"/>
      <c r="AD23" s="99" t="str">
        <f t="shared" si="9"/>
        <v/>
      </c>
      <c r="AE23" s="33"/>
      <c r="AF23" s="36" t="str">
        <f t="shared" si="10"/>
        <v/>
      </c>
      <c r="AG23" s="95"/>
      <c r="AH23" s="99" t="str">
        <f t="shared" si="11"/>
        <v/>
      </c>
      <c r="AI23" s="33"/>
      <c r="AJ23" s="36" t="str">
        <f t="shared" si="12"/>
        <v/>
      </c>
      <c r="AK23" s="95"/>
      <c r="AL23" s="99" t="str">
        <f t="shared" si="13"/>
        <v/>
      </c>
      <c r="AM23" s="33"/>
      <c r="AN23" s="36" t="str">
        <f t="shared" si="14"/>
        <v/>
      </c>
      <c r="AO23" s="95"/>
      <c r="AP23" s="99" t="str">
        <f t="shared" si="15"/>
        <v/>
      </c>
      <c r="AQ23" s="33"/>
      <c r="AR23" s="36" t="str">
        <f t="shared" si="16"/>
        <v/>
      </c>
      <c r="AS23" s="95"/>
      <c r="AT23" s="99" t="str">
        <f t="shared" si="42"/>
        <v/>
      </c>
      <c r="AU23" s="33"/>
      <c r="AV23" s="36" t="str">
        <f t="shared" si="18"/>
        <v/>
      </c>
      <c r="AW23" s="95"/>
      <c r="AX23" s="99" t="str">
        <f t="shared" si="19"/>
        <v/>
      </c>
      <c r="AY23" s="76"/>
      <c r="AZ23" s="36" t="str">
        <f t="shared" si="20"/>
        <v/>
      </c>
      <c r="BA23" s="95"/>
      <c r="BB23" s="99" t="str">
        <f t="shared" si="21"/>
        <v/>
      </c>
      <c r="BC23" s="33"/>
      <c r="BD23" s="36" t="str">
        <f t="shared" si="22"/>
        <v/>
      </c>
      <c r="BE23" s="95"/>
      <c r="BF23" s="99" t="str">
        <f t="shared" si="23"/>
        <v/>
      </c>
      <c r="BG23" s="33"/>
      <c r="BH23" s="36" t="str">
        <f t="shared" si="24"/>
        <v/>
      </c>
      <c r="BI23" s="95"/>
      <c r="BJ23" s="99" t="str">
        <f t="shared" si="25"/>
        <v/>
      </c>
      <c r="BK23" s="33"/>
      <c r="BL23" s="36" t="str">
        <f t="shared" si="26"/>
        <v/>
      </c>
      <c r="BM23" s="95"/>
      <c r="BN23" s="99" t="str">
        <f t="shared" si="27"/>
        <v/>
      </c>
      <c r="BO23" s="33"/>
      <c r="BP23" s="36" t="str">
        <f t="shared" si="28"/>
        <v/>
      </c>
      <c r="BQ23" s="95"/>
      <c r="BR23" s="99" t="str">
        <f t="shared" si="29"/>
        <v/>
      </c>
      <c r="BS23" s="33"/>
      <c r="BT23" s="36" t="str">
        <f t="shared" si="30"/>
        <v/>
      </c>
      <c r="BU23" s="95"/>
      <c r="BV23" s="99" t="str">
        <f t="shared" si="31"/>
        <v/>
      </c>
      <c r="BW23" s="33"/>
      <c r="BX23" s="36" t="str">
        <f t="shared" si="32"/>
        <v/>
      </c>
      <c r="BY23" s="95"/>
      <c r="BZ23" s="99" t="str">
        <f t="shared" si="33"/>
        <v/>
      </c>
      <c r="CA23" s="33"/>
      <c r="CB23" s="36" t="str">
        <f t="shared" si="34"/>
        <v/>
      </c>
      <c r="CC23" s="95"/>
      <c r="CD23" s="99" t="str">
        <f t="shared" si="35"/>
        <v/>
      </c>
      <c r="CE23" s="33"/>
      <c r="CF23" s="36" t="str">
        <f t="shared" si="36"/>
        <v/>
      </c>
      <c r="CG23" s="95"/>
      <c r="CH23" s="99" t="str">
        <f t="shared" si="37"/>
        <v/>
      </c>
      <c r="CI23" s="33"/>
      <c r="CJ23" s="36" t="str">
        <f t="shared" si="38"/>
        <v/>
      </c>
      <c r="CK23" s="95"/>
      <c r="CL23" s="99" t="str">
        <f t="shared" si="39"/>
        <v/>
      </c>
      <c r="CM23" s="33"/>
      <c r="CN23" s="36" t="str">
        <f t="shared" si="40"/>
        <v/>
      </c>
      <c r="CO23" s="95"/>
      <c r="CP23" s="99" t="str">
        <f t="shared" si="41"/>
        <v/>
      </c>
      <c r="CQ23" s="23" t="s">
        <v>413</v>
      </c>
    </row>
    <row r="24" spans="1:95" ht="20" customHeight="1" x14ac:dyDescent="0.2">
      <c r="A24" s="60"/>
      <c r="B24" s="82"/>
      <c r="C24" s="24" t="s">
        <v>85</v>
      </c>
      <c r="D24" s="23" t="s">
        <v>54</v>
      </c>
      <c r="E24" s="23" t="s">
        <v>55</v>
      </c>
      <c r="F24" s="24">
        <v>1996</v>
      </c>
      <c r="G24" s="24">
        <v>82</v>
      </c>
      <c r="H24" s="89">
        <v>15</v>
      </c>
      <c r="I24" s="85" t="s">
        <v>176</v>
      </c>
      <c r="J24" s="86" t="s">
        <v>178</v>
      </c>
      <c r="K24" s="33"/>
      <c r="L24" s="36" t="str">
        <f t="shared" si="0"/>
        <v/>
      </c>
      <c r="M24" s="95"/>
      <c r="N24" s="95" t="str">
        <f t="shared" si="1"/>
        <v/>
      </c>
      <c r="O24" s="33">
        <v>1</v>
      </c>
      <c r="P24" s="36">
        <f t="shared" si="2"/>
        <v>6.666666666666667</v>
      </c>
      <c r="Q24" s="118">
        <v>0</v>
      </c>
      <c r="R24" s="119">
        <f t="shared" si="3"/>
        <v>1</v>
      </c>
      <c r="S24" s="76">
        <v>1</v>
      </c>
      <c r="T24" s="36">
        <f t="shared" si="4"/>
        <v>6.666666666666667</v>
      </c>
      <c r="U24" s="118">
        <v>0</v>
      </c>
      <c r="V24" s="119">
        <f t="shared" si="5"/>
        <v>1</v>
      </c>
      <c r="W24" s="33"/>
      <c r="X24" s="36" t="str">
        <f t="shared" si="6"/>
        <v/>
      </c>
      <c r="Y24" s="95"/>
      <c r="Z24" s="99" t="str">
        <f t="shared" si="7"/>
        <v/>
      </c>
      <c r="AA24" s="33"/>
      <c r="AB24" s="36" t="str">
        <f t="shared" si="8"/>
        <v/>
      </c>
      <c r="AC24" s="95"/>
      <c r="AD24" s="99" t="str">
        <f t="shared" si="9"/>
        <v/>
      </c>
      <c r="AE24" s="33"/>
      <c r="AF24" s="36" t="str">
        <f t="shared" si="10"/>
        <v/>
      </c>
      <c r="AG24" s="95"/>
      <c r="AH24" s="99" t="str">
        <f t="shared" si="11"/>
        <v/>
      </c>
      <c r="AI24" s="33"/>
      <c r="AJ24" s="36" t="str">
        <f t="shared" si="12"/>
        <v/>
      </c>
      <c r="AK24" s="95"/>
      <c r="AL24" s="99" t="str">
        <f t="shared" si="13"/>
        <v/>
      </c>
      <c r="AM24" s="33"/>
      <c r="AN24" s="36" t="str">
        <f t="shared" si="14"/>
        <v/>
      </c>
      <c r="AO24" s="95"/>
      <c r="AP24" s="99" t="str">
        <f t="shared" si="15"/>
        <v/>
      </c>
      <c r="AQ24" s="33">
        <v>3</v>
      </c>
      <c r="AR24" s="36">
        <f t="shared" si="16"/>
        <v>20</v>
      </c>
      <c r="AS24" s="95">
        <v>0</v>
      </c>
      <c r="AT24" s="99">
        <f t="shared" si="42"/>
        <v>3</v>
      </c>
      <c r="AU24" s="33"/>
      <c r="AV24" s="36" t="str">
        <f t="shared" si="18"/>
        <v/>
      </c>
      <c r="AW24" s="95"/>
      <c r="AX24" s="99" t="str">
        <f t="shared" si="19"/>
        <v/>
      </c>
      <c r="AY24" s="76"/>
      <c r="AZ24" s="36" t="str">
        <f t="shared" si="20"/>
        <v/>
      </c>
      <c r="BA24" s="95"/>
      <c r="BB24" s="99" t="str">
        <f t="shared" si="21"/>
        <v/>
      </c>
      <c r="BC24" s="33">
        <v>1</v>
      </c>
      <c r="BD24" s="36">
        <f t="shared" si="22"/>
        <v>6.666666666666667</v>
      </c>
      <c r="BE24" s="95">
        <v>0</v>
      </c>
      <c r="BF24" s="99">
        <f t="shared" si="23"/>
        <v>1</v>
      </c>
      <c r="BG24" s="33"/>
      <c r="BH24" s="36" t="str">
        <f t="shared" si="24"/>
        <v/>
      </c>
      <c r="BI24" s="95"/>
      <c r="BJ24" s="99" t="str">
        <f t="shared" si="25"/>
        <v/>
      </c>
      <c r="BK24" s="33"/>
      <c r="BL24" s="36" t="str">
        <f t="shared" si="26"/>
        <v/>
      </c>
      <c r="BM24" s="95"/>
      <c r="BN24" s="99" t="str">
        <f t="shared" si="27"/>
        <v/>
      </c>
      <c r="BO24" s="33"/>
      <c r="BP24" s="36" t="str">
        <f t="shared" si="28"/>
        <v/>
      </c>
      <c r="BQ24" s="95"/>
      <c r="BR24" s="99" t="str">
        <f t="shared" si="29"/>
        <v/>
      </c>
      <c r="BS24" s="33"/>
      <c r="BT24" s="36" t="str">
        <f t="shared" si="30"/>
        <v/>
      </c>
      <c r="BU24" s="95"/>
      <c r="BV24" s="99" t="str">
        <f t="shared" si="31"/>
        <v/>
      </c>
      <c r="BW24" s="33"/>
      <c r="BX24" s="36" t="str">
        <f t="shared" si="32"/>
        <v/>
      </c>
      <c r="BY24" s="95"/>
      <c r="BZ24" s="99" t="str">
        <f t="shared" si="33"/>
        <v/>
      </c>
      <c r="CA24" s="33"/>
      <c r="CB24" s="36" t="str">
        <f t="shared" si="34"/>
        <v/>
      </c>
      <c r="CC24" s="95"/>
      <c r="CD24" s="99" t="str">
        <f t="shared" si="35"/>
        <v/>
      </c>
      <c r="CE24" s="33"/>
      <c r="CF24" s="36" t="str">
        <f t="shared" si="36"/>
        <v/>
      </c>
      <c r="CG24" s="95"/>
      <c r="CH24" s="99" t="str">
        <f t="shared" si="37"/>
        <v/>
      </c>
      <c r="CI24" s="33"/>
      <c r="CJ24" s="36" t="str">
        <f t="shared" si="38"/>
        <v/>
      </c>
      <c r="CK24" s="95"/>
      <c r="CL24" s="99" t="str">
        <f t="shared" si="39"/>
        <v/>
      </c>
      <c r="CM24" s="33"/>
      <c r="CN24" s="36" t="str">
        <f t="shared" si="40"/>
        <v/>
      </c>
      <c r="CO24" s="95"/>
      <c r="CP24" s="99" t="str">
        <f t="shared" si="41"/>
        <v/>
      </c>
      <c r="CQ24" s="23" t="s">
        <v>344</v>
      </c>
    </row>
    <row r="25" spans="1:95" ht="20" customHeight="1" x14ac:dyDescent="0.2">
      <c r="A25" s="61"/>
      <c r="B25" s="84"/>
      <c r="C25" s="24" t="s">
        <v>85</v>
      </c>
      <c r="D25" s="23" t="s">
        <v>57</v>
      </c>
      <c r="E25" s="23" t="s">
        <v>58</v>
      </c>
      <c r="F25" s="24">
        <v>2006</v>
      </c>
      <c r="G25" s="24">
        <v>132</v>
      </c>
      <c r="H25" s="89">
        <v>7</v>
      </c>
      <c r="I25" s="85" t="s">
        <v>176</v>
      </c>
      <c r="J25" s="86" t="s">
        <v>169</v>
      </c>
      <c r="K25" s="33"/>
      <c r="L25" s="36" t="str">
        <f t="shared" si="0"/>
        <v/>
      </c>
      <c r="M25" s="95"/>
      <c r="N25" s="95" t="str">
        <f t="shared" si="1"/>
        <v/>
      </c>
      <c r="O25" s="33"/>
      <c r="P25" s="36" t="str">
        <f t="shared" si="2"/>
        <v/>
      </c>
      <c r="Q25" s="95"/>
      <c r="R25" s="99" t="str">
        <f t="shared" si="3"/>
        <v/>
      </c>
      <c r="S25" s="76"/>
      <c r="T25" s="36" t="str">
        <f t="shared" si="4"/>
        <v/>
      </c>
      <c r="U25" s="95"/>
      <c r="V25" s="99" t="str">
        <f t="shared" si="5"/>
        <v/>
      </c>
      <c r="W25" s="33"/>
      <c r="X25" s="36" t="str">
        <f t="shared" si="6"/>
        <v/>
      </c>
      <c r="Y25" s="95"/>
      <c r="Z25" s="99" t="str">
        <f t="shared" si="7"/>
        <v/>
      </c>
      <c r="AA25" s="33"/>
      <c r="AB25" s="36" t="str">
        <f t="shared" si="8"/>
        <v/>
      </c>
      <c r="AC25" s="95"/>
      <c r="AD25" s="99" t="str">
        <f t="shared" si="9"/>
        <v/>
      </c>
      <c r="AE25" s="33"/>
      <c r="AF25" s="36" t="str">
        <f t="shared" si="10"/>
        <v/>
      </c>
      <c r="AG25" s="95"/>
      <c r="AH25" s="99" t="str">
        <f t="shared" si="11"/>
        <v/>
      </c>
      <c r="AI25" s="33"/>
      <c r="AJ25" s="36" t="str">
        <f t="shared" si="12"/>
        <v/>
      </c>
      <c r="AK25" s="95"/>
      <c r="AL25" s="99" t="str">
        <f t="shared" si="13"/>
        <v/>
      </c>
      <c r="AM25" s="33"/>
      <c r="AN25" s="36" t="str">
        <f t="shared" si="14"/>
        <v/>
      </c>
      <c r="AO25" s="95"/>
      <c r="AP25" s="99" t="str">
        <f t="shared" si="15"/>
        <v/>
      </c>
      <c r="AQ25" s="33"/>
      <c r="AR25" s="36" t="str">
        <f t="shared" si="16"/>
        <v/>
      </c>
      <c r="AS25" s="95"/>
      <c r="AT25" s="99" t="str">
        <f t="shared" si="42"/>
        <v/>
      </c>
      <c r="AU25" s="33"/>
      <c r="AV25" s="36" t="str">
        <f t="shared" si="18"/>
        <v/>
      </c>
      <c r="AW25" s="95"/>
      <c r="AX25" s="99" t="str">
        <f t="shared" si="19"/>
        <v/>
      </c>
      <c r="AY25" s="76"/>
      <c r="AZ25" s="36" t="str">
        <f t="shared" si="20"/>
        <v/>
      </c>
      <c r="BA25" s="95"/>
      <c r="BB25" s="99" t="str">
        <f t="shared" si="21"/>
        <v/>
      </c>
      <c r="BC25" s="33"/>
      <c r="BD25" s="36" t="str">
        <f t="shared" si="22"/>
        <v/>
      </c>
      <c r="BE25" s="95"/>
      <c r="BF25" s="99" t="str">
        <f t="shared" si="23"/>
        <v/>
      </c>
      <c r="BG25" s="33"/>
      <c r="BH25" s="36" t="str">
        <f t="shared" si="24"/>
        <v/>
      </c>
      <c r="BI25" s="95"/>
      <c r="BJ25" s="99" t="str">
        <f t="shared" si="25"/>
        <v/>
      </c>
      <c r="BK25" s="33"/>
      <c r="BL25" s="36" t="str">
        <f t="shared" si="26"/>
        <v/>
      </c>
      <c r="BM25" s="95"/>
      <c r="BN25" s="99" t="str">
        <f t="shared" si="27"/>
        <v/>
      </c>
      <c r="BO25" s="33"/>
      <c r="BP25" s="36" t="str">
        <f t="shared" si="28"/>
        <v/>
      </c>
      <c r="BQ25" s="95"/>
      <c r="BR25" s="99" t="str">
        <f t="shared" si="29"/>
        <v/>
      </c>
      <c r="BS25" s="33"/>
      <c r="BT25" s="36" t="str">
        <f t="shared" si="30"/>
        <v/>
      </c>
      <c r="BU25" s="95"/>
      <c r="BV25" s="99" t="str">
        <f t="shared" si="31"/>
        <v/>
      </c>
      <c r="BW25" s="33"/>
      <c r="BX25" s="36" t="str">
        <f t="shared" si="32"/>
        <v/>
      </c>
      <c r="BY25" s="95"/>
      <c r="BZ25" s="99" t="str">
        <f t="shared" si="33"/>
        <v/>
      </c>
      <c r="CA25" s="33"/>
      <c r="CB25" s="36" t="str">
        <f t="shared" si="34"/>
        <v/>
      </c>
      <c r="CC25" s="95"/>
      <c r="CD25" s="99" t="str">
        <f t="shared" si="35"/>
        <v/>
      </c>
      <c r="CE25" s="33"/>
      <c r="CF25" s="36" t="str">
        <f t="shared" si="36"/>
        <v/>
      </c>
      <c r="CG25" s="95"/>
      <c r="CH25" s="99" t="str">
        <f t="shared" si="37"/>
        <v/>
      </c>
      <c r="CI25" s="33"/>
      <c r="CJ25" s="36" t="str">
        <f t="shared" si="38"/>
        <v/>
      </c>
      <c r="CK25" s="95"/>
      <c r="CL25" s="99" t="str">
        <f t="shared" si="39"/>
        <v/>
      </c>
      <c r="CM25" s="33"/>
      <c r="CN25" s="36" t="str">
        <f t="shared" si="40"/>
        <v/>
      </c>
      <c r="CO25" s="95"/>
      <c r="CP25" s="99" t="str">
        <f t="shared" si="41"/>
        <v/>
      </c>
      <c r="CQ25" s="23" t="s">
        <v>481</v>
      </c>
    </row>
    <row r="26" spans="1:95" ht="20" customHeight="1" x14ac:dyDescent="0.2">
      <c r="A26" s="60"/>
      <c r="B26" s="83"/>
      <c r="C26" s="24" t="s">
        <v>85</v>
      </c>
      <c r="D26" s="23" t="s">
        <v>59</v>
      </c>
      <c r="E26" s="23" t="s">
        <v>60</v>
      </c>
      <c r="F26" s="24">
        <v>2009</v>
      </c>
      <c r="G26" s="24">
        <v>49</v>
      </c>
      <c r="H26" s="89">
        <v>22</v>
      </c>
      <c r="I26" s="85" t="s">
        <v>176</v>
      </c>
      <c r="J26" s="86" t="s">
        <v>189</v>
      </c>
      <c r="K26" s="33"/>
      <c r="L26" s="36" t="str">
        <f t="shared" si="0"/>
        <v/>
      </c>
      <c r="M26" s="95"/>
      <c r="N26" s="95" t="str">
        <f t="shared" si="1"/>
        <v/>
      </c>
      <c r="O26" s="33"/>
      <c r="P26" s="36" t="str">
        <f t="shared" si="2"/>
        <v/>
      </c>
      <c r="Q26" s="95"/>
      <c r="R26" s="99" t="str">
        <f t="shared" si="3"/>
        <v/>
      </c>
      <c r="S26" s="76"/>
      <c r="T26" s="36" t="str">
        <f t="shared" si="4"/>
        <v/>
      </c>
      <c r="U26" s="95"/>
      <c r="V26" s="99" t="str">
        <f t="shared" si="5"/>
        <v/>
      </c>
      <c r="W26" s="33"/>
      <c r="X26" s="36" t="str">
        <f t="shared" si="6"/>
        <v/>
      </c>
      <c r="Y26" s="95"/>
      <c r="Z26" s="99" t="str">
        <f t="shared" si="7"/>
        <v/>
      </c>
      <c r="AA26" s="33"/>
      <c r="AB26" s="36" t="str">
        <f t="shared" si="8"/>
        <v/>
      </c>
      <c r="AC26" s="95"/>
      <c r="AD26" s="99" t="str">
        <f t="shared" si="9"/>
        <v/>
      </c>
      <c r="AE26" s="33"/>
      <c r="AF26" s="36" t="str">
        <f t="shared" si="10"/>
        <v/>
      </c>
      <c r="AG26" s="95"/>
      <c r="AH26" s="99" t="str">
        <f t="shared" si="11"/>
        <v/>
      </c>
      <c r="AI26" s="33"/>
      <c r="AJ26" s="36" t="str">
        <f t="shared" si="12"/>
        <v/>
      </c>
      <c r="AK26" s="95"/>
      <c r="AL26" s="99" t="str">
        <f t="shared" si="13"/>
        <v/>
      </c>
      <c r="AM26" s="33"/>
      <c r="AN26" s="36" t="str">
        <f t="shared" si="14"/>
        <v/>
      </c>
      <c r="AO26" s="95"/>
      <c r="AP26" s="99" t="str">
        <f t="shared" si="15"/>
        <v/>
      </c>
      <c r="AQ26" s="33"/>
      <c r="AR26" s="36" t="str">
        <f t="shared" si="16"/>
        <v/>
      </c>
      <c r="AS26" s="95"/>
      <c r="AT26" s="99" t="str">
        <f t="shared" si="42"/>
        <v/>
      </c>
      <c r="AU26" s="33"/>
      <c r="AV26" s="36" t="str">
        <f t="shared" si="18"/>
        <v/>
      </c>
      <c r="AW26" s="95"/>
      <c r="AX26" s="99" t="str">
        <f t="shared" si="19"/>
        <v/>
      </c>
      <c r="AY26" s="76"/>
      <c r="AZ26" s="36" t="str">
        <f t="shared" si="20"/>
        <v/>
      </c>
      <c r="BA26" s="95"/>
      <c r="BB26" s="99" t="str">
        <f t="shared" si="21"/>
        <v/>
      </c>
      <c r="BC26" s="33"/>
      <c r="BD26" s="36" t="str">
        <f t="shared" si="22"/>
        <v/>
      </c>
      <c r="BE26" s="95"/>
      <c r="BF26" s="99" t="str">
        <f t="shared" si="23"/>
        <v/>
      </c>
      <c r="BG26" s="33"/>
      <c r="BH26" s="36" t="str">
        <f t="shared" si="24"/>
        <v/>
      </c>
      <c r="BI26" s="95"/>
      <c r="BJ26" s="99" t="str">
        <f t="shared" si="25"/>
        <v/>
      </c>
      <c r="BK26" s="33"/>
      <c r="BL26" s="36" t="str">
        <f t="shared" si="26"/>
        <v/>
      </c>
      <c r="BM26" s="95"/>
      <c r="BN26" s="99" t="str">
        <f t="shared" si="27"/>
        <v/>
      </c>
      <c r="BO26" s="33"/>
      <c r="BP26" s="36" t="str">
        <f t="shared" si="28"/>
        <v/>
      </c>
      <c r="BQ26" s="95"/>
      <c r="BR26" s="99" t="str">
        <f t="shared" si="29"/>
        <v/>
      </c>
      <c r="BS26" s="33"/>
      <c r="BT26" s="36" t="str">
        <f t="shared" si="30"/>
        <v/>
      </c>
      <c r="BU26" s="95"/>
      <c r="BV26" s="99" t="str">
        <f t="shared" si="31"/>
        <v/>
      </c>
      <c r="BW26" s="33"/>
      <c r="BX26" s="36" t="str">
        <f t="shared" si="32"/>
        <v/>
      </c>
      <c r="BY26" s="95"/>
      <c r="BZ26" s="99" t="str">
        <f t="shared" si="33"/>
        <v/>
      </c>
      <c r="CA26" s="33"/>
      <c r="CB26" s="36" t="str">
        <f t="shared" si="34"/>
        <v/>
      </c>
      <c r="CC26" s="95"/>
      <c r="CD26" s="99" t="str">
        <f t="shared" si="35"/>
        <v/>
      </c>
      <c r="CE26" s="33"/>
      <c r="CF26" s="36" t="str">
        <f t="shared" si="36"/>
        <v/>
      </c>
      <c r="CG26" s="95"/>
      <c r="CH26" s="99" t="str">
        <f t="shared" si="37"/>
        <v/>
      </c>
      <c r="CI26" s="33"/>
      <c r="CJ26" s="36" t="str">
        <f t="shared" si="38"/>
        <v/>
      </c>
      <c r="CK26" s="95"/>
      <c r="CL26" s="99" t="str">
        <f t="shared" si="39"/>
        <v/>
      </c>
      <c r="CM26" s="33"/>
      <c r="CN26" s="36" t="str">
        <f t="shared" si="40"/>
        <v/>
      </c>
      <c r="CO26" s="95"/>
      <c r="CP26" s="99" t="str">
        <f t="shared" si="41"/>
        <v/>
      </c>
      <c r="CQ26" s="23" t="s">
        <v>406</v>
      </c>
    </row>
    <row r="27" spans="1:95" ht="20" customHeight="1" x14ac:dyDescent="0.2">
      <c r="A27" s="60"/>
      <c r="B27" s="82"/>
      <c r="C27" s="24" t="s">
        <v>85</v>
      </c>
      <c r="D27" s="23" t="s">
        <v>273</v>
      </c>
      <c r="E27" s="23" t="s">
        <v>274</v>
      </c>
      <c r="F27" s="24">
        <v>2014</v>
      </c>
      <c r="H27" s="89">
        <v>39</v>
      </c>
      <c r="I27" s="85" t="s">
        <v>407</v>
      </c>
      <c r="J27" s="86" t="s">
        <v>343</v>
      </c>
      <c r="K27" s="33"/>
      <c r="L27" s="36" t="str">
        <f t="shared" si="0"/>
        <v/>
      </c>
      <c r="M27" s="95"/>
      <c r="N27" s="95" t="str">
        <f t="shared" si="1"/>
        <v/>
      </c>
      <c r="O27" s="33">
        <v>22</v>
      </c>
      <c r="P27" s="36">
        <f t="shared" si="2"/>
        <v>56.410256410256409</v>
      </c>
      <c r="Q27" s="95">
        <v>23</v>
      </c>
      <c r="R27" s="99">
        <f t="shared" si="3"/>
        <v>-1</v>
      </c>
      <c r="S27" s="76"/>
      <c r="T27" s="36" t="str">
        <f t="shared" si="4"/>
        <v/>
      </c>
      <c r="U27" s="95"/>
      <c r="V27" s="99" t="str">
        <f t="shared" si="5"/>
        <v/>
      </c>
      <c r="W27" s="33"/>
      <c r="X27" s="36" t="str">
        <f t="shared" si="6"/>
        <v/>
      </c>
      <c r="Y27" s="95"/>
      <c r="Z27" s="99" t="str">
        <f t="shared" si="7"/>
        <v/>
      </c>
      <c r="AA27" s="33">
        <v>22</v>
      </c>
      <c r="AB27" s="36">
        <f t="shared" si="8"/>
        <v>56.410256410256409</v>
      </c>
      <c r="AC27" s="95">
        <v>17</v>
      </c>
      <c r="AD27" s="99">
        <f t="shared" si="9"/>
        <v>5</v>
      </c>
      <c r="AE27" s="33">
        <v>23</v>
      </c>
      <c r="AF27" s="36">
        <f t="shared" si="10"/>
        <v>58.974358974358978</v>
      </c>
      <c r="AG27" s="95">
        <v>19</v>
      </c>
      <c r="AH27" s="99">
        <f t="shared" si="11"/>
        <v>4</v>
      </c>
      <c r="AI27" s="33"/>
      <c r="AJ27" s="36" t="str">
        <f t="shared" si="12"/>
        <v/>
      </c>
      <c r="AK27" s="95"/>
      <c r="AL27" s="99" t="str">
        <f t="shared" si="13"/>
        <v/>
      </c>
      <c r="AM27" s="33"/>
      <c r="AN27" s="36" t="str">
        <f t="shared" si="14"/>
        <v/>
      </c>
      <c r="AO27" s="95"/>
      <c r="AP27" s="99" t="str">
        <f t="shared" si="15"/>
        <v/>
      </c>
      <c r="AQ27" s="33"/>
      <c r="AR27" s="36" t="str">
        <f t="shared" si="16"/>
        <v/>
      </c>
      <c r="AS27" s="95"/>
      <c r="AT27" s="99" t="str">
        <f t="shared" si="42"/>
        <v/>
      </c>
      <c r="AU27" s="33">
        <v>8</v>
      </c>
      <c r="AV27" s="36">
        <f t="shared" si="18"/>
        <v>20.512820512820511</v>
      </c>
      <c r="AW27" s="95">
        <v>10</v>
      </c>
      <c r="AX27" s="99">
        <f t="shared" si="19"/>
        <v>-2</v>
      </c>
      <c r="AY27" s="76"/>
      <c r="AZ27" s="36" t="str">
        <f t="shared" si="20"/>
        <v/>
      </c>
      <c r="BA27" s="95"/>
      <c r="BB27" s="99" t="str">
        <f t="shared" si="21"/>
        <v/>
      </c>
      <c r="BC27" s="33"/>
      <c r="BD27" s="36" t="str">
        <f t="shared" si="22"/>
        <v/>
      </c>
      <c r="BE27" s="95"/>
      <c r="BF27" s="99" t="str">
        <f t="shared" si="23"/>
        <v/>
      </c>
      <c r="BG27" s="33"/>
      <c r="BH27" s="36" t="str">
        <f t="shared" si="24"/>
        <v/>
      </c>
      <c r="BI27" s="95"/>
      <c r="BJ27" s="99" t="str">
        <f t="shared" si="25"/>
        <v/>
      </c>
      <c r="BK27" s="33">
        <v>3</v>
      </c>
      <c r="BL27" s="36">
        <f t="shared" si="26"/>
        <v>7.6923076923076925</v>
      </c>
      <c r="BM27" s="95">
        <v>4</v>
      </c>
      <c r="BN27" s="99">
        <f t="shared" si="27"/>
        <v>-1</v>
      </c>
      <c r="BO27" s="33"/>
      <c r="BP27" s="36" t="str">
        <f t="shared" si="28"/>
        <v/>
      </c>
      <c r="BQ27" s="95"/>
      <c r="BR27" s="99" t="str">
        <f t="shared" si="29"/>
        <v/>
      </c>
      <c r="BS27" s="33"/>
      <c r="BT27" s="36" t="str">
        <f t="shared" si="30"/>
        <v/>
      </c>
      <c r="BU27" s="95"/>
      <c r="BV27" s="99" t="str">
        <f t="shared" si="31"/>
        <v/>
      </c>
      <c r="BW27" s="33"/>
      <c r="BX27" s="36" t="str">
        <f t="shared" si="32"/>
        <v/>
      </c>
      <c r="BY27" s="95"/>
      <c r="BZ27" s="99" t="str">
        <f t="shared" si="33"/>
        <v/>
      </c>
      <c r="CA27" s="33"/>
      <c r="CB27" s="36" t="str">
        <f t="shared" si="34"/>
        <v/>
      </c>
      <c r="CC27" s="95"/>
      <c r="CD27" s="99" t="str">
        <f t="shared" si="35"/>
        <v/>
      </c>
      <c r="CE27" s="33"/>
      <c r="CF27" s="36" t="str">
        <f t="shared" si="36"/>
        <v/>
      </c>
      <c r="CG27" s="95"/>
      <c r="CH27" s="99" t="str">
        <f t="shared" si="37"/>
        <v/>
      </c>
      <c r="CI27" s="33"/>
      <c r="CJ27" s="36" t="str">
        <f t="shared" si="38"/>
        <v/>
      </c>
      <c r="CK27" s="95"/>
      <c r="CL27" s="99" t="str">
        <f t="shared" si="39"/>
        <v/>
      </c>
      <c r="CM27" s="33"/>
      <c r="CN27" s="36" t="str">
        <f t="shared" si="40"/>
        <v/>
      </c>
      <c r="CO27" s="95"/>
      <c r="CP27" s="99" t="str">
        <f t="shared" si="41"/>
        <v/>
      </c>
      <c r="CQ27" s="23" t="s">
        <v>349</v>
      </c>
    </row>
    <row r="28" spans="1:95" ht="20" customHeight="1" x14ac:dyDescent="0.2">
      <c r="A28" s="60"/>
      <c r="B28" s="24"/>
      <c r="C28" s="24" t="s">
        <v>85</v>
      </c>
      <c r="D28" s="23" t="s">
        <v>275</v>
      </c>
      <c r="E28" s="23" t="s">
        <v>276</v>
      </c>
      <c r="F28" s="24">
        <v>2015</v>
      </c>
      <c r="H28" s="89">
        <v>8</v>
      </c>
      <c r="I28" s="85" t="s">
        <v>214</v>
      </c>
      <c r="J28" s="86" t="s">
        <v>350</v>
      </c>
      <c r="K28" s="33"/>
      <c r="L28" s="36" t="str">
        <f t="shared" si="0"/>
        <v/>
      </c>
      <c r="M28" s="95"/>
      <c r="N28" s="95" t="str">
        <f t="shared" si="1"/>
        <v/>
      </c>
      <c r="O28" s="33"/>
      <c r="P28" s="36" t="str">
        <f t="shared" si="2"/>
        <v/>
      </c>
      <c r="Q28" s="95"/>
      <c r="R28" s="99" t="str">
        <f t="shared" si="3"/>
        <v/>
      </c>
      <c r="S28" s="76"/>
      <c r="T28" s="36" t="str">
        <f t="shared" si="4"/>
        <v/>
      </c>
      <c r="U28" s="95"/>
      <c r="V28" s="99" t="str">
        <f t="shared" si="5"/>
        <v/>
      </c>
      <c r="W28" s="33"/>
      <c r="X28" s="36" t="str">
        <f t="shared" si="6"/>
        <v/>
      </c>
      <c r="Y28" s="95"/>
      <c r="Z28" s="99" t="str">
        <f t="shared" si="7"/>
        <v/>
      </c>
      <c r="AA28" s="33">
        <v>2</v>
      </c>
      <c r="AB28" s="36">
        <f t="shared" si="8"/>
        <v>25</v>
      </c>
      <c r="AC28" s="118">
        <v>0</v>
      </c>
      <c r="AD28" s="119">
        <f t="shared" si="9"/>
        <v>2</v>
      </c>
      <c r="AE28" s="33"/>
      <c r="AF28" s="36" t="str">
        <f t="shared" si="10"/>
        <v/>
      </c>
      <c r="AG28" s="95"/>
      <c r="AH28" s="99" t="str">
        <f t="shared" si="11"/>
        <v/>
      </c>
      <c r="AI28" s="33"/>
      <c r="AJ28" s="36" t="str">
        <f t="shared" si="12"/>
        <v/>
      </c>
      <c r="AK28" s="95"/>
      <c r="AL28" s="99" t="str">
        <f t="shared" si="13"/>
        <v/>
      </c>
      <c r="AM28" s="33"/>
      <c r="AN28" s="36" t="str">
        <f t="shared" si="14"/>
        <v/>
      </c>
      <c r="AO28" s="95"/>
      <c r="AP28" s="99" t="str">
        <f t="shared" si="15"/>
        <v/>
      </c>
      <c r="AQ28" s="33"/>
      <c r="AR28" s="36" t="str">
        <f t="shared" si="16"/>
        <v/>
      </c>
      <c r="AS28" s="95"/>
      <c r="AT28" s="99" t="str">
        <f t="shared" si="42"/>
        <v/>
      </c>
      <c r="AU28" s="33"/>
      <c r="AV28" s="36" t="str">
        <f t="shared" si="18"/>
        <v/>
      </c>
      <c r="AW28" s="95"/>
      <c r="AX28" s="99" t="str">
        <f t="shared" si="19"/>
        <v/>
      </c>
      <c r="AY28" s="76"/>
      <c r="AZ28" s="36" t="str">
        <f t="shared" si="20"/>
        <v/>
      </c>
      <c r="BA28" s="95"/>
      <c r="BB28" s="99" t="str">
        <f t="shared" si="21"/>
        <v/>
      </c>
      <c r="BC28" s="33"/>
      <c r="BD28" s="36" t="str">
        <f t="shared" si="22"/>
        <v/>
      </c>
      <c r="BE28" s="95"/>
      <c r="BF28" s="99" t="str">
        <f t="shared" si="23"/>
        <v/>
      </c>
      <c r="BG28" s="33"/>
      <c r="BH28" s="36" t="str">
        <f t="shared" si="24"/>
        <v/>
      </c>
      <c r="BI28" s="95"/>
      <c r="BJ28" s="99" t="str">
        <f t="shared" si="25"/>
        <v/>
      </c>
      <c r="BK28" s="33"/>
      <c r="BL28" s="36" t="str">
        <f t="shared" si="26"/>
        <v/>
      </c>
      <c r="BM28" s="95"/>
      <c r="BN28" s="99" t="str">
        <f t="shared" si="27"/>
        <v/>
      </c>
      <c r="BO28" s="33"/>
      <c r="BP28" s="36" t="str">
        <f t="shared" si="28"/>
        <v/>
      </c>
      <c r="BQ28" s="95"/>
      <c r="BR28" s="99" t="str">
        <f t="shared" si="29"/>
        <v/>
      </c>
      <c r="BS28" s="33"/>
      <c r="BT28" s="36" t="str">
        <f t="shared" si="30"/>
        <v/>
      </c>
      <c r="BU28" s="95"/>
      <c r="BV28" s="99" t="str">
        <f t="shared" si="31"/>
        <v/>
      </c>
      <c r="BW28" s="33"/>
      <c r="BX28" s="36" t="str">
        <f t="shared" si="32"/>
        <v/>
      </c>
      <c r="BY28" s="95"/>
      <c r="BZ28" s="99" t="str">
        <f t="shared" si="33"/>
        <v/>
      </c>
      <c r="CA28" s="33"/>
      <c r="CB28" s="36" t="str">
        <f t="shared" si="34"/>
        <v/>
      </c>
      <c r="CC28" s="95"/>
      <c r="CD28" s="99" t="str">
        <f t="shared" si="35"/>
        <v/>
      </c>
      <c r="CE28" s="33"/>
      <c r="CF28" s="36" t="str">
        <f t="shared" si="36"/>
        <v/>
      </c>
      <c r="CG28" s="95"/>
      <c r="CH28" s="99" t="str">
        <f t="shared" si="37"/>
        <v/>
      </c>
      <c r="CI28" s="33"/>
      <c r="CJ28" s="36" t="str">
        <f t="shared" si="38"/>
        <v/>
      </c>
      <c r="CK28" s="95"/>
      <c r="CL28" s="99" t="str">
        <f t="shared" si="39"/>
        <v/>
      </c>
      <c r="CM28" s="33"/>
      <c r="CN28" s="36" t="str">
        <f t="shared" si="40"/>
        <v/>
      </c>
      <c r="CO28" s="95"/>
      <c r="CP28" s="99" t="str">
        <f t="shared" si="41"/>
        <v/>
      </c>
      <c r="CQ28" s="23" t="s">
        <v>408</v>
      </c>
    </row>
    <row r="29" spans="1:95" ht="20" customHeight="1" x14ac:dyDescent="0.2">
      <c r="A29" s="61"/>
      <c r="B29" s="82"/>
      <c r="C29" s="24" t="s">
        <v>85</v>
      </c>
      <c r="D29" s="23" t="s">
        <v>277</v>
      </c>
      <c r="E29" s="23" t="s">
        <v>278</v>
      </c>
      <c r="F29" s="24">
        <v>2001</v>
      </c>
      <c r="H29" s="89">
        <v>9</v>
      </c>
      <c r="I29" s="85"/>
      <c r="J29" s="86" t="s">
        <v>351</v>
      </c>
      <c r="K29" s="33"/>
      <c r="L29" s="36" t="str">
        <f t="shared" si="0"/>
        <v/>
      </c>
      <c r="M29" s="95"/>
      <c r="N29" s="95" t="str">
        <f t="shared" si="1"/>
        <v/>
      </c>
      <c r="O29" s="33"/>
      <c r="P29" s="36" t="str">
        <f t="shared" si="2"/>
        <v/>
      </c>
      <c r="Q29" s="95"/>
      <c r="R29" s="99" t="str">
        <f t="shared" si="3"/>
        <v/>
      </c>
      <c r="S29" s="40"/>
      <c r="T29" s="39" t="str">
        <f t="shared" si="4"/>
        <v/>
      </c>
      <c r="U29" s="118"/>
      <c r="V29" s="119" t="str">
        <f t="shared" si="5"/>
        <v/>
      </c>
      <c r="W29" s="33"/>
      <c r="X29" s="36" t="str">
        <f t="shared" si="6"/>
        <v/>
      </c>
      <c r="Y29" s="95"/>
      <c r="Z29" s="99" t="str">
        <f t="shared" si="7"/>
        <v/>
      </c>
      <c r="AA29" s="33"/>
      <c r="AB29" s="36" t="str">
        <f t="shared" si="8"/>
        <v/>
      </c>
      <c r="AC29" s="95"/>
      <c r="AD29" s="99" t="str">
        <f t="shared" si="9"/>
        <v/>
      </c>
      <c r="AE29" s="33"/>
      <c r="AF29" s="36" t="str">
        <f t="shared" si="10"/>
        <v/>
      </c>
      <c r="AG29" s="95"/>
      <c r="AH29" s="99" t="str">
        <f t="shared" si="11"/>
        <v/>
      </c>
      <c r="AI29" s="33"/>
      <c r="AJ29" s="36" t="str">
        <f t="shared" si="12"/>
        <v/>
      </c>
      <c r="AK29" s="95"/>
      <c r="AL29" s="99" t="str">
        <f t="shared" si="13"/>
        <v/>
      </c>
      <c r="AM29" s="33"/>
      <c r="AN29" s="36" t="str">
        <f t="shared" si="14"/>
        <v/>
      </c>
      <c r="AO29" s="95"/>
      <c r="AP29" s="99" t="str">
        <f t="shared" si="15"/>
        <v/>
      </c>
      <c r="AQ29" s="33"/>
      <c r="AR29" s="36" t="str">
        <f t="shared" si="16"/>
        <v/>
      </c>
      <c r="AS29" s="95"/>
      <c r="AT29" s="99" t="str">
        <f t="shared" si="42"/>
        <v/>
      </c>
      <c r="AU29" s="33"/>
      <c r="AV29" s="36" t="str">
        <f t="shared" si="18"/>
        <v/>
      </c>
      <c r="AW29" s="95"/>
      <c r="AX29" s="99" t="str">
        <f t="shared" si="19"/>
        <v/>
      </c>
      <c r="AY29" s="76"/>
      <c r="AZ29" s="36" t="str">
        <f t="shared" si="20"/>
        <v/>
      </c>
      <c r="BA29" s="95"/>
      <c r="BB29" s="99" t="str">
        <f t="shared" si="21"/>
        <v/>
      </c>
      <c r="BC29" s="33"/>
      <c r="BD29" s="36" t="str">
        <f t="shared" si="22"/>
        <v/>
      </c>
      <c r="BE29" s="95"/>
      <c r="BF29" s="99" t="str">
        <f t="shared" si="23"/>
        <v/>
      </c>
      <c r="BG29" s="33"/>
      <c r="BH29" s="36" t="str">
        <f t="shared" si="24"/>
        <v/>
      </c>
      <c r="BI29" s="95"/>
      <c r="BJ29" s="99" t="str">
        <f t="shared" si="25"/>
        <v/>
      </c>
      <c r="BK29" s="33"/>
      <c r="BL29" s="36" t="str">
        <f t="shared" si="26"/>
        <v/>
      </c>
      <c r="BM29" s="95"/>
      <c r="BN29" s="99" t="str">
        <f t="shared" si="27"/>
        <v/>
      </c>
      <c r="BO29" s="33"/>
      <c r="BP29" s="36" t="str">
        <f t="shared" si="28"/>
        <v/>
      </c>
      <c r="BQ29" s="95"/>
      <c r="BR29" s="99" t="str">
        <f t="shared" si="29"/>
        <v/>
      </c>
      <c r="BS29" s="33"/>
      <c r="BT29" s="36" t="str">
        <f t="shared" si="30"/>
        <v/>
      </c>
      <c r="BU29" s="95"/>
      <c r="BV29" s="99" t="str">
        <f t="shared" si="31"/>
        <v/>
      </c>
      <c r="BW29" s="33"/>
      <c r="BX29" s="36" t="str">
        <f t="shared" si="32"/>
        <v/>
      </c>
      <c r="BY29" s="95"/>
      <c r="BZ29" s="99" t="str">
        <f t="shared" si="33"/>
        <v/>
      </c>
      <c r="CA29" s="33"/>
      <c r="CB29" s="36" t="str">
        <f t="shared" si="34"/>
        <v/>
      </c>
      <c r="CC29" s="95"/>
      <c r="CD29" s="99" t="str">
        <f t="shared" si="35"/>
        <v/>
      </c>
      <c r="CE29" s="33"/>
      <c r="CF29" s="36" t="str">
        <f t="shared" si="36"/>
        <v/>
      </c>
      <c r="CG29" s="95"/>
      <c r="CH29" s="99" t="str">
        <f t="shared" si="37"/>
        <v/>
      </c>
      <c r="CI29" s="33"/>
      <c r="CJ29" s="36" t="str">
        <f t="shared" si="38"/>
        <v/>
      </c>
      <c r="CK29" s="95"/>
      <c r="CL29" s="99" t="str">
        <f t="shared" si="39"/>
        <v/>
      </c>
      <c r="CM29" s="33"/>
      <c r="CN29" s="36" t="str">
        <f t="shared" si="40"/>
        <v/>
      </c>
      <c r="CO29" s="95"/>
      <c r="CP29" s="99" t="str">
        <f t="shared" si="41"/>
        <v/>
      </c>
      <c r="CQ29" s="23" t="s">
        <v>352</v>
      </c>
    </row>
    <row r="30" spans="1:95" ht="20" customHeight="1" x14ac:dyDescent="0.2">
      <c r="A30" s="60"/>
      <c r="B30" s="82"/>
      <c r="C30" s="24" t="s">
        <v>85</v>
      </c>
      <c r="D30" s="23" t="s">
        <v>63</v>
      </c>
      <c r="E30" s="23" t="s">
        <v>64</v>
      </c>
      <c r="F30" s="24">
        <v>2012</v>
      </c>
      <c r="G30" s="24">
        <v>83</v>
      </c>
      <c r="H30" s="89">
        <v>70</v>
      </c>
      <c r="I30" s="85" t="s">
        <v>182</v>
      </c>
      <c r="J30" s="86" t="s">
        <v>191</v>
      </c>
      <c r="K30" s="33"/>
      <c r="L30" s="36" t="str">
        <f t="shared" si="0"/>
        <v/>
      </c>
      <c r="M30" s="95"/>
      <c r="N30" s="95" t="str">
        <f t="shared" si="1"/>
        <v/>
      </c>
      <c r="O30" s="33"/>
      <c r="P30" s="36" t="str">
        <f t="shared" si="2"/>
        <v/>
      </c>
      <c r="Q30" s="95"/>
      <c r="R30" s="99" t="str">
        <f t="shared" si="3"/>
        <v/>
      </c>
      <c r="S30" s="76">
        <v>31</v>
      </c>
      <c r="T30" s="36">
        <f t="shared" si="4"/>
        <v>44.285714285714285</v>
      </c>
      <c r="U30" s="95">
        <v>40</v>
      </c>
      <c r="V30" s="99">
        <f t="shared" si="5"/>
        <v>-9</v>
      </c>
      <c r="W30" s="33"/>
      <c r="X30" s="36" t="str">
        <f t="shared" si="6"/>
        <v/>
      </c>
      <c r="Y30" s="95"/>
      <c r="Z30" s="99" t="str">
        <f t="shared" si="7"/>
        <v/>
      </c>
      <c r="AA30" s="33">
        <v>9</v>
      </c>
      <c r="AB30" s="36">
        <f t="shared" si="8"/>
        <v>12.857142857142856</v>
      </c>
      <c r="AC30" s="95">
        <v>10</v>
      </c>
      <c r="AD30" s="99">
        <f t="shared" si="9"/>
        <v>-1</v>
      </c>
      <c r="AE30" s="33">
        <v>8</v>
      </c>
      <c r="AF30" s="36">
        <f t="shared" si="10"/>
        <v>11.428571428571429</v>
      </c>
      <c r="AG30" s="95">
        <v>8</v>
      </c>
      <c r="AH30" s="99">
        <f t="shared" si="11"/>
        <v>0</v>
      </c>
      <c r="AI30" s="33"/>
      <c r="AJ30" s="36" t="str">
        <f t="shared" si="12"/>
        <v/>
      </c>
      <c r="AK30" s="95"/>
      <c r="AL30" s="99" t="str">
        <f t="shared" si="13"/>
        <v/>
      </c>
      <c r="AM30" s="33"/>
      <c r="AN30" s="36" t="str">
        <f t="shared" si="14"/>
        <v/>
      </c>
      <c r="AO30" s="95"/>
      <c r="AP30" s="99" t="str">
        <f t="shared" si="15"/>
        <v/>
      </c>
      <c r="AQ30" s="33">
        <v>10</v>
      </c>
      <c r="AR30" s="36">
        <f t="shared" si="16"/>
        <v>14.285714285714285</v>
      </c>
      <c r="AS30" s="95">
        <v>7</v>
      </c>
      <c r="AT30" s="99">
        <f t="shared" si="42"/>
        <v>3</v>
      </c>
      <c r="AU30" s="33">
        <v>1</v>
      </c>
      <c r="AV30" s="36">
        <f t="shared" si="18"/>
        <v>1.4285714285714286</v>
      </c>
      <c r="AW30" s="95">
        <v>5</v>
      </c>
      <c r="AX30" s="99">
        <f t="shared" si="19"/>
        <v>-4</v>
      </c>
      <c r="AY30" s="76">
        <v>1</v>
      </c>
      <c r="AZ30" s="36">
        <f t="shared" si="20"/>
        <v>1.4285714285714286</v>
      </c>
      <c r="BA30" s="95">
        <v>1</v>
      </c>
      <c r="BB30" s="99">
        <f t="shared" si="21"/>
        <v>0</v>
      </c>
      <c r="BC30" s="33"/>
      <c r="BD30" s="36" t="str">
        <f t="shared" si="22"/>
        <v/>
      </c>
      <c r="BE30" s="95"/>
      <c r="BF30" s="99" t="str">
        <f t="shared" si="23"/>
        <v/>
      </c>
      <c r="BG30" s="33"/>
      <c r="BH30" s="36" t="str">
        <f t="shared" si="24"/>
        <v/>
      </c>
      <c r="BI30" s="95"/>
      <c r="BJ30" s="99" t="str">
        <f t="shared" si="25"/>
        <v/>
      </c>
      <c r="BK30" s="33">
        <v>3</v>
      </c>
      <c r="BL30" s="36">
        <f t="shared" si="26"/>
        <v>4.2857142857142856</v>
      </c>
      <c r="BM30" s="95">
        <v>11</v>
      </c>
      <c r="BN30" s="99">
        <f t="shared" si="27"/>
        <v>-8</v>
      </c>
      <c r="BO30" s="33"/>
      <c r="BP30" s="36" t="str">
        <f t="shared" si="28"/>
        <v/>
      </c>
      <c r="BQ30" s="95"/>
      <c r="BR30" s="99" t="str">
        <f t="shared" si="29"/>
        <v/>
      </c>
      <c r="BS30" s="33">
        <v>0</v>
      </c>
      <c r="BT30" s="36" t="str">
        <f t="shared" si="30"/>
        <v/>
      </c>
      <c r="BU30" s="95">
        <v>1</v>
      </c>
      <c r="BV30" s="99">
        <f t="shared" si="31"/>
        <v>-1</v>
      </c>
      <c r="BW30" s="33"/>
      <c r="BX30" s="36" t="str">
        <f t="shared" si="32"/>
        <v/>
      </c>
      <c r="BY30" s="95"/>
      <c r="BZ30" s="99" t="str">
        <f t="shared" si="33"/>
        <v/>
      </c>
      <c r="CA30" s="33"/>
      <c r="CB30" s="36" t="str">
        <f t="shared" si="34"/>
        <v/>
      </c>
      <c r="CC30" s="95"/>
      <c r="CD30" s="99" t="str">
        <f t="shared" si="35"/>
        <v/>
      </c>
      <c r="CE30" s="33"/>
      <c r="CF30" s="36" t="str">
        <f t="shared" si="36"/>
        <v/>
      </c>
      <c r="CG30" s="95"/>
      <c r="CH30" s="99" t="str">
        <f t="shared" si="37"/>
        <v/>
      </c>
      <c r="CI30" s="33"/>
      <c r="CJ30" s="36" t="str">
        <f t="shared" si="38"/>
        <v/>
      </c>
      <c r="CK30" s="95"/>
      <c r="CL30" s="99" t="str">
        <f t="shared" si="39"/>
        <v/>
      </c>
      <c r="CM30" s="33"/>
      <c r="CN30" s="36" t="str">
        <f t="shared" si="40"/>
        <v/>
      </c>
      <c r="CO30" s="95"/>
      <c r="CP30" s="99" t="str">
        <f t="shared" si="41"/>
        <v/>
      </c>
      <c r="CQ30" s="23" t="s">
        <v>414</v>
      </c>
    </row>
    <row r="31" spans="1:95" ht="20" customHeight="1" x14ac:dyDescent="0.2">
      <c r="A31" s="60"/>
      <c r="B31" s="84"/>
      <c r="C31" s="24" t="s">
        <v>85</v>
      </c>
      <c r="D31" s="23" t="s">
        <v>69</v>
      </c>
      <c r="E31" s="23" t="s">
        <v>70</v>
      </c>
      <c r="F31" s="24">
        <v>2004</v>
      </c>
      <c r="G31" s="24">
        <v>61</v>
      </c>
      <c r="H31" s="89">
        <v>15</v>
      </c>
      <c r="I31" s="85" t="s">
        <v>184</v>
      </c>
      <c r="J31" s="86" t="s">
        <v>192</v>
      </c>
      <c r="K31" s="33"/>
      <c r="L31" s="36" t="str">
        <f t="shared" si="0"/>
        <v/>
      </c>
      <c r="M31" s="95"/>
      <c r="N31" s="95" t="str">
        <f t="shared" si="1"/>
        <v/>
      </c>
      <c r="O31" s="33"/>
      <c r="P31" s="36" t="str">
        <f t="shared" si="2"/>
        <v/>
      </c>
      <c r="Q31" s="95"/>
      <c r="R31" s="99" t="str">
        <f t="shared" si="3"/>
        <v/>
      </c>
      <c r="S31" s="76">
        <v>13</v>
      </c>
      <c r="T31" s="36">
        <f t="shared" si="4"/>
        <v>86.666666666666671</v>
      </c>
      <c r="U31" s="95">
        <v>4</v>
      </c>
      <c r="V31" s="99">
        <f t="shared" si="5"/>
        <v>9</v>
      </c>
      <c r="W31" s="33"/>
      <c r="X31" s="36" t="str">
        <f t="shared" si="6"/>
        <v/>
      </c>
      <c r="Y31" s="95"/>
      <c r="Z31" s="99" t="str">
        <f t="shared" si="7"/>
        <v/>
      </c>
      <c r="AA31" s="33"/>
      <c r="AB31" s="36" t="str">
        <f t="shared" si="8"/>
        <v/>
      </c>
      <c r="AC31" s="95"/>
      <c r="AD31" s="99" t="str">
        <f t="shared" si="9"/>
        <v/>
      </c>
      <c r="AE31" s="33"/>
      <c r="AF31" s="36" t="str">
        <f t="shared" si="10"/>
        <v/>
      </c>
      <c r="AG31" s="95"/>
      <c r="AH31" s="99" t="str">
        <f t="shared" si="11"/>
        <v/>
      </c>
      <c r="AI31" s="33"/>
      <c r="AJ31" s="36" t="str">
        <f t="shared" si="12"/>
        <v/>
      </c>
      <c r="AK31" s="95"/>
      <c r="AL31" s="99" t="str">
        <f t="shared" si="13"/>
        <v/>
      </c>
      <c r="AM31" s="33"/>
      <c r="AN31" s="36" t="str">
        <f t="shared" si="14"/>
        <v/>
      </c>
      <c r="AO31" s="95"/>
      <c r="AP31" s="99" t="str">
        <f t="shared" si="15"/>
        <v/>
      </c>
      <c r="AQ31" s="33"/>
      <c r="AR31" s="36" t="str">
        <f t="shared" si="16"/>
        <v/>
      </c>
      <c r="AS31" s="95"/>
      <c r="AT31" s="99" t="str">
        <f t="shared" si="42"/>
        <v/>
      </c>
      <c r="AU31" s="33"/>
      <c r="AV31" s="36" t="str">
        <f t="shared" si="18"/>
        <v/>
      </c>
      <c r="AW31" s="95"/>
      <c r="AX31" s="99" t="str">
        <f t="shared" si="19"/>
        <v/>
      </c>
      <c r="AY31" s="76"/>
      <c r="AZ31" s="36" t="str">
        <f t="shared" si="20"/>
        <v/>
      </c>
      <c r="BA31" s="95"/>
      <c r="BB31" s="99" t="str">
        <f t="shared" si="21"/>
        <v/>
      </c>
      <c r="BC31" s="33"/>
      <c r="BD31" s="36" t="str">
        <f t="shared" si="22"/>
        <v/>
      </c>
      <c r="BE31" s="95"/>
      <c r="BF31" s="99" t="str">
        <f t="shared" si="23"/>
        <v/>
      </c>
      <c r="BG31" s="33"/>
      <c r="BH31" s="36" t="str">
        <f t="shared" si="24"/>
        <v/>
      </c>
      <c r="BI31" s="95"/>
      <c r="BJ31" s="99" t="str">
        <f t="shared" si="25"/>
        <v/>
      </c>
      <c r="BK31" s="33"/>
      <c r="BL31" s="36" t="str">
        <f t="shared" si="26"/>
        <v/>
      </c>
      <c r="BM31" s="95"/>
      <c r="BN31" s="99" t="str">
        <f t="shared" si="27"/>
        <v/>
      </c>
      <c r="BO31" s="33"/>
      <c r="BP31" s="36" t="str">
        <f t="shared" si="28"/>
        <v/>
      </c>
      <c r="BQ31" s="95"/>
      <c r="BR31" s="99" t="str">
        <f t="shared" si="29"/>
        <v/>
      </c>
      <c r="BS31" s="33"/>
      <c r="BT31" s="36" t="str">
        <f t="shared" si="30"/>
        <v/>
      </c>
      <c r="BU31" s="95"/>
      <c r="BV31" s="99" t="str">
        <f t="shared" si="31"/>
        <v/>
      </c>
      <c r="BW31" s="33"/>
      <c r="BX31" s="36" t="str">
        <f t="shared" si="32"/>
        <v/>
      </c>
      <c r="BY31" s="95"/>
      <c r="BZ31" s="99" t="str">
        <f t="shared" si="33"/>
        <v/>
      </c>
      <c r="CA31" s="33"/>
      <c r="CB31" s="36" t="str">
        <f t="shared" si="34"/>
        <v/>
      </c>
      <c r="CC31" s="95"/>
      <c r="CD31" s="99" t="str">
        <f t="shared" si="35"/>
        <v/>
      </c>
      <c r="CE31" s="33"/>
      <c r="CF31" s="36" t="str">
        <f t="shared" si="36"/>
        <v/>
      </c>
      <c r="CG31" s="95"/>
      <c r="CH31" s="99" t="str">
        <f t="shared" si="37"/>
        <v/>
      </c>
      <c r="CI31" s="33"/>
      <c r="CJ31" s="36" t="str">
        <f t="shared" si="38"/>
        <v/>
      </c>
      <c r="CK31" s="95"/>
      <c r="CL31" s="99" t="str">
        <f t="shared" si="39"/>
        <v/>
      </c>
      <c r="CM31" s="33"/>
      <c r="CN31" s="36" t="str">
        <f t="shared" si="40"/>
        <v/>
      </c>
      <c r="CO31" s="95"/>
      <c r="CP31" s="99" t="str">
        <f t="shared" si="41"/>
        <v/>
      </c>
      <c r="CQ31" s="23" t="s">
        <v>415</v>
      </c>
    </row>
    <row r="32" spans="1:95" ht="20" customHeight="1" x14ac:dyDescent="0.2">
      <c r="A32" s="60"/>
      <c r="B32" s="83"/>
      <c r="C32" s="50" t="s">
        <v>85</v>
      </c>
      <c r="D32" s="49" t="s">
        <v>71</v>
      </c>
      <c r="E32" s="49" t="s">
        <v>70</v>
      </c>
      <c r="F32" s="50">
        <v>2004</v>
      </c>
      <c r="G32" s="50">
        <v>45</v>
      </c>
      <c r="H32" s="89">
        <v>15</v>
      </c>
      <c r="I32" s="85" t="s">
        <v>184</v>
      </c>
      <c r="J32" s="86" t="s">
        <v>192</v>
      </c>
      <c r="K32" s="33"/>
      <c r="L32" s="36" t="str">
        <f t="shared" si="0"/>
        <v/>
      </c>
      <c r="M32" s="95"/>
      <c r="N32" s="95" t="str">
        <f t="shared" si="1"/>
        <v/>
      </c>
      <c r="O32" s="33"/>
      <c r="P32" s="36" t="str">
        <f t="shared" si="2"/>
        <v/>
      </c>
      <c r="Q32" s="95"/>
      <c r="R32" s="99" t="str">
        <f t="shared" si="3"/>
        <v/>
      </c>
      <c r="S32" s="76"/>
      <c r="T32" s="36" t="str">
        <f t="shared" si="4"/>
        <v/>
      </c>
      <c r="U32" s="95"/>
      <c r="V32" s="99" t="str">
        <f t="shared" si="5"/>
        <v/>
      </c>
      <c r="W32" s="33"/>
      <c r="X32" s="36" t="str">
        <f t="shared" si="6"/>
        <v/>
      </c>
      <c r="Y32" s="95"/>
      <c r="Z32" s="99" t="str">
        <f t="shared" si="7"/>
        <v/>
      </c>
      <c r="AA32" s="33"/>
      <c r="AB32" s="36" t="str">
        <f t="shared" si="8"/>
        <v/>
      </c>
      <c r="AC32" s="95"/>
      <c r="AD32" s="99" t="str">
        <f t="shared" si="9"/>
        <v/>
      </c>
      <c r="AE32" s="33"/>
      <c r="AF32" s="36" t="str">
        <f t="shared" si="10"/>
        <v/>
      </c>
      <c r="AG32" s="95"/>
      <c r="AH32" s="99" t="str">
        <f t="shared" si="11"/>
        <v/>
      </c>
      <c r="AI32" s="33"/>
      <c r="AJ32" s="36" t="str">
        <f t="shared" si="12"/>
        <v/>
      </c>
      <c r="AK32" s="95"/>
      <c r="AL32" s="99" t="str">
        <f t="shared" si="13"/>
        <v/>
      </c>
      <c r="AM32" s="33"/>
      <c r="AN32" s="36" t="str">
        <f t="shared" si="14"/>
        <v/>
      </c>
      <c r="AO32" s="95"/>
      <c r="AP32" s="99" t="str">
        <f t="shared" si="15"/>
        <v/>
      </c>
      <c r="AQ32" s="33"/>
      <c r="AR32" s="36" t="str">
        <f t="shared" si="16"/>
        <v/>
      </c>
      <c r="AS32" s="95"/>
      <c r="AT32" s="99" t="str">
        <f t="shared" si="42"/>
        <v/>
      </c>
      <c r="AU32" s="33"/>
      <c r="AV32" s="36" t="str">
        <f t="shared" si="18"/>
        <v/>
      </c>
      <c r="AW32" s="95"/>
      <c r="AX32" s="99" t="str">
        <f t="shared" si="19"/>
        <v/>
      </c>
      <c r="AY32" s="76"/>
      <c r="AZ32" s="36" t="str">
        <f t="shared" si="20"/>
        <v/>
      </c>
      <c r="BA32" s="95"/>
      <c r="BB32" s="99" t="str">
        <f t="shared" si="21"/>
        <v/>
      </c>
      <c r="BC32" s="33"/>
      <c r="BD32" s="36" t="str">
        <f t="shared" si="22"/>
        <v/>
      </c>
      <c r="BE32" s="95"/>
      <c r="BF32" s="99" t="str">
        <f t="shared" si="23"/>
        <v/>
      </c>
      <c r="BG32" s="33"/>
      <c r="BH32" s="36" t="str">
        <f t="shared" si="24"/>
        <v/>
      </c>
      <c r="BI32" s="95"/>
      <c r="BJ32" s="99" t="str">
        <f t="shared" si="25"/>
        <v/>
      </c>
      <c r="BK32" s="33"/>
      <c r="BL32" s="36" t="str">
        <f t="shared" si="26"/>
        <v/>
      </c>
      <c r="BM32" s="95"/>
      <c r="BN32" s="99" t="str">
        <f t="shared" si="27"/>
        <v/>
      </c>
      <c r="BO32" s="33"/>
      <c r="BP32" s="36" t="str">
        <f t="shared" si="28"/>
        <v/>
      </c>
      <c r="BQ32" s="95"/>
      <c r="BR32" s="99" t="str">
        <f t="shared" si="29"/>
        <v/>
      </c>
      <c r="BS32" s="33"/>
      <c r="BT32" s="36" t="str">
        <f t="shared" si="30"/>
        <v/>
      </c>
      <c r="BU32" s="95"/>
      <c r="BV32" s="99" t="str">
        <f t="shared" si="31"/>
        <v/>
      </c>
      <c r="BW32" s="33"/>
      <c r="BX32" s="36" t="str">
        <f t="shared" si="32"/>
        <v/>
      </c>
      <c r="BY32" s="95"/>
      <c r="BZ32" s="99" t="str">
        <f t="shared" si="33"/>
        <v/>
      </c>
      <c r="CA32" s="33"/>
      <c r="CB32" s="36" t="str">
        <f t="shared" si="34"/>
        <v/>
      </c>
      <c r="CC32" s="95"/>
      <c r="CD32" s="99" t="str">
        <f t="shared" si="35"/>
        <v/>
      </c>
      <c r="CE32" s="33"/>
      <c r="CF32" s="36" t="str">
        <f t="shared" si="36"/>
        <v/>
      </c>
      <c r="CG32" s="95"/>
      <c r="CH32" s="99" t="str">
        <f t="shared" si="37"/>
        <v/>
      </c>
      <c r="CI32" s="33"/>
      <c r="CJ32" s="36" t="str">
        <f t="shared" si="38"/>
        <v/>
      </c>
      <c r="CK32" s="95"/>
      <c r="CL32" s="99" t="str">
        <f t="shared" si="39"/>
        <v/>
      </c>
      <c r="CM32" s="33"/>
      <c r="CN32" s="36" t="str">
        <f t="shared" si="40"/>
        <v/>
      </c>
      <c r="CO32" s="95"/>
      <c r="CP32" s="99" t="str">
        <f t="shared" si="41"/>
        <v/>
      </c>
      <c r="CQ32" s="23" t="s">
        <v>416</v>
      </c>
    </row>
    <row r="33" spans="1:95" ht="20" customHeight="1" x14ac:dyDescent="0.2">
      <c r="A33" s="60"/>
      <c r="B33" s="83"/>
      <c r="C33" s="24" t="s">
        <v>85</v>
      </c>
      <c r="D33" s="23" t="s">
        <v>280</v>
      </c>
      <c r="E33" s="23" t="s">
        <v>281</v>
      </c>
      <c r="F33" s="24">
        <v>2013</v>
      </c>
      <c r="H33" s="89">
        <v>23</v>
      </c>
      <c r="I33" s="85"/>
      <c r="J33" s="86"/>
      <c r="K33" s="33"/>
      <c r="L33" s="36" t="str">
        <f t="shared" si="0"/>
        <v/>
      </c>
      <c r="M33" s="95"/>
      <c r="N33" s="95" t="str">
        <f t="shared" si="1"/>
        <v/>
      </c>
      <c r="O33" s="33"/>
      <c r="P33" s="36" t="str">
        <f t="shared" si="2"/>
        <v/>
      </c>
      <c r="Q33" s="95"/>
      <c r="R33" s="99" t="str">
        <f t="shared" si="3"/>
        <v/>
      </c>
      <c r="S33" s="76"/>
      <c r="T33" s="36" t="str">
        <f t="shared" si="4"/>
        <v/>
      </c>
      <c r="U33" s="95"/>
      <c r="V33" s="99" t="str">
        <f t="shared" si="5"/>
        <v/>
      </c>
      <c r="W33" s="33"/>
      <c r="X33" s="36" t="str">
        <f t="shared" si="6"/>
        <v/>
      </c>
      <c r="Y33" s="95"/>
      <c r="Z33" s="99" t="str">
        <f t="shared" si="7"/>
        <v/>
      </c>
      <c r="AA33" s="33"/>
      <c r="AB33" s="36" t="str">
        <f t="shared" si="8"/>
        <v/>
      </c>
      <c r="AC33" s="95"/>
      <c r="AD33" s="99" t="str">
        <f t="shared" si="9"/>
        <v/>
      </c>
      <c r="AE33" s="33"/>
      <c r="AF33" s="36" t="str">
        <f t="shared" si="10"/>
        <v/>
      </c>
      <c r="AG33" s="95"/>
      <c r="AH33" s="99" t="str">
        <f t="shared" si="11"/>
        <v/>
      </c>
      <c r="AI33" s="33"/>
      <c r="AJ33" s="36" t="str">
        <f t="shared" si="12"/>
        <v/>
      </c>
      <c r="AK33" s="95"/>
      <c r="AL33" s="99" t="str">
        <f t="shared" si="13"/>
        <v/>
      </c>
      <c r="AM33" s="33"/>
      <c r="AN33" s="36" t="str">
        <f t="shared" si="14"/>
        <v/>
      </c>
      <c r="AO33" s="95"/>
      <c r="AP33" s="99" t="str">
        <f t="shared" si="15"/>
        <v/>
      </c>
      <c r="AQ33" s="33"/>
      <c r="AR33" s="36" t="str">
        <f t="shared" si="16"/>
        <v/>
      </c>
      <c r="AS33" s="95"/>
      <c r="AT33" s="99" t="str">
        <f t="shared" si="42"/>
        <v/>
      </c>
      <c r="AU33" s="33"/>
      <c r="AV33" s="36" t="str">
        <f t="shared" si="18"/>
        <v/>
      </c>
      <c r="AW33" s="95"/>
      <c r="AX33" s="99" t="str">
        <f t="shared" si="19"/>
        <v/>
      </c>
      <c r="AY33" s="76"/>
      <c r="AZ33" s="36" t="str">
        <f t="shared" si="20"/>
        <v/>
      </c>
      <c r="BA33" s="95"/>
      <c r="BB33" s="99" t="str">
        <f t="shared" si="21"/>
        <v/>
      </c>
      <c r="BC33" s="33"/>
      <c r="BD33" s="36" t="str">
        <f t="shared" si="22"/>
        <v/>
      </c>
      <c r="BE33" s="95"/>
      <c r="BF33" s="99" t="str">
        <f t="shared" si="23"/>
        <v/>
      </c>
      <c r="BG33" s="33"/>
      <c r="BH33" s="36" t="str">
        <f t="shared" si="24"/>
        <v/>
      </c>
      <c r="BI33" s="95"/>
      <c r="BJ33" s="99" t="str">
        <f t="shared" si="25"/>
        <v/>
      </c>
      <c r="BK33" s="33"/>
      <c r="BL33" s="36" t="str">
        <f t="shared" si="26"/>
        <v/>
      </c>
      <c r="BM33" s="95"/>
      <c r="BN33" s="99" t="str">
        <f t="shared" si="27"/>
        <v/>
      </c>
      <c r="BO33" s="33"/>
      <c r="BP33" s="36" t="str">
        <f t="shared" si="28"/>
        <v/>
      </c>
      <c r="BQ33" s="95"/>
      <c r="BR33" s="99" t="str">
        <f t="shared" si="29"/>
        <v/>
      </c>
      <c r="BS33" s="33"/>
      <c r="BT33" s="36" t="str">
        <f t="shared" si="30"/>
        <v/>
      </c>
      <c r="BU33" s="95"/>
      <c r="BV33" s="99" t="str">
        <f t="shared" si="31"/>
        <v/>
      </c>
      <c r="BW33" s="33"/>
      <c r="BX33" s="36" t="str">
        <f t="shared" si="32"/>
        <v/>
      </c>
      <c r="BY33" s="95"/>
      <c r="BZ33" s="99" t="str">
        <f t="shared" si="33"/>
        <v/>
      </c>
      <c r="CA33" s="33"/>
      <c r="CB33" s="36" t="str">
        <f t="shared" si="34"/>
        <v/>
      </c>
      <c r="CC33" s="95"/>
      <c r="CD33" s="99" t="str">
        <f t="shared" si="35"/>
        <v/>
      </c>
      <c r="CE33" s="33"/>
      <c r="CF33" s="36" t="str">
        <f t="shared" si="36"/>
        <v/>
      </c>
      <c r="CG33" s="95"/>
      <c r="CH33" s="99" t="str">
        <f t="shared" si="37"/>
        <v/>
      </c>
      <c r="CI33" s="33"/>
      <c r="CJ33" s="36" t="str">
        <f t="shared" si="38"/>
        <v/>
      </c>
      <c r="CK33" s="95"/>
      <c r="CL33" s="99" t="str">
        <f t="shared" si="39"/>
        <v/>
      </c>
      <c r="CM33" s="33"/>
      <c r="CN33" s="36" t="str">
        <f t="shared" si="40"/>
        <v/>
      </c>
      <c r="CO33" s="95"/>
      <c r="CP33" s="99" t="str">
        <f t="shared" si="41"/>
        <v/>
      </c>
      <c r="CQ33" s="23" t="s">
        <v>417</v>
      </c>
    </row>
    <row r="34" spans="1:95" ht="20" customHeight="1" x14ac:dyDescent="0.2">
      <c r="A34" s="61"/>
      <c r="B34" s="24"/>
      <c r="C34" s="50" t="s">
        <v>85</v>
      </c>
      <c r="D34" s="49" t="s">
        <v>354</v>
      </c>
      <c r="E34" s="49" t="s">
        <v>72</v>
      </c>
      <c r="F34" s="50">
        <v>2014</v>
      </c>
      <c r="G34" s="50">
        <v>23</v>
      </c>
      <c r="H34" s="89">
        <v>28</v>
      </c>
      <c r="I34" s="85" t="s">
        <v>185</v>
      </c>
      <c r="J34" s="86" t="s">
        <v>193</v>
      </c>
      <c r="K34" s="33"/>
      <c r="L34" s="36" t="str">
        <f t="shared" si="0"/>
        <v/>
      </c>
      <c r="M34" s="95"/>
      <c r="N34" s="95" t="str">
        <f t="shared" si="1"/>
        <v/>
      </c>
      <c r="O34" s="33"/>
      <c r="P34" s="36" t="str">
        <f t="shared" si="2"/>
        <v/>
      </c>
      <c r="Q34" s="95"/>
      <c r="R34" s="99" t="str">
        <f t="shared" si="3"/>
        <v/>
      </c>
      <c r="S34" s="76"/>
      <c r="T34" s="36" t="str">
        <f t="shared" si="4"/>
        <v/>
      </c>
      <c r="U34" s="95"/>
      <c r="V34" s="99" t="str">
        <f t="shared" si="5"/>
        <v/>
      </c>
      <c r="W34" s="33"/>
      <c r="X34" s="36" t="str">
        <f t="shared" si="6"/>
        <v/>
      </c>
      <c r="Y34" s="95"/>
      <c r="Z34" s="99" t="str">
        <f t="shared" si="7"/>
        <v/>
      </c>
      <c r="AA34" s="33"/>
      <c r="AB34" s="36" t="str">
        <f t="shared" si="8"/>
        <v/>
      </c>
      <c r="AC34" s="95"/>
      <c r="AD34" s="99" t="str">
        <f t="shared" si="9"/>
        <v/>
      </c>
      <c r="AE34" s="33"/>
      <c r="AF34" s="36" t="str">
        <f t="shared" si="10"/>
        <v/>
      </c>
      <c r="AG34" s="95"/>
      <c r="AH34" s="99" t="str">
        <f t="shared" si="11"/>
        <v/>
      </c>
      <c r="AI34" s="33"/>
      <c r="AJ34" s="36" t="str">
        <f t="shared" si="12"/>
        <v/>
      </c>
      <c r="AK34" s="95"/>
      <c r="AL34" s="99" t="str">
        <f t="shared" si="13"/>
        <v/>
      </c>
      <c r="AM34" s="33"/>
      <c r="AN34" s="36" t="str">
        <f t="shared" si="14"/>
        <v/>
      </c>
      <c r="AO34" s="95"/>
      <c r="AP34" s="99" t="str">
        <f t="shared" si="15"/>
        <v/>
      </c>
      <c r="AQ34" s="33"/>
      <c r="AR34" s="36" t="str">
        <f t="shared" si="16"/>
        <v/>
      </c>
      <c r="AS34" s="95"/>
      <c r="AT34" s="99" t="str">
        <f t="shared" si="42"/>
        <v/>
      </c>
      <c r="AU34" s="33"/>
      <c r="AV34" s="36" t="str">
        <f t="shared" si="18"/>
        <v/>
      </c>
      <c r="AW34" s="95"/>
      <c r="AX34" s="99" t="str">
        <f t="shared" si="19"/>
        <v/>
      </c>
      <c r="AY34" s="76"/>
      <c r="AZ34" s="36" t="str">
        <f t="shared" si="20"/>
        <v/>
      </c>
      <c r="BA34" s="95"/>
      <c r="BB34" s="99" t="str">
        <f t="shared" si="21"/>
        <v/>
      </c>
      <c r="BC34" s="33"/>
      <c r="BD34" s="36" t="str">
        <f t="shared" si="22"/>
        <v/>
      </c>
      <c r="BE34" s="95"/>
      <c r="BF34" s="99" t="str">
        <f t="shared" si="23"/>
        <v/>
      </c>
      <c r="BG34" s="33"/>
      <c r="BH34" s="36" t="str">
        <f t="shared" si="24"/>
        <v/>
      </c>
      <c r="BI34" s="95"/>
      <c r="BJ34" s="99" t="str">
        <f t="shared" si="25"/>
        <v/>
      </c>
      <c r="BK34" s="33"/>
      <c r="BL34" s="36" t="str">
        <f t="shared" si="26"/>
        <v/>
      </c>
      <c r="BM34" s="95"/>
      <c r="BN34" s="99" t="str">
        <f t="shared" si="27"/>
        <v/>
      </c>
      <c r="BO34" s="33"/>
      <c r="BP34" s="36" t="str">
        <f t="shared" si="28"/>
        <v/>
      </c>
      <c r="BQ34" s="95"/>
      <c r="BR34" s="99" t="str">
        <f t="shared" si="29"/>
        <v/>
      </c>
      <c r="BS34" s="33"/>
      <c r="BT34" s="36" t="str">
        <f t="shared" si="30"/>
        <v/>
      </c>
      <c r="BU34" s="95"/>
      <c r="BV34" s="99" t="str">
        <f t="shared" si="31"/>
        <v/>
      </c>
      <c r="BW34" s="33"/>
      <c r="BX34" s="36" t="str">
        <f t="shared" si="32"/>
        <v/>
      </c>
      <c r="BY34" s="95"/>
      <c r="BZ34" s="99" t="str">
        <f t="shared" si="33"/>
        <v/>
      </c>
      <c r="CA34" s="33"/>
      <c r="CB34" s="36" t="str">
        <f t="shared" si="34"/>
        <v/>
      </c>
      <c r="CC34" s="95"/>
      <c r="CD34" s="99" t="str">
        <f t="shared" si="35"/>
        <v/>
      </c>
      <c r="CE34" s="33"/>
      <c r="CF34" s="36" t="str">
        <f t="shared" si="36"/>
        <v/>
      </c>
      <c r="CG34" s="95"/>
      <c r="CH34" s="99" t="str">
        <f t="shared" si="37"/>
        <v/>
      </c>
      <c r="CI34" s="33"/>
      <c r="CJ34" s="36" t="str">
        <f t="shared" si="38"/>
        <v/>
      </c>
      <c r="CK34" s="95"/>
      <c r="CL34" s="99" t="str">
        <f t="shared" si="39"/>
        <v/>
      </c>
      <c r="CM34" s="33"/>
      <c r="CN34" s="36" t="str">
        <f t="shared" si="40"/>
        <v/>
      </c>
      <c r="CO34" s="95"/>
      <c r="CP34" s="99" t="str">
        <f t="shared" si="41"/>
        <v/>
      </c>
      <c r="CQ34" s="23" t="s">
        <v>418</v>
      </c>
    </row>
    <row r="35" spans="1:95" ht="20" customHeight="1" x14ac:dyDescent="0.2">
      <c r="A35" s="60"/>
      <c r="B35" s="82"/>
      <c r="C35" s="24" t="s">
        <v>85</v>
      </c>
      <c r="D35" s="23" t="s">
        <v>283</v>
      </c>
      <c r="E35" s="23" t="s">
        <v>284</v>
      </c>
      <c r="F35" s="24">
        <v>2014</v>
      </c>
      <c r="H35" s="89">
        <v>28</v>
      </c>
      <c r="I35" s="85" t="s">
        <v>185</v>
      </c>
      <c r="J35" s="86" t="s">
        <v>193</v>
      </c>
      <c r="K35" s="33"/>
      <c r="L35" s="36" t="str">
        <f t="shared" si="0"/>
        <v/>
      </c>
      <c r="M35" s="95"/>
      <c r="N35" s="95" t="str">
        <f t="shared" si="1"/>
        <v/>
      </c>
      <c r="O35" s="33"/>
      <c r="P35" s="36" t="str">
        <f t="shared" si="2"/>
        <v/>
      </c>
      <c r="Q35" s="95"/>
      <c r="R35" s="99" t="str">
        <f t="shared" si="3"/>
        <v/>
      </c>
      <c r="S35" s="76">
        <v>3</v>
      </c>
      <c r="T35" s="36">
        <f t="shared" si="4"/>
        <v>10.714285714285714</v>
      </c>
      <c r="U35" s="95">
        <v>3</v>
      </c>
      <c r="V35" s="99">
        <f t="shared" si="5"/>
        <v>0</v>
      </c>
      <c r="W35" s="33"/>
      <c r="X35" s="36" t="str">
        <f t="shared" si="6"/>
        <v/>
      </c>
      <c r="Y35" s="95"/>
      <c r="Z35" s="99" t="str">
        <f t="shared" si="7"/>
        <v/>
      </c>
      <c r="AA35" s="33"/>
      <c r="AB35" s="36" t="str">
        <f t="shared" si="8"/>
        <v/>
      </c>
      <c r="AC35" s="95"/>
      <c r="AD35" s="99" t="str">
        <f t="shared" si="9"/>
        <v/>
      </c>
      <c r="AE35" s="33"/>
      <c r="AF35" s="36" t="str">
        <f t="shared" si="10"/>
        <v/>
      </c>
      <c r="AG35" s="95"/>
      <c r="AH35" s="99" t="str">
        <f t="shared" si="11"/>
        <v/>
      </c>
      <c r="AI35" s="33"/>
      <c r="AJ35" s="36" t="str">
        <f t="shared" si="12"/>
        <v/>
      </c>
      <c r="AK35" s="95"/>
      <c r="AL35" s="99" t="str">
        <f t="shared" si="13"/>
        <v/>
      </c>
      <c r="AM35" s="33"/>
      <c r="AN35" s="36" t="str">
        <f t="shared" si="14"/>
        <v/>
      </c>
      <c r="AO35" s="95"/>
      <c r="AP35" s="99" t="str">
        <f t="shared" si="15"/>
        <v/>
      </c>
      <c r="AQ35" s="33">
        <v>3</v>
      </c>
      <c r="AR35" s="36">
        <f t="shared" si="16"/>
        <v>10.714285714285714</v>
      </c>
      <c r="AS35" s="95">
        <v>7</v>
      </c>
      <c r="AT35" s="99">
        <f t="shared" si="42"/>
        <v>-4</v>
      </c>
      <c r="AU35" s="33">
        <v>4</v>
      </c>
      <c r="AV35" s="36">
        <f t="shared" si="18"/>
        <v>14.285714285714285</v>
      </c>
      <c r="AW35" s="95"/>
      <c r="AX35" s="99" t="str">
        <f t="shared" si="19"/>
        <v/>
      </c>
      <c r="AY35" s="76">
        <v>5</v>
      </c>
      <c r="AZ35" s="36">
        <f t="shared" si="20"/>
        <v>17.857142857142858</v>
      </c>
      <c r="BA35" s="95"/>
      <c r="BB35" s="99" t="str">
        <f t="shared" si="21"/>
        <v/>
      </c>
      <c r="BC35" s="33"/>
      <c r="BD35" s="36" t="str">
        <f t="shared" si="22"/>
        <v/>
      </c>
      <c r="BE35" s="95"/>
      <c r="BF35" s="99" t="str">
        <f t="shared" si="23"/>
        <v/>
      </c>
      <c r="BG35" s="33"/>
      <c r="BH35" s="36" t="str">
        <f t="shared" si="24"/>
        <v/>
      </c>
      <c r="BI35" s="95"/>
      <c r="BJ35" s="99" t="str">
        <f t="shared" si="25"/>
        <v/>
      </c>
      <c r="BK35" s="33">
        <v>0</v>
      </c>
      <c r="BL35" s="36" t="str">
        <f t="shared" si="26"/>
        <v/>
      </c>
      <c r="BM35" s="95">
        <v>3</v>
      </c>
      <c r="BN35" s="99">
        <f t="shared" si="27"/>
        <v>-3</v>
      </c>
      <c r="BO35" s="33"/>
      <c r="BP35" s="36" t="str">
        <f t="shared" si="28"/>
        <v/>
      </c>
      <c r="BQ35" s="95"/>
      <c r="BR35" s="99" t="str">
        <f t="shared" si="29"/>
        <v/>
      </c>
      <c r="BS35" s="33"/>
      <c r="BT35" s="36" t="str">
        <f t="shared" si="30"/>
        <v/>
      </c>
      <c r="BU35" s="95"/>
      <c r="BV35" s="99" t="str">
        <f t="shared" si="31"/>
        <v/>
      </c>
      <c r="BW35" s="33"/>
      <c r="BX35" s="36" t="str">
        <f t="shared" si="32"/>
        <v/>
      </c>
      <c r="BY35" s="95"/>
      <c r="BZ35" s="99" t="str">
        <f t="shared" si="33"/>
        <v/>
      </c>
      <c r="CA35" s="33"/>
      <c r="CB35" s="36" t="str">
        <f t="shared" si="34"/>
        <v/>
      </c>
      <c r="CC35" s="95"/>
      <c r="CD35" s="99" t="str">
        <f t="shared" si="35"/>
        <v/>
      </c>
      <c r="CE35" s="33"/>
      <c r="CF35" s="36" t="str">
        <f t="shared" si="36"/>
        <v/>
      </c>
      <c r="CG35" s="95"/>
      <c r="CH35" s="99" t="str">
        <f t="shared" si="37"/>
        <v/>
      </c>
      <c r="CI35" s="33"/>
      <c r="CJ35" s="36" t="str">
        <f t="shared" si="38"/>
        <v/>
      </c>
      <c r="CK35" s="95"/>
      <c r="CL35" s="99" t="str">
        <f t="shared" si="39"/>
        <v/>
      </c>
      <c r="CM35" s="33"/>
      <c r="CN35" s="36" t="str">
        <f t="shared" si="40"/>
        <v/>
      </c>
      <c r="CO35" s="95"/>
      <c r="CP35" s="99" t="str">
        <f t="shared" si="41"/>
        <v/>
      </c>
      <c r="CQ35" s="23" t="s">
        <v>355</v>
      </c>
    </row>
    <row r="36" spans="1:95" ht="20" customHeight="1" x14ac:dyDescent="0.2">
      <c r="A36" s="60"/>
      <c r="B36" s="83"/>
      <c r="C36" s="24" t="s">
        <v>85</v>
      </c>
      <c r="D36" s="23" t="s">
        <v>287</v>
      </c>
      <c r="E36" s="23" t="s">
        <v>288</v>
      </c>
      <c r="F36" s="24">
        <v>2015</v>
      </c>
      <c r="H36" s="89">
        <v>10</v>
      </c>
      <c r="I36" s="85" t="s">
        <v>345</v>
      </c>
      <c r="J36" s="86" t="s">
        <v>356</v>
      </c>
      <c r="K36" s="33"/>
      <c r="L36" s="36" t="str">
        <f t="shared" si="0"/>
        <v/>
      </c>
      <c r="M36" s="95"/>
      <c r="N36" s="95" t="str">
        <f t="shared" si="1"/>
        <v/>
      </c>
      <c r="O36" s="33"/>
      <c r="P36" s="36" t="str">
        <f t="shared" si="2"/>
        <v/>
      </c>
      <c r="Q36" s="95"/>
      <c r="R36" s="99" t="str">
        <f t="shared" si="3"/>
        <v/>
      </c>
      <c r="S36" s="76"/>
      <c r="T36" s="36" t="str">
        <f t="shared" si="4"/>
        <v/>
      </c>
      <c r="U36" s="95"/>
      <c r="V36" s="99" t="str">
        <f t="shared" si="5"/>
        <v/>
      </c>
      <c r="W36" s="33"/>
      <c r="X36" s="36" t="str">
        <f t="shared" si="6"/>
        <v/>
      </c>
      <c r="Y36" s="95"/>
      <c r="Z36" s="99" t="str">
        <f t="shared" si="7"/>
        <v/>
      </c>
      <c r="AA36" s="33"/>
      <c r="AB36" s="36" t="str">
        <f t="shared" si="8"/>
        <v/>
      </c>
      <c r="AC36" s="95"/>
      <c r="AD36" s="99" t="str">
        <f t="shared" si="9"/>
        <v/>
      </c>
      <c r="AE36" s="33"/>
      <c r="AF36" s="36" t="str">
        <f t="shared" si="10"/>
        <v/>
      </c>
      <c r="AG36" s="95"/>
      <c r="AH36" s="99" t="str">
        <f t="shared" si="11"/>
        <v/>
      </c>
      <c r="AI36" s="33"/>
      <c r="AJ36" s="36" t="str">
        <f t="shared" si="12"/>
        <v/>
      </c>
      <c r="AK36" s="95"/>
      <c r="AL36" s="99" t="str">
        <f t="shared" si="13"/>
        <v/>
      </c>
      <c r="AM36" s="33"/>
      <c r="AN36" s="36" t="str">
        <f t="shared" si="14"/>
        <v/>
      </c>
      <c r="AO36" s="95"/>
      <c r="AP36" s="99" t="str">
        <f t="shared" si="15"/>
        <v/>
      </c>
      <c r="AQ36" s="33"/>
      <c r="AR36" s="36" t="str">
        <f t="shared" si="16"/>
        <v/>
      </c>
      <c r="AS36" s="95"/>
      <c r="AT36" s="99" t="str">
        <f t="shared" si="42"/>
        <v/>
      </c>
      <c r="AU36" s="33"/>
      <c r="AV36" s="36" t="str">
        <f t="shared" si="18"/>
        <v/>
      </c>
      <c r="AW36" s="95"/>
      <c r="AX36" s="99" t="str">
        <f t="shared" si="19"/>
        <v/>
      </c>
      <c r="AY36" s="76"/>
      <c r="AZ36" s="36" t="str">
        <f t="shared" si="20"/>
        <v/>
      </c>
      <c r="BA36" s="95"/>
      <c r="BB36" s="99" t="str">
        <f t="shared" si="21"/>
        <v/>
      </c>
      <c r="BC36" s="33"/>
      <c r="BD36" s="36" t="str">
        <f t="shared" si="22"/>
        <v/>
      </c>
      <c r="BE36" s="95"/>
      <c r="BF36" s="99" t="str">
        <f t="shared" si="23"/>
        <v/>
      </c>
      <c r="BG36" s="33"/>
      <c r="BH36" s="36" t="str">
        <f t="shared" si="24"/>
        <v/>
      </c>
      <c r="BI36" s="95"/>
      <c r="BJ36" s="99" t="str">
        <f t="shared" si="25"/>
        <v/>
      </c>
      <c r="BK36" s="33"/>
      <c r="BL36" s="36" t="str">
        <f t="shared" si="26"/>
        <v/>
      </c>
      <c r="BM36" s="95"/>
      <c r="BN36" s="99" t="str">
        <f t="shared" si="27"/>
        <v/>
      </c>
      <c r="BO36" s="33"/>
      <c r="BP36" s="36" t="str">
        <f t="shared" si="28"/>
        <v/>
      </c>
      <c r="BQ36" s="95"/>
      <c r="BR36" s="99" t="str">
        <f t="shared" si="29"/>
        <v/>
      </c>
      <c r="BS36" s="33"/>
      <c r="BT36" s="36" t="str">
        <f t="shared" si="30"/>
        <v/>
      </c>
      <c r="BU36" s="95"/>
      <c r="BV36" s="99" t="str">
        <f t="shared" si="31"/>
        <v/>
      </c>
      <c r="BW36" s="33"/>
      <c r="BX36" s="36" t="str">
        <f t="shared" si="32"/>
        <v/>
      </c>
      <c r="BY36" s="95"/>
      <c r="BZ36" s="99" t="str">
        <f t="shared" si="33"/>
        <v/>
      </c>
      <c r="CA36" s="33"/>
      <c r="CB36" s="36" t="str">
        <f t="shared" si="34"/>
        <v/>
      </c>
      <c r="CC36" s="95"/>
      <c r="CD36" s="99" t="str">
        <f t="shared" si="35"/>
        <v/>
      </c>
      <c r="CE36" s="33"/>
      <c r="CF36" s="36" t="str">
        <f t="shared" si="36"/>
        <v/>
      </c>
      <c r="CG36" s="95"/>
      <c r="CH36" s="99" t="str">
        <f t="shared" si="37"/>
        <v/>
      </c>
      <c r="CI36" s="33"/>
      <c r="CJ36" s="36" t="str">
        <f t="shared" si="38"/>
        <v/>
      </c>
      <c r="CK36" s="95"/>
      <c r="CL36" s="99" t="str">
        <f t="shared" si="39"/>
        <v/>
      </c>
      <c r="CM36" s="33"/>
      <c r="CN36" s="36" t="str">
        <f t="shared" si="40"/>
        <v/>
      </c>
      <c r="CO36" s="95"/>
      <c r="CP36" s="99" t="str">
        <f t="shared" si="41"/>
        <v/>
      </c>
    </row>
    <row r="37" spans="1:95" ht="20" customHeight="1" x14ac:dyDescent="0.2">
      <c r="A37" s="60"/>
      <c r="B37" s="82"/>
      <c r="C37" s="24" t="s">
        <v>85</v>
      </c>
      <c r="D37" s="23" t="s">
        <v>79</v>
      </c>
      <c r="E37" s="23" t="s">
        <v>80</v>
      </c>
      <c r="F37" s="24">
        <v>2015</v>
      </c>
      <c r="G37" s="24">
        <v>10</v>
      </c>
      <c r="H37" s="89">
        <v>11</v>
      </c>
      <c r="I37" s="85" t="s">
        <v>195</v>
      </c>
      <c r="J37" s="86" t="s">
        <v>169</v>
      </c>
      <c r="K37" s="33"/>
      <c r="L37" s="36" t="str">
        <f t="shared" si="0"/>
        <v/>
      </c>
      <c r="M37" s="95"/>
      <c r="N37" s="95" t="str">
        <f t="shared" si="1"/>
        <v/>
      </c>
      <c r="O37" s="33"/>
      <c r="P37" s="36" t="str">
        <f t="shared" si="2"/>
        <v/>
      </c>
      <c r="Q37" s="95"/>
      <c r="R37" s="99" t="str">
        <f t="shared" si="3"/>
        <v/>
      </c>
      <c r="S37" s="76"/>
      <c r="T37" s="36" t="str">
        <f t="shared" si="4"/>
        <v/>
      </c>
      <c r="U37" s="95"/>
      <c r="V37" s="99" t="str">
        <f t="shared" si="5"/>
        <v/>
      </c>
      <c r="W37" s="33"/>
      <c r="X37" s="36" t="str">
        <f t="shared" si="6"/>
        <v/>
      </c>
      <c r="Y37" s="95"/>
      <c r="Z37" s="99" t="str">
        <f t="shared" si="7"/>
        <v/>
      </c>
      <c r="AA37" s="33"/>
      <c r="AB37" s="36" t="str">
        <f t="shared" si="8"/>
        <v/>
      </c>
      <c r="AC37" s="95"/>
      <c r="AD37" s="99" t="str">
        <f t="shared" si="9"/>
        <v/>
      </c>
      <c r="AE37" s="33"/>
      <c r="AF37" s="36" t="str">
        <f t="shared" si="10"/>
        <v/>
      </c>
      <c r="AG37" s="95"/>
      <c r="AH37" s="99" t="str">
        <f t="shared" si="11"/>
        <v/>
      </c>
      <c r="AI37" s="33"/>
      <c r="AJ37" s="36" t="str">
        <f t="shared" si="12"/>
        <v/>
      </c>
      <c r="AK37" s="95"/>
      <c r="AL37" s="99" t="str">
        <f t="shared" si="13"/>
        <v/>
      </c>
      <c r="AM37" s="33"/>
      <c r="AN37" s="36" t="str">
        <f t="shared" si="14"/>
        <v/>
      </c>
      <c r="AO37" s="95"/>
      <c r="AP37" s="99" t="str">
        <f t="shared" si="15"/>
        <v/>
      </c>
      <c r="AQ37" s="38">
        <v>1</v>
      </c>
      <c r="AR37" s="39">
        <f t="shared" si="16"/>
        <v>9.0909090909090917</v>
      </c>
      <c r="AS37" s="118">
        <v>0</v>
      </c>
      <c r="AT37" s="119">
        <f t="shared" si="42"/>
        <v>1</v>
      </c>
      <c r="AU37" s="33"/>
      <c r="AV37" s="36" t="str">
        <f t="shared" si="18"/>
        <v/>
      </c>
      <c r="AW37" s="95"/>
      <c r="AX37" s="99" t="str">
        <f t="shared" si="19"/>
        <v/>
      </c>
      <c r="AY37" s="76">
        <v>3</v>
      </c>
      <c r="AZ37" s="36">
        <f t="shared" si="20"/>
        <v>27.27272727272727</v>
      </c>
      <c r="BA37" s="95">
        <v>2</v>
      </c>
      <c r="BB37" s="99">
        <f t="shared" si="21"/>
        <v>1</v>
      </c>
      <c r="BC37" s="33"/>
      <c r="BD37" s="36" t="str">
        <f t="shared" si="22"/>
        <v/>
      </c>
      <c r="BE37" s="95"/>
      <c r="BF37" s="99" t="str">
        <f t="shared" si="23"/>
        <v/>
      </c>
      <c r="BG37" s="33"/>
      <c r="BH37" s="36" t="str">
        <f t="shared" si="24"/>
        <v/>
      </c>
      <c r="BI37" s="95"/>
      <c r="BJ37" s="99" t="str">
        <f t="shared" si="25"/>
        <v/>
      </c>
      <c r="BK37" s="33"/>
      <c r="BL37" s="36" t="str">
        <f t="shared" si="26"/>
        <v/>
      </c>
      <c r="BM37" s="95"/>
      <c r="BN37" s="99" t="str">
        <f t="shared" si="27"/>
        <v/>
      </c>
      <c r="BO37" s="33"/>
      <c r="BP37" s="36" t="str">
        <f t="shared" si="28"/>
        <v/>
      </c>
      <c r="BQ37" s="95"/>
      <c r="BR37" s="99" t="str">
        <f t="shared" si="29"/>
        <v/>
      </c>
      <c r="BS37" s="33"/>
      <c r="BT37" s="36" t="str">
        <f t="shared" si="30"/>
        <v/>
      </c>
      <c r="BU37" s="95"/>
      <c r="BV37" s="99" t="str">
        <f t="shared" si="31"/>
        <v/>
      </c>
      <c r="BW37" s="33"/>
      <c r="BX37" s="36" t="str">
        <f t="shared" si="32"/>
        <v/>
      </c>
      <c r="BY37" s="95"/>
      <c r="BZ37" s="99" t="str">
        <f t="shared" si="33"/>
        <v/>
      </c>
      <c r="CA37" s="33"/>
      <c r="CB37" s="36" t="str">
        <f t="shared" si="34"/>
        <v/>
      </c>
      <c r="CC37" s="95"/>
      <c r="CD37" s="99" t="str">
        <f t="shared" si="35"/>
        <v/>
      </c>
      <c r="CE37" s="33"/>
      <c r="CF37" s="36" t="str">
        <f t="shared" si="36"/>
        <v/>
      </c>
      <c r="CG37" s="95"/>
      <c r="CH37" s="99" t="str">
        <f t="shared" si="37"/>
        <v/>
      </c>
      <c r="CI37" s="33"/>
      <c r="CJ37" s="36" t="str">
        <f t="shared" si="38"/>
        <v/>
      </c>
      <c r="CK37" s="95"/>
      <c r="CL37" s="99" t="str">
        <f t="shared" si="39"/>
        <v/>
      </c>
      <c r="CM37" s="33"/>
      <c r="CN37" s="36" t="str">
        <f t="shared" si="40"/>
        <v/>
      </c>
      <c r="CO37" s="95"/>
      <c r="CP37" s="99" t="str">
        <f t="shared" si="41"/>
        <v/>
      </c>
      <c r="CQ37" s="23" t="s">
        <v>194</v>
      </c>
    </row>
    <row r="38" spans="1:95" ht="20" customHeight="1" x14ac:dyDescent="0.2">
      <c r="A38" s="61"/>
      <c r="B38" s="83"/>
      <c r="C38" s="24" t="s">
        <v>85</v>
      </c>
      <c r="D38" s="23" t="s">
        <v>91</v>
      </c>
      <c r="E38" s="23" t="s">
        <v>92</v>
      </c>
      <c r="F38" s="24">
        <v>2001</v>
      </c>
      <c r="G38" s="24">
        <v>170</v>
      </c>
      <c r="H38" s="89">
        <v>22</v>
      </c>
      <c r="I38" s="85" t="s">
        <v>176</v>
      </c>
      <c r="J38" s="86" t="s">
        <v>169</v>
      </c>
      <c r="K38" s="33"/>
      <c r="L38" s="36" t="str">
        <f t="shared" si="0"/>
        <v/>
      </c>
      <c r="M38" s="95"/>
      <c r="N38" s="95" t="str">
        <f t="shared" si="1"/>
        <v/>
      </c>
      <c r="O38" s="33"/>
      <c r="P38" s="36" t="str">
        <f t="shared" si="2"/>
        <v/>
      </c>
      <c r="Q38" s="95"/>
      <c r="R38" s="99" t="str">
        <f t="shared" si="3"/>
        <v/>
      </c>
      <c r="S38" s="76"/>
      <c r="T38" s="36" t="str">
        <f t="shared" si="4"/>
        <v/>
      </c>
      <c r="U38" s="95"/>
      <c r="V38" s="99" t="str">
        <f t="shared" si="5"/>
        <v/>
      </c>
      <c r="W38" s="33"/>
      <c r="X38" s="36" t="str">
        <f t="shared" si="6"/>
        <v/>
      </c>
      <c r="Y38" s="95"/>
      <c r="Z38" s="99" t="str">
        <f t="shared" si="7"/>
        <v/>
      </c>
      <c r="AA38" s="33"/>
      <c r="AB38" s="36" t="str">
        <f t="shared" si="8"/>
        <v/>
      </c>
      <c r="AC38" s="95"/>
      <c r="AD38" s="99" t="str">
        <f t="shared" si="9"/>
        <v/>
      </c>
      <c r="AE38" s="33"/>
      <c r="AF38" s="36" t="str">
        <f t="shared" si="10"/>
        <v/>
      </c>
      <c r="AG38" s="95"/>
      <c r="AH38" s="99" t="str">
        <f t="shared" si="11"/>
        <v/>
      </c>
      <c r="AI38" s="33"/>
      <c r="AJ38" s="36" t="str">
        <f t="shared" si="12"/>
        <v/>
      </c>
      <c r="AK38" s="95"/>
      <c r="AL38" s="99" t="str">
        <f t="shared" si="13"/>
        <v/>
      </c>
      <c r="AM38" s="33"/>
      <c r="AN38" s="36" t="str">
        <f t="shared" si="14"/>
        <v/>
      </c>
      <c r="AO38" s="95"/>
      <c r="AP38" s="99" t="str">
        <f t="shared" si="15"/>
        <v/>
      </c>
      <c r="AQ38" s="33"/>
      <c r="AR38" s="36" t="str">
        <f t="shared" si="16"/>
        <v/>
      </c>
      <c r="AS38" s="95"/>
      <c r="AT38" s="99" t="str">
        <f t="shared" si="42"/>
        <v/>
      </c>
      <c r="AU38" s="33"/>
      <c r="AV38" s="36" t="str">
        <f t="shared" si="18"/>
        <v/>
      </c>
      <c r="AW38" s="95"/>
      <c r="AX38" s="99" t="str">
        <f t="shared" si="19"/>
        <v/>
      </c>
      <c r="AY38" s="76"/>
      <c r="AZ38" s="36" t="str">
        <f t="shared" si="20"/>
        <v/>
      </c>
      <c r="BA38" s="95"/>
      <c r="BB38" s="99" t="str">
        <f t="shared" si="21"/>
        <v/>
      </c>
      <c r="BC38" s="33"/>
      <c r="BD38" s="36" t="str">
        <f t="shared" si="22"/>
        <v/>
      </c>
      <c r="BE38" s="95"/>
      <c r="BF38" s="99" t="str">
        <f t="shared" si="23"/>
        <v/>
      </c>
      <c r="BG38" s="33"/>
      <c r="BH38" s="36" t="str">
        <f t="shared" si="24"/>
        <v/>
      </c>
      <c r="BI38" s="95"/>
      <c r="BJ38" s="99" t="str">
        <f t="shared" si="25"/>
        <v/>
      </c>
      <c r="BK38" s="33"/>
      <c r="BL38" s="36" t="str">
        <f t="shared" si="26"/>
        <v/>
      </c>
      <c r="BM38" s="95"/>
      <c r="BN38" s="99" t="str">
        <f t="shared" si="27"/>
        <v/>
      </c>
      <c r="BO38" s="33"/>
      <c r="BP38" s="36" t="str">
        <f t="shared" si="28"/>
        <v/>
      </c>
      <c r="BQ38" s="95"/>
      <c r="BR38" s="99" t="str">
        <f t="shared" si="29"/>
        <v/>
      </c>
      <c r="BS38" s="33"/>
      <c r="BT38" s="36" t="str">
        <f t="shared" si="30"/>
        <v/>
      </c>
      <c r="BU38" s="95"/>
      <c r="BV38" s="99" t="str">
        <f t="shared" si="31"/>
        <v/>
      </c>
      <c r="BW38" s="33"/>
      <c r="BX38" s="36" t="str">
        <f t="shared" si="32"/>
        <v/>
      </c>
      <c r="BY38" s="95"/>
      <c r="BZ38" s="99" t="str">
        <f t="shared" si="33"/>
        <v/>
      </c>
      <c r="CA38" s="33"/>
      <c r="CB38" s="36" t="str">
        <f t="shared" si="34"/>
        <v/>
      </c>
      <c r="CC38" s="95"/>
      <c r="CD38" s="99" t="str">
        <f t="shared" si="35"/>
        <v/>
      </c>
      <c r="CE38" s="33"/>
      <c r="CF38" s="36" t="str">
        <f t="shared" si="36"/>
        <v/>
      </c>
      <c r="CG38" s="95"/>
      <c r="CH38" s="99" t="str">
        <f t="shared" si="37"/>
        <v/>
      </c>
      <c r="CI38" s="33"/>
      <c r="CJ38" s="36" t="str">
        <f t="shared" si="38"/>
        <v/>
      </c>
      <c r="CK38" s="95"/>
      <c r="CL38" s="99" t="str">
        <f t="shared" si="39"/>
        <v/>
      </c>
      <c r="CM38" s="33"/>
      <c r="CN38" s="36" t="str">
        <f t="shared" si="40"/>
        <v/>
      </c>
      <c r="CO38" s="95"/>
      <c r="CP38" s="99" t="str">
        <f t="shared" si="41"/>
        <v/>
      </c>
      <c r="CQ38" s="23" t="s">
        <v>181</v>
      </c>
    </row>
    <row r="39" spans="1:95" ht="20" customHeight="1" x14ac:dyDescent="0.2">
      <c r="A39" s="60"/>
      <c r="B39" s="83"/>
      <c r="C39" s="24" t="s">
        <v>85</v>
      </c>
      <c r="D39" s="23" t="s">
        <v>291</v>
      </c>
      <c r="E39" s="23" t="s">
        <v>292</v>
      </c>
      <c r="F39" s="24">
        <v>2009</v>
      </c>
      <c r="H39" s="89">
        <v>20</v>
      </c>
      <c r="I39" s="85" t="s">
        <v>214</v>
      </c>
      <c r="J39" s="86" t="s">
        <v>191</v>
      </c>
      <c r="K39" s="33"/>
      <c r="L39" s="36" t="str">
        <f t="shared" si="0"/>
        <v/>
      </c>
      <c r="M39" s="95"/>
      <c r="N39" s="95" t="str">
        <f t="shared" si="1"/>
        <v/>
      </c>
      <c r="O39" s="33"/>
      <c r="P39" s="36" t="str">
        <f t="shared" si="2"/>
        <v/>
      </c>
      <c r="Q39" s="95"/>
      <c r="R39" s="99" t="str">
        <f t="shared" si="3"/>
        <v/>
      </c>
      <c r="S39" s="76"/>
      <c r="T39" s="36" t="str">
        <f t="shared" si="4"/>
        <v/>
      </c>
      <c r="U39" s="95"/>
      <c r="V39" s="99" t="str">
        <f t="shared" si="5"/>
        <v/>
      </c>
      <c r="W39" s="33"/>
      <c r="X39" s="36" t="str">
        <f t="shared" si="6"/>
        <v/>
      </c>
      <c r="Y39" s="95"/>
      <c r="Z39" s="99" t="str">
        <f t="shared" si="7"/>
        <v/>
      </c>
      <c r="AA39" s="33"/>
      <c r="AB39" s="36" t="str">
        <f t="shared" si="8"/>
        <v/>
      </c>
      <c r="AC39" s="95"/>
      <c r="AD39" s="99" t="str">
        <f t="shared" si="9"/>
        <v/>
      </c>
      <c r="AE39" s="33"/>
      <c r="AF39" s="36" t="str">
        <f t="shared" si="10"/>
        <v/>
      </c>
      <c r="AG39" s="95"/>
      <c r="AH39" s="99" t="str">
        <f t="shared" si="11"/>
        <v/>
      </c>
      <c r="AI39" s="33"/>
      <c r="AJ39" s="36" t="str">
        <f t="shared" si="12"/>
        <v/>
      </c>
      <c r="AK39" s="95"/>
      <c r="AL39" s="99" t="str">
        <f t="shared" si="13"/>
        <v/>
      </c>
      <c r="AM39" s="33"/>
      <c r="AN39" s="36" t="str">
        <f t="shared" si="14"/>
        <v/>
      </c>
      <c r="AO39" s="95"/>
      <c r="AP39" s="99" t="str">
        <f t="shared" si="15"/>
        <v/>
      </c>
      <c r="AQ39" s="33"/>
      <c r="AR39" s="36" t="str">
        <f t="shared" si="16"/>
        <v/>
      </c>
      <c r="AS39" s="95"/>
      <c r="AT39" s="99" t="str">
        <f t="shared" si="42"/>
        <v/>
      </c>
      <c r="AU39" s="33"/>
      <c r="AV39" s="36" t="str">
        <f t="shared" si="18"/>
        <v/>
      </c>
      <c r="AW39" s="95"/>
      <c r="AX39" s="99" t="str">
        <f t="shared" si="19"/>
        <v/>
      </c>
      <c r="AY39" s="76"/>
      <c r="AZ39" s="36" t="str">
        <f t="shared" si="20"/>
        <v/>
      </c>
      <c r="BA39" s="95"/>
      <c r="BB39" s="99" t="str">
        <f t="shared" si="21"/>
        <v/>
      </c>
      <c r="BC39" s="33"/>
      <c r="BD39" s="36" t="str">
        <f t="shared" si="22"/>
        <v/>
      </c>
      <c r="BE39" s="95"/>
      <c r="BF39" s="99" t="str">
        <f t="shared" si="23"/>
        <v/>
      </c>
      <c r="BG39" s="33"/>
      <c r="BH39" s="36" t="str">
        <f t="shared" si="24"/>
        <v/>
      </c>
      <c r="BI39" s="95"/>
      <c r="BJ39" s="99" t="str">
        <f t="shared" si="25"/>
        <v/>
      </c>
      <c r="BK39" s="33"/>
      <c r="BL39" s="36" t="str">
        <f t="shared" si="26"/>
        <v/>
      </c>
      <c r="BM39" s="95"/>
      <c r="BN39" s="99" t="str">
        <f t="shared" si="27"/>
        <v/>
      </c>
      <c r="BO39" s="33"/>
      <c r="BP39" s="36" t="str">
        <f t="shared" si="28"/>
        <v/>
      </c>
      <c r="BQ39" s="95"/>
      <c r="BR39" s="99" t="str">
        <f t="shared" si="29"/>
        <v/>
      </c>
      <c r="BS39" s="33"/>
      <c r="BT39" s="36" t="str">
        <f t="shared" si="30"/>
        <v/>
      </c>
      <c r="BU39" s="95"/>
      <c r="BV39" s="99" t="str">
        <f t="shared" si="31"/>
        <v/>
      </c>
      <c r="BW39" s="33"/>
      <c r="BX39" s="36" t="str">
        <f t="shared" si="32"/>
        <v/>
      </c>
      <c r="BY39" s="95"/>
      <c r="BZ39" s="99" t="str">
        <f t="shared" si="33"/>
        <v/>
      </c>
      <c r="CA39" s="33"/>
      <c r="CB39" s="36" t="str">
        <f t="shared" si="34"/>
        <v/>
      </c>
      <c r="CC39" s="95"/>
      <c r="CD39" s="99" t="str">
        <f t="shared" si="35"/>
        <v/>
      </c>
      <c r="CE39" s="33"/>
      <c r="CF39" s="36" t="str">
        <f t="shared" si="36"/>
        <v/>
      </c>
      <c r="CG39" s="95"/>
      <c r="CH39" s="99" t="str">
        <f t="shared" si="37"/>
        <v/>
      </c>
      <c r="CI39" s="33"/>
      <c r="CJ39" s="36" t="str">
        <f t="shared" si="38"/>
        <v/>
      </c>
      <c r="CK39" s="95"/>
      <c r="CL39" s="99" t="str">
        <f t="shared" si="39"/>
        <v/>
      </c>
      <c r="CM39" s="33"/>
      <c r="CN39" s="36" t="str">
        <f t="shared" si="40"/>
        <v/>
      </c>
      <c r="CO39" s="95"/>
      <c r="CP39" s="99" t="str">
        <f t="shared" si="41"/>
        <v/>
      </c>
      <c r="CQ39" s="23" t="s">
        <v>360</v>
      </c>
    </row>
    <row r="40" spans="1:95" ht="20" customHeight="1" x14ac:dyDescent="0.2">
      <c r="A40" s="60"/>
      <c r="B40" s="24"/>
      <c r="C40" s="24" t="s">
        <v>85</v>
      </c>
      <c r="D40" s="23" t="s">
        <v>293</v>
      </c>
      <c r="E40" s="23" t="s">
        <v>294</v>
      </c>
      <c r="F40" s="24">
        <v>2006</v>
      </c>
      <c r="H40" s="89">
        <v>10</v>
      </c>
      <c r="I40" s="85" t="s">
        <v>361</v>
      </c>
      <c r="J40" s="86" t="s">
        <v>169</v>
      </c>
      <c r="K40" s="33"/>
      <c r="L40" s="36" t="str">
        <f t="shared" si="0"/>
        <v/>
      </c>
      <c r="M40" s="95"/>
      <c r="N40" s="95" t="str">
        <f t="shared" si="1"/>
        <v/>
      </c>
      <c r="O40" s="33"/>
      <c r="P40" s="36" t="str">
        <f t="shared" si="2"/>
        <v/>
      </c>
      <c r="Q40" s="95"/>
      <c r="R40" s="99" t="str">
        <f t="shared" si="3"/>
        <v/>
      </c>
      <c r="S40" s="76"/>
      <c r="T40" s="36" t="str">
        <f t="shared" si="4"/>
        <v/>
      </c>
      <c r="U40" s="95"/>
      <c r="V40" s="99" t="str">
        <f t="shared" si="5"/>
        <v/>
      </c>
      <c r="W40" s="33"/>
      <c r="X40" s="36" t="str">
        <f t="shared" si="6"/>
        <v/>
      </c>
      <c r="Y40" s="95"/>
      <c r="Z40" s="99" t="str">
        <f t="shared" si="7"/>
        <v/>
      </c>
      <c r="AA40" s="38"/>
      <c r="AB40" s="39" t="str">
        <f t="shared" si="8"/>
        <v/>
      </c>
      <c r="AC40" s="118"/>
      <c r="AD40" s="119" t="str">
        <f t="shared" si="9"/>
        <v/>
      </c>
      <c r="AE40" s="33"/>
      <c r="AF40" s="36" t="str">
        <f t="shared" si="10"/>
        <v/>
      </c>
      <c r="AG40" s="95"/>
      <c r="AH40" s="99" t="str">
        <f t="shared" si="11"/>
        <v/>
      </c>
      <c r="AI40" s="33"/>
      <c r="AJ40" s="36" t="str">
        <f t="shared" si="12"/>
        <v/>
      </c>
      <c r="AK40" s="95"/>
      <c r="AL40" s="99" t="str">
        <f t="shared" si="13"/>
        <v/>
      </c>
      <c r="AM40" s="33"/>
      <c r="AN40" s="36" t="str">
        <f t="shared" si="14"/>
        <v/>
      </c>
      <c r="AO40" s="95"/>
      <c r="AP40" s="99" t="str">
        <f t="shared" si="15"/>
        <v/>
      </c>
      <c r="AQ40" s="33"/>
      <c r="AR40" s="36" t="str">
        <f t="shared" si="16"/>
        <v/>
      </c>
      <c r="AS40" s="95"/>
      <c r="AT40" s="99" t="str">
        <f t="shared" si="42"/>
        <v/>
      </c>
      <c r="AU40" s="33"/>
      <c r="AV40" s="36" t="str">
        <f t="shared" si="18"/>
        <v/>
      </c>
      <c r="AW40" s="95"/>
      <c r="AX40" s="99" t="str">
        <f t="shared" si="19"/>
        <v/>
      </c>
      <c r="AY40" s="76"/>
      <c r="AZ40" s="36" t="str">
        <f t="shared" si="20"/>
        <v/>
      </c>
      <c r="BA40" s="95"/>
      <c r="BB40" s="99" t="str">
        <f t="shared" si="21"/>
        <v/>
      </c>
      <c r="BC40" s="33"/>
      <c r="BD40" s="36" t="str">
        <f t="shared" si="22"/>
        <v/>
      </c>
      <c r="BE40" s="95"/>
      <c r="BF40" s="99" t="str">
        <f t="shared" si="23"/>
        <v/>
      </c>
      <c r="BG40" s="33"/>
      <c r="BH40" s="36" t="str">
        <f t="shared" si="24"/>
        <v/>
      </c>
      <c r="BI40" s="95"/>
      <c r="BJ40" s="99" t="str">
        <f t="shared" si="25"/>
        <v/>
      </c>
      <c r="BK40" s="33"/>
      <c r="BL40" s="36" t="str">
        <f t="shared" si="26"/>
        <v/>
      </c>
      <c r="BM40" s="95"/>
      <c r="BN40" s="99" t="str">
        <f t="shared" si="27"/>
        <v/>
      </c>
      <c r="BO40" s="33"/>
      <c r="BP40" s="36" t="str">
        <f t="shared" si="28"/>
        <v/>
      </c>
      <c r="BQ40" s="95"/>
      <c r="BR40" s="99" t="str">
        <f t="shared" si="29"/>
        <v/>
      </c>
      <c r="BS40" s="33"/>
      <c r="BT40" s="36" t="str">
        <f t="shared" si="30"/>
        <v/>
      </c>
      <c r="BU40" s="95"/>
      <c r="BV40" s="99" t="str">
        <f t="shared" si="31"/>
        <v/>
      </c>
      <c r="BW40" s="33"/>
      <c r="BX40" s="36" t="str">
        <f t="shared" si="32"/>
        <v/>
      </c>
      <c r="BY40" s="95"/>
      <c r="BZ40" s="99" t="str">
        <f t="shared" si="33"/>
        <v/>
      </c>
      <c r="CA40" s="33"/>
      <c r="CB40" s="36" t="str">
        <f t="shared" si="34"/>
        <v/>
      </c>
      <c r="CC40" s="95"/>
      <c r="CD40" s="99" t="str">
        <f t="shared" si="35"/>
        <v/>
      </c>
      <c r="CE40" s="33"/>
      <c r="CF40" s="36" t="str">
        <f t="shared" si="36"/>
        <v/>
      </c>
      <c r="CG40" s="95"/>
      <c r="CH40" s="99" t="str">
        <f t="shared" si="37"/>
        <v/>
      </c>
      <c r="CI40" s="33"/>
      <c r="CJ40" s="36" t="str">
        <f t="shared" si="38"/>
        <v/>
      </c>
      <c r="CK40" s="95"/>
      <c r="CL40" s="99" t="str">
        <f t="shared" si="39"/>
        <v/>
      </c>
      <c r="CM40" s="33"/>
      <c r="CN40" s="36" t="str">
        <f t="shared" si="40"/>
        <v/>
      </c>
      <c r="CO40" s="95"/>
      <c r="CP40" s="99" t="str">
        <f t="shared" si="41"/>
        <v/>
      </c>
      <c r="CQ40" s="23" t="s">
        <v>362</v>
      </c>
    </row>
    <row r="41" spans="1:95" ht="20" customHeight="1" x14ac:dyDescent="0.2">
      <c r="A41" s="61"/>
      <c r="B41" s="24"/>
      <c r="C41" s="24" t="s">
        <v>85</v>
      </c>
      <c r="D41" s="23" t="s">
        <v>297</v>
      </c>
      <c r="E41" s="23" t="s">
        <v>298</v>
      </c>
      <c r="F41" s="24">
        <v>2016</v>
      </c>
      <c r="H41" s="89">
        <v>25</v>
      </c>
      <c r="I41" s="85" t="s">
        <v>214</v>
      </c>
      <c r="J41" s="86" t="s">
        <v>192</v>
      </c>
      <c r="K41" s="33"/>
      <c r="L41" s="36" t="str">
        <f t="shared" si="0"/>
        <v/>
      </c>
      <c r="M41" s="95"/>
      <c r="N41" s="95" t="str">
        <f t="shared" si="1"/>
        <v/>
      </c>
      <c r="O41" s="33"/>
      <c r="P41" s="36" t="str">
        <f t="shared" si="2"/>
        <v/>
      </c>
      <c r="Q41" s="95"/>
      <c r="R41" s="99" t="str">
        <f t="shared" si="3"/>
        <v/>
      </c>
      <c r="S41" s="76"/>
      <c r="T41" s="36" t="str">
        <f t="shared" si="4"/>
        <v/>
      </c>
      <c r="U41" s="95"/>
      <c r="V41" s="99" t="str">
        <f t="shared" si="5"/>
        <v/>
      </c>
      <c r="W41" s="33"/>
      <c r="X41" s="36" t="str">
        <f t="shared" si="6"/>
        <v/>
      </c>
      <c r="Y41" s="95"/>
      <c r="Z41" s="99" t="str">
        <f t="shared" si="7"/>
        <v/>
      </c>
      <c r="AA41" s="33"/>
      <c r="AB41" s="36" t="str">
        <f t="shared" si="8"/>
        <v/>
      </c>
      <c r="AC41" s="95"/>
      <c r="AD41" s="99" t="str">
        <f t="shared" si="9"/>
        <v/>
      </c>
      <c r="AE41" s="33"/>
      <c r="AF41" s="36" t="str">
        <f t="shared" si="10"/>
        <v/>
      </c>
      <c r="AG41" s="95"/>
      <c r="AH41" s="99" t="str">
        <f t="shared" si="11"/>
        <v/>
      </c>
      <c r="AI41" s="33"/>
      <c r="AJ41" s="36" t="str">
        <f t="shared" si="12"/>
        <v/>
      </c>
      <c r="AK41" s="95"/>
      <c r="AL41" s="99" t="str">
        <f t="shared" si="13"/>
        <v/>
      </c>
      <c r="AM41" s="33"/>
      <c r="AN41" s="36" t="str">
        <f t="shared" si="14"/>
        <v/>
      </c>
      <c r="AO41" s="95"/>
      <c r="AP41" s="99" t="str">
        <f t="shared" si="15"/>
        <v/>
      </c>
      <c r="AQ41" s="33"/>
      <c r="AR41" s="36" t="str">
        <f t="shared" si="16"/>
        <v/>
      </c>
      <c r="AS41" s="95"/>
      <c r="AT41" s="99" t="str">
        <f t="shared" si="42"/>
        <v/>
      </c>
      <c r="AU41" s="33"/>
      <c r="AV41" s="36" t="str">
        <f t="shared" si="18"/>
        <v/>
      </c>
      <c r="AW41" s="95"/>
      <c r="AX41" s="99" t="str">
        <f t="shared" si="19"/>
        <v/>
      </c>
      <c r="AY41" s="76"/>
      <c r="AZ41" s="36" t="str">
        <f t="shared" si="20"/>
        <v/>
      </c>
      <c r="BA41" s="95"/>
      <c r="BB41" s="99" t="str">
        <f t="shared" si="21"/>
        <v/>
      </c>
      <c r="BC41" s="33"/>
      <c r="BD41" s="36" t="str">
        <f t="shared" si="22"/>
        <v/>
      </c>
      <c r="BE41" s="95"/>
      <c r="BF41" s="99" t="str">
        <f t="shared" si="23"/>
        <v/>
      </c>
      <c r="BG41" s="33"/>
      <c r="BH41" s="36" t="str">
        <f t="shared" si="24"/>
        <v/>
      </c>
      <c r="BI41" s="95"/>
      <c r="BJ41" s="99" t="str">
        <f t="shared" si="25"/>
        <v/>
      </c>
      <c r="BK41" s="33"/>
      <c r="BL41" s="36" t="str">
        <f t="shared" si="26"/>
        <v/>
      </c>
      <c r="BM41" s="95"/>
      <c r="BN41" s="99" t="str">
        <f t="shared" si="27"/>
        <v/>
      </c>
      <c r="BO41" s="33"/>
      <c r="BP41" s="36" t="str">
        <f t="shared" si="28"/>
        <v/>
      </c>
      <c r="BQ41" s="95"/>
      <c r="BR41" s="99" t="str">
        <f t="shared" si="29"/>
        <v/>
      </c>
      <c r="BS41" s="33"/>
      <c r="BT41" s="36" t="str">
        <f t="shared" si="30"/>
        <v/>
      </c>
      <c r="BU41" s="95"/>
      <c r="BV41" s="99" t="str">
        <f t="shared" si="31"/>
        <v/>
      </c>
      <c r="BW41" s="33"/>
      <c r="BX41" s="36" t="str">
        <f t="shared" si="32"/>
        <v/>
      </c>
      <c r="BY41" s="95"/>
      <c r="BZ41" s="99" t="str">
        <f t="shared" si="33"/>
        <v/>
      </c>
      <c r="CA41" s="33"/>
      <c r="CB41" s="36" t="str">
        <f t="shared" si="34"/>
        <v/>
      </c>
      <c r="CC41" s="95"/>
      <c r="CD41" s="99" t="str">
        <f t="shared" si="35"/>
        <v/>
      </c>
      <c r="CE41" s="33"/>
      <c r="CF41" s="36" t="str">
        <f t="shared" si="36"/>
        <v/>
      </c>
      <c r="CG41" s="95"/>
      <c r="CH41" s="99" t="str">
        <f t="shared" si="37"/>
        <v/>
      </c>
      <c r="CI41" s="33"/>
      <c r="CJ41" s="36" t="str">
        <f t="shared" si="38"/>
        <v/>
      </c>
      <c r="CK41" s="95"/>
      <c r="CL41" s="99" t="str">
        <f t="shared" si="39"/>
        <v/>
      </c>
      <c r="CM41" s="33"/>
      <c r="CN41" s="36" t="str">
        <f t="shared" si="40"/>
        <v/>
      </c>
      <c r="CO41" s="95"/>
      <c r="CP41" s="99" t="str">
        <f t="shared" si="41"/>
        <v/>
      </c>
    </row>
    <row r="42" spans="1:95" ht="20" customHeight="1" x14ac:dyDescent="0.2">
      <c r="A42" s="60"/>
      <c r="B42" s="82"/>
      <c r="C42" s="24" t="s">
        <v>85</v>
      </c>
      <c r="D42" s="23" t="s">
        <v>99</v>
      </c>
      <c r="E42" s="23" t="s">
        <v>100</v>
      </c>
      <c r="F42" s="24">
        <v>2002</v>
      </c>
      <c r="G42" s="24">
        <v>103</v>
      </c>
      <c r="H42" s="89">
        <v>8</v>
      </c>
      <c r="I42" s="85"/>
      <c r="J42" s="86"/>
      <c r="K42" s="33"/>
      <c r="L42" s="36" t="str">
        <f t="shared" si="0"/>
        <v/>
      </c>
      <c r="M42" s="95"/>
      <c r="N42" s="95" t="str">
        <f t="shared" si="1"/>
        <v/>
      </c>
      <c r="O42" s="33"/>
      <c r="P42" s="36" t="str">
        <f t="shared" si="2"/>
        <v/>
      </c>
      <c r="Q42" s="95"/>
      <c r="R42" s="99" t="str">
        <f t="shared" si="3"/>
        <v/>
      </c>
      <c r="S42" s="76">
        <v>2</v>
      </c>
      <c r="T42" s="36">
        <f t="shared" si="4"/>
        <v>25</v>
      </c>
      <c r="U42" s="95"/>
      <c r="V42" s="99" t="str">
        <f t="shared" si="5"/>
        <v/>
      </c>
      <c r="W42" s="33"/>
      <c r="X42" s="36" t="str">
        <f t="shared" si="6"/>
        <v/>
      </c>
      <c r="Y42" s="95"/>
      <c r="Z42" s="99" t="str">
        <f t="shared" si="7"/>
        <v/>
      </c>
      <c r="AA42" s="33"/>
      <c r="AB42" s="36" t="str">
        <f t="shared" si="8"/>
        <v/>
      </c>
      <c r="AC42" s="95"/>
      <c r="AD42" s="99" t="str">
        <f t="shared" si="9"/>
        <v/>
      </c>
      <c r="AE42" s="33"/>
      <c r="AF42" s="36" t="str">
        <f t="shared" si="10"/>
        <v/>
      </c>
      <c r="AG42" s="95"/>
      <c r="AH42" s="99" t="str">
        <f t="shared" si="11"/>
        <v/>
      </c>
      <c r="AI42" s="33"/>
      <c r="AJ42" s="36" t="str">
        <f t="shared" si="12"/>
        <v/>
      </c>
      <c r="AK42" s="95"/>
      <c r="AL42" s="99" t="str">
        <f t="shared" si="13"/>
        <v/>
      </c>
      <c r="AM42" s="33"/>
      <c r="AN42" s="36" t="str">
        <f t="shared" si="14"/>
        <v/>
      </c>
      <c r="AO42" s="95"/>
      <c r="AP42" s="99" t="str">
        <f t="shared" si="15"/>
        <v/>
      </c>
      <c r="AQ42" s="33"/>
      <c r="AR42" s="36" t="str">
        <f t="shared" si="16"/>
        <v/>
      </c>
      <c r="AS42" s="95"/>
      <c r="AT42" s="99" t="str">
        <f t="shared" si="42"/>
        <v/>
      </c>
      <c r="AU42" s="33"/>
      <c r="AV42" s="36" t="str">
        <f t="shared" si="18"/>
        <v/>
      </c>
      <c r="AW42" s="95"/>
      <c r="AX42" s="99" t="str">
        <f t="shared" si="19"/>
        <v/>
      </c>
      <c r="AY42" s="76"/>
      <c r="AZ42" s="36" t="str">
        <f t="shared" si="20"/>
        <v/>
      </c>
      <c r="BA42" s="95"/>
      <c r="BB42" s="99" t="str">
        <f t="shared" si="21"/>
        <v/>
      </c>
      <c r="BC42" s="33"/>
      <c r="BD42" s="36" t="str">
        <f t="shared" si="22"/>
        <v/>
      </c>
      <c r="BE42" s="95"/>
      <c r="BF42" s="99" t="str">
        <f t="shared" si="23"/>
        <v/>
      </c>
      <c r="BG42" s="33"/>
      <c r="BH42" s="36" t="str">
        <f t="shared" si="24"/>
        <v/>
      </c>
      <c r="BI42" s="95"/>
      <c r="BJ42" s="99" t="str">
        <f t="shared" si="25"/>
        <v/>
      </c>
      <c r="BK42" s="33"/>
      <c r="BL42" s="36" t="str">
        <f t="shared" si="26"/>
        <v/>
      </c>
      <c r="BM42" s="95"/>
      <c r="BN42" s="99" t="str">
        <f t="shared" si="27"/>
        <v/>
      </c>
      <c r="BO42" s="33"/>
      <c r="BP42" s="36" t="str">
        <f t="shared" si="28"/>
        <v/>
      </c>
      <c r="BQ42" s="95"/>
      <c r="BR42" s="99" t="str">
        <f t="shared" si="29"/>
        <v/>
      </c>
      <c r="BS42" s="33"/>
      <c r="BT42" s="36" t="str">
        <f t="shared" si="30"/>
        <v/>
      </c>
      <c r="BU42" s="95"/>
      <c r="BV42" s="99" t="str">
        <f t="shared" si="31"/>
        <v/>
      </c>
      <c r="BW42" s="33"/>
      <c r="BX42" s="36" t="str">
        <f t="shared" si="32"/>
        <v/>
      </c>
      <c r="BY42" s="95"/>
      <c r="BZ42" s="99" t="str">
        <f t="shared" si="33"/>
        <v/>
      </c>
      <c r="CA42" s="33"/>
      <c r="CB42" s="36" t="str">
        <f t="shared" si="34"/>
        <v/>
      </c>
      <c r="CC42" s="95"/>
      <c r="CD42" s="99" t="str">
        <f t="shared" si="35"/>
        <v/>
      </c>
      <c r="CE42" s="33"/>
      <c r="CF42" s="36" t="str">
        <f t="shared" si="36"/>
        <v/>
      </c>
      <c r="CG42" s="95"/>
      <c r="CH42" s="99" t="str">
        <f t="shared" si="37"/>
        <v/>
      </c>
      <c r="CI42" s="33"/>
      <c r="CJ42" s="36" t="str">
        <f t="shared" si="38"/>
        <v/>
      </c>
      <c r="CK42" s="95"/>
      <c r="CL42" s="99" t="str">
        <f t="shared" si="39"/>
        <v/>
      </c>
      <c r="CM42" s="33"/>
      <c r="CN42" s="36" t="str">
        <f t="shared" si="40"/>
        <v/>
      </c>
      <c r="CO42" s="95"/>
      <c r="CP42" s="99" t="str">
        <f t="shared" si="41"/>
        <v/>
      </c>
      <c r="CQ42" s="23" t="s">
        <v>201</v>
      </c>
    </row>
    <row r="43" spans="1:95" ht="20" customHeight="1" x14ac:dyDescent="0.2">
      <c r="A43" s="60"/>
      <c r="B43" s="83"/>
      <c r="C43" s="24" t="s">
        <v>85</v>
      </c>
      <c r="D43" s="23" t="s">
        <v>301</v>
      </c>
      <c r="E43" s="23" t="s">
        <v>302</v>
      </c>
      <c r="F43" s="24">
        <v>2015</v>
      </c>
      <c r="H43" s="89">
        <v>41</v>
      </c>
      <c r="I43" s="85" t="s">
        <v>185</v>
      </c>
      <c r="J43" s="86"/>
      <c r="K43" s="33"/>
      <c r="L43" s="36" t="str">
        <f t="shared" si="0"/>
        <v/>
      </c>
      <c r="M43" s="95"/>
      <c r="N43" s="95" t="str">
        <f t="shared" si="1"/>
        <v/>
      </c>
      <c r="O43" s="33"/>
      <c r="P43" s="36" t="str">
        <f t="shared" si="2"/>
        <v/>
      </c>
      <c r="Q43" s="95"/>
      <c r="R43" s="99" t="str">
        <f t="shared" si="3"/>
        <v/>
      </c>
      <c r="S43" s="76"/>
      <c r="T43" s="36" t="str">
        <f t="shared" si="4"/>
        <v/>
      </c>
      <c r="U43" s="95"/>
      <c r="V43" s="99" t="str">
        <f t="shared" si="5"/>
        <v/>
      </c>
      <c r="W43" s="33"/>
      <c r="X43" s="36" t="str">
        <f t="shared" si="6"/>
        <v/>
      </c>
      <c r="Y43" s="95"/>
      <c r="Z43" s="99" t="str">
        <f t="shared" si="7"/>
        <v/>
      </c>
      <c r="AA43" s="33"/>
      <c r="AB43" s="36" t="str">
        <f t="shared" si="8"/>
        <v/>
      </c>
      <c r="AC43" s="95"/>
      <c r="AD43" s="99" t="str">
        <f t="shared" si="9"/>
        <v/>
      </c>
      <c r="AE43" s="33"/>
      <c r="AF43" s="36" t="str">
        <f t="shared" si="10"/>
        <v/>
      </c>
      <c r="AG43" s="95"/>
      <c r="AH43" s="99" t="str">
        <f t="shared" si="11"/>
        <v/>
      </c>
      <c r="AI43" s="33"/>
      <c r="AJ43" s="36" t="str">
        <f t="shared" si="12"/>
        <v/>
      </c>
      <c r="AK43" s="95"/>
      <c r="AL43" s="99" t="str">
        <f t="shared" si="13"/>
        <v/>
      </c>
      <c r="AM43" s="33"/>
      <c r="AN43" s="36" t="str">
        <f t="shared" si="14"/>
        <v/>
      </c>
      <c r="AO43" s="95"/>
      <c r="AP43" s="99" t="str">
        <f t="shared" si="15"/>
        <v/>
      </c>
      <c r="AQ43" s="33"/>
      <c r="AR43" s="36" t="str">
        <f t="shared" si="16"/>
        <v/>
      </c>
      <c r="AS43" s="95"/>
      <c r="AT43" s="99" t="str">
        <f t="shared" si="42"/>
        <v/>
      </c>
      <c r="AU43" s="33"/>
      <c r="AV43" s="36" t="str">
        <f t="shared" si="18"/>
        <v/>
      </c>
      <c r="AW43" s="95"/>
      <c r="AX43" s="99" t="str">
        <f t="shared" si="19"/>
        <v/>
      </c>
      <c r="AY43" s="76"/>
      <c r="AZ43" s="36" t="str">
        <f t="shared" si="20"/>
        <v/>
      </c>
      <c r="BA43" s="95"/>
      <c r="BB43" s="99" t="str">
        <f t="shared" si="21"/>
        <v/>
      </c>
      <c r="BC43" s="33"/>
      <c r="BD43" s="36" t="str">
        <f t="shared" si="22"/>
        <v/>
      </c>
      <c r="BE43" s="95"/>
      <c r="BF43" s="99" t="str">
        <f t="shared" si="23"/>
        <v/>
      </c>
      <c r="BG43" s="33"/>
      <c r="BH43" s="36" t="str">
        <f t="shared" si="24"/>
        <v/>
      </c>
      <c r="BI43" s="95"/>
      <c r="BJ43" s="99" t="str">
        <f t="shared" si="25"/>
        <v/>
      </c>
      <c r="BK43" s="33"/>
      <c r="BL43" s="36" t="str">
        <f t="shared" si="26"/>
        <v/>
      </c>
      <c r="BM43" s="95"/>
      <c r="BN43" s="99" t="str">
        <f t="shared" si="27"/>
        <v/>
      </c>
      <c r="BO43" s="33"/>
      <c r="BP43" s="36" t="str">
        <f t="shared" si="28"/>
        <v/>
      </c>
      <c r="BQ43" s="95"/>
      <c r="BR43" s="99" t="str">
        <f t="shared" si="29"/>
        <v/>
      </c>
      <c r="BS43" s="33"/>
      <c r="BT43" s="36" t="str">
        <f t="shared" si="30"/>
        <v/>
      </c>
      <c r="BU43" s="95"/>
      <c r="BV43" s="99" t="str">
        <f t="shared" si="31"/>
        <v/>
      </c>
      <c r="BW43" s="33"/>
      <c r="BX43" s="36" t="str">
        <f t="shared" si="32"/>
        <v/>
      </c>
      <c r="BY43" s="95"/>
      <c r="BZ43" s="99" t="str">
        <f t="shared" si="33"/>
        <v/>
      </c>
      <c r="CA43" s="33"/>
      <c r="CB43" s="36" t="str">
        <f t="shared" si="34"/>
        <v/>
      </c>
      <c r="CC43" s="95"/>
      <c r="CD43" s="99" t="str">
        <f t="shared" si="35"/>
        <v/>
      </c>
      <c r="CE43" s="33"/>
      <c r="CF43" s="36" t="str">
        <f t="shared" si="36"/>
        <v/>
      </c>
      <c r="CG43" s="95"/>
      <c r="CH43" s="99" t="str">
        <f t="shared" si="37"/>
        <v/>
      </c>
      <c r="CI43" s="33"/>
      <c r="CJ43" s="36" t="str">
        <f t="shared" si="38"/>
        <v/>
      </c>
      <c r="CK43" s="95"/>
      <c r="CL43" s="99" t="str">
        <f t="shared" si="39"/>
        <v/>
      </c>
      <c r="CM43" s="33"/>
      <c r="CN43" s="36" t="str">
        <f t="shared" si="40"/>
        <v/>
      </c>
      <c r="CO43" s="95"/>
      <c r="CP43" s="99" t="str">
        <f t="shared" si="41"/>
        <v/>
      </c>
      <c r="CQ43" s="23" t="s">
        <v>364</v>
      </c>
    </row>
    <row r="44" spans="1:95" ht="20" customHeight="1" x14ac:dyDescent="0.2">
      <c r="A44" s="60"/>
      <c r="B44" s="83"/>
      <c r="C44" s="24" t="s">
        <v>85</v>
      </c>
      <c r="D44" s="23" t="s">
        <v>303</v>
      </c>
      <c r="E44" s="23" t="s">
        <v>304</v>
      </c>
      <c r="F44" s="24">
        <v>2009</v>
      </c>
      <c r="H44" s="89">
        <v>68</v>
      </c>
      <c r="I44" s="85" t="s">
        <v>214</v>
      </c>
      <c r="J44" s="86" t="s">
        <v>365</v>
      </c>
      <c r="K44" s="33"/>
      <c r="L44" s="36" t="str">
        <f t="shared" si="0"/>
        <v/>
      </c>
      <c r="M44" s="95"/>
      <c r="N44" s="95" t="str">
        <f t="shared" si="1"/>
        <v/>
      </c>
      <c r="O44" s="33"/>
      <c r="P44" s="36" t="str">
        <f t="shared" si="2"/>
        <v/>
      </c>
      <c r="Q44" s="95"/>
      <c r="R44" s="99" t="str">
        <f t="shared" si="3"/>
        <v/>
      </c>
      <c r="S44" s="76"/>
      <c r="T44" s="36"/>
      <c r="U44" s="95"/>
      <c r="V44" s="99"/>
      <c r="W44" s="33"/>
      <c r="X44" s="36" t="str">
        <f t="shared" si="6"/>
        <v/>
      </c>
      <c r="Y44" s="95"/>
      <c r="Z44" s="99" t="str">
        <f t="shared" si="7"/>
        <v/>
      </c>
      <c r="AA44" s="33"/>
      <c r="AB44" s="36" t="str">
        <f t="shared" si="8"/>
        <v/>
      </c>
      <c r="AC44" s="95"/>
      <c r="AD44" s="99" t="str">
        <f t="shared" si="9"/>
        <v/>
      </c>
      <c r="AE44" s="33"/>
      <c r="AF44" s="36" t="str">
        <f t="shared" si="10"/>
        <v/>
      </c>
      <c r="AG44" s="95"/>
      <c r="AH44" s="99" t="str">
        <f t="shared" si="11"/>
        <v/>
      </c>
      <c r="AI44" s="33"/>
      <c r="AJ44" s="36" t="str">
        <f t="shared" si="12"/>
        <v/>
      </c>
      <c r="AK44" s="95"/>
      <c r="AL44" s="99" t="str">
        <f t="shared" si="13"/>
        <v/>
      </c>
      <c r="AM44" s="33"/>
      <c r="AN44" s="36" t="str">
        <f t="shared" si="14"/>
        <v/>
      </c>
      <c r="AO44" s="95"/>
      <c r="AP44" s="99" t="str">
        <f t="shared" si="15"/>
        <v/>
      </c>
      <c r="AQ44" s="33"/>
      <c r="AR44" s="36" t="str">
        <f t="shared" si="16"/>
        <v/>
      </c>
      <c r="AS44" s="95"/>
      <c r="AT44" s="99" t="str">
        <f t="shared" si="42"/>
        <v/>
      </c>
      <c r="AU44" s="33"/>
      <c r="AV44" s="36" t="str">
        <f t="shared" si="18"/>
        <v/>
      </c>
      <c r="AW44" s="95"/>
      <c r="AX44" s="99" t="str">
        <f t="shared" si="19"/>
        <v/>
      </c>
      <c r="AY44" s="76"/>
      <c r="AZ44" s="36" t="str">
        <f t="shared" si="20"/>
        <v/>
      </c>
      <c r="BA44" s="95"/>
      <c r="BB44" s="99" t="str">
        <f t="shared" si="21"/>
        <v/>
      </c>
      <c r="BC44" s="33"/>
      <c r="BD44" s="36" t="str">
        <f t="shared" si="22"/>
        <v/>
      </c>
      <c r="BE44" s="95"/>
      <c r="BF44" s="99" t="str">
        <f t="shared" si="23"/>
        <v/>
      </c>
      <c r="BG44" s="33"/>
      <c r="BH44" s="36" t="str">
        <f t="shared" si="24"/>
        <v/>
      </c>
      <c r="BI44" s="95"/>
      <c r="BJ44" s="99" t="str">
        <f t="shared" si="25"/>
        <v/>
      </c>
      <c r="BK44" s="33"/>
      <c r="BL44" s="36" t="str">
        <f t="shared" si="26"/>
        <v/>
      </c>
      <c r="BM44" s="95"/>
      <c r="BN44" s="99" t="str">
        <f t="shared" si="27"/>
        <v/>
      </c>
      <c r="BO44" s="33"/>
      <c r="BP44" s="36" t="str">
        <f t="shared" si="28"/>
        <v/>
      </c>
      <c r="BQ44" s="95"/>
      <c r="BR44" s="99" t="str">
        <f t="shared" si="29"/>
        <v/>
      </c>
      <c r="BS44" s="33"/>
      <c r="BT44" s="36" t="str">
        <f t="shared" si="30"/>
        <v/>
      </c>
      <c r="BU44" s="95"/>
      <c r="BV44" s="99" t="str">
        <f t="shared" si="31"/>
        <v/>
      </c>
      <c r="BW44" s="33"/>
      <c r="BX44" s="36" t="str">
        <f t="shared" si="32"/>
        <v/>
      </c>
      <c r="BY44" s="95"/>
      <c r="BZ44" s="99" t="str">
        <f t="shared" si="33"/>
        <v/>
      </c>
      <c r="CA44" s="33"/>
      <c r="CB44" s="36" t="str">
        <f t="shared" si="34"/>
        <v/>
      </c>
      <c r="CC44" s="95"/>
      <c r="CD44" s="99" t="str">
        <f t="shared" si="35"/>
        <v/>
      </c>
      <c r="CE44" s="33"/>
      <c r="CF44" s="36" t="str">
        <f t="shared" si="36"/>
        <v/>
      </c>
      <c r="CG44" s="95"/>
      <c r="CH44" s="99" t="str">
        <f t="shared" si="37"/>
        <v/>
      </c>
      <c r="CI44" s="33"/>
      <c r="CJ44" s="36" t="str">
        <f t="shared" si="38"/>
        <v/>
      </c>
      <c r="CK44" s="95"/>
      <c r="CL44" s="99" t="str">
        <f t="shared" si="39"/>
        <v/>
      </c>
      <c r="CM44" s="33"/>
      <c r="CN44" s="36" t="str">
        <f t="shared" si="40"/>
        <v/>
      </c>
      <c r="CO44" s="95"/>
      <c r="CP44" s="99" t="str">
        <f t="shared" si="41"/>
        <v/>
      </c>
      <c r="CQ44" s="23" t="s">
        <v>419</v>
      </c>
    </row>
    <row r="45" spans="1:95" ht="20" customHeight="1" x14ac:dyDescent="0.2">
      <c r="A45" s="61"/>
      <c r="B45" s="24"/>
      <c r="C45" s="24" t="s">
        <v>85</v>
      </c>
      <c r="D45" s="23" t="s">
        <v>105</v>
      </c>
      <c r="E45" s="23" t="s">
        <v>106</v>
      </c>
      <c r="F45" s="24">
        <v>1989</v>
      </c>
      <c r="G45" s="24">
        <v>27</v>
      </c>
      <c r="H45" s="89"/>
      <c r="I45" s="85" t="s">
        <v>209</v>
      </c>
      <c r="J45" s="86" t="s">
        <v>178</v>
      </c>
      <c r="K45" s="33"/>
      <c r="L45" s="36" t="str">
        <f t="shared" si="0"/>
        <v/>
      </c>
      <c r="M45" s="95"/>
      <c r="N45" s="95" t="str">
        <f t="shared" si="1"/>
        <v/>
      </c>
      <c r="O45" s="33"/>
      <c r="P45" s="36" t="str">
        <f t="shared" si="2"/>
        <v/>
      </c>
      <c r="Q45" s="95"/>
      <c r="R45" s="99" t="str">
        <f t="shared" si="3"/>
        <v/>
      </c>
      <c r="S45" s="76"/>
      <c r="T45" s="36" t="str">
        <f t="shared" ref="T45:T55" si="43">IF((ISERROR((S45/$H45)*100)), "", IF(AND(NOT(ISERROR((S45/$H45)*100)),((S45/$H45)*100) &lt;&gt; 0), (S45/$H45)*100, ""))</f>
        <v/>
      </c>
      <c r="U45" s="95"/>
      <c r="V45" s="99" t="str">
        <f t="shared" si="5"/>
        <v/>
      </c>
      <c r="W45" s="33"/>
      <c r="X45" s="36" t="str">
        <f t="shared" si="6"/>
        <v/>
      </c>
      <c r="Y45" s="95"/>
      <c r="Z45" s="99" t="str">
        <f t="shared" si="7"/>
        <v/>
      </c>
      <c r="AA45" s="33"/>
      <c r="AB45" s="36" t="str">
        <f t="shared" si="8"/>
        <v/>
      </c>
      <c r="AC45" s="95"/>
      <c r="AD45" s="99" t="str">
        <f t="shared" si="9"/>
        <v/>
      </c>
      <c r="AE45" s="38"/>
      <c r="AF45" s="39" t="str">
        <f t="shared" si="10"/>
        <v/>
      </c>
      <c r="AG45" s="118"/>
      <c r="AH45" s="119" t="str">
        <f t="shared" si="11"/>
        <v/>
      </c>
      <c r="AI45" s="33"/>
      <c r="AJ45" s="36" t="str">
        <f t="shared" si="12"/>
        <v/>
      </c>
      <c r="AK45" s="95"/>
      <c r="AL45" s="99" t="str">
        <f t="shared" si="13"/>
        <v/>
      </c>
      <c r="AM45" s="33"/>
      <c r="AN45" s="36" t="str">
        <f t="shared" si="14"/>
        <v/>
      </c>
      <c r="AO45" s="95"/>
      <c r="AP45" s="99" t="str">
        <f t="shared" si="15"/>
        <v/>
      </c>
      <c r="AQ45" s="33"/>
      <c r="AR45" s="36" t="str">
        <f t="shared" si="16"/>
        <v/>
      </c>
      <c r="AS45" s="95"/>
      <c r="AT45" s="99" t="str">
        <f t="shared" si="42"/>
        <v/>
      </c>
      <c r="AU45" s="33"/>
      <c r="AV45" s="36" t="str">
        <f t="shared" si="18"/>
        <v/>
      </c>
      <c r="AW45" s="95"/>
      <c r="AX45" s="99" t="str">
        <f t="shared" si="19"/>
        <v/>
      </c>
      <c r="AY45" s="76"/>
      <c r="AZ45" s="36" t="str">
        <f t="shared" si="20"/>
        <v/>
      </c>
      <c r="BA45" s="95"/>
      <c r="BB45" s="99" t="str">
        <f t="shared" si="21"/>
        <v/>
      </c>
      <c r="BC45" s="33"/>
      <c r="BD45" s="36" t="str">
        <f t="shared" si="22"/>
        <v/>
      </c>
      <c r="BE45" s="95"/>
      <c r="BF45" s="99" t="str">
        <f t="shared" si="23"/>
        <v/>
      </c>
      <c r="BG45" s="33"/>
      <c r="BH45" s="36" t="str">
        <f t="shared" si="24"/>
        <v/>
      </c>
      <c r="BI45" s="95"/>
      <c r="BJ45" s="99" t="str">
        <f t="shared" si="25"/>
        <v/>
      </c>
      <c r="BK45" s="33"/>
      <c r="BL45" s="36" t="str">
        <f t="shared" si="26"/>
        <v/>
      </c>
      <c r="BM45" s="95"/>
      <c r="BN45" s="99" t="str">
        <f t="shared" si="27"/>
        <v/>
      </c>
      <c r="BO45" s="33"/>
      <c r="BP45" s="36" t="str">
        <f t="shared" si="28"/>
        <v/>
      </c>
      <c r="BQ45" s="95"/>
      <c r="BR45" s="99" t="str">
        <f t="shared" si="29"/>
        <v/>
      </c>
      <c r="BS45" s="33"/>
      <c r="BT45" s="36" t="str">
        <f t="shared" si="30"/>
        <v/>
      </c>
      <c r="BU45" s="95"/>
      <c r="BV45" s="99" t="str">
        <f t="shared" si="31"/>
        <v/>
      </c>
      <c r="BW45" s="33"/>
      <c r="BX45" s="36" t="str">
        <f t="shared" si="32"/>
        <v/>
      </c>
      <c r="BY45" s="95"/>
      <c r="BZ45" s="99" t="str">
        <f t="shared" si="33"/>
        <v/>
      </c>
      <c r="CA45" s="33"/>
      <c r="CB45" s="36" t="str">
        <f t="shared" si="34"/>
        <v/>
      </c>
      <c r="CC45" s="95"/>
      <c r="CD45" s="99" t="str">
        <f t="shared" si="35"/>
        <v/>
      </c>
      <c r="CE45" s="33"/>
      <c r="CF45" s="36" t="str">
        <f t="shared" si="36"/>
        <v/>
      </c>
      <c r="CG45" s="95"/>
      <c r="CH45" s="99" t="str">
        <f t="shared" si="37"/>
        <v/>
      </c>
      <c r="CI45" s="33"/>
      <c r="CJ45" s="36" t="str">
        <f t="shared" si="38"/>
        <v/>
      </c>
      <c r="CK45" s="95"/>
      <c r="CL45" s="99" t="str">
        <f t="shared" si="39"/>
        <v/>
      </c>
      <c r="CM45" s="33"/>
      <c r="CN45" s="36" t="str">
        <f t="shared" si="40"/>
        <v/>
      </c>
      <c r="CO45" s="95"/>
      <c r="CP45" s="99" t="str">
        <f t="shared" si="41"/>
        <v/>
      </c>
    </row>
    <row r="46" spans="1:95" ht="20" customHeight="1" x14ac:dyDescent="0.2">
      <c r="A46" s="61"/>
      <c r="B46" s="83"/>
      <c r="C46" s="24" t="s">
        <v>85</v>
      </c>
      <c r="D46" s="23" t="s">
        <v>305</v>
      </c>
      <c r="E46" s="23" t="s">
        <v>306</v>
      </c>
      <c r="F46" s="24">
        <v>2011</v>
      </c>
      <c r="H46" s="89"/>
      <c r="I46" s="85"/>
      <c r="J46" s="86"/>
      <c r="K46" s="33"/>
      <c r="L46" s="36" t="str">
        <f t="shared" si="0"/>
        <v/>
      </c>
      <c r="M46" s="95"/>
      <c r="N46" s="95" t="str">
        <f t="shared" si="1"/>
        <v/>
      </c>
      <c r="O46" s="33"/>
      <c r="P46" s="36" t="str">
        <f t="shared" si="2"/>
        <v/>
      </c>
      <c r="Q46" s="95"/>
      <c r="R46" s="99" t="str">
        <f t="shared" si="3"/>
        <v/>
      </c>
      <c r="S46" s="76"/>
      <c r="T46" s="36" t="str">
        <f t="shared" si="43"/>
        <v/>
      </c>
      <c r="U46" s="95"/>
      <c r="V46" s="99" t="str">
        <f t="shared" si="5"/>
        <v/>
      </c>
      <c r="W46" s="33"/>
      <c r="X46" s="36" t="str">
        <f t="shared" si="6"/>
        <v/>
      </c>
      <c r="Y46" s="95"/>
      <c r="Z46" s="99" t="str">
        <f t="shared" si="7"/>
        <v/>
      </c>
      <c r="AA46" s="33"/>
      <c r="AB46" s="36" t="str">
        <f t="shared" si="8"/>
        <v/>
      </c>
      <c r="AC46" s="95"/>
      <c r="AD46" s="99" t="str">
        <f t="shared" si="9"/>
        <v/>
      </c>
      <c r="AE46" s="33"/>
      <c r="AF46" s="36" t="str">
        <f t="shared" si="10"/>
        <v/>
      </c>
      <c r="AG46" s="95"/>
      <c r="AH46" s="99" t="str">
        <f t="shared" si="11"/>
        <v/>
      </c>
      <c r="AI46" s="33"/>
      <c r="AJ46" s="36" t="str">
        <f t="shared" si="12"/>
        <v/>
      </c>
      <c r="AK46" s="95"/>
      <c r="AL46" s="99" t="str">
        <f t="shared" si="13"/>
        <v/>
      </c>
      <c r="AM46" s="33"/>
      <c r="AN46" s="36" t="str">
        <f t="shared" si="14"/>
        <v/>
      </c>
      <c r="AO46" s="95"/>
      <c r="AP46" s="99" t="str">
        <f t="shared" si="15"/>
        <v/>
      </c>
      <c r="AQ46" s="33"/>
      <c r="AR46" s="36" t="str">
        <f t="shared" si="16"/>
        <v/>
      </c>
      <c r="AS46" s="95"/>
      <c r="AT46" s="99" t="str">
        <f t="shared" si="42"/>
        <v/>
      </c>
      <c r="AU46" s="33"/>
      <c r="AV46" s="36" t="str">
        <f t="shared" si="18"/>
        <v/>
      </c>
      <c r="AW46" s="95"/>
      <c r="AX46" s="99" t="str">
        <f t="shared" si="19"/>
        <v/>
      </c>
      <c r="AY46" s="76"/>
      <c r="AZ46" s="36" t="str">
        <f t="shared" si="20"/>
        <v/>
      </c>
      <c r="BA46" s="95"/>
      <c r="BB46" s="99" t="str">
        <f t="shared" si="21"/>
        <v/>
      </c>
      <c r="BC46" s="33"/>
      <c r="BD46" s="36" t="str">
        <f t="shared" si="22"/>
        <v/>
      </c>
      <c r="BE46" s="95"/>
      <c r="BF46" s="99" t="str">
        <f t="shared" si="23"/>
        <v/>
      </c>
      <c r="BG46" s="33"/>
      <c r="BH46" s="36" t="str">
        <f t="shared" si="24"/>
        <v/>
      </c>
      <c r="BI46" s="95"/>
      <c r="BJ46" s="99" t="str">
        <f t="shared" si="25"/>
        <v/>
      </c>
      <c r="BK46" s="33"/>
      <c r="BL46" s="36" t="str">
        <f t="shared" si="26"/>
        <v/>
      </c>
      <c r="BM46" s="95"/>
      <c r="BN46" s="99" t="str">
        <f t="shared" si="27"/>
        <v/>
      </c>
      <c r="BO46" s="33"/>
      <c r="BP46" s="36" t="str">
        <f t="shared" si="28"/>
        <v/>
      </c>
      <c r="BQ46" s="95"/>
      <c r="BR46" s="99" t="str">
        <f t="shared" si="29"/>
        <v/>
      </c>
      <c r="BS46" s="33"/>
      <c r="BT46" s="36" t="str">
        <f t="shared" si="30"/>
        <v/>
      </c>
      <c r="BU46" s="95"/>
      <c r="BV46" s="99" t="str">
        <f t="shared" si="31"/>
        <v/>
      </c>
      <c r="BW46" s="33"/>
      <c r="BX46" s="36" t="str">
        <f t="shared" si="32"/>
        <v/>
      </c>
      <c r="BY46" s="95"/>
      <c r="BZ46" s="99" t="str">
        <f t="shared" si="33"/>
        <v/>
      </c>
      <c r="CA46" s="33"/>
      <c r="CB46" s="36" t="str">
        <f t="shared" si="34"/>
        <v/>
      </c>
      <c r="CC46" s="95"/>
      <c r="CD46" s="99" t="str">
        <f t="shared" si="35"/>
        <v/>
      </c>
      <c r="CE46" s="33"/>
      <c r="CF46" s="36" t="str">
        <f t="shared" si="36"/>
        <v/>
      </c>
      <c r="CG46" s="95"/>
      <c r="CH46" s="99" t="str">
        <f t="shared" si="37"/>
        <v/>
      </c>
      <c r="CI46" s="33"/>
      <c r="CJ46" s="36" t="str">
        <f t="shared" si="38"/>
        <v/>
      </c>
      <c r="CK46" s="95"/>
      <c r="CL46" s="99" t="str">
        <f t="shared" si="39"/>
        <v/>
      </c>
      <c r="CM46" s="33"/>
      <c r="CN46" s="36" t="str">
        <f t="shared" si="40"/>
        <v/>
      </c>
      <c r="CO46" s="95"/>
      <c r="CP46" s="99" t="str">
        <f t="shared" si="41"/>
        <v/>
      </c>
      <c r="CQ46" s="23" t="s">
        <v>366</v>
      </c>
    </row>
    <row r="47" spans="1:95" ht="20" customHeight="1" x14ac:dyDescent="0.2">
      <c r="A47" s="60"/>
      <c r="B47" s="82"/>
      <c r="C47" s="24" t="s">
        <v>85</v>
      </c>
      <c r="D47" s="23" t="s">
        <v>107</v>
      </c>
      <c r="E47" s="23" t="s">
        <v>108</v>
      </c>
      <c r="F47" s="24">
        <v>2008</v>
      </c>
      <c r="G47" s="24">
        <v>54</v>
      </c>
      <c r="H47" s="89">
        <v>12</v>
      </c>
      <c r="I47" s="85" t="s">
        <v>168</v>
      </c>
      <c r="J47" s="86" t="s">
        <v>210</v>
      </c>
      <c r="K47" s="33"/>
      <c r="L47" s="36" t="str">
        <f t="shared" si="0"/>
        <v/>
      </c>
      <c r="M47" s="95"/>
      <c r="N47" s="95" t="str">
        <f t="shared" si="1"/>
        <v/>
      </c>
      <c r="O47" s="33"/>
      <c r="P47" s="36" t="str">
        <f t="shared" si="2"/>
        <v/>
      </c>
      <c r="Q47" s="95"/>
      <c r="R47" s="99" t="str">
        <f t="shared" si="3"/>
        <v/>
      </c>
      <c r="S47" s="76">
        <v>0</v>
      </c>
      <c r="T47" s="36" t="str">
        <f t="shared" si="43"/>
        <v/>
      </c>
      <c r="U47" s="95">
        <v>1</v>
      </c>
      <c r="V47" s="99">
        <f t="shared" si="5"/>
        <v>-1</v>
      </c>
      <c r="W47" s="33"/>
      <c r="X47" s="36" t="str">
        <f t="shared" si="6"/>
        <v/>
      </c>
      <c r="Y47" s="95"/>
      <c r="Z47" s="99" t="str">
        <f t="shared" si="7"/>
        <v/>
      </c>
      <c r="AA47" s="33"/>
      <c r="AB47" s="36" t="str">
        <f t="shared" si="8"/>
        <v/>
      </c>
      <c r="AC47" s="95"/>
      <c r="AD47" s="99" t="str">
        <f t="shared" si="9"/>
        <v/>
      </c>
      <c r="AE47" s="33"/>
      <c r="AF47" s="36" t="str">
        <f t="shared" si="10"/>
        <v/>
      </c>
      <c r="AG47" s="95"/>
      <c r="AH47" s="99" t="str">
        <f t="shared" si="11"/>
        <v/>
      </c>
      <c r="AI47" s="33"/>
      <c r="AJ47" s="36" t="str">
        <f t="shared" si="12"/>
        <v/>
      </c>
      <c r="AK47" s="95"/>
      <c r="AL47" s="99" t="str">
        <f t="shared" si="13"/>
        <v/>
      </c>
      <c r="AM47" s="33">
        <v>0</v>
      </c>
      <c r="AN47" s="36" t="str">
        <f t="shared" si="14"/>
        <v/>
      </c>
      <c r="AO47" s="95">
        <v>1</v>
      </c>
      <c r="AP47" s="99">
        <f t="shared" si="15"/>
        <v>-1</v>
      </c>
      <c r="AQ47" s="33">
        <v>1</v>
      </c>
      <c r="AR47" s="36">
        <f t="shared" si="16"/>
        <v>8.3333333333333321</v>
      </c>
      <c r="AS47" s="95"/>
      <c r="AT47" s="99" t="str">
        <f t="shared" si="42"/>
        <v/>
      </c>
      <c r="AU47" s="33"/>
      <c r="AV47" s="36" t="str">
        <f t="shared" si="18"/>
        <v/>
      </c>
      <c r="AW47" s="95"/>
      <c r="AX47" s="99" t="str">
        <f t="shared" si="19"/>
        <v/>
      </c>
      <c r="AY47" s="76"/>
      <c r="AZ47" s="36" t="str">
        <f t="shared" si="20"/>
        <v/>
      </c>
      <c r="BA47" s="95"/>
      <c r="BB47" s="99" t="str">
        <f t="shared" si="21"/>
        <v/>
      </c>
      <c r="BC47" s="33">
        <v>1</v>
      </c>
      <c r="BD47" s="36">
        <f t="shared" si="22"/>
        <v>8.3333333333333321</v>
      </c>
      <c r="BE47" s="95">
        <v>1</v>
      </c>
      <c r="BF47" s="99">
        <f t="shared" si="23"/>
        <v>0</v>
      </c>
      <c r="BG47" s="33"/>
      <c r="BH47" s="36" t="str">
        <f t="shared" si="24"/>
        <v/>
      </c>
      <c r="BI47" s="95"/>
      <c r="BJ47" s="99" t="str">
        <f t="shared" si="25"/>
        <v/>
      </c>
      <c r="BK47" s="33"/>
      <c r="BL47" s="36" t="str">
        <f t="shared" si="26"/>
        <v/>
      </c>
      <c r="BM47" s="95"/>
      <c r="BN47" s="99" t="str">
        <f t="shared" si="27"/>
        <v/>
      </c>
      <c r="BO47" s="33"/>
      <c r="BP47" s="36" t="str">
        <f t="shared" si="28"/>
        <v/>
      </c>
      <c r="BQ47" s="95"/>
      <c r="BR47" s="99" t="str">
        <f t="shared" si="29"/>
        <v/>
      </c>
      <c r="BS47" s="33"/>
      <c r="BT47" s="36" t="str">
        <f t="shared" si="30"/>
        <v/>
      </c>
      <c r="BU47" s="95"/>
      <c r="BV47" s="99" t="str">
        <f t="shared" si="31"/>
        <v/>
      </c>
      <c r="BW47" s="33"/>
      <c r="BX47" s="36" t="str">
        <f t="shared" si="32"/>
        <v/>
      </c>
      <c r="BY47" s="95"/>
      <c r="BZ47" s="99" t="str">
        <f t="shared" si="33"/>
        <v/>
      </c>
      <c r="CA47" s="33"/>
      <c r="CB47" s="36" t="str">
        <f t="shared" si="34"/>
        <v/>
      </c>
      <c r="CC47" s="95"/>
      <c r="CD47" s="99" t="str">
        <f t="shared" si="35"/>
        <v/>
      </c>
      <c r="CE47" s="33"/>
      <c r="CF47" s="36" t="str">
        <f t="shared" si="36"/>
        <v/>
      </c>
      <c r="CG47" s="95"/>
      <c r="CH47" s="99" t="str">
        <f t="shared" si="37"/>
        <v/>
      </c>
      <c r="CI47" s="33"/>
      <c r="CJ47" s="36" t="str">
        <f t="shared" si="38"/>
        <v/>
      </c>
      <c r="CK47" s="95"/>
      <c r="CL47" s="99" t="str">
        <f t="shared" si="39"/>
        <v/>
      </c>
      <c r="CM47" s="33"/>
      <c r="CN47" s="36" t="str">
        <f t="shared" si="40"/>
        <v/>
      </c>
      <c r="CO47" s="95"/>
      <c r="CP47" s="99" t="str">
        <f t="shared" si="41"/>
        <v/>
      </c>
      <c r="CQ47" s="23" t="s">
        <v>420</v>
      </c>
    </row>
    <row r="48" spans="1:95" ht="20" customHeight="1" x14ac:dyDescent="0.2">
      <c r="A48" s="60"/>
      <c r="B48" s="83"/>
      <c r="C48" s="24" t="s">
        <v>85</v>
      </c>
      <c r="D48" s="23" t="s">
        <v>109</v>
      </c>
      <c r="E48" s="23" t="s">
        <v>110</v>
      </c>
      <c r="F48" s="24">
        <v>1999</v>
      </c>
      <c r="G48" s="24">
        <v>76</v>
      </c>
      <c r="H48" s="89">
        <v>7</v>
      </c>
      <c r="I48" s="85" t="s">
        <v>176</v>
      </c>
      <c r="J48" s="86" t="s">
        <v>192</v>
      </c>
      <c r="K48" s="33"/>
      <c r="L48" s="36" t="str">
        <f t="shared" si="0"/>
        <v/>
      </c>
      <c r="M48" s="95"/>
      <c r="N48" s="95" t="str">
        <f t="shared" si="1"/>
        <v/>
      </c>
      <c r="O48" s="33"/>
      <c r="P48" s="36" t="str">
        <f t="shared" si="2"/>
        <v/>
      </c>
      <c r="Q48" s="95"/>
      <c r="R48" s="99" t="str">
        <f t="shared" si="3"/>
        <v/>
      </c>
      <c r="S48" s="76"/>
      <c r="T48" s="36" t="str">
        <f t="shared" si="43"/>
        <v/>
      </c>
      <c r="U48" s="95"/>
      <c r="V48" s="99" t="str">
        <f t="shared" si="5"/>
        <v/>
      </c>
      <c r="W48" s="33"/>
      <c r="X48" s="36" t="str">
        <f t="shared" si="6"/>
        <v/>
      </c>
      <c r="Y48" s="95"/>
      <c r="Z48" s="99" t="str">
        <f t="shared" si="7"/>
        <v/>
      </c>
      <c r="AA48" s="33"/>
      <c r="AB48" s="36" t="str">
        <f t="shared" si="8"/>
        <v/>
      </c>
      <c r="AC48" s="95"/>
      <c r="AD48" s="99" t="str">
        <f t="shared" si="9"/>
        <v/>
      </c>
      <c r="AE48" s="33"/>
      <c r="AF48" s="36" t="str">
        <f t="shared" si="10"/>
        <v/>
      </c>
      <c r="AG48" s="95"/>
      <c r="AH48" s="99" t="str">
        <f t="shared" si="11"/>
        <v/>
      </c>
      <c r="AI48" s="33"/>
      <c r="AJ48" s="36" t="str">
        <f t="shared" si="12"/>
        <v/>
      </c>
      <c r="AK48" s="95"/>
      <c r="AL48" s="99" t="str">
        <f t="shared" si="13"/>
        <v/>
      </c>
      <c r="AM48" s="33"/>
      <c r="AN48" s="36" t="str">
        <f t="shared" si="14"/>
        <v/>
      </c>
      <c r="AO48" s="95"/>
      <c r="AP48" s="99" t="str">
        <f t="shared" si="15"/>
        <v/>
      </c>
      <c r="AQ48" s="33"/>
      <c r="AR48" s="36" t="str">
        <f t="shared" si="16"/>
        <v/>
      </c>
      <c r="AS48" s="95"/>
      <c r="AT48" s="99" t="str">
        <f t="shared" si="42"/>
        <v/>
      </c>
      <c r="AU48" s="33"/>
      <c r="AV48" s="36" t="str">
        <f t="shared" si="18"/>
        <v/>
      </c>
      <c r="AW48" s="95"/>
      <c r="AX48" s="99" t="str">
        <f t="shared" si="19"/>
        <v/>
      </c>
      <c r="AY48" s="76"/>
      <c r="AZ48" s="36" t="str">
        <f t="shared" si="20"/>
        <v/>
      </c>
      <c r="BA48" s="95"/>
      <c r="BB48" s="99" t="str">
        <f t="shared" si="21"/>
        <v/>
      </c>
      <c r="BC48" s="33"/>
      <c r="BD48" s="36" t="str">
        <f t="shared" si="22"/>
        <v/>
      </c>
      <c r="BE48" s="95"/>
      <c r="BF48" s="99" t="str">
        <f t="shared" si="23"/>
        <v/>
      </c>
      <c r="BG48" s="33"/>
      <c r="BH48" s="36" t="str">
        <f t="shared" si="24"/>
        <v/>
      </c>
      <c r="BI48" s="95"/>
      <c r="BJ48" s="99" t="str">
        <f t="shared" si="25"/>
        <v/>
      </c>
      <c r="BK48" s="33"/>
      <c r="BL48" s="36" t="str">
        <f t="shared" si="26"/>
        <v/>
      </c>
      <c r="BM48" s="95"/>
      <c r="BN48" s="99" t="str">
        <f t="shared" si="27"/>
        <v/>
      </c>
      <c r="BO48" s="33"/>
      <c r="BP48" s="36" t="str">
        <f t="shared" si="28"/>
        <v/>
      </c>
      <c r="BQ48" s="95"/>
      <c r="BR48" s="99" t="str">
        <f t="shared" si="29"/>
        <v/>
      </c>
      <c r="BS48" s="33"/>
      <c r="BT48" s="36" t="str">
        <f t="shared" si="30"/>
        <v/>
      </c>
      <c r="BU48" s="95"/>
      <c r="BV48" s="99" t="str">
        <f t="shared" si="31"/>
        <v/>
      </c>
      <c r="BW48" s="33"/>
      <c r="BX48" s="36" t="str">
        <f t="shared" si="32"/>
        <v/>
      </c>
      <c r="BY48" s="95"/>
      <c r="BZ48" s="99" t="str">
        <f t="shared" si="33"/>
        <v/>
      </c>
      <c r="CA48" s="33"/>
      <c r="CB48" s="36" t="str">
        <f t="shared" si="34"/>
        <v/>
      </c>
      <c r="CC48" s="95"/>
      <c r="CD48" s="99" t="str">
        <f t="shared" si="35"/>
        <v/>
      </c>
      <c r="CE48" s="33"/>
      <c r="CF48" s="36" t="str">
        <f t="shared" si="36"/>
        <v/>
      </c>
      <c r="CG48" s="95"/>
      <c r="CH48" s="99" t="str">
        <f t="shared" si="37"/>
        <v/>
      </c>
      <c r="CI48" s="33"/>
      <c r="CJ48" s="36" t="str">
        <f t="shared" si="38"/>
        <v/>
      </c>
      <c r="CK48" s="95"/>
      <c r="CL48" s="99" t="str">
        <f t="shared" si="39"/>
        <v/>
      </c>
      <c r="CM48" s="33"/>
      <c r="CN48" s="36" t="str">
        <f t="shared" si="40"/>
        <v/>
      </c>
      <c r="CO48" s="95"/>
      <c r="CP48" s="99" t="str">
        <f t="shared" si="41"/>
        <v/>
      </c>
      <c r="CQ48" s="23" t="s">
        <v>181</v>
      </c>
    </row>
    <row r="49" spans="1:95" ht="20" customHeight="1" x14ac:dyDescent="0.2">
      <c r="A49" s="61"/>
      <c r="B49" s="83"/>
      <c r="C49" s="24" t="s">
        <v>85</v>
      </c>
      <c r="D49" s="23" t="s">
        <v>111</v>
      </c>
      <c r="E49" s="23" t="s">
        <v>112</v>
      </c>
      <c r="F49" s="24">
        <v>2008</v>
      </c>
      <c r="G49" s="24">
        <v>101</v>
      </c>
      <c r="H49" s="89">
        <v>16</v>
      </c>
      <c r="I49" s="85" t="s">
        <v>211</v>
      </c>
      <c r="J49" s="86"/>
      <c r="K49" s="33"/>
      <c r="L49" s="36" t="str">
        <f t="shared" si="0"/>
        <v/>
      </c>
      <c r="M49" s="95"/>
      <c r="N49" s="95" t="str">
        <f t="shared" si="1"/>
        <v/>
      </c>
      <c r="O49" s="33"/>
      <c r="P49" s="36" t="str">
        <f t="shared" si="2"/>
        <v/>
      </c>
      <c r="Q49" s="95"/>
      <c r="R49" s="99" t="str">
        <f t="shared" si="3"/>
        <v/>
      </c>
      <c r="S49" s="76"/>
      <c r="T49" s="36" t="str">
        <f t="shared" si="43"/>
        <v/>
      </c>
      <c r="U49" s="95"/>
      <c r="V49" s="99" t="str">
        <f t="shared" si="5"/>
        <v/>
      </c>
      <c r="W49" s="33"/>
      <c r="X49" s="36" t="str">
        <f t="shared" si="6"/>
        <v/>
      </c>
      <c r="Y49" s="95"/>
      <c r="Z49" s="99" t="str">
        <f t="shared" si="7"/>
        <v/>
      </c>
      <c r="AA49" s="33"/>
      <c r="AB49" s="36" t="str">
        <f t="shared" si="8"/>
        <v/>
      </c>
      <c r="AC49" s="95"/>
      <c r="AD49" s="99" t="str">
        <f t="shared" si="9"/>
        <v/>
      </c>
      <c r="AE49" s="33"/>
      <c r="AF49" s="36" t="str">
        <f t="shared" si="10"/>
        <v/>
      </c>
      <c r="AG49" s="95"/>
      <c r="AH49" s="99" t="str">
        <f t="shared" si="11"/>
        <v/>
      </c>
      <c r="AI49" s="33"/>
      <c r="AJ49" s="36" t="str">
        <f t="shared" si="12"/>
        <v/>
      </c>
      <c r="AK49" s="95"/>
      <c r="AL49" s="99" t="str">
        <f t="shared" si="13"/>
        <v/>
      </c>
      <c r="AM49" s="33"/>
      <c r="AN49" s="36" t="str">
        <f t="shared" si="14"/>
        <v/>
      </c>
      <c r="AO49" s="95"/>
      <c r="AP49" s="99" t="str">
        <f t="shared" si="15"/>
        <v/>
      </c>
      <c r="AQ49" s="33"/>
      <c r="AR49" s="36" t="str">
        <f t="shared" si="16"/>
        <v/>
      </c>
      <c r="AS49" s="95"/>
      <c r="AT49" s="99" t="str">
        <f t="shared" si="42"/>
        <v/>
      </c>
      <c r="AU49" s="33"/>
      <c r="AV49" s="36" t="str">
        <f t="shared" si="18"/>
        <v/>
      </c>
      <c r="AW49" s="95"/>
      <c r="AX49" s="99" t="str">
        <f t="shared" si="19"/>
        <v/>
      </c>
      <c r="AY49" s="76"/>
      <c r="AZ49" s="36" t="str">
        <f t="shared" si="20"/>
        <v/>
      </c>
      <c r="BA49" s="95"/>
      <c r="BB49" s="99" t="str">
        <f t="shared" si="21"/>
        <v/>
      </c>
      <c r="BC49" s="33"/>
      <c r="BD49" s="36" t="str">
        <f t="shared" si="22"/>
        <v/>
      </c>
      <c r="BE49" s="95"/>
      <c r="BF49" s="99" t="str">
        <f t="shared" si="23"/>
        <v/>
      </c>
      <c r="BG49" s="33"/>
      <c r="BH49" s="36" t="str">
        <f t="shared" si="24"/>
        <v/>
      </c>
      <c r="BI49" s="95"/>
      <c r="BJ49" s="99" t="str">
        <f t="shared" si="25"/>
        <v/>
      </c>
      <c r="BK49" s="33"/>
      <c r="BL49" s="36" t="str">
        <f t="shared" si="26"/>
        <v/>
      </c>
      <c r="BM49" s="95"/>
      <c r="BN49" s="99" t="str">
        <f t="shared" si="27"/>
        <v/>
      </c>
      <c r="BO49" s="33"/>
      <c r="BP49" s="36" t="str">
        <f t="shared" si="28"/>
        <v/>
      </c>
      <c r="BQ49" s="95"/>
      <c r="BR49" s="99" t="str">
        <f t="shared" si="29"/>
        <v/>
      </c>
      <c r="BS49" s="33"/>
      <c r="BT49" s="36" t="str">
        <f t="shared" si="30"/>
        <v/>
      </c>
      <c r="BU49" s="95"/>
      <c r="BV49" s="99" t="str">
        <f t="shared" si="31"/>
        <v/>
      </c>
      <c r="BW49" s="33"/>
      <c r="BX49" s="36" t="str">
        <f t="shared" si="32"/>
        <v/>
      </c>
      <c r="BY49" s="95"/>
      <c r="BZ49" s="99" t="str">
        <f t="shared" si="33"/>
        <v/>
      </c>
      <c r="CA49" s="33"/>
      <c r="CB49" s="36" t="str">
        <f t="shared" si="34"/>
        <v/>
      </c>
      <c r="CC49" s="95"/>
      <c r="CD49" s="99" t="str">
        <f t="shared" si="35"/>
        <v/>
      </c>
      <c r="CE49" s="33"/>
      <c r="CF49" s="36" t="str">
        <f t="shared" si="36"/>
        <v/>
      </c>
      <c r="CG49" s="95"/>
      <c r="CH49" s="99" t="str">
        <f t="shared" si="37"/>
        <v/>
      </c>
      <c r="CI49" s="33"/>
      <c r="CJ49" s="36" t="str">
        <f t="shared" si="38"/>
        <v/>
      </c>
      <c r="CK49" s="95"/>
      <c r="CL49" s="99" t="str">
        <f t="shared" si="39"/>
        <v/>
      </c>
      <c r="CM49" s="33"/>
      <c r="CN49" s="36" t="str">
        <f t="shared" si="40"/>
        <v/>
      </c>
      <c r="CO49" s="95"/>
      <c r="CP49" s="99" t="str">
        <f t="shared" si="41"/>
        <v/>
      </c>
      <c r="CQ49" s="23" t="s">
        <v>388</v>
      </c>
    </row>
    <row r="50" spans="1:95" ht="20" customHeight="1" x14ac:dyDescent="0.2">
      <c r="A50" s="60"/>
      <c r="B50" s="82"/>
      <c r="C50" s="24" t="s">
        <v>85</v>
      </c>
      <c r="D50" s="23" t="s">
        <v>119</v>
      </c>
      <c r="E50" s="23" t="s">
        <v>120</v>
      </c>
      <c r="F50" s="24">
        <v>2003</v>
      </c>
      <c r="G50" s="24">
        <v>45</v>
      </c>
      <c r="H50" s="89">
        <v>16</v>
      </c>
      <c r="I50" s="85" t="s">
        <v>176</v>
      </c>
      <c r="J50" s="86" t="s">
        <v>421</v>
      </c>
      <c r="K50" s="33"/>
      <c r="L50" s="36" t="str">
        <f t="shared" si="0"/>
        <v/>
      </c>
      <c r="M50" s="95"/>
      <c r="N50" s="95" t="str">
        <f t="shared" si="1"/>
        <v/>
      </c>
      <c r="O50" s="33"/>
      <c r="P50" s="36" t="str">
        <f t="shared" si="2"/>
        <v/>
      </c>
      <c r="Q50" s="95"/>
      <c r="R50" s="99" t="str">
        <f t="shared" si="3"/>
        <v/>
      </c>
      <c r="S50" s="38"/>
      <c r="T50" s="39" t="str">
        <f t="shared" si="43"/>
        <v/>
      </c>
      <c r="U50" s="118"/>
      <c r="V50" s="119" t="str">
        <f t="shared" si="5"/>
        <v/>
      </c>
      <c r="W50" s="33"/>
      <c r="X50" s="36" t="str">
        <f t="shared" si="6"/>
        <v/>
      </c>
      <c r="Y50" s="95"/>
      <c r="Z50" s="99" t="str">
        <f t="shared" si="7"/>
        <v/>
      </c>
      <c r="AA50" s="38"/>
      <c r="AB50" s="39" t="str">
        <f t="shared" si="8"/>
        <v/>
      </c>
      <c r="AC50" s="118"/>
      <c r="AD50" s="119" t="str">
        <f t="shared" si="9"/>
        <v/>
      </c>
      <c r="AE50" s="33"/>
      <c r="AF50" s="36" t="str">
        <f t="shared" si="10"/>
        <v/>
      </c>
      <c r="AG50" s="95"/>
      <c r="AH50" s="99" t="str">
        <f t="shared" si="11"/>
        <v/>
      </c>
      <c r="AI50" s="33"/>
      <c r="AJ50" s="36" t="str">
        <f t="shared" si="12"/>
        <v/>
      </c>
      <c r="AK50" s="95"/>
      <c r="AL50" s="99" t="str">
        <f t="shared" si="13"/>
        <v/>
      </c>
      <c r="AM50" s="33"/>
      <c r="AN50" s="36" t="str">
        <f t="shared" si="14"/>
        <v/>
      </c>
      <c r="AO50" s="95"/>
      <c r="AP50" s="99" t="str">
        <f t="shared" si="15"/>
        <v/>
      </c>
      <c r="AQ50" s="33"/>
      <c r="AR50" s="36" t="str">
        <f t="shared" si="16"/>
        <v/>
      </c>
      <c r="AS50" s="95"/>
      <c r="AT50" s="99" t="str">
        <f t="shared" si="42"/>
        <v/>
      </c>
      <c r="AU50" s="33"/>
      <c r="AV50" s="36" t="str">
        <f t="shared" si="18"/>
        <v/>
      </c>
      <c r="AW50" s="95"/>
      <c r="AX50" s="99" t="str">
        <f t="shared" si="19"/>
        <v/>
      </c>
      <c r="AY50" s="76"/>
      <c r="AZ50" s="36" t="str">
        <f t="shared" si="20"/>
        <v/>
      </c>
      <c r="BA50" s="95"/>
      <c r="BB50" s="99" t="str">
        <f t="shared" si="21"/>
        <v/>
      </c>
      <c r="BC50" s="33"/>
      <c r="BD50" s="36" t="str">
        <f t="shared" si="22"/>
        <v/>
      </c>
      <c r="BE50" s="95"/>
      <c r="BF50" s="99" t="str">
        <f t="shared" si="23"/>
        <v/>
      </c>
      <c r="BG50" s="33"/>
      <c r="BH50" s="36" t="str">
        <f t="shared" si="24"/>
        <v/>
      </c>
      <c r="BI50" s="95"/>
      <c r="BJ50" s="99" t="str">
        <f t="shared" si="25"/>
        <v/>
      </c>
      <c r="BK50" s="33"/>
      <c r="BL50" s="36" t="str">
        <f t="shared" si="26"/>
        <v/>
      </c>
      <c r="BM50" s="95"/>
      <c r="BN50" s="99" t="str">
        <f t="shared" si="27"/>
        <v/>
      </c>
      <c r="BO50" s="33"/>
      <c r="BP50" s="36" t="str">
        <f t="shared" si="28"/>
        <v/>
      </c>
      <c r="BQ50" s="95"/>
      <c r="BR50" s="99" t="str">
        <f t="shared" si="29"/>
        <v/>
      </c>
      <c r="BS50" s="33"/>
      <c r="BT50" s="36" t="str">
        <f t="shared" si="30"/>
        <v/>
      </c>
      <c r="BU50" s="95"/>
      <c r="BV50" s="99" t="str">
        <f t="shared" si="31"/>
        <v/>
      </c>
      <c r="BW50" s="33"/>
      <c r="BX50" s="36" t="str">
        <f t="shared" si="32"/>
        <v/>
      </c>
      <c r="BY50" s="95"/>
      <c r="BZ50" s="99" t="str">
        <f t="shared" si="33"/>
        <v/>
      </c>
      <c r="CA50" s="33"/>
      <c r="CB50" s="36" t="str">
        <f t="shared" si="34"/>
        <v/>
      </c>
      <c r="CC50" s="95"/>
      <c r="CD50" s="99" t="str">
        <f t="shared" si="35"/>
        <v/>
      </c>
      <c r="CE50" s="33"/>
      <c r="CF50" s="36" t="str">
        <f t="shared" si="36"/>
        <v/>
      </c>
      <c r="CG50" s="95"/>
      <c r="CH50" s="99" t="str">
        <f t="shared" si="37"/>
        <v/>
      </c>
      <c r="CI50" s="33"/>
      <c r="CJ50" s="36" t="str">
        <f t="shared" si="38"/>
        <v/>
      </c>
      <c r="CK50" s="95"/>
      <c r="CL50" s="99" t="str">
        <f t="shared" si="39"/>
        <v/>
      </c>
      <c r="CM50" s="33"/>
      <c r="CN50" s="36" t="str">
        <f t="shared" si="40"/>
        <v/>
      </c>
      <c r="CO50" s="95"/>
      <c r="CP50" s="99" t="str">
        <f t="shared" si="41"/>
        <v/>
      </c>
      <c r="CQ50" s="23" t="s">
        <v>409</v>
      </c>
    </row>
    <row r="51" spans="1:95" ht="20" customHeight="1" x14ac:dyDescent="0.2">
      <c r="A51" s="60"/>
      <c r="B51" s="82"/>
      <c r="C51" s="24" t="s">
        <v>85</v>
      </c>
      <c r="D51" s="23" t="s">
        <v>309</v>
      </c>
      <c r="E51" s="23" t="s">
        <v>310</v>
      </c>
      <c r="F51" s="24">
        <v>2015</v>
      </c>
      <c r="H51" s="89">
        <v>5</v>
      </c>
      <c r="I51" s="85" t="s">
        <v>211</v>
      </c>
      <c r="J51" s="86" t="s">
        <v>188</v>
      </c>
      <c r="K51" s="33"/>
      <c r="L51" s="36" t="str">
        <f t="shared" si="0"/>
        <v/>
      </c>
      <c r="M51" s="95"/>
      <c r="N51" s="95" t="str">
        <f t="shared" si="1"/>
        <v/>
      </c>
      <c r="O51" s="33"/>
      <c r="P51" s="36" t="str">
        <f t="shared" si="2"/>
        <v/>
      </c>
      <c r="Q51" s="95"/>
      <c r="R51" s="99" t="str">
        <f t="shared" si="3"/>
        <v/>
      </c>
      <c r="S51" s="76"/>
      <c r="T51" s="36" t="str">
        <f t="shared" si="43"/>
        <v/>
      </c>
      <c r="U51" s="95"/>
      <c r="V51" s="99" t="str">
        <f t="shared" si="5"/>
        <v/>
      </c>
      <c r="W51" s="33"/>
      <c r="X51" s="36" t="str">
        <f t="shared" si="6"/>
        <v/>
      </c>
      <c r="Y51" s="95"/>
      <c r="Z51" s="99" t="str">
        <f t="shared" si="7"/>
        <v/>
      </c>
      <c r="AA51" s="33"/>
      <c r="AB51" s="36" t="str">
        <f t="shared" si="8"/>
        <v/>
      </c>
      <c r="AC51" s="95"/>
      <c r="AD51" s="99" t="str">
        <f t="shared" si="9"/>
        <v/>
      </c>
      <c r="AE51" s="33"/>
      <c r="AF51" s="36" t="str">
        <f t="shared" si="10"/>
        <v/>
      </c>
      <c r="AG51" s="95"/>
      <c r="AH51" s="99" t="str">
        <f t="shared" si="11"/>
        <v/>
      </c>
      <c r="AI51" s="33"/>
      <c r="AJ51" s="36" t="str">
        <f t="shared" si="12"/>
        <v/>
      </c>
      <c r="AK51" s="95"/>
      <c r="AL51" s="99" t="str">
        <f t="shared" si="13"/>
        <v/>
      </c>
      <c r="AM51" s="33"/>
      <c r="AN51" s="36" t="str">
        <f t="shared" si="14"/>
        <v/>
      </c>
      <c r="AO51" s="95"/>
      <c r="AP51" s="99" t="str">
        <f t="shared" si="15"/>
        <v/>
      </c>
      <c r="AQ51" s="33"/>
      <c r="AR51" s="36" t="str">
        <f t="shared" si="16"/>
        <v/>
      </c>
      <c r="AS51" s="95"/>
      <c r="AT51" s="99" t="str">
        <f t="shared" si="42"/>
        <v/>
      </c>
      <c r="AU51" s="33"/>
      <c r="AV51" s="36" t="str">
        <f t="shared" si="18"/>
        <v/>
      </c>
      <c r="AW51" s="95"/>
      <c r="AX51" s="99" t="str">
        <f t="shared" si="19"/>
        <v/>
      </c>
      <c r="AY51" s="76">
        <v>1</v>
      </c>
      <c r="AZ51" s="36">
        <f t="shared" si="20"/>
        <v>20</v>
      </c>
      <c r="BA51" s="95">
        <v>2</v>
      </c>
      <c r="BB51" s="99">
        <f t="shared" si="21"/>
        <v>-1</v>
      </c>
      <c r="BC51" s="33"/>
      <c r="BD51" s="36" t="str">
        <f t="shared" si="22"/>
        <v/>
      </c>
      <c r="BE51" s="95"/>
      <c r="BF51" s="99" t="str">
        <f t="shared" si="23"/>
        <v/>
      </c>
      <c r="BG51" s="33"/>
      <c r="BH51" s="36" t="str">
        <f t="shared" si="24"/>
        <v/>
      </c>
      <c r="BI51" s="95"/>
      <c r="BJ51" s="99" t="str">
        <f t="shared" si="25"/>
        <v/>
      </c>
      <c r="BK51" s="33"/>
      <c r="BL51" s="36" t="str">
        <f t="shared" si="26"/>
        <v/>
      </c>
      <c r="BM51" s="95"/>
      <c r="BN51" s="99" t="str">
        <f t="shared" si="27"/>
        <v/>
      </c>
      <c r="BO51" s="33"/>
      <c r="BP51" s="36" t="str">
        <f t="shared" si="28"/>
        <v/>
      </c>
      <c r="BQ51" s="95"/>
      <c r="BR51" s="99" t="str">
        <f t="shared" si="29"/>
        <v/>
      </c>
      <c r="BS51" s="33"/>
      <c r="BT51" s="36" t="str">
        <f t="shared" si="30"/>
        <v/>
      </c>
      <c r="BU51" s="95"/>
      <c r="BV51" s="99" t="str">
        <f t="shared" si="31"/>
        <v/>
      </c>
      <c r="BW51" s="33"/>
      <c r="BX51" s="36" t="str">
        <f t="shared" si="32"/>
        <v/>
      </c>
      <c r="BY51" s="95"/>
      <c r="BZ51" s="99" t="str">
        <f t="shared" si="33"/>
        <v/>
      </c>
      <c r="CA51" s="33"/>
      <c r="CB51" s="36" t="str">
        <f t="shared" si="34"/>
        <v/>
      </c>
      <c r="CC51" s="95"/>
      <c r="CD51" s="99" t="str">
        <f t="shared" si="35"/>
        <v/>
      </c>
      <c r="CE51" s="33"/>
      <c r="CF51" s="36" t="str">
        <f t="shared" si="36"/>
        <v/>
      </c>
      <c r="CG51" s="95"/>
      <c r="CH51" s="99" t="str">
        <f t="shared" si="37"/>
        <v/>
      </c>
      <c r="CI51" s="33"/>
      <c r="CJ51" s="36" t="str">
        <f t="shared" si="38"/>
        <v/>
      </c>
      <c r="CK51" s="95"/>
      <c r="CL51" s="99" t="str">
        <f t="shared" si="39"/>
        <v/>
      </c>
      <c r="CM51" s="33"/>
      <c r="CN51" s="36" t="str">
        <f t="shared" si="40"/>
        <v/>
      </c>
      <c r="CO51" s="95"/>
      <c r="CP51" s="99" t="str">
        <f t="shared" si="41"/>
        <v/>
      </c>
      <c r="CQ51" s="23" t="s">
        <v>422</v>
      </c>
    </row>
    <row r="52" spans="1:95" ht="20" customHeight="1" x14ac:dyDescent="0.2">
      <c r="A52" s="60"/>
      <c r="B52" s="83"/>
      <c r="C52" s="24" t="s">
        <v>85</v>
      </c>
      <c r="D52" s="23" t="s">
        <v>311</v>
      </c>
      <c r="E52" s="23" t="s">
        <v>312</v>
      </c>
      <c r="F52" s="24">
        <v>2008</v>
      </c>
      <c r="H52" s="89">
        <v>86</v>
      </c>
      <c r="I52" s="85" t="s">
        <v>176</v>
      </c>
      <c r="J52" s="86"/>
      <c r="K52" s="33"/>
      <c r="L52" s="36" t="str">
        <f t="shared" si="0"/>
        <v/>
      </c>
      <c r="M52" s="95"/>
      <c r="N52" s="95" t="str">
        <f t="shared" si="1"/>
        <v/>
      </c>
      <c r="O52" s="33"/>
      <c r="P52" s="36" t="str">
        <f t="shared" si="2"/>
        <v/>
      </c>
      <c r="Q52" s="95"/>
      <c r="R52" s="99" t="str">
        <f t="shared" si="3"/>
        <v/>
      </c>
      <c r="S52" s="76"/>
      <c r="T52" s="36" t="str">
        <f t="shared" si="43"/>
        <v/>
      </c>
      <c r="U52" s="95"/>
      <c r="V52" s="99" t="str">
        <f t="shared" si="5"/>
        <v/>
      </c>
      <c r="W52" s="33"/>
      <c r="X52" s="36" t="str">
        <f t="shared" si="6"/>
        <v/>
      </c>
      <c r="Y52" s="95"/>
      <c r="Z52" s="99" t="str">
        <f t="shared" si="7"/>
        <v/>
      </c>
      <c r="AA52" s="33"/>
      <c r="AB52" s="36" t="str">
        <f t="shared" si="8"/>
        <v/>
      </c>
      <c r="AC52" s="95"/>
      <c r="AD52" s="99" t="str">
        <f t="shared" si="9"/>
        <v/>
      </c>
      <c r="AE52" s="33"/>
      <c r="AF52" s="36" t="str">
        <f t="shared" si="10"/>
        <v/>
      </c>
      <c r="AG52" s="95"/>
      <c r="AH52" s="99" t="str">
        <f t="shared" si="11"/>
        <v/>
      </c>
      <c r="AI52" s="33"/>
      <c r="AJ52" s="36" t="str">
        <f t="shared" si="12"/>
        <v/>
      </c>
      <c r="AK52" s="95"/>
      <c r="AL52" s="99" t="str">
        <f t="shared" si="13"/>
        <v/>
      </c>
      <c r="AM52" s="33"/>
      <c r="AN52" s="36" t="str">
        <f t="shared" si="14"/>
        <v/>
      </c>
      <c r="AO52" s="95"/>
      <c r="AP52" s="99" t="str">
        <f t="shared" si="15"/>
        <v/>
      </c>
      <c r="AQ52" s="33"/>
      <c r="AR52" s="36" t="str">
        <f t="shared" si="16"/>
        <v/>
      </c>
      <c r="AS52" s="95"/>
      <c r="AT52" s="99" t="str">
        <f t="shared" si="42"/>
        <v/>
      </c>
      <c r="AU52" s="33"/>
      <c r="AV52" s="36" t="str">
        <f t="shared" si="18"/>
        <v/>
      </c>
      <c r="AW52" s="95"/>
      <c r="AX52" s="99" t="str">
        <f t="shared" si="19"/>
        <v/>
      </c>
      <c r="AY52" s="76"/>
      <c r="AZ52" s="36" t="str">
        <f t="shared" si="20"/>
        <v/>
      </c>
      <c r="BA52" s="95"/>
      <c r="BB52" s="99" t="str">
        <f t="shared" si="21"/>
        <v/>
      </c>
      <c r="BC52" s="33"/>
      <c r="BD52" s="36" t="str">
        <f t="shared" si="22"/>
        <v/>
      </c>
      <c r="BE52" s="95"/>
      <c r="BF52" s="99" t="str">
        <f t="shared" si="23"/>
        <v/>
      </c>
      <c r="BG52" s="33"/>
      <c r="BH52" s="36" t="str">
        <f t="shared" si="24"/>
        <v/>
      </c>
      <c r="BI52" s="95"/>
      <c r="BJ52" s="99" t="str">
        <f t="shared" si="25"/>
        <v/>
      </c>
      <c r="BK52" s="33"/>
      <c r="BL52" s="36" t="str">
        <f t="shared" si="26"/>
        <v/>
      </c>
      <c r="BM52" s="95"/>
      <c r="BN52" s="99" t="str">
        <f t="shared" si="27"/>
        <v/>
      </c>
      <c r="BO52" s="33"/>
      <c r="BP52" s="36" t="str">
        <f t="shared" si="28"/>
        <v/>
      </c>
      <c r="BQ52" s="95"/>
      <c r="BR52" s="99" t="str">
        <f t="shared" si="29"/>
        <v/>
      </c>
      <c r="BS52" s="33"/>
      <c r="BT52" s="36" t="str">
        <f t="shared" si="30"/>
        <v/>
      </c>
      <c r="BU52" s="95"/>
      <c r="BV52" s="99" t="str">
        <f t="shared" si="31"/>
        <v/>
      </c>
      <c r="BW52" s="33"/>
      <c r="BX52" s="36" t="str">
        <f t="shared" si="32"/>
        <v/>
      </c>
      <c r="BY52" s="95"/>
      <c r="BZ52" s="99" t="str">
        <f t="shared" si="33"/>
        <v/>
      </c>
      <c r="CA52" s="33"/>
      <c r="CB52" s="36" t="str">
        <f t="shared" si="34"/>
        <v/>
      </c>
      <c r="CC52" s="95"/>
      <c r="CD52" s="99" t="str">
        <f t="shared" si="35"/>
        <v/>
      </c>
      <c r="CE52" s="33"/>
      <c r="CF52" s="36" t="str">
        <f t="shared" si="36"/>
        <v/>
      </c>
      <c r="CG52" s="95"/>
      <c r="CH52" s="99" t="str">
        <f t="shared" si="37"/>
        <v/>
      </c>
      <c r="CI52" s="33"/>
      <c r="CJ52" s="36" t="str">
        <f t="shared" si="38"/>
        <v/>
      </c>
      <c r="CK52" s="95"/>
      <c r="CL52" s="99" t="str">
        <f t="shared" si="39"/>
        <v/>
      </c>
      <c r="CM52" s="33"/>
      <c r="CN52" s="36" t="str">
        <f t="shared" si="40"/>
        <v/>
      </c>
      <c r="CO52" s="95"/>
      <c r="CP52" s="99" t="str">
        <f t="shared" si="41"/>
        <v/>
      </c>
      <c r="CQ52" s="23" t="s">
        <v>369</v>
      </c>
    </row>
    <row r="53" spans="1:95" ht="20" customHeight="1" x14ac:dyDescent="0.2">
      <c r="A53" s="60"/>
      <c r="B53" s="83"/>
      <c r="C53" s="24" t="s">
        <v>85</v>
      </c>
      <c r="D53" s="23" t="s">
        <v>313</v>
      </c>
      <c r="E53" s="23" t="s">
        <v>314</v>
      </c>
      <c r="F53" s="24">
        <v>2012</v>
      </c>
      <c r="H53" s="89"/>
      <c r="I53" s="85" t="s">
        <v>370</v>
      </c>
      <c r="J53" s="86" t="s">
        <v>210</v>
      </c>
      <c r="K53" s="33"/>
      <c r="L53" s="36" t="str">
        <f t="shared" si="0"/>
        <v/>
      </c>
      <c r="M53" s="95"/>
      <c r="N53" s="95" t="str">
        <f t="shared" si="1"/>
        <v/>
      </c>
      <c r="O53" s="33"/>
      <c r="P53" s="36" t="str">
        <f t="shared" si="2"/>
        <v/>
      </c>
      <c r="Q53" s="95"/>
      <c r="R53" s="99" t="str">
        <f t="shared" si="3"/>
        <v/>
      </c>
      <c r="S53" s="76"/>
      <c r="T53" s="36" t="str">
        <f t="shared" si="43"/>
        <v/>
      </c>
      <c r="U53" s="95"/>
      <c r="V53" s="99" t="str">
        <f t="shared" si="5"/>
        <v/>
      </c>
      <c r="W53" s="33"/>
      <c r="X53" s="36" t="str">
        <f t="shared" si="6"/>
        <v/>
      </c>
      <c r="Y53" s="95"/>
      <c r="Z53" s="99" t="str">
        <f t="shared" si="7"/>
        <v/>
      </c>
      <c r="AA53" s="33"/>
      <c r="AB53" s="36" t="str">
        <f t="shared" si="8"/>
        <v/>
      </c>
      <c r="AC53" s="95"/>
      <c r="AD53" s="99" t="str">
        <f t="shared" si="9"/>
        <v/>
      </c>
      <c r="AE53" s="33"/>
      <c r="AF53" s="36" t="str">
        <f t="shared" si="10"/>
        <v/>
      </c>
      <c r="AG53" s="95"/>
      <c r="AH53" s="99" t="str">
        <f t="shared" si="11"/>
        <v/>
      </c>
      <c r="AI53" s="33"/>
      <c r="AJ53" s="36" t="str">
        <f t="shared" si="12"/>
        <v/>
      </c>
      <c r="AK53" s="95"/>
      <c r="AL53" s="99" t="str">
        <f t="shared" si="13"/>
        <v/>
      </c>
      <c r="AM53" s="33"/>
      <c r="AN53" s="36" t="str">
        <f t="shared" si="14"/>
        <v/>
      </c>
      <c r="AO53" s="95"/>
      <c r="AP53" s="99" t="str">
        <f t="shared" si="15"/>
        <v/>
      </c>
      <c r="AQ53" s="33"/>
      <c r="AR53" s="36" t="str">
        <f t="shared" si="16"/>
        <v/>
      </c>
      <c r="AS53" s="95"/>
      <c r="AT53" s="99" t="str">
        <f t="shared" si="42"/>
        <v/>
      </c>
      <c r="AU53" s="33"/>
      <c r="AV53" s="36" t="str">
        <f t="shared" si="18"/>
        <v/>
      </c>
      <c r="AW53" s="95"/>
      <c r="AX53" s="99" t="str">
        <f t="shared" si="19"/>
        <v/>
      </c>
      <c r="AY53" s="76"/>
      <c r="AZ53" s="36" t="str">
        <f t="shared" si="20"/>
        <v/>
      </c>
      <c r="BA53" s="95"/>
      <c r="BB53" s="99" t="str">
        <f t="shared" si="21"/>
        <v/>
      </c>
      <c r="BC53" s="33"/>
      <c r="BD53" s="36" t="str">
        <f t="shared" si="22"/>
        <v/>
      </c>
      <c r="BE53" s="95"/>
      <c r="BF53" s="99" t="str">
        <f t="shared" si="23"/>
        <v/>
      </c>
      <c r="BG53" s="33"/>
      <c r="BH53" s="36" t="str">
        <f t="shared" si="24"/>
        <v/>
      </c>
      <c r="BI53" s="95"/>
      <c r="BJ53" s="99" t="str">
        <f t="shared" si="25"/>
        <v/>
      </c>
      <c r="BK53" s="33"/>
      <c r="BL53" s="36" t="str">
        <f t="shared" si="26"/>
        <v/>
      </c>
      <c r="BM53" s="95"/>
      <c r="BN53" s="99" t="str">
        <f t="shared" si="27"/>
        <v/>
      </c>
      <c r="BO53" s="33"/>
      <c r="BP53" s="36" t="str">
        <f t="shared" si="28"/>
        <v/>
      </c>
      <c r="BQ53" s="95"/>
      <c r="BR53" s="99" t="str">
        <f t="shared" si="29"/>
        <v/>
      </c>
      <c r="BS53" s="33"/>
      <c r="BT53" s="36" t="str">
        <f t="shared" si="30"/>
        <v/>
      </c>
      <c r="BU53" s="95"/>
      <c r="BV53" s="99" t="str">
        <f t="shared" si="31"/>
        <v/>
      </c>
      <c r="BW53" s="33"/>
      <c r="BX53" s="36" t="str">
        <f t="shared" si="32"/>
        <v/>
      </c>
      <c r="BY53" s="95"/>
      <c r="BZ53" s="99" t="str">
        <f t="shared" si="33"/>
        <v/>
      </c>
      <c r="CA53" s="33"/>
      <c r="CB53" s="36" t="str">
        <f t="shared" si="34"/>
        <v/>
      </c>
      <c r="CC53" s="95"/>
      <c r="CD53" s="99" t="str">
        <f t="shared" si="35"/>
        <v/>
      </c>
      <c r="CE53" s="33"/>
      <c r="CF53" s="36" t="str">
        <f t="shared" si="36"/>
        <v/>
      </c>
      <c r="CG53" s="95"/>
      <c r="CH53" s="99" t="str">
        <f t="shared" si="37"/>
        <v/>
      </c>
      <c r="CI53" s="33"/>
      <c r="CJ53" s="36" t="str">
        <f t="shared" si="38"/>
        <v/>
      </c>
      <c r="CK53" s="95"/>
      <c r="CL53" s="99" t="str">
        <f t="shared" si="39"/>
        <v/>
      </c>
      <c r="CM53" s="33"/>
      <c r="CN53" s="36" t="str">
        <f t="shared" si="40"/>
        <v/>
      </c>
      <c r="CO53" s="95"/>
      <c r="CP53" s="99" t="str">
        <f t="shared" si="41"/>
        <v/>
      </c>
    </row>
    <row r="54" spans="1:95" ht="20" customHeight="1" x14ac:dyDescent="0.2">
      <c r="A54" s="61"/>
      <c r="B54" s="24"/>
      <c r="C54" s="24" t="s">
        <v>85</v>
      </c>
      <c r="D54" s="23" t="s">
        <v>127</v>
      </c>
      <c r="E54" s="23" t="s">
        <v>128</v>
      </c>
      <c r="F54" s="24">
        <v>2000</v>
      </c>
      <c r="G54" s="24">
        <v>252</v>
      </c>
      <c r="H54" s="89">
        <v>30</v>
      </c>
      <c r="I54" s="85" t="s">
        <v>218</v>
      </c>
      <c r="J54" s="86" t="s">
        <v>169</v>
      </c>
      <c r="K54" s="33"/>
      <c r="L54" s="36" t="str">
        <f t="shared" si="0"/>
        <v/>
      </c>
      <c r="M54" s="95"/>
      <c r="N54" s="95" t="str">
        <f t="shared" si="1"/>
        <v/>
      </c>
      <c r="O54" s="33"/>
      <c r="P54" s="36" t="str">
        <f t="shared" si="2"/>
        <v/>
      </c>
      <c r="Q54" s="95"/>
      <c r="R54" s="99" t="str">
        <f t="shared" si="3"/>
        <v/>
      </c>
      <c r="S54" s="76"/>
      <c r="T54" s="36" t="str">
        <f t="shared" si="43"/>
        <v/>
      </c>
      <c r="U54" s="95"/>
      <c r="V54" s="99" t="str">
        <f t="shared" si="5"/>
        <v/>
      </c>
      <c r="W54" s="33"/>
      <c r="X54" s="36" t="str">
        <f t="shared" si="6"/>
        <v/>
      </c>
      <c r="Y54" s="95"/>
      <c r="Z54" s="99" t="str">
        <f t="shared" si="7"/>
        <v/>
      </c>
      <c r="AA54" s="33"/>
      <c r="AB54" s="36" t="str">
        <f t="shared" si="8"/>
        <v/>
      </c>
      <c r="AC54" s="95"/>
      <c r="AD54" s="99" t="str">
        <f t="shared" si="9"/>
        <v/>
      </c>
      <c r="AE54" s="33"/>
      <c r="AF54" s="36" t="str">
        <f t="shared" si="10"/>
        <v/>
      </c>
      <c r="AG54" s="95"/>
      <c r="AH54" s="99" t="str">
        <f t="shared" si="11"/>
        <v/>
      </c>
      <c r="AI54" s="33"/>
      <c r="AJ54" s="36" t="str">
        <f t="shared" si="12"/>
        <v/>
      </c>
      <c r="AK54" s="95"/>
      <c r="AL54" s="99" t="str">
        <f t="shared" si="13"/>
        <v/>
      </c>
      <c r="AM54" s="33"/>
      <c r="AN54" s="36" t="str">
        <f t="shared" si="14"/>
        <v/>
      </c>
      <c r="AO54" s="95"/>
      <c r="AP54" s="99" t="str">
        <f t="shared" si="15"/>
        <v/>
      </c>
      <c r="AQ54" s="33"/>
      <c r="AR54" s="36" t="str">
        <f t="shared" si="16"/>
        <v/>
      </c>
      <c r="AS54" s="95"/>
      <c r="AT54" s="99" t="str">
        <f t="shared" si="42"/>
        <v/>
      </c>
      <c r="AU54" s="33"/>
      <c r="AV54" s="36" t="str">
        <f t="shared" si="18"/>
        <v/>
      </c>
      <c r="AW54" s="95"/>
      <c r="AX54" s="99" t="str">
        <f t="shared" si="19"/>
        <v/>
      </c>
      <c r="AY54" s="76"/>
      <c r="AZ54" s="36" t="str">
        <f t="shared" si="20"/>
        <v/>
      </c>
      <c r="BA54" s="95"/>
      <c r="BB54" s="99" t="str">
        <f t="shared" si="21"/>
        <v/>
      </c>
      <c r="BC54" s="33"/>
      <c r="BD54" s="36" t="str">
        <f t="shared" si="22"/>
        <v/>
      </c>
      <c r="BE54" s="95"/>
      <c r="BF54" s="99" t="str">
        <f t="shared" si="23"/>
        <v/>
      </c>
      <c r="BG54" s="33"/>
      <c r="BH54" s="36" t="str">
        <f t="shared" si="24"/>
        <v/>
      </c>
      <c r="BI54" s="95"/>
      <c r="BJ54" s="99" t="str">
        <f t="shared" si="25"/>
        <v/>
      </c>
      <c r="BK54" s="33"/>
      <c r="BL54" s="36" t="str">
        <f t="shared" si="26"/>
        <v/>
      </c>
      <c r="BM54" s="95"/>
      <c r="BN54" s="99" t="str">
        <f t="shared" si="27"/>
        <v/>
      </c>
      <c r="BO54" s="33"/>
      <c r="BP54" s="36" t="str">
        <f t="shared" si="28"/>
        <v/>
      </c>
      <c r="BQ54" s="95"/>
      <c r="BR54" s="99" t="str">
        <f t="shared" si="29"/>
        <v/>
      </c>
      <c r="BS54" s="33"/>
      <c r="BT54" s="36" t="str">
        <f t="shared" si="30"/>
        <v/>
      </c>
      <c r="BU54" s="95"/>
      <c r="BV54" s="99" t="str">
        <f t="shared" si="31"/>
        <v/>
      </c>
      <c r="BW54" s="33"/>
      <c r="BX54" s="36" t="str">
        <f t="shared" si="32"/>
        <v/>
      </c>
      <c r="BY54" s="95"/>
      <c r="BZ54" s="99" t="str">
        <f t="shared" si="33"/>
        <v/>
      </c>
      <c r="CA54" s="33"/>
      <c r="CB54" s="36" t="str">
        <f t="shared" si="34"/>
        <v/>
      </c>
      <c r="CC54" s="95"/>
      <c r="CD54" s="99" t="str">
        <f t="shared" si="35"/>
        <v/>
      </c>
      <c r="CE54" s="33"/>
      <c r="CF54" s="36" t="str">
        <f t="shared" si="36"/>
        <v/>
      </c>
      <c r="CG54" s="95"/>
      <c r="CH54" s="99" t="str">
        <f t="shared" si="37"/>
        <v/>
      </c>
      <c r="CI54" s="33"/>
      <c r="CJ54" s="36" t="str">
        <f t="shared" si="38"/>
        <v/>
      </c>
      <c r="CK54" s="95"/>
      <c r="CL54" s="99" t="str">
        <f t="shared" si="39"/>
        <v/>
      </c>
      <c r="CM54" s="33"/>
      <c r="CN54" s="36" t="str">
        <f t="shared" si="40"/>
        <v/>
      </c>
      <c r="CO54" s="95"/>
      <c r="CP54" s="99" t="str">
        <f t="shared" si="41"/>
        <v/>
      </c>
      <c r="CQ54" s="23" t="s">
        <v>423</v>
      </c>
    </row>
    <row r="55" spans="1:95" ht="20" customHeight="1" x14ac:dyDescent="0.2">
      <c r="A55" s="61"/>
      <c r="B55" s="82"/>
      <c r="C55" s="24" t="s">
        <v>85</v>
      </c>
      <c r="D55" s="23" t="s">
        <v>133</v>
      </c>
      <c r="E55" s="23" t="s">
        <v>134</v>
      </c>
      <c r="F55" s="24">
        <v>2001</v>
      </c>
      <c r="G55" s="24">
        <v>192</v>
      </c>
      <c r="H55" s="89"/>
      <c r="I55" s="85" t="s">
        <v>176</v>
      </c>
      <c r="J55" s="86" t="s">
        <v>169</v>
      </c>
      <c r="K55" s="33"/>
      <c r="L55" s="36" t="str">
        <f t="shared" si="0"/>
        <v/>
      </c>
      <c r="M55" s="95"/>
      <c r="N55" s="95" t="str">
        <f t="shared" si="1"/>
        <v/>
      </c>
      <c r="O55" s="33"/>
      <c r="P55" s="36" t="str">
        <f t="shared" si="2"/>
        <v/>
      </c>
      <c r="Q55" s="95"/>
      <c r="R55" s="99" t="str">
        <f t="shared" si="3"/>
        <v/>
      </c>
      <c r="S55" s="76"/>
      <c r="T55" s="36" t="str">
        <f t="shared" si="43"/>
        <v/>
      </c>
      <c r="U55" s="95"/>
      <c r="V55" s="99" t="str">
        <f t="shared" si="5"/>
        <v/>
      </c>
      <c r="W55" s="33"/>
      <c r="X55" s="36" t="str">
        <f t="shared" si="6"/>
        <v/>
      </c>
      <c r="Y55" s="95"/>
      <c r="Z55" s="99" t="str">
        <f t="shared" si="7"/>
        <v/>
      </c>
      <c r="AA55" s="33"/>
      <c r="AB55" s="36" t="str">
        <f t="shared" si="8"/>
        <v/>
      </c>
      <c r="AC55" s="95"/>
      <c r="AD55" s="99" t="str">
        <f t="shared" si="9"/>
        <v/>
      </c>
      <c r="AE55" s="33"/>
      <c r="AF55" s="36" t="str">
        <f t="shared" si="10"/>
        <v/>
      </c>
      <c r="AG55" s="95"/>
      <c r="AH55" s="99" t="str">
        <f t="shared" si="11"/>
        <v/>
      </c>
      <c r="AI55" s="33"/>
      <c r="AJ55" s="36" t="str">
        <f t="shared" si="12"/>
        <v/>
      </c>
      <c r="AK55" s="95"/>
      <c r="AL55" s="99" t="str">
        <f t="shared" si="13"/>
        <v/>
      </c>
      <c r="AM55" s="33"/>
      <c r="AN55" s="36" t="str">
        <f t="shared" si="14"/>
        <v/>
      </c>
      <c r="AO55" s="95"/>
      <c r="AP55" s="99" t="str">
        <f t="shared" si="15"/>
        <v/>
      </c>
      <c r="AQ55" s="33">
        <v>2</v>
      </c>
      <c r="AR55" s="36" t="str">
        <f t="shared" si="16"/>
        <v/>
      </c>
      <c r="AS55" s="95"/>
      <c r="AT55" s="99" t="str">
        <f t="shared" si="42"/>
        <v/>
      </c>
      <c r="AU55" s="33"/>
      <c r="AV55" s="36" t="str">
        <f t="shared" si="18"/>
        <v/>
      </c>
      <c r="AW55" s="95"/>
      <c r="AX55" s="99" t="str">
        <f t="shared" si="19"/>
        <v/>
      </c>
      <c r="AY55" s="76"/>
      <c r="AZ55" s="36" t="str">
        <f t="shared" si="20"/>
        <v/>
      </c>
      <c r="BA55" s="95"/>
      <c r="BB55" s="99" t="str">
        <f t="shared" si="21"/>
        <v/>
      </c>
      <c r="BC55" s="33"/>
      <c r="BD55" s="36" t="str">
        <f t="shared" si="22"/>
        <v/>
      </c>
      <c r="BE55" s="95"/>
      <c r="BF55" s="99" t="str">
        <f t="shared" si="23"/>
        <v/>
      </c>
      <c r="BG55" s="33"/>
      <c r="BH55" s="36" t="str">
        <f t="shared" si="24"/>
        <v/>
      </c>
      <c r="BI55" s="95"/>
      <c r="BJ55" s="99" t="str">
        <f t="shared" si="25"/>
        <v/>
      </c>
      <c r="BK55" s="33"/>
      <c r="BL55" s="36" t="str">
        <f t="shared" si="26"/>
        <v/>
      </c>
      <c r="BM55" s="95"/>
      <c r="BN55" s="99" t="str">
        <f t="shared" si="27"/>
        <v/>
      </c>
      <c r="BO55" s="33"/>
      <c r="BP55" s="36" t="str">
        <f t="shared" si="28"/>
        <v/>
      </c>
      <c r="BQ55" s="95"/>
      <c r="BR55" s="99" t="str">
        <f t="shared" si="29"/>
        <v/>
      </c>
      <c r="BS55" s="38">
        <v>1</v>
      </c>
      <c r="BT55" s="39" t="str">
        <f t="shared" si="30"/>
        <v/>
      </c>
      <c r="BU55" s="118">
        <v>0</v>
      </c>
      <c r="BV55" s="119">
        <f t="shared" si="31"/>
        <v>1</v>
      </c>
      <c r="BW55" s="33"/>
      <c r="BX55" s="36" t="str">
        <f t="shared" si="32"/>
        <v/>
      </c>
      <c r="BY55" s="95"/>
      <c r="BZ55" s="99" t="str">
        <f t="shared" si="33"/>
        <v/>
      </c>
      <c r="CA55" s="33"/>
      <c r="CB55" s="36" t="str">
        <f t="shared" si="34"/>
        <v/>
      </c>
      <c r="CC55" s="95"/>
      <c r="CD55" s="99" t="str">
        <f t="shared" si="35"/>
        <v/>
      </c>
      <c r="CE55" s="33"/>
      <c r="CF55" s="36" t="str">
        <f t="shared" si="36"/>
        <v/>
      </c>
      <c r="CG55" s="95"/>
      <c r="CH55" s="99" t="str">
        <f t="shared" si="37"/>
        <v/>
      </c>
      <c r="CI55" s="33"/>
      <c r="CJ55" s="36" t="str">
        <f t="shared" si="38"/>
        <v/>
      </c>
      <c r="CK55" s="95"/>
      <c r="CL55" s="99" t="str">
        <f t="shared" si="39"/>
        <v/>
      </c>
      <c r="CM55" s="33"/>
      <c r="CN55" s="36" t="str">
        <f t="shared" si="40"/>
        <v/>
      </c>
      <c r="CO55" s="95"/>
      <c r="CP55" s="99" t="str">
        <f t="shared" si="41"/>
        <v/>
      </c>
      <c r="CQ55" s="23" t="s">
        <v>392</v>
      </c>
    </row>
    <row r="56" spans="1:95" ht="20" customHeight="1" x14ac:dyDescent="0.2">
      <c r="A56" s="61"/>
      <c r="B56" s="82"/>
      <c r="D56" s="23" t="s">
        <v>151</v>
      </c>
      <c r="E56" s="23" t="s">
        <v>424</v>
      </c>
      <c r="F56" s="24">
        <v>1999</v>
      </c>
      <c r="H56" s="89">
        <v>30</v>
      </c>
      <c r="I56" s="85" t="s">
        <v>425</v>
      </c>
      <c r="J56" s="86" t="s">
        <v>220</v>
      </c>
      <c r="K56" s="33"/>
      <c r="L56" s="36"/>
      <c r="M56" s="95"/>
      <c r="N56" s="95"/>
      <c r="O56" s="33"/>
      <c r="P56" s="36"/>
      <c r="Q56" s="95"/>
      <c r="R56" s="99"/>
      <c r="S56" s="76"/>
      <c r="T56" s="36"/>
      <c r="U56" s="95"/>
      <c r="V56" s="99"/>
      <c r="W56" s="33"/>
      <c r="X56" s="36"/>
      <c r="Y56" s="95"/>
      <c r="Z56" s="99"/>
      <c r="AA56" s="33"/>
      <c r="AB56" s="36"/>
      <c r="AC56" s="95"/>
      <c r="AD56" s="99"/>
      <c r="AE56" s="33"/>
      <c r="AF56" s="36"/>
      <c r="AG56" s="95"/>
      <c r="AH56" s="99"/>
      <c r="AI56" s="33"/>
      <c r="AJ56" s="36"/>
      <c r="AK56" s="95"/>
      <c r="AL56" s="99"/>
      <c r="AM56" s="33"/>
      <c r="AN56" s="36"/>
      <c r="AO56" s="95"/>
      <c r="AP56" s="99"/>
      <c r="AQ56" s="33"/>
      <c r="AR56" s="36"/>
      <c r="AS56" s="95"/>
      <c r="AT56" s="99"/>
      <c r="AU56" s="33"/>
      <c r="AV56" s="36"/>
      <c r="AW56" s="95"/>
      <c r="AX56" s="99"/>
      <c r="AY56" s="76"/>
      <c r="AZ56" s="36"/>
      <c r="BA56" s="95"/>
      <c r="BB56" s="99"/>
      <c r="BC56" s="33"/>
      <c r="BD56" s="36"/>
      <c r="BE56" s="95"/>
      <c r="BF56" s="99"/>
      <c r="BG56" s="33"/>
      <c r="BH56" s="36"/>
      <c r="BI56" s="95"/>
      <c r="BJ56" s="99"/>
      <c r="BK56" s="33"/>
      <c r="BL56" s="36"/>
      <c r="BM56" s="95"/>
      <c r="BN56" s="99"/>
      <c r="BO56" s="33"/>
      <c r="BP56" s="36"/>
      <c r="BQ56" s="95"/>
      <c r="BR56" s="99"/>
      <c r="BS56" s="33"/>
      <c r="BT56" s="36"/>
      <c r="BU56" s="95"/>
      <c r="BV56" s="99"/>
      <c r="BW56" s="33"/>
      <c r="BX56" s="36"/>
      <c r="BY56" s="95"/>
      <c r="BZ56" s="99"/>
      <c r="CA56" s="33"/>
      <c r="CB56" s="36"/>
      <c r="CC56" s="95"/>
      <c r="CD56" s="99"/>
      <c r="CE56" s="33"/>
      <c r="CF56" s="36"/>
      <c r="CG56" s="95"/>
      <c r="CH56" s="99"/>
      <c r="CI56" s="33"/>
      <c r="CJ56" s="36"/>
      <c r="CK56" s="95"/>
      <c r="CL56" s="99"/>
      <c r="CM56" s="33"/>
      <c r="CN56" s="36"/>
      <c r="CO56" s="95"/>
      <c r="CP56" s="99"/>
      <c r="CQ56" s="23" t="s">
        <v>393</v>
      </c>
    </row>
    <row r="57" spans="1:95" ht="20" customHeight="1" x14ac:dyDescent="0.2">
      <c r="A57" s="61"/>
      <c r="B57" s="24"/>
      <c r="C57" s="24" t="s">
        <v>85</v>
      </c>
      <c r="D57" s="23" t="s">
        <v>135</v>
      </c>
      <c r="E57" s="23" t="s">
        <v>136</v>
      </c>
      <c r="F57" s="24">
        <v>2007</v>
      </c>
      <c r="G57" s="24">
        <v>240</v>
      </c>
      <c r="H57" s="89"/>
      <c r="I57" s="85" t="s">
        <v>221</v>
      </c>
      <c r="J57" s="86" t="s">
        <v>169</v>
      </c>
      <c r="K57" s="33"/>
      <c r="L57" s="36" t="str">
        <f t="shared" si="0"/>
        <v/>
      </c>
      <c r="M57" s="95"/>
      <c r="N57" s="95" t="str">
        <f t="shared" si="1"/>
        <v/>
      </c>
      <c r="O57" s="33"/>
      <c r="P57" s="36" t="str">
        <f t="shared" ref="P57:P63" si="44">IF((ISERROR((O57/$H57)*100)), "", IF(AND(NOT(ISERROR((O57/$H57)*100)),((O57/$H57)*100) &lt;&gt; 0), (O57/$H57)*100, ""))</f>
        <v/>
      </c>
      <c r="Q57" s="95"/>
      <c r="R57" s="99" t="str">
        <f t="shared" si="3"/>
        <v/>
      </c>
      <c r="S57" s="76"/>
      <c r="T57" s="36" t="str">
        <f t="shared" ref="T57:T63" si="45">IF((ISERROR((S57/$H57)*100)), "", IF(AND(NOT(ISERROR((S57/$H57)*100)),((S57/$H57)*100) &lt;&gt; 0), (S57/$H57)*100, ""))</f>
        <v/>
      </c>
      <c r="U57" s="95"/>
      <c r="V57" s="99" t="str">
        <f t="shared" si="5"/>
        <v/>
      </c>
      <c r="W57" s="33"/>
      <c r="X57" s="36" t="str">
        <f t="shared" ref="X57:X63" si="46">IF((ISERROR((W57/$H57)*100)), "", IF(AND(NOT(ISERROR((W57/$H57)*100)),((W57/$H57)*100) &lt;&gt; 0), (W57/$H57)*100, ""))</f>
        <v/>
      </c>
      <c r="Y57" s="95"/>
      <c r="Z57" s="99" t="str">
        <f t="shared" si="7"/>
        <v/>
      </c>
      <c r="AA57" s="33"/>
      <c r="AB57" s="36" t="str">
        <f t="shared" ref="AB57:AB63" si="47">IF((ISERROR((AA57/$H57)*100)), "", IF(AND(NOT(ISERROR((AA57/$H57)*100)),((AA57/$H57)*100) &lt;&gt; 0), (AA57/$H57)*100, ""))</f>
        <v/>
      </c>
      <c r="AC57" s="95"/>
      <c r="AD57" s="99" t="str">
        <f t="shared" si="9"/>
        <v/>
      </c>
      <c r="AE57" s="33"/>
      <c r="AF57" s="36" t="str">
        <f t="shared" si="10"/>
        <v/>
      </c>
      <c r="AG57" s="95"/>
      <c r="AH57" s="99" t="str">
        <f t="shared" si="11"/>
        <v/>
      </c>
      <c r="AI57" s="33"/>
      <c r="AJ57" s="36" t="str">
        <f t="shared" ref="AJ57:AJ63" si="48">IF((ISERROR((AI57/$H57)*100)), "", IF(AND(NOT(ISERROR((AI57/$H57)*100)),((AI57/$H57)*100) &lt;&gt; 0), (AI57/$H57)*100, ""))</f>
        <v/>
      </c>
      <c r="AK57" s="95"/>
      <c r="AL57" s="99" t="str">
        <f t="shared" si="13"/>
        <v/>
      </c>
      <c r="AM57" s="33"/>
      <c r="AN57" s="36" t="str">
        <f>IF((ISERROR((AM57/$H57)*100)), "", IF(AND(NOT(ISERROR((AM57/$H57)*100)),((AM57/$H57)*100) &lt;&gt; 0), (AM57/$H57)*100, ""))</f>
        <v/>
      </c>
      <c r="AO57" s="95"/>
      <c r="AP57" s="99" t="str">
        <f t="shared" si="15"/>
        <v/>
      </c>
      <c r="AQ57" s="33"/>
      <c r="AR57" s="36" t="str">
        <f t="shared" ref="AR57:AR63" si="49">IF((ISERROR((AQ57/$H57)*100)), "", IF(AND(NOT(ISERROR((AQ57/$H57)*100)),((AQ57/$H57)*100) &lt;&gt; 0), (AQ57/$H57)*100, ""))</f>
        <v/>
      </c>
      <c r="AS57" s="95"/>
      <c r="AT57" s="99" t="str">
        <f t="shared" si="42"/>
        <v/>
      </c>
      <c r="AU57" s="33"/>
      <c r="AV57" s="36" t="str">
        <f t="shared" si="18"/>
        <v/>
      </c>
      <c r="AW57" s="95"/>
      <c r="AX57" s="99" t="str">
        <f t="shared" si="19"/>
        <v/>
      </c>
      <c r="AY57" s="76"/>
      <c r="AZ57" s="36" t="str">
        <f t="shared" ref="AZ57:AZ63" si="50">IF((ISERROR((AY57/$H57)*100)), "", IF(AND(NOT(ISERROR((AY57/$H57)*100)),((AY57/$H57)*100) &lt;&gt; 0), (AY57/$H57)*100, ""))</f>
        <v/>
      </c>
      <c r="BA57" s="95"/>
      <c r="BB57" s="99" t="str">
        <f t="shared" si="21"/>
        <v/>
      </c>
      <c r="BC57" s="33"/>
      <c r="BD57" s="36" t="str">
        <f t="shared" ref="BD57:BD63" si="51">IF((ISERROR((BC57/$H57)*100)), "", IF(AND(NOT(ISERROR((BC57/$H57)*100)),((BC57/$H57)*100) &lt;&gt; 0), (BC57/$H57)*100, ""))</f>
        <v/>
      </c>
      <c r="BE57" s="95"/>
      <c r="BF57" s="99" t="str">
        <f t="shared" si="23"/>
        <v/>
      </c>
      <c r="BG57" s="33"/>
      <c r="BH57" s="36" t="str">
        <f t="shared" ref="BH57:BH63" si="52">IF((ISERROR((BG57/$H57)*100)), "", IF(AND(NOT(ISERROR((BG57/$H57)*100)),((BG57/$H57)*100) &lt;&gt; 0), (BG57/$H57)*100, ""))</f>
        <v/>
      </c>
      <c r="BI57" s="95"/>
      <c r="BJ57" s="99" t="str">
        <f t="shared" si="25"/>
        <v/>
      </c>
      <c r="BK57" s="33"/>
      <c r="BL57" s="36" t="str">
        <f t="shared" ref="BL57:BL63" si="53">IF((ISERROR((BK57/$H57)*100)), "", IF(AND(NOT(ISERROR((BK57/$H57)*100)),((BK57/$H57)*100) &lt;&gt; 0), (BK57/$H57)*100, ""))</f>
        <v/>
      </c>
      <c r="BM57" s="95"/>
      <c r="BN57" s="99" t="str">
        <f t="shared" si="27"/>
        <v/>
      </c>
      <c r="BO57" s="33"/>
      <c r="BP57" s="36" t="str">
        <f t="shared" si="28"/>
        <v/>
      </c>
      <c r="BQ57" s="95"/>
      <c r="BR57" s="99" t="str">
        <f t="shared" si="29"/>
        <v/>
      </c>
      <c r="BS57" s="33"/>
      <c r="BT57" s="36" t="str">
        <f t="shared" si="30"/>
        <v/>
      </c>
      <c r="BU57" s="95"/>
      <c r="BV57" s="99" t="str">
        <f t="shared" si="31"/>
        <v/>
      </c>
      <c r="BW57" s="33"/>
      <c r="BX57" s="36" t="str">
        <f t="shared" si="32"/>
        <v/>
      </c>
      <c r="BY57" s="95"/>
      <c r="BZ57" s="99" t="str">
        <f t="shared" si="33"/>
        <v/>
      </c>
      <c r="CA57" s="33"/>
      <c r="CB57" s="36" t="str">
        <f t="shared" si="34"/>
        <v/>
      </c>
      <c r="CC57" s="95"/>
      <c r="CD57" s="99" t="str">
        <f t="shared" si="35"/>
        <v/>
      </c>
      <c r="CE57" s="33"/>
      <c r="CF57" s="36" t="str">
        <f t="shared" si="36"/>
        <v/>
      </c>
      <c r="CG57" s="95"/>
      <c r="CH57" s="99" t="str">
        <f t="shared" si="37"/>
        <v/>
      </c>
      <c r="CI57" s="33"/>
      <c r="CJ57" s="36" t="str">
        <f t="shared" si="38"/>
        <v/>
      </c>
      <c r="CK57" s="95"/>
      <c r="CL57" s="99" t="str">
        <f t="shared" si="39"/>
        <v/>
      </c>
      <c r="CM57" s="33"/>
      <c r="CN57" s="36" t="str">
        <f t="shared" si="40"/>
        <v/>
      </c>
      <c r="CO57" s="95"/>
      <c r="CP57" s="99" t="str">
        <f t="shared" si="41"/>
        <v/>
      </c>
      <c r="CQ57" s="23" t="s">
        <v>222</v>
      </c>
    </row>
    <row r="58" spans="1:95" ht="20" customHeight="1" x14ac:dyDescent="0.2">
      <c r="A58" s="60"/>
      <c r="B58" s="82"/>
      <c r="C58" s="24" t="s">
        <v>85</v>
      </c>
      <c r="D58" s="23" t="s">
        <v>315</v>
      </c>
      <c r="E58" s="23" t="s">
        <v>316</v>
      </c>
      <c r="F58" s="24">
        <v>2010</v>
      </c>
      <c r="H58" s="89">
        <v>53</v>
      </c>
      <c r="I58" s="111" t="s">
        <v>371</v>
      </c>
      <c r="J58" s="86" t="s">
        <v>410</v>
      </c>
      <c r="K58" s="33"/>
      <c r="L58" s="36" t="str">
        <f t="shared" si="0"/>
        <v/>
      </c>
      <c r="M58" s="95"/>
      <c r="N58" s="95" t="str">
        <f t="shared" si="1"/>
        <v/>
      </c>
      <c r="O58" s="33"/>
      <c r="P58" s="36" t="str">
        <f t="shared" si="44"/>
        <v/>
      </c>
      <c r="Q58" s="95"/>
      <c r="R58" s="99" t="str">
        <f t="shared" si="3"/>
        <v/>
      </c>
      <c r="S58" s="76">
        <v>15</v>
      </c>
      <c r="T58" s="36">
        <f t="shared" si="45"/>
        <v>28.30188679245283</v>
      </c>
      <c r="U58" s="95">
        <v>1</v>
      </c>
      <c r="V58" s="99">
        <f t="shared" si="5"/>
        <v>14</v>
      </c>
      <c r="W58" s="33"/>
      <c r="X58" s="36" t="str">
        <f t="shared" si="46"/>
        <v/>
      </c>
      <c r="Y58" s="95"/>
      <c r="Z58" s="99" t="str">
        <f t="shared" si="7"/>
        <v/>
      </c>
      <c r="AA58" s="33">
        <v>15</v>
      </c>
      <c r="AB58" s="36">
        <f t="shared" si="47"/>
        <v>28.30188679245283</v>
      </c>
      <c r="AC58" s="95"/>
      <c r="AD58" s="99" t="str">
        <f t="shared" si="9"/>
        <v/>
      </c>
      <c r="AE58" s="33"/>
      <c r="AF58" s="36" t="str">
        <f t="shared" si="10"/>
        <v/>
      </c>
      <c r="AG58" s="95"/>
      <c r="AH58" s="99" t="str">
        <f t="shared" si="11"/>
        <v/>
      </c>
      <c r="AI58" s="33"/>
      <c r="AJ58" s="36" t="str">
        <f t="shared" si="48"/>
        <v/>
      </c>
      <c r="AK58" s="95"/>
      <c r="AL58" s="99" t="str">
        <f t="shared" si="13"/>
        <v/>
      </c>
      <c r="AM58" s="33"/>
      <c r="AN58" s="36" t="str">
        <f>IF((ISERROR((AM58/$H58)*100)), "", IF(AND(NOT(ISERROR((AM58/$H58)*100)),((AM58/$H58)*100) &lt;&gt; 0), (AM58/$H58)*100, ""))</f>
        <v/>
      </c>
      <c r="AO58" s="95"/>
      <c r="AP58" s="99" t="str">
        <f t="shared" si="15"/>
        <v/>
      </c>
      <c r="AQ58" s="33">
        <v>2</v>
      </c>
      <c r="AR58" s="36">
        <f t="shared" si="49"/>
        <v>3.7735849056603774</v>
      </c>
      <c r="AS58" s="95">
        <v>1</v>
      </c>
      <c r="AT58" s="99">
        <f t="shared" si="42"/>
        <v>1</v>
      </c>
      <c r="AU58" s="33">
        <v>9</v>
      </c>
      <c r="AV58" s="36">
        <f t="shared" si="18"/>
        <v>16.981132075471699</v>
      </c>
      <c r="AW58" s="95">
        <v>0</v>
      </c>
      <c r="AX58" s="99">
        <f t="shared" si="19"/>
        <v>9</v>
      </c>
      <c r="AY58" s="76"/>
      <c r="AZ58" s="36" t="str">
        <f t="shared" si="50"/>
        <v/>
      </c>
      <c r="BA58" s="95"/>
      <c r="BB58" s="99" t="str">
        <f t="shared" si="21"/>
        <v/>
      </c>
      <c r="BC58" s="33"/>
      <c r="BD58" s="36" t="str">
        <f t="shared" si="51"/>
        <v/>
      </c>
      <c r="BE58" s="95"/>
      <c r="BF58" s="99" t="str">
        <f t="shared" si="23"/>
        <v/>
      </c>
      <c r="BG58" s="33">
        <v>3</v>
      </c>
      <c r="BH58" s="36">
        <f t="shared" si="52"/>
        <v>5.6603773584905666</v>
      </c>
      <c r="BI58" s="118">
        <v>0</v>
      </c>
      <c r="BJ58" s="119">
        <f t="shared" si="25"/>
        <v>3</v>
      </c>
      <c r="BK58" s="33">
        <v>2</v>
      </c>
      <c r="BL58" s="36">
        <f t="shared" si="53"/>
        <v>3.7735849056603774</v>
      </c>
      <c r="BM58" s="118">
        <v>0</v>
      </c>
      <c r="BN58" s="119">
        <f t="shared" si="27"/>
        <v>2</v>
      </c>
      <c r="BO58" s="33"/>
      <c r="BP58" s="36" t="str">
        <f t="shared" si="28"/>
        <v/>
      </c>
      <c r="BQ58" s="95"/>
      <c r="BR58" s="99" t="str">
        <f t="shared" si="29"/>
        <v/>
      </c>
      <c r="BS58" s="33"/>
      <c r="BT58" s="36" t="str">
        <f t="shared" si="30"/>
        <v/>
      </c>
      <c r="BU58" s="95"/>
      <c r="BV58" s="99" t="str">
        <f t="shared" si="31"/>
        <v/>
      </c>
      <c r="BW58" s="33"/>
      <c r="BX58" s="36" t="str">
        <f t="shared" si="32"/>
        <v/>
      </c>
      <c r="BY58" s="95"/>
      <c r="BZ58" s="99" t="str">
        <f t="shared" si="33"/>
        <v/>
      </c>
      <c r="CA58" s="33"/>
      <c r="CB58" s="36" t="str">
        <f t="shared" si="34"/>
        <v/>
      </c>
      <c r="CC58" s="95"/>
      <c r="CD58" s="99" t="str">
        <f t="shared" si="35"/>
        <v/>
      </c>
      <c r="CE58" s="33"/>
      <c r="CF58" s="36" t="str">
        <f t="shared" si="36"/>
        <v/>
      </c>
      <c r="CG58" s="95"/>
      <c r="CH58" s="99" t="str">
        <f t="shared" si="37"/>
        <v/>
      </c>
      <c r="CI58" s="33"/>
      <c r="CJ58" s="36" t="str">
        <f t="shared" si="38"/>
        <v/>
      </c>
      <c r="CK58" s="95"/>
      <c r="CL58" s="99" t="str">
        <f t="shared" si="39"/>
        <v/>
      </c>
      <c r="CM58" s="33"/>
      <c r="CN58" s="36" t="str">
        <f t="shared" si="40"/>
        <v/>
      </c>
      <c r="CO58" s="95"/>
      <c r="CP58" s="99" t="str">
        <f t="shared" si="41"/>
        <v/>
      </c>
      <c r="CQ58" s="23" t="s">
        <v>372</v>
      </c>
    </row>
    <row r="59" spans="1:95" ht="20" customHeight="1" x14ac:dyDescent="0.2">
      <c r="A59" s="60"/>
      <c r="B59" s="82"/>
      <c r="C59" s="24" t="s">
        <v>85</v>
      </c>
      <c r="D59" s="23" t="s">
        <v>317</v>
      </c>
      <c r="E59" s="23" t="s">
        <v>318</v>
      </c>
      <c r="F59" s="24">
        <v>2014</v>
      </c>
      <c r="H59" s="89">
        <v>39</v>
      </c>
      <c r="I59" s="85" t="s">
        <v>211</v>
      </c>
      <c r="J59" s="86" t="s">
        <v>373</v>
      </c>
      <c r="K59" s="33"/>
      <c r="L59" s="36" t="str">
        <f t="shared" si="0"/>
        <v/>
      </c>
      <c r="M59" s="95"/>
      <c r="N59" s="95" t="str">
        <f t="shared" si="1"/>
        <v/>
      </c>
      <c r="O59" s="33"/>
      <c r="P59" s="36" t="str">
        <f t="shared" si="44"/>
        <v/>
      </c>
      <c r="Q59" s="95"/>
      <c r="R59" s="99" t="str">
        <f t="shared" si="3"/>
        <v/>
      </c>
      <c r="S59" s="76">
        <v>6</v>
      </c>
      <c r="T59" s="36">
        <f t="shared" si="45"/>
        <v>15.384615384615385</v>
      </c>
      <c r="U59" s="95">
        <v>0</v>
      </c>
      <c r="V59" s="99">
        <f t="shared" si="5"/>
        <v>6</v>
      </c>
      <c r="W59" s="33"/>
      <c r="X59" s="36" t="str">
        <f t="shared" si="46"/>
        <v/>
      </c>
      <c r="Y59" s="95"/>
      <c r="Z59" s="99" t="str">
        <f t="shared" si="7"/>
        <v/>
      </c>
      <c r="AA59" s="33">
        <v>1</v>
      </c>
      <c r="AB59" s="36">
        <f t="shared" si="47"/>
        <v>2.5641025641025639</v>
      </c>
      <c r="AC59" s="95"/>
      <c r="AD59" s="99" t="str">
        <f t="shared" si="9"/>
        <v/>
      </c>
      <c r="AE59" s="33">
        <v>2</v>
      </c>
      <c r="AF59" s="36">
        <f t="shared" si="10"/>
        <v>5.1282051282051277</v>
      </c>
      <c r="AG59" s="95">
        <v>1</v>
      </c>
      <c r="AH59" s="99">
        <f t="shared" si="11"/>
        <v>1</v>
      </c>
      <c r="AI59" s="33"/>
      <c r="AJ59" s="36" t="str">
        <f t="shared" si="48"/>
        <v/>
      </c>
      <c r="AK59" s="95"/>
      <c r="AL59" s="99" t="str">
        <f t="shared" si="13"/>
        <v/>
      </c>
      <c r="AM59" s="33"/>
      <c r="AN59" s="36"/>
      <c r="AO59" s="95"/>
      <c r="AP59" s="99" t="str">
        <f t="shared" si="15"/>
        <v/>
      </c>
      <c r="AQ59" s="33">
        <v>0</v>
      </c>
      <c r="AR59" s="36" t="str">
        <f t="shared" si="49"/>
        <v/>
      </c>
      <c r="AS59" s="95">
        <v>1</v>
      </c>
      <c r="AT59" s="99">
        <f t="shared" si="42"/>
        <v>-1</v>
      </c>
      <c r="AU59" s="33"/>
      <c r="AV59" s="36" t="str">
        <f t="shared" si="18"/>
        <v/>
      </c>
      <c r="AW59" s="95"/>
      <c r="AX59" s="99" t="str">
        <f t="shared" si="19"/>
        <v/>
      </c>
      <c r="AY59" s="76"/>
      <c r="AZ59" s="36" t="str">
        <f t="shared" si="50"/>
        <v/>
      </c>
      <c r="BA59" s="95"/>
      <c r="BB59" s="99" t="str">
        <f t="shared" si="21"/>
        <v/>
      </c>
      <c r="BC59" s="33"/>
      <c r="BD59" s="36" t="str">
        <f t="shared" si="51"/>
        <v/>
      </c>
      <c r="BE59" s="95"/>
      <c r="BF59" s="99" t="str">
        <f t="shared" si="23"/>
        <v/>
      </c>
      <c r="BG59" s="33"/>
      <c r="BH59" s="36" t="str">
        <f t="shared" si="52"/>
        <v/>
      </c>
      <c r="BI59" s="95"/>
      <c r="BJ59" s="99" t="str">
        <f t="shared" si="25"/>
        <v/>
      </c>
      <c r="BK59" s="33"/>
      <c r="BL59" s="36" t="str">
        <f t="shared" si="53"/>
        <v/>
      </c>
      <c r="BM59" s="95"/>
      <c r="BN59" s="99" t="str">
        <f t="shared" si="27"/>
        <v/>
      </c>
      <c r="BO59" s="33">
        <v>1</v>
      </c>
      <c r="BP59" s="36">
        <f t="shared" si="28"/>
        <v>2.5641025641025639</v>
      </c>
      <c r="BQ59" s="95">
        <v>0</v>
      </c>
      <c r="BR59" s="99">
        <f t="shared" si="29"/>
        <v>1</v>
      </c>
      <c r="BS59" s="33"/>
      <c r="BT59" s="36" t="str">
        <f t="shared" si="30"/>
        <v/>
      </c>
      <c r="BU59" s="95"/>
      <c r="BV59" s="99" t="str">
        <f t="shared" si="31"/>
        <v/>
      </c>
      <c r="BW59" s="33"/>
      <c r="BX59" s="36" t="str">
        <f t="shared" si="32"/>
        <v/>
      </c>
      <c r="BY59" s="95"/>
      <c r="BZ59" s="99" t="str">
        <f t="shared" si="33"/>
        <v/>
      </c>
      <c r="CA59" s="33"/>
      <c r="CB59" s="36" t="str">
        <f t="shared" si="34"/>
        <v/>
      </c>
      <c r="CC59" s="95"/>
      <c r="CD59" s="99" t="str">
        <f t="shared" si="35"/>
        <v/>
      </c>
      <c r="CE59" s="33"/>
      <c r="CF59" s="36" t="str">
        <f t="shared" si="36"/>
        <v/>
      </c>
      <c r="CG59" s="95"/>
      <c r="CH59" s="99" t="str">
        <f t="shared" si="37"/>
        <v/>
      </c>
      <c r="CI59" s="33"/>
      <c r="CJ59" s="36" t="str">
        <f t="shared" si="38"/>
        <v/>
      </c>
      <c r="CK59" s="95"/>
      <c r="CL59" s="99" t="str">
        <f t="shared" si="39"/>
        <v/>
      </c>
      <c r="CM59" s="33"/>
      <c r="CN59" s="36" t="str">
        <f t="shared" si="40"/>
        <v/>
      </c>
      <c r="CO59" s="95"/>
      <c r="CP59" s="99" t="str">
        <f t="shared" si="41"/>
        <v/>
      </c>
      <c r="CQ59" s="23" t="s">
        <v>411</v>
      </c>
    </row>
    <row r="60" spans="1:95" ht="20" customHeight="1" x14ac:dyDescent="0.2">
      <c r="A60" s="60"/>
      <c r="B60" s="82"/>
      <c r="C60" s="24" t="s">
        <v>85</v>
      </c>
      <c r="D60" s="23" t="s">
        <v>319</v>
      </c>
      <c r="E60" s="23" t="s">
        <v>320</v>
      </c>
      <c r="F60" s="24">
        <v>2010</v>
      </c>
      <c r="H60" s="89">
        <v>789</v>
      </c>
      <c r="I60" s="85" t="s">
        <v>211</v>
      </c>
      <c r="J60" s="86" t="s">
        <v>375</v>
      </c>
      <c r="K60" s="33"/>
      <c r="L60" s="36" t="str">
        <f t="shared" si="0"/>
        <v/>
      </c>
      <c r="M60" s="95"/>
      <c r="N60" s="95" t="str">
        <f t="shared" si="1"/>
        <v/>
      </c>
      <c r="O60" s="33"/>
      <c r="P60" s="36" t="str">
        <f t="shared" si="44"/>
        <v/>
      </c>
      <c r="Q60" s="95"/>
      <c r="R60" s="99" t="str">
        <f t="shared" si="3"/>
        <v/>
      </c>
      <c r="S60" s="76"/>
      <c r="T60" s="36" t="str">
        <f t="shared" si="45"/>
        <v/>
      </c>
      <c r="U60" s="95"/>
      <c r="V60" s="99" t="str">
        <f t="shared" si="5"/>
        <v/>
      </c>
      <c r="W60" s="33"/>
      <c r="X60" s="36" t="str">
        <f t="shared" si="46"/>
        <v/>
      </c>
      <c r="Y60" s="95"/>
      <c r="Z60" s="99" t="str">
        <f t="shared" si="7"/>
        <v/>
      </c>
      <c r="AA60" s="33"/>
      <c r="AB60" s="36" t="str">
        <f t="shared" si="47"/>
        <v/>
      </c>
      <c r="AC60" s="95"/>
      <c r="AD60" s="99" t="str">
        <f t="shared" si="9"/>
        <v/>
      </c>
      <c r="AE60" s="33"/>
      <c r="AF60" s="36" t="str">
        <f>IF((ISERROR((AE60/$H60)*100)), "", IF(AND(NOT(ISERROR((AE60/$H60)*100)),((AE60/$H60)*100) &lt;&gt; 0), (AE60/$H60)*100, ""))</f>
        <v/>
      </c>
      <c r="AG60" s="95"/>
      <c r="AH60" s="99" t="str">
        <f t="shared" si="11"/>
        <v/>
      </c>
      <c r="AI60" s="33"/>
      <c r="AJ60" s="36" t="str">
        <f t="shared" si="48"/>
        <v/>
      </c>
      <c r="AK60" s="95"/>
      <c r="AL60" s="99" t="str">
        <f t="shared" si="13"/>
        <v/>
      </c>
      <c r="AM60" s="33"/>
      <c r="AN60" s="36" t="str">
        <f>IF((ISERROR((AM60/$H60)*100)), "", IF(AND(NOT(ISERROR((AM60/$H60)*100)),((AM60/$H60)*100) &lt;&gt; 0), (AM60/$H60)*100, ""))</f>
        <v/>
      </c>
      <c r="AO60" s="95"/>
      <c r="AP60" s="99" t="str">
        <f t="shared" si="15"/>
        <v/>
      </c>
      <c r="AQ60" s="33"/>
      <c r="AR60" s="36" t="str">
        <f t="shared" si="49"/>
        <v/>
      </c>
      <c r="AS60" s="95"/>
      <c r="AT60" s="99" t="str">
        <f t="shared" si="42"/>
        <v/>
      </c>
      <c r="AU60" s="33"/>
      <c r="AV60" s="36" t="str">
        <f t="shared" si="18"/>
        <v/>
      </c>
      <c r="AW60" s="95"/>
      <c r="AX60" s="99" t="str">
        <f t="shared" si="19"/>
        <v/>
      </c>
      <c r="AY60" s="76">
        <v>43</v>
      </c>
      <c r="AZ60" s="36">
        <f t="shared" si="50"/>
        <v>5.4499366286438535</v>
      </c>
      <c r="BA60" s="95">
        <v>74</v>
      </c>
      <c r="BB60" s="99">
        <f t="shared" si="21"/>
        <v>-31</v>
      </c>
      <c r="BC60" s="33"/>
      <c r="BD60" s="36" t="str">
        <f t="shared" si="51"/>
        <v/>
      </c>
      <c r="BE60" s="95"/>
      <c r="BF60" s="99" t="str">
        <f t="shared" si="23"/>
        <v/>
      </c>
      <c r="BG60" s="33"/>
      <c r="BH60" s="36" t="str">
        <f t="shared" si="52"/>
        <v/>
      </c>
      <c r="BI60" s="95"/>
      <c r="BJ60" s="99" t="str">
        <f t="shared" si="25"/>
        <v/>
      </c>
      <c r="BK60" s="33"/>
      <c r="BL60" s="36" t="str">
        <f t="shared" si="53"/>
        <v/>
      </c>
      <c r="BM60" s="95"/>
      <c r="BN60" s="99" t="str">
        <f t="shared" si="27"/>
        <v/>
      </c>
      <c r="BO60" s="33"/>
      <c r="BP60" s="36" t="str">
        <f t="shared" si="28"/>
        <v/>
      </c>
      <c r="BQ60" s="95"/>
      <c r="BR60" s="99" t="str">
        <f t="shared" si="29"/>
        <v/>
      </c>
      <c r="BS60" s="33"/>
      <c r="BT60" s="36" t="str">
        <f t="shared" si="30"/>
        <v/>
      </c>
      <c r="BU60" s="95"/>
      <c r="BV60" s="99" t="str">
        <f t="shared" si="31"/>
        <v/>
      </c>
      <c r="BW60" s="33"/>
      <c r="BX60" s="36" t="str">
        <f t="shared" si="32"/>
        <v/>
      </c>
      <c r="BY60" s="95"/>
      <c r="BZ60" s="99" t="str">
        <f t="shared" si="33"/>
        <v/>
      </c>
      <c r="CA60" s="33"/>
      <c r="CB60" s="36" t="str">
        <f t="shared" si="34"/>
        <v/>
      </c>
      <c r="CC60" s="95"/>
      <c r="CD60" s="99" t="str">
        <f t="shared" si="35"/>
        <v/>
      </c>
      <c r="CE60" s="33"/>
      <c r="CF60" s="36" t="str">
        <f t="shared" si="36"/>
        <v/>
      </c>
      <c r="CG60" s="95"/>
      <c r="CH60" s="99" t="str">
        <f t="shared" si="37"/>
        <v/>
      </c>
      <c r="CI60" s="33"/>
      <c r="CJ60" s="36" t="str">
        <f t="shared" si="38"/>
        <v/>
      </c>
      <c r="CK60" s="95"/>
      <c r="CL60" s="99" t="str">
        <f t="shared" si="39"/>
        <v/>
      </c>
      <c r="CM60" s="33"/>
      <c r="CN60" s="36" t="str">
        <f t="shared" si="40"/>
        <v/>
      </c>
      <c r="CO60" s="95"/>
      <c r="CP60" s="99" t="str">
        <f t="shared" si="41"/>
        <v/>
      </c>
      <c r="CQ60" s="23" t="s">
        <v>374</v>
      </c>
    </row>
    <row r="61" spans="1:95" ht="20" customHeight="1" x14ac:dyDescent="0.2">
      <c r="A61" s="61"/>
      <c r="B61" s="24"/>
      <c r="C61" s="24" t="s">
        <v>85</v>
      </c>
      <c r="D61" s="23" t="s">
        <v>143</v>
      </c>
      <c r="E61" s="23" t="s">
        <v>144</v>
      </c>
      <c r="F61" s="24">
        <v>2008</v>
      </c>
      <c r="G61" s="24">
        <v>156</v>
      </c>
      <c r="H61" s="89">
        <v>50</v>
      </c>
      <c r="I61" s="85" t="s">
        <v>176</v>
      </c>
      <c r="J61" s="86"/>
      <c r="K61" s="33"/>
      <c r="L61" s="36" t="str">
        <f t="shared" si="0"/>
        <v/>
      </c>
      <c r="M61" s="95"/>
      <c r="N61" s="95" t="str">
        <f t="shared" si="1"/>
        <v/>
      </c>
      <c r="O61" s="33"/>
      <c r="P61" s="36" t="str">
        <f t="shared" si="44"/>
        <v/>
      </c>
      <c r="Q61" s="95"/>
      <c r="R61" s="99" t="str">
        <f t="shared" si="3"/>
        <v/>
      </c>
      <c r="S61" s="76"/>
      <c r="T61" s="36" t="str">
        <f t="shared" si="45"/>
        <v/>
      </c>
      <c r="U61" s="95"/>
      <c r="V61" s="99" t="str">
        <f t="shared" si="5"/>
        <v/>
      </c>
      <c r="W61" s="33"/>
      <c r="X61" s="36" t="str">
        <f t="shared" si="46"/>
        <v/>
      </c>
      <c r="Y61" s="95"/>
      <c r="Z61" s="99" t="str">
        <f t="shared" si="7"/>
        <v/>
      </c>
      <c r="AA61" s="33"/>
      <c r="AB61" s="36" t="str">
        <f t="shared" si="47"/>
        <v/>
      </c>
      <c r="AC61" s="95"/>
      <c r="AD61" s="99" t="str">
        <f t="shared" si="9"/>
        <v/>
      </c>
      <c r="AE61" s="33"/>
      <c r="AF61" s="36" t="str">
        <f>IF((ISERROR((AE61/$H61)*100)), "", IF(AND(NOT(ISERROR((AE61/$H61)*100)),((AE61/$H61)*100) &lt;&gt; 0), (AE61/$H61)*100, ""))</f>
        <v/>
      </c>
      <c r="AG61" s="95"/>
      <c r="AH61" s="99" t="str">
        <f t="shared" si="11"/>
        <v/>
      </c>
      <c r="AI61" s="33"/>
      <c r="AJ61" s="36" t="str">
        <f t="shared" si="48"/>
        <v/>
      </c>
      <c r="AK61" s="95"/>
      <c r="AL61" s="99" t="str">
        <f t="shared" si="13"/>
        <v/>
      </c>
      <c r="AM61" s="33"/>
      <c r="AN61" s="36" t="str">
        <f>IF((ISERROR((AM61/$H61)*100)), "", IF(AND(NOT(ISERROR((AM61/$H61)*100)),((AM61/$H61)*100) &lt;&gt; 0), (AM61/$H61)*100, ""))</f>
        <v/>
      </c>
      <c r="AO61" s="95"/>
      <c r="AP61" s="99" t="str">
        <f t="shared" si="15"/>
        <v/>
      </c>
      <c r="AQ61" s="33"/>
      <c r="AR61" s="36" t="str">
        <f t="shared" si="49"/>
        <v/>
      </c>
      <c r="AS61" s="95"/>
      <c r="AT61" s="99" t="str">
        <f t="shared" si="42"/>
        <v/>
      </c>
      <c r="AU61" s="33"/>
      <c r="AV61" s="36" t="str">
        <f t="shared" si="18"/>
        <v/>
      </c>
      <c r="AW61" s="95"/>
      <c r="AX61" s="99" t="str">
        <f t="shared" si="19"/>
        <v/>
      </c>
      <c r="AY61" s="76"/>
      <c r="AZ61" s="36" t="str">
        <f t="shared" si="50"/>
        <v/>
      </c>
      <c r="BA61" s="95"/>
      <c r="BB61" s="99" t="str">
        <f t="shared" si="21"/>
        <v/>
      </c>
      <c r="BC61" s="33"/>
      <c r="BD61" s="36" t="str">
        <f t="shared" si="51"/>
        <v/>
      </c>
      <c r="BE61" s="95"/>
      <c r="BF61" s="99" t="str">
        <f t="shared" si="23"/>
        <v/>
      </c>
      <c r="BG61" s="33"/>
      <c r="BH61" s="36" t="str">
        <f t="shared" si="52"/>
        <v/>
      </c>
      <c r="BI61" s="95"/>
      <c r="BJ61" s="99" t="str">
        <f t="shared" si="25"/>
        <v/>
      </c>
      <c r="BK61" s="33"/>
      <c r="BL61" s="36" t="str">
        <f t="shared" si="53"/>
        <v/>
      </c>
      <c r="BM61" s="95"/>
      <c r="BN61" s="99" t="str">
        <f t="shared" si="27"/>
        <v/>
      </c>
      <c r="BO61" s="33"/>
      <c r="BP61" s="36" t="str">
        <f t="shared" si="28"/>
        <v/>
      </c>
      <c r="BQ61" s="95"/>
      <c r="BR61" s="99" t="str">
        <f t="shared" si="29"/>
        <v/>
      </c>
      <c r="BS61" s="33"/>
      <c r="BT61" s="36" t="str">
        <f t="shared" si="30"/>
        <v/>
      </c>
      <c r="BU61" s="95"/>
      <c r="BV61" s="99" t="str">
        <f t="shared" si="31"/>
        <v/>
      </c>
      <c r="BW61" s="33"/>
      <c r="BX61" s="36" t="str">
        <f t="shared" si="32"/>
        <v/>
      </c>
      <c r="BY61" s="95"/>
      <c r="BZ61" s="99" t="str">
        <f t="shared" si="33"/>
        <v/>
      </c>
      <c r="CA61" s="33"/>
      <c r="CB61" s="36" t="str">
        <f t="shared" si="34"/>
        <v/>
      </c>
      <c r="CC61" s="95"/>
      <c r="CD61" s="99" t="str">
        <f t="shared" si="35"/>
        <v/>
      </c>
      <c r="CE61" s="33"/>
      <c r="CF61" s="36" t="str">
        <f t="shared" si="36"/>
        <v/>
      </c>
      <c r="CG61" s="95"/>
      <c r="CH61" s="99" t="str">
        <f t="shared" si="37"/>
        <v/>
      </c>
      <c r="CI61" s="33"/>
      <c r="CJ61" s="36" t="str">
        <f t="shared" si="38"/>
        <v/>
      </c>
      <c r="CK61" s="95"/>
      <c r="CL61" s="99" t="str">
        <f t="shared" si="39"/>
        <v/>
      </c>
      <c r="CM61" s="33"/>
      <c r="CN61" s="36" t="str">
        <f t="shared" si="40"/>
        <v/>
      </c>
      <c r="CO61" s="95"/>
      <c r="CP61" s="99" t="str">
        <f t="shared" si="41"/>
        <v/>
      </c>
      <c r="CQ61" s="23" t="s">
        <v>229</v>
      </c>
    </row>
    <row r="62" spans="1:95" ht="20" customHeight="1" x14ac:dyDescent="0.2">
      <c r="A62" s="60"/>
      <c r="B62" s="83"/>
      <c r="C62" s="24" t="s">
        <v>85</v>
      </c>
      <c r="D62" s="23" t="s">
        <v>323</v>
      </c>
      <c r="E62" s="23" t="s">
        <v>324</v>
      </c>
      <c r="F62" s="24">
        <v>2009</v>
      </c>
      <c r="H62" s="89">
        <v>12</v>
      </c>
      <c r="I62" s="85" t="s">
        <v>214</v>
      </c>
      <c r="J62" s="86" t="s">
        <v>192</v>
      </c>
      <c r="K62" s="73"/>
      <c r="L62" s="74" t="str">
        <f t="shared" si="0"/>
        <v/>
      </c>
      <c r="M62" s="96"/>
      <c r="N62" s="95" t="str">
        <f t="shared" si="1"/>
        <v/>
      </c>
      <c r="O62" s="73"/>
      <c r="P62" s="74" t="str">
        <f t="shared" si="44"/>
        <v/>
      </c>
      <c r="Q62" s="96"/>
      <c r="R62" s="100" t="str">
        <f t="shared" si="3"/>
        <v/>
      </c>
      <c r="S62" s="75"/>
      <c r="T62" s="74" t="str">
        <f t="shared" si="45"/>
        <v/>
      </c>
      <c r="U62" s="96"/>
      <c r="V62" s="100" t="str">
        <f t="shared" si="5"/>
        <v/>
      </c>
      <c r="W62" s="73"/>
      <c r="X62" s="74" t="str">
        <f t="shared" si="46"/>
        <v/>
      </c>
      <c r="Y62" s="96"/>
      <c r="Z62" s="100" t="str">
        <f t="shared" si="7"/>
        <v/>
      </c>
      <c r="AA62" s="73"/>
      <c r="AB62" s="74" t="str">
        <f t="shared" si="47"/>
        <v/>
      </c>
      <c r="AC62" s="96"/>
      <c r="AD62" s="100" t="str">
        <f t="shared" si="9"/>
        <v/>
      </c>
      <c r="AE62" s="73"/>
      <c r="AF62" s="74" t="str">
        <f>IF((ISERROR((AE62/$H62)*100)), "", IF(AND(NOT(ISERROR((AE62/$H62)*100)),((AE62/$H62)*100) &lt;&gt; 0), (AE62/$H62)*100, ""))</f>
        <v/>
      </c>
      <c r="AG62" s="96"/>
      <c r="AH62" s="100" t="str">
        <f t="shared" si="11"/>
        <v/>
      </c>
      <c r="AI62" s="73"/>
      <c r="AJ62" s="74" t="str">
        <f t="shared" si="48"/>
        <v/>
      </c>
      <c r="AK62" s="96"/>
      <c r="AL62" s="100" t="str">
        <f t="shared" si="13"/>
        <v/>
      </c>
      <c r="AM62" s="73"/>
      <c r="AN62" s="74" t="str">
        <f>IF((ISERROR((AM62/$H62)*100)), "", IF(AND(NOT(ISERROR((AM62/$H62)*100)),((AM62/$H62)*100) &lt;&gt; 0), (AM62/$H62)*100, ""))</f>
        <v/>
      </c>
      <c r="AO62" s="96"/>
      <c r="AP62" s="100" t="str">
        <f t="shared" si="15"/>
        <v/>
      </c>
      <c r="AQ62" s="73"/>
      <c r="AR62" s="74" t="str">
        <f t="shared" si="49"/>
        <v/>
      </c>
      <c r="AS62" s="96"/>
      <c r="AT62" s="100" t="str">
        <f t="shared" si="42"/>
        <v/>
      </c>
      <c r="AU62" s="73"/>
      <c r="AV62" s="74" t="str">
        <f t="shared" si="18"/>
        <v/>
      </c>
      <c r="AW62" s="96"/>
      <c r="AX62" s="100" t="str">
        <f t="shared" si="19"/>
        <v/>
      </c>
      <c r="AY62" s="75"/>
      <c r="AZ62" s="74" t="str">
        <f t="shared" si="50"/>
        <v/>
      </c>
      <c r="BA62" s="96"/>
      <c r="BB62" s="100" t="str">
        <f t="shared" si="21"/>
        <v/>
      </c>
      <c r="BC62" s="73"/>
      <c r="BD62" s="74" t="str">
        <f t="shared" si="51"/>
        <v/>
      </c>
      <c r="BE62" s="96"/>
      <c r="BF62" s="100" t="str">
        <f t="shared" si="23"/>
        <v/>
      </c>
      <c r="BG62" s="73"/>
      <c r="BH62" s="74" t="str">
        <f t="shared" si="52"/>
        <v/>
      </c>
      <c r="BI62" s="96"/>
      <c r="BJ62" s="100" t="str">
        <f t="shared" si="25"/>
        <v/>
      </c>
      <c r="BK62" s="73"/>
      <c r="BL62" s="74" t="str">
        <f t="shared" si="53"/>
        <v/>
      </c>
      <c r="BM62" s="96"/>
      <c r="BN62" s="100" t="str">
        <f t="shared" si="27"/>
        <v/>
      </c>
      <c r="BO62" s="73"/>
      <c r="BP62" s="74" t="str">
        <f t="shared" si="28"/>
        <v/>
      </c>
      <c r="BQ62" s="96"/>
      <c r="BR62" s="100" t="str">
        <f t="shared" si="29"/>
        <v/>
      </c>
      <c r="BS62" s="73"/>
      <c r="BT62" s="74" t="str">
        <f t="shared" si="30"/>
        <v/>
      </c>
      <c r="BU62" s="96"/>
      <c r="BV62" s="100" t="str">
        <f t="shared" si="31"/>
        <v/>
      </c>
      <c r="BW62" s="73"/>
      <c r="BX62" s="74" t="str">
        <f t="shared" si="32"/>
        <v/>
      </c>
      <c r="BY62" s="96"/>
      <c r="BZ62" s="100" t="str">
        <f t="shared" si="33"/>
        <v/>
      </c>
      <c r="CA62" s="73"/>
      <c r="CB62" s="74" t="str">
        <f t="shared" si="34"/>
        <v/>
      </c>
      <c r="CC62" s="96"/>
      <c r="CD62" s="100" t="str">
        <f t="shared" si="35"/>
        <v/>
      </c>
      <c r="CE62" s="73"/>
      <c r="CF62" s="74" t="str">
        <f t="shared" si="36"/>
        <v/>
      </c>
      <c r="CG62" s="96"/>
      <c r="CH62" s="100" t="str">
        <f t="shared" si="37"/>
        <v/>
      </c>
      <c r="CI62" s="73"/>
      <c r="CJ62" s="74" t="str">
        <f t="shared" si="38"/>
        <v/>
      </c>
      <c r="CK62" s="96"/>
      <c r="CL62" s="100" t="str">
        <f t="shared" si="39"/>
        <v/>
      </c>
      <c r="CM62" s="73"/>
      <c r="CN62" s="74" t="str">
        <f t="shared" si="40"/>
        <v/>
      </c>
      <c r="CO62" s="96"/>
      <c r="CP62" s="100" t="str">
        <f t="shared" si="41"/>
        <v/>
      </c>
      <c r="CQ62" s="23" t="s">
        <v>180</v>
      </c>
    </row>
    <row r="63" spans="1:95" ht="20" customHeight="1" thickBot="1" x14ac:dyDescent="0.25">
      <c r="A63" s="61"/>
      <c r="B63" s="24"/>
      <c r="C63" s="24" t="s">
        <v>85</v>
      </c>
      <c r="D63" s="23" t="s">
        <v>147</v>
      </c>
      <c r="E63" s="23" t="s">
        <v>148</v>
      </c>
      <c r="F63" s="24">
        <v>2011</v>
      </c>
      <c r="G63" s="24">
        <v>112</v>
      </c>
      <c r="H63" s="90">
        <v>22</v>
      </c>
      <c r="I63" s="87" t="s">
        <v>218</v>
      </c>
      <c r="J63" s="88" t="s">
        <v>193</v>
      </c>
      <c r="K63" s="34"/>
      <c r="L63" s="37" t="str">
        <f t="shared" si="0"/>
        <v/>
      </c>
      <c r="M63" s="97"/>
      <c r="N63" s="97" t="str">
        <f t="shared" si="1"/>
        <v/>
      </c>
      <c r="O63" s="34"/>
      <c r="P63" s="37" t="str">
        <f t="shared" si="44"/>
        <v/>
      </c>
      <c r="Q63" s="97"/>
      <c r="R63" s="101" t="str">
        <f t="shared" si="3"/>
        <v/>
      </c>
      <c r="S63" s="35"/>
      <c r="T63" s="37" t="str">
        <f t="shared" si="45"/>
        <v/>
      </c>
      <c r="U63" s="97"/>
      <c r="V63" s="101" t="str">
        <f t="shared" si="5"/>
        <v/>
      </c>
      <c r="W63" s="34"/>
      <c r="X63" s="37" t="str">
        <f t="shared" si="46"/>
        <v/>
      </c>
      <c r="Y63" s="97"/>
      <c r="Z63" s="101" t="str">
        <f t="shared" si="7"/>
        <v/>
      </c>
      <c r="AA63" s="34"/>
      <c r="AB63" s="37" t="str">
        <f t="shared" si="47"/>
        <v/>
      </c>
      <c r="AC63" s="97"/>
      <c r="AD63" s="101" t="str">
        <f t="shared" si="9"/>
        <v/>
      </c>
      <c r="AE63" s="34"/>
      <c r="AF63" s="37" t="str">
        <f>IF((ISERROR((AE63/$H63)*100)), "", IF(AND(NOT(ISERROR((AE63/$H63)*100)),((AE63/$H63)*100) &lt;&gt; 0), (AE63/$H63)*100, ""))</f>
        <v/>
      </c>
      <c r="AG63" s="97"/>
      <c r="AH63" s="101" t="str">
        <f t="shared" si="11"/>
        <v/>
      </c>
      <c r="AI63" s="34"/>
      <c r="AJ63" s="37" t="str">
        <f t="shared" si="48"/>
        <v/>
      </c>
      <c r="AK63" s="97"/>
      <c r="AL63" s="101" t="str">
        <f t="shared" si="13"/>
        <v/>
      </c>
      <c r="AM63" s="34"/>
      <c r="AN63" s="37" t="str">
        <f>IF((ISERROR((AM63/$H63)*100)), "", IF(AND(NOT(ISERROR((AM63/$H63)*100)),((AM63/$H63)*100) &lt;&gt; 0), (AM63/$H63)*100, ""))</f>
        <v/>
      </c>
      <c r="AO63" s="97"/>
      <c r="AP63" s="101" t="str">
        <f t="shared" si="15"/>
        <v/>
      </c>
      <c r="AQ63" s="34"/>
      <c r="AR63" s="37" t="str">
        <f t="shared" si="49"/>
        <v/>
      </c>
      <c r="AS63" s="97"/>
      <c r="AT63" s="101" t="str">
        <f t="shared" si="42"/>
        <v/>
      </c>
      <c r="AU63" s="34"/>
      <c r="AV63" s="37" t="str">
        <f t="shared" si="18"/>
        <v/>
      </c>
      <c r="AW63" s="97"/>
      <c r="AX63" s="101" t="str">
        <f t="shared" si="19"/>
        <v/>
      </c>
      <c r="AY63" s="35"/>
      <c r="AZ63" s="37" t="str">
        <f t="shared" si="50"/>
        <v/>
      </c>
      <c r="BA63" s="97"/>
      <c r="BB63" s="101" t="str">
        <f t="shared" si="21"/>
        <v/>
      </c>
      <c r="BC63" s="34"/>
      <c r="BD63" s="37" t="str">
        <f t="shared" si="51"/>
        <v/>
      </c>
      <c r="BE63" s="97"/>
      <c r="BF63" s="101" t="str">
        <f t="shared" si="23"/>
        <v/>
      </c>
      <c r="BG63" s="34"/>
      <c r="BH63" s="37" t="str">
        <f t="shared" si="52"/>
        <v/>
      </c>
      <c r="BI63" s="97"/>
      <c r="BJ63" s="101" t="str">
        <f t="shared" si="25"/>
        <v/>
      </c>
      <c r="BK63" s="34"/>
      <c r="BL63" s="37" t="str">
        <f t="shared" si="53"/>
        <v/>
      </c>
      <c r="BM63" s="97"/>
      <c r="BN63" s="101" t="str">
        <f t="shared" si="27"/>
        <v/>
      </c>
      <c r="BO63" s="34"/>
      <c r="BP63" s="37" t="str">
        <f t="shared" si="28"/>
        <v/>
      </c>
      <c r="BQ63" s="97"/>
      <c r="BR63" s="101" t="str">
        <f t="shared" si="29"/>
        <v/>
      </c>
      <c r="BS63" s="34"/>
      <c r="BT63" s="37" t="str">
        <f t="shared" si="30"/>
        <v/>
      </c>
      <c r="BU63" s="97"/>
      <c r="BV63" s="101" t="str">
        <f t="shared" si="31"/>
        <v/>
      </c>
      <c r="BW63" s="34"/>
      <c r="BX63" s="37" t="str">
        <f t="shared" si="32"/>
        <v/>
      </c>
      <c r="BY63" s="97"/>
      <c r="BZ63" s="101" t="str">
        <f t="shared" si="33"/>
        <v/>
      </c>
      <c r="CA63" s="34"/>
      <c r="CB63" s="37" t="str">
        <f t="shared" si="34"/>
        <v/>
      </c>
      <c r="CC63" s="97"/>
      <c r="CD63" s="101" t="str">
        <f t="shared" si="35"/>
        <v/>
      </c>
      <c r="CE63" s="34"/>
      <c r="CF63" s="37" t="str">
        <f t="shared" si="36"/>
        <v/>
      </c>
      <c r="CG63" s="97"/>
      <c r="CH63" s="101" t="str">
        <f t="shared" si="37"/>
        <v/>
      </c>
      <c r="CI63" s="34"/>
      <c r="CJ63" s="37" t="str">
        <f t="shared" si="38"/>
        <v/>
      </c>
      <c r="CK63" s="97"/>
      <c r="CL63" s="101" t="str">
        <f t="shared" si="39"/>
        <v/>
      </c>
      <c r="CM63" s="34"/>
      <c r="CN63" s="37" t="str">
        <f t="shared" si="40"/>
        <v/>
      </c>
      <c r="CO63" s="97"/>
      <c r="CP63" s="101" t="str">
        <f t="shared" si="41"/>
        <v/>
      </c>
      <c r="CQ63" s="23" t="s">
        <v>231</v>
      </c>
    </row>
    <row r="65" spans="3:94" ht="17" thickBot="1" x14ac:dyDescent="0.25"/>
    <row r="66" spans="3:94" s="22" customFormat="1" x14ac:dyDescent="0.2">
      <c r="C66" s="41"/>
      <c r="F66" s="24"/>
      <c r="G66" s="43" t="s">
        <v>243</v>
      </c>
      <c r="H66" s="145">
        <f>SUM(H11:H63)</f>
        <v>2009</v>
      </c>
      <c r="I66" s="146" t="s">
        <v>452</v>
      </c>
      <c r="J66" s="147" t="s">
        <v>458</v>
      </c>
      <c r="K66" s="148">
        <f>IF((SUM(K11:K63)&lt;&gt;0), SUMIF($H11:$H63, "&gt;0", K11:K63), "")</f>
        <v>5</v>
      </c>
      <c r="L66" s="149">
        <f>IF(ISERROR((K66/$H66)*100), "", IF(((K66/$H66)*100) &lt;&gt; 0, (K66/$H66)*100, ""))</f>
        <v>0.24888003982080636</v>
      </c>
      <c r="M66" s="146">
        <f>IF((SUM(N11:N63)&lt;&gt;0), SUMIF($H11:$H63, "&gt;0", N11:N63), "")</f>
        <v>5</v>
      </c>
      <c r="N66" s="149">
        <f>IF(ISERROR((M66/$H66)*100), "", IF(((M66/$H66)*100) &lt;&gt; 0, (M66/$H66)*100, ""))</f>
        <v>0.24888003982080636</v>
      </c>
      <c r="O66" s="148">
        <f>IF((SUM(O11:O63)&lt;&gt;0), SUMIF($H11:$H63, "&gt;0", O11:O63), "")</f>
        <v>25</v>
      </c>
      <c r="P66" s="149">
        <f>IF(ISERROR((O66/$H66)*100), "", IF(((O66/$H66)*100) &lt;&gt; 0, (O66/$H66)*100, ""))</f>
        <v>1.2444001991040319</v>
      </c>
      <c r="Q66" s="146">
        <f>IF((SUM(R11:R63)&lt;&gt;0), SUMIF($H11:$H63, "&gt;0", R11:R63), "")</f>
        <v>2</v>
      </c>
      <c r="R66" s="149">
        <f>IF(ISERROR((Q66/$H66)*100), "", IF(((Q66/$H66)*100) &lt;&gt; 0, (Q66/$H66)*100, ""))</f>
        <v>9.9552015928322551E-2</v>
      </c>
      <c r="S66" s="148">
        <f>IF((SUM(S11:S63)&lt;&gt;0), SUMIF($H11:$H63, "&gt;0", S11:S63), "")</f>
        <v>77</v>
      </c>
      <c r="T66" s="149">
        <f>IF(ISERROR((S66/$H66)*100), "", IF(((S66/$H66)*100) &lt;&gt; 0, (S66/$H66)*100, ""))</f>
        <v>3.8327526132404177</v>
      </c>
      <c r="U66" s="146">
        <f>IF((SUM(V11:V63)&lt;&gt;0), SUMIF($H11:$H63, "&gt;0", V11:V63), "")</f>
        <v>21</v>
      </c>
      <c r="V66" s="149">
        <f>IF(ISERROR((U66/$H66)*100), "", IF(((U66/$H66)*100) &lt;&gt; 0, (U66/$H66)*100, ""))</f>
        <v>1.0452961672473868</v>
      </c>
      <c r="W66" s="148">
        <f>IF((SUM(W11:W63)&lt;&gt;0), SUMIF($H11:$H63, "&gt;0", W11:W63), "")</f>
        <v>2</v>
      </c>
      <c r="X66" s="149">
        <f>IF(ISERROR((W66/$H66)*100), "", IF(((W66/$H66)*100) &lt;&gt; 0, (W66/$H66)*100, ""))</f>
        <v>9.9552015928322551E-2</v>
      </c>
      <c r="Y66" s="146">
        <f>IF((SUM(Z11:Z63)&lt;&gt;0), SUMIF($H11:$H63, "&gt;0", Z11:Z63), "")</f>
        <v>2</v>
      </c>
      <c r="Z66" s="149">
        <f>IF(ISERROR((Y66/$H66)*100), "", IF(((Y66/$H66)*100) &lt;&gt; 0, (Y66/$H66)*100, ""))</f>
        <v>9.9552015928322551E-2</v>
      </c>
      <c r="AA66" s="148">
        <f>IF((SUM(AA11:AA63)&lt;&gt;0), SUMIF($H11:$H63, "&gt;0", AA11:AA63), "")</f>
        <v>50</v>
      </c>
      <c r="AB66" s="149">
        <f>IF(ISERROR((AA66/$H66)*100), "", IF(((AA66/$H66)*100) &lt;&gt; 0, (AA66/$H66)*100, ""))</f>
        <v>2.4888003982080638</v>
      </c>
      <c r="AC66" s="146">
        <f>IF((SUM(AD11:AD63)&lt;&gt;0), SUMIF($H11:$H63, "&gt;0", AD11:AD63), "")</f>
        <v>7</v>
      </c>
      <c r="AD66" s="149">
        <f>IF(ISERROR((AC66/$H66)*100), "", IF(((AC66/$H66)*100) &lt;&gt; 0, (AC66/$H66)*100, ""))</f>
        <v>0.34843205574912894</v>
      </c>
      <c r="AE66" s="148">
        <f>IF((SUM(AE11:AE63)&lt;&gt;0), SUMIF($H11:$H63, "&gt;0", AE11:AE63), "")</f>
        <v>34</v>
      </c>
      <c r="AF66" s="149">
        <f>IF(ISERROR((AE66/$H66)*100), "", IF(((AE66/$H66)*100) &lt;&gt; 0, (AE66/$H66)*100, ""))</f>
        <v>1.6923842707814833</v>
      </c>
      <c r="AG66" s="146">
        <f>IF((SUM(AH11:AH63)&lt;&gt;0), SUMIF($H11:$H63, "&gt;0", AH11:AH63), "")</f>
        <v>6</v>
      </c>
      <c r="AH66" s="149">
        <f>IF(ISERROR((AG66/$H66)*100), "", IF(((AG66/$H66)*100) &lt;&gt; 0, (AG66/$H66)*100, ""))</f>
        <v>0.29865604778496768</v>
      </c>
      <c r="AI66" s="148">
        <f>IF((SUM(AI11:AI63)&lt;&gt;0), SUMIF($H11:$H63, "&gt;0", AI11:AI63), "")</f>
        <v>1</v>
      </c>
      <c r="AJ66" s="149">
        <f>IF(ISERROR((AI66/$H66)*100), "", IF(((AI66/$H66)*100) &lt;&gt; 0, (AI66/$H66)*100, ""))</f>
        <v>4.9776007964161276E-2</v>
      </c>
      <c r="AK66" s="146">
        <f>IF((SUM(AL11:AL63)&lt;&gt;0), SUMIF($H11:$H63, "&gt;0", AL11:AL63), "")</f>
        <v>1</v>
      </c>
      <c r="AL66" s="149">
        <f>IF(ISERROR((AK66/$H66)*100), "", IF(((AK66/$H66)*100) &lt;&gt; 0, (AK66/$H66)*100, ""))</f>
        <v>4.9776007964161276E-2</v>
      </c>
      <c r="AM66" s="148">
        <f>IF((SUM(AM11:AM63)&lt;&gt;0), SUMIF($H11:$H63, "&gt;0", AM11:AM63), "")</f>
        <v>6</v>
      </c>
      <c r="AN66" s="149">
        <f>IF(ISERROR((AM66/$H66)*100), "", IF(((AM66/$H66)*100) &lt;&gt; 0, (AM66/$H66)*100, ""))</f>
        <v>0.29865604778496768</v>
      </c>
      <c r="AO66" s="146" t="str">
        <f>IF((SUM(AP11:AP63)&lt;&gt;0), SUMIF($H11:$H63, "&gt;0", AP11:AP63), "")</f>
        <v/>
      </c>
      <c r="AP66" s="149" t="str">
        <f>IF(ISERROR((AO66/$H66)*100), "", IF(((AO66/$H66)*100) &lt;&gt; 0, (AO66/$H66)*100, ""))</f>
        <v/>
      </c>
      <c r="AQ66" s="148">
        <f>IF((SUM(AQ11:AQ63)&lt;&gt;0), SUMIF($H11:$H63, "&gt;0", AQ11:AQ63), "")</f>
        <v>26</v>
      </c>
      <c r="AR66" s="149">
        <f>IF(ISERROR((AQ66/$H66)*100), "", IF(((AQ66/$H66)*100) &lt;&gt; 0, (AQ66/$H66)*100, ""))</f>
        <v>1.2941762070681933</v>
      </c>
      <c r="AS66" s="146">
        <f>IF((SUM(AT11:AT63)&lt;&gt;0), SUMIF($H11:$H63, "&gt;0", AT11:AT63), "")</f>
        <v>6</v>
      </c>
      <c r="AT66" s="149">
        <f>IF(ISERROR((AS66/$H66)*100), "", IF(((AS66/$H66)*100) &lt;&gt; 0, (AS66/$H66)*100, ""))</f>
        <v>0.29865604778496768</v>
      </c>
      <c r="AU66" s="148">
        <f>IF((SUM(AU11:AU63)&lt;&gt;0), SUMIF($H11:$H63, "&gt;0", AU11:AU63), "")</f>
        <v>22</v>
      </c>
      <c r="AV66" s="149">
        <f>IF(ISERROR((AU66/$H66)*100), "", IF(((AU66/$H66)*100) &lt;&gt; 0, (AU66/$H66)*100, ""))</f>
        <v>1.0950721752115482</v>
      </c>
      <c r="AW66" s="146">
        <f>IF((SUM(AX11:AX63)&lt;&gt;0), SUMIF($H11:$H63, "&gt;0", AX11:AX63), "")</f>
        <v>3</v>
      </c>
      <c r="AX66" s="149">
        <f>IF(ISERROR((AW66/$H66)*100), "", IF(((AW66/$H66)*100) &lt;&gt; 0, (AW66/$H66)*100, ""))</f>
        <v>0.14932802389248384</v>
      </c>
      <c r="AY66" s="148">
        <f>IF((SUM(AY11:AY63)&lt;&gt;0), SUMIF($H11:$H63, "&gt;0", AY11:AY63), "")</f>
        <v>90</v>
      </c>
      <c r="AZ66" s="149">
        <f>IF(ISERROR((AY66/$H66)*100), "", IF(((AY66/$H66)*100) &lt;&gt; 0, (AY66/$H66)*100, ""))</f>
        <v>4.4798407167745147</v>
      </c>
      <c r="BA66" s="146">
        <f>IF((SUM(BB11:BB63)&lt;&gt;0), SUMIF($H11:$H63, "&gt;0", BB11:BB63), "")</f>
        <v>-28</v>
      </c>
      <c r="BB66" s="149">
        <f>IF(ISERROR((BA66/$H66)*100), "", IF(((BA66/$H66)*100) &lt;&gt; 0, (BA66/$H66)*100, ""))</f>
        <v>-1.3937282229965158</v>
      </c>
      <c r="BC66" s="148">
        <f>IF((SUM(BC11:BC63)&lt;&gt;0), SUMIF($H11:$H63, "&gt;0", BC11:BC63), "")</f>
        <v>2</v>
      </c>
      <c r="BD66" s="149">
        <f>IF(ISERROR((BC66/$H66)*100), "", IF(((BC66/$H66)*100) &lt;&gt; 0, (BC66/$H66)*100, ""))</f>
        <v>9.9552015928322551E-2</v>
      </c>
      <c r="BE66" s="146">
        <f>IF((SUM(BF11:BF63)&lt;&gt;0), SUMIF($H11:$H63, "&gt;0", BF11:BF63), "")</f>
        <v>1</v>
      </c>
      <c r="BF66" s="149">
        <f>IF(ISERROR((BE66/$H66)*100), "", IF(((BE66/$H66)*100) &lt;&gt; 0, (BE66/$H66)*100, ""))</f>
        <v>4.9776007964161276E-2</v>
      </c>
      <c r="BG66" s="148">
        <f>IF((SUM(BG11:BG63)&lt;&gt;0), SUMIF($H11:$H63, "&gt;0", BG11:BG63), "")</f>
        <v>4</v>
      </c>
      <c r="BH66" s="149">
        <f>IF(ISERROR((BG66/$H66)*100), "", IF(((BG66/$H66)*100) &lt;&gt; 0, (BG66/$H66)*100, ""))</f>
        <v>0.1991040318566451</v>
      </c>
      <c r="BI66" s="146">
        <f>IF((SUM(BJ11:BJ63)&lt;&gt;0), SUMIF($H11:$H63, "&gt;0", BJ11:BJ63), "")</f>
        <v>4</v>
      </c>
      <c r="BJ66" s="149">
        <f>IF(ISERROR((BI66/$H66)*100), "", IF(((BI66/$H66)*100) &lt;&gt; 0, (BI66/$H66)*100, ""))</f>
        <v>0.1991040318566451</v>
      </c>
      <c r="BK66" s="148">
        <f>IF((SUM(BK11:BK63)&lt;&gt;0), SUMIF($H11:$H63, "&gt;0", BK11:BK63), "")</f>
        <v>8</v>
      </c>
      <c r="BL66" s="149">
        <f>IF(ISERROR((BK66/$H66)*100), "", IF(((BK66/$H66)*100) &lt;&gt; 0, (BK66/$H66)*100, ""))</f>
        <v>0.39820806371329021</v>
      </c>
      <c r="BM66" s="146">
        <f>IF((SUM(BN11:BN63)&lt;&gt;0), SUMIF($H11:$H63, "&gt;0", BN11:BN63), "")</f>
        <v>-11</v>
      </c>
      <c r="BN66" s="149">
        <f>IF(ISERROR((BM66/$H66)*100), "", IF(((BM66/$H66)*100) &lt;&gt; 0, (BM66/$H66)*100, ""))</f>
        <v>-0.5475360876057741</v>
      </c>
      <c r="BO66" s="148">
        <f>IF((SUM(BO11:BO63)&lt;&gt;0), SUMIF($H11:$H63, "&gt;0", BO11:BO63), "")</f>
        <v>2</v>
      </c>
      <c r="BP66" s="149">
        <f>IF(ISERROR((BO66/$H66)*100), "", IF(((BO66/$H66)*100) &lt;&gt; 0, (BO66/$H66)*100, ""))</f>
        <v>9.9552015928322551E-2</v>
      </c>
      <c r="BQ66" s="146">
        <f>IF((SUM(BR11:BR63)&lt;&gt;0), SUMIF($H11:$H63, "&gt;0", BR11:BR63), "")</f>
        <v>2</v>
      </c>
      <c r="BR66" s="149">
        <f>IF(ISERROR((BQ66/$H66)*100), "", IF(((BQ66/$H66)*100) &lt;&gt; 0, (BQ66/$H66)*100, ""))</f>
        <v>9.9552015928322551E-2</v>
      </c>
      <c r="BS66" s="148">
        <f>IF((SUM(BS11:BS63)&lt;&gt;0), SUMIF($H11:$H63, "&gt;0", BS11:BS63), "")</f>
        <v>0</v>
      </c>
      <c r="BT66" s="149" t="str">
        <f>IF(ISERROR((BS66/$H66)*100), "", IF(((BS66/$H66)*100) &lt;&gt; 0, (BS66/$H66)*100, ""))</f>
        <v/>
      </c>
      <c r="BU66" s="146" t="str">
        <f>IF((SUM(BV11:BV63)&lt;&gt;0), SUMIF($H11:$H63, "&gt;0", BV11:BV63), "")</f>
        <v/>
      </c>
      <c r="BV66" s="149" t="str">
        <f>IF(ISERROR((BU66/$H66)*100), "", IF(((BU66/$H66)*100) &lt;&gt; 0, (BU66/$H66)*100, ""))</f>
        <v/>
      </c>
      <c r="BW66" s="148" t="str">
        <f>IF((SUM(BW11:BW63)&lt;&gt;0), SUMIF($H11:$H63, "&gt;0", BW11:BW63), "")</f>
        <v/>
      </c>
      <c r="BX66" s="149" t="str">
        <f>IF(ISERROR((BW66/$H66)*100), "", IF(((BW66/$H66)*100) &lt;&gt; 0, (BW66/$H66)*100, ""))</f>
        <v/>
      </c>
      <c r="BY66" s="146" t="str">
        <f>IF((SUM(BZ11:BZ63)&lt;&gt;0), SUMIF($H11:$H63, "&gt;0", BZ11:BZ63), "")</f>
        <v/>
      </c>
      <c r="BZ66" s="149" t="str">
        <f>IF(ISERROR((BY66/$H66)*100), "", IF(((BY66/$H66)*100) &lt;&gt; 0, (BY66/$H66)*100, ""))</f>
        <v/>
      </c>
      <c r="CA66" s="148" t="str">
        <f>IF((SUM(CA11:CA63)&lt;&gt;0), SUMIF($H11:$H63, "&gt;0", CA11:CA63), "")</f>
        <v/>
      </c>
      <c r="CB66" s="149" t="str">
        <f>IF(ISERROR((CA66/$H66)*100), "", IF(((CA66/$H66)*100) &lt;&gt; 0, (CA66/$H66)*100, ""))</f>
        <v/>
      </c>
      <c r="CC66" s="146" t="str">
        <f>IF((SUM(CD11:CD63)&lt;&gt;0), SUMIF($H11:$H63, "&gt;0", CD11:CD63), "")</f>
        <v/>
      </c>
      <c r="CD66" s="149" t="str">
        <f>IF(ISERROR((CC66/$H66)*100), "", IF(((CC66/$H66)*100) &lt;&gt; 0, (CC66/$H66)*100, ""))</f>
        <v/>
      </c>
      <c r="CE66" s="148" t="str">
        <f>IF((SUM(CE11:CE63)&lt;&gt;0), SUMIF($H11:$H63, "&gt;0", CE11:CE63), "")</f>
        <v/>
      </c>
      <c r="CF66" s="149" t="str">
        <f>IF(ISERROR((CE66/$H66)*100), "", IF(((CE66/$H66)*100) &lt;&gt; 0, (CE66/$H66)*100, ""))</f>
        <v/>
      </c>
      <c r="CG66" s="146" t="str">
        <f>IF((SUM(CH11:CH63)&lt;&gt;0), SUMIF($H11:$H63, "&gt;0", CH11:CH63), "")</f>
        <v/>
      </c>
      <c r="CH66" s="149" t="str">
        <f>IF(ISERROR((CG66/$H66)*100), "", IF(((CG66/$H66)*100) &lt;&gt; 0, (CG66/$H66)*100, ""))</f>
        <v/>
      </c>
      <c r="CI66" s="148" t="str">
        <f>IF((SUM(CI11:CI63)&lt;&gt;0), SUMIF($H11:$H63, "&gt;0", CI11:CI63), "")</f>
        <v/>
      </c>
      <c r="CJ66" s="149" t="str">
        <f>IF(ISERROR((CI66/$H66)*100), "", IF(((CI66/$H66)*100) &lt;&gt; 0, (CI66/$H66)*100, ""))</f>
        <v/>
      </c>
      <c r="CK66" s="146" t="str">
        <f>IF((SUM(CL11:CL63)&lt;&gt;0), SUMIF($H11:$H63, "&gt;0", CL11:CL63), "")</f>
        <v/>
      </c>
      <c r="CL66" s="149" t="str">
        <f>IF(ISERROR((CK66/$H66)*100), "", IF(((CK66/$H66)*100) &lt;&gt; 0, (CK66/$H66)*100, ""))</f>
        <v/>
      </c>
      <c r="CM66" s="148" t="str">
        <f>IF((SUM(CM11:CM63)&lt;&gt;0), SUMIF($H11:$H63, "&gt;0", CM11:CM63), "")</f>
        <v/>
      </c>
      <c r="CN66" s="149" t="str">
        <f>IF(ISERROR((CM66/$H66)*100), "", IF(((CM66/$H66)*100) &lt;&gt; 0, (CM66/$H66)*100, ""))</f>
        <v/>
      </c>
      <c r="CO66" s="146" t="str">
        <f>IF((SUM(CP11:CP63)&lt;&gt;0), SUMIF($H11:$H63, "&gt;0", CP11:CP63), "")</f>
        <v/>
      </c>
      <c r="CP66" s="149" t="str">
        <f>IF(ISERROR((CO66/$H66)*100), "", IF(((CO66/$H66)*100) &lt;&gt; 0, (CO66/$H66)*100, ""))</f>
        <v/>
      </c>
    </row>
    <row r="67" spans="3:94" s="22" customFormat="1" x14ac:dyDescent="0.2">
      <c r="C67" s="41"/>
      <c r="F67" s="24"/>
      <c r="G67" s="43" t="s">
        <v>244</v>
      </c>
      <c r="H67" s="150" t="s">
        <v>242</v>
      </c>
      <c r="I67" s="47" t="s">
        <v>459</v>
      </c>
      <c r="J67" s="151" t="s">
        <v>460</v>
      </c>
      <c r="K67" s="152">
        <f>IF(SUMIF(K11:K63, "&gt; 0", $H11:$H63) &gt; 0, SUMIF(K11:K63, "&gt; 0", $H11:$H63), "")</f>
        <v>8</v>
      </c>
      <c r="L67" s="153">
        <f>IF(NOT(ISERROR(K66/K67)*100), (K66/K67)*100, "")</f>
        <v>62.5</v>
      </c>
      <c r="M67" s="152">
        <f>K67</f>
        <v>8</v>
      </c>
      <c r="N67" s="151">
        <f>IF(NOT(ISERROR((M66/K67)*100)),(M66/K67)*100, "")</f>
        <v>62.5</v>
      </c>
      <c r="O67" s="152">
        <f>IF(SUMIF(O11:O63, "&gt; 0", $H11:$H63) &gt; 0, SUMIF(O11:O63, "&gt; 0", $H11:$H63), "")</f>
        <v>62</v>
      </c>
      <c r="P67" s="154">
        <f>IF(NOT(ISERROR(O66/O67)*100), (O66/O67)*100, "")</f>
        <v>40.322580645161288</v>
      </c>
      <c r="Q67" s="152">
        <f>O67</f>
        <v>62</v>
      </c>
      <c r="R67" s="154">
        <f>IF(NOT(ISERROR((Q66/O67)*100)),(Q66/O67)*100, "")</f>
        <v>3.225806451612903</v>
      </c>
      <c r="S67" s="152">
        <f>IF(SUMIF(S11:S63, "&gt; 0", $H11:$H63) &gt; 0, SUMIF(S11:S63, "&gt; 0", $H11:$H63), "")</f>
        <v>265</v>
      </c>
      <c r="T67" s="154">
        <f>IF(NOT(ISERROR(S66/S67)*100), (S66/S67)*100, "")</f>
        <v>29.056603773584904</v>
      </c>
      <c r="U67" s="152">
        <f>S67</f>
        <v>265</v>
      </c>
      <c r="V67" s="154">
        <f>IF(NOT(ISERROR((U66/S67)*100)),(U66/S67)*100, "")</f>
        <v>7.9245283018867925</v>
      </c>
      <c r="W67" s="152">
        <f>IF(SUMIF(W11:W63, "&gt; 0", $H11:$H63) &gt; 0, SUMIF(W11:W63, "&gt; 0", $H11:$H63), "")</f>
        <v>8</v>
      </c>
      <c r="X67" s="154">
        <f>IF(NOT(ISERROR(W66/W67)*100), (W66/W67)*100, "")</f>
        <v>25</v>
      </c>
      <c r="Y67" s="152">
        <f>W67</f>
        <v>8</v>
      </c>
      <c r="Z67" s="154">
        <f>IF(NOT(ISERROR((Y66/W67)*100)),(Y66/W67)*100, "")</f>
        <v>25</v>
      </c>
      <c r="AA67" s="152">
        <f>IF(SUMIF(AA11:AA63, "&gt; 0", $H11:$H63) &gt; 0, SUMIF(AA11:AA63, "&gt; 0", $H11:$H63), "")</f>
        <v>217</v>
      </c>
      <c r="AB67" s="154">
        <f>IF(NOT(ISERROR(AA66/AA67)*100), (AA66/AA67)*100, "")</f>
        <v>23.041474654377879</v>
      </c>
      <c r="AC67" s="152">
        <f>AA67</f>
        <v>217</v>
      </c>
      <c r="AD67" s="154">
        <f>IF(NOT(ISERROR((AC66/AA67)*100)),(AC66/AA67)*100, "")</f>
        <v>3.225806451612903</v>
      </c>
      <c r="AE67" s="152">
        <f>IF(SUMIF(AE11:AE63, "&gt; 0", $H11:$H63) &gt; 0, SUMIF(AE11:AE63, "&gt; 0", $H11:$H63), "")</f>
        <v>156</v>
      </c>
      <c r="AF67" s="154">
        <f>IF(NOT(ISERROR(AE66/AE67)*100), (AE66/AE67)*100, "")</f>
        <v>21.794871794871796</v>
      </c>
      <c r="AG67" s="152">
        <f>AE67</f>
        <v>156</v>
      </c>
      <c r="AH67" s="154">
        <f>IF(NOT(ISERROR((AG66/AE67)*100)),(AG66/AE67)*100, "")</f>
        <v>3.8461538461538463</v>
      </c>
      <c r="AI67" s="152">
        <f>IF(SUMIF(AI11:AI63, "&gt; 0", $H11:$H63) &gt; 0, SUMIF(AI11:AI63, "&gt; 0", $H11:$H63), "")</f>
        <v>8</v>
      </c>
      <c r="AJ67" s="154">
        <f>IF(NOT(ISERROR(AI66/AI67)*100), (AI66/AI67)*100, "")</f>
        <v>12.5</v>
      </c>
      <c r="AK67" s="152">
        <f>AI67</f>
        <v>8</v>
      </c>
      <c r="AL67" s="154">
        <f>IF(NOT(ISERROR((AK66/AI67)*100)),(AK66/AI67)*100, "")</f>
        <v>12.5</v>
      </c>
      <c r="AM67" s="152">
        <f>IF(SUMIF(AM11:AM63, "&gt; 0", $H11:$H63) &gt; 0, SUMIF(AM11:AM63, "&gt; 0", $H11:$H63), "")</f>
        <v>37</v>
      </c>
      <c r="AN67" s="154">
        <f>IF(NOT(ISERROR(AM66/AM67)*100), (AM66/AM67)*100, "")</f>
        <v>16.216216216216218</v>
      </c>
      <c r="AO67" s="152">
        <f>AM67</f>
        <v>37</v>
      </c>
      <c r="AP67" s="154" t="str">
        <f>IF(NOT(ISERROR((AO66/AM67)*100)),(AO66/AM67)*100, "")</f>
        <v/>
      </c>
      <c r="AQ67" s="152">
        <f>IF(SUMIF(AQ11:AQ63, "&gt; 0", $H11:$H63) &gt; 0, SUMIF(AQ11:AQ63, "&gt; 0", $H11:$H63), "")</f>
        <v>214</v>
      </c>
      <c r="AR67" s="154">
        <f>IF(NOT(ISERROR(AQ66/AQ67)*100), (AQ66/AQ67)*100, "")</f>
        <v>12.149532710280374</v>
      </c>
      <c r="AS67" s="152">
        <f>AQ67</f>
        <v>214</v>
      </c>
      <c r="AT67" s="154">
        <f>IF(NOT(ISERROR((AS66/AQ67)*100)),(AS66/AQ67)*100, "")</f>
        <v>2.8037383177570092</v>
      </c>
      <c r="AU67" s="152">
        <f>IF(SUMIF(AU11:AU63, "&gt; 0", $H11:$H63) &gt; 0, SUMIF(AU11:AU63, "&gt; 0", $H11:$H63), "")</f>
        <v>190</v>
      </c>
      <c r="AV67" s="154">
        <f>IF(NOT(ISERROR(AU66/AU67)*100), (AU66/AU67)*100, "")</f>
        <v>11.578947368421053</v>
      </c>
      <c r="AW67" s="152">
        <f>AU67</f>
        <v>190</v>
      </c>
      <c r="AX67" s="154">
        <f>IF(NOT(ISERROR((AW66/AU67)*100)),(AW66/AU67)*100, "")</f>
        <v>1.5789473684210527</v>
      </c>
      <c r="AY67" s="152">
        <f>IF(SUMIF(AY11:AY63, "&gt; 0", $H11:$H63) &gt; 0, SUMIF(AY11:AY63, "&gt; 0", $H11:$H63), "")</f>
        <v>941</v>
      </c>
      <c r="AZ67" s="154">
        <f>IF(NOT(ISERROR(AY66/AY67)*100), (AY66/AY67)*100, "")</f>
        <v>9.5642933049946866</v>
      </c>
      <c r="BA67" s="152">
        <f>AY67</f>
        <v>941</v>
      </c>
      <c r="BB67" s="154">
        <f>IF(NOT(ISERROR((BA66/AY67)*100)),(BA66/AY67)*100, "")</f>
        <v>-2.9755579171094579</v>
      </c>
      <c r="BC67" s="152">
        <f>IF(SUMIF(BC11:BC63, "&gt; 0", $H11:$H63) &gt; 0, SUMIF(BC11:BC63, "&gt; 0", $H11:$H63), "")</f>
        <v>27</v>
      </c>
      <c r="BD67" s="154">
        <f>IF(NOT(ISERROR(BC66/BC67)*100), (BC66/BC67)*100, "")</f>
        <v>7.4074074074074066</v>
      </c>
      <c r="BE67" s="152">
        <f>BC67</f>
        <v>27</v>
      </c>
      <c r="BF67" s="154">
        <f>IF(NOT(ISERROR((BE66/BC67)*100)),(BE66/BC67)*100, "")</f>
        <v>3.7037037037037033</v>
      </c>
      <c r="BG67" s="152">
        <f>IF(SUMIF(BG11:BG63, "&gt; 0", $H11:$H63) &gt; 0, SUMIF(BG11:BG63, "&gt; 0", $H11:$H63), "")</f>
        <v>61</v>
      </c>
      <c r="BH67" s="154">
        <f>IF(NOT(ISERROR(BG66/BG67)*100), (BG66/BG67)*100, "")</f>
        <v>6.557377049180328</v>
      </c>
      <c r="BI67" s="152">
        <f>BG67</f>
        <v>61</v>
      </c>
      <c r="BJ67" s="154">
        <f>IF(NOT(ISERROR((BI66/BG67)*100)),(BI66/BG67)*100, "")</f>
        <v>6.557377049180328</v>
      </c>
      <c r="BK67" s="152">
        <f>IF(SUMIF(BK11:BK63, "&gt; 0", $H11:$H63) &gt; 0, SUMIF(BK11:BK63, "&gt; 0", $H11:$H63), "")</f>
        <v>162</v>
      </c>
      <c r="BL67" s="154">
        <f>IF(NOT(ISERROR(BK66/BK67)*100), (BK66/BK67)*100, "")</f>
        <v>4.9382716049382713</v>
      </c>
      <c r="BM67" s="152">
        <f>BK67</f>
        <v>162</v>
      </c>
      <c r="BN67" s="154">
        <f>IF(NOT(ISERROR((BM66/BK67)*100)),(BM66/BK67)*100, "")</f>
        <v>-6.7901234567901234</v>
      </c>
      <c r="BO67" s="152">
        <f>IF(SUMIF(BO11:BO63, "&gt; 0", $H11:$H63) &gt; 0, SUMIF(BO11:BO63, "&gt; 0", $H11:$H63), "")</f>
        <v>47</v>
      </c>
      <c r="BP67" s="154">
        <f>IF(NOT(ISERROR(BO66/BO67)*100), (BO66/BO67)*100, "")</f>
        <v>4.2553191489361701</v>
      </c>
      <c r="BQ67" s="152">
        <f>BO67</f>
        <v>47</v>
      </c>
      <c r="BR67" s="154">
        <f>IF(NOT(ISERROR((BQ66/BO67)*100)),(BQ66/BO67)*100, "")</f>
        <v>4.2553191489361701</v>
      </c>
      <c r="BS67" s="152" t="str">
        <f>IF(SUMIF(BS11:BS63, "&gt; 0", $H11:$H63) &gt; 0, SUMIF(BS11:BS63, "&gt; 0", $H11:$H63), "")</f>
        <v/>
      </c>
      <c r="BT67" s="153" t="str">
        <f>IF(NOT(ISERROR(BS66/BS67)*100), (BS66/BS67)*100, "")</f>
        <v/>
      </c>
      <c r="BU67" s="152" t="str">
        <f>BS67</f>
        <v/>
      </c>
      <c r="BV67" s="154" t="str">
        <f>IF(NOT(ISERROR((BU66/BS67)*100)),(BU66/BS67)*100, "")</f>
        <v/>
      </c>
      <c r="BW67" s="152" t="str">
        <f>IF(SUMIF(BW11:BW63, "&gt; 0", $H11:$H63) &gt; 0, SUMIF(BW11:BW63, "&gt; 0", $H11:$H63), "")</f>
        <v/>
      </c>
      <c r="BX67" s="153" t="str">
        <f>IF(NOT(ISERROR(BW66/BW67)*100), (BW66/BW67)*100, "")</f>
        <v/>
      </c>
      <c r="BY67" s="152" t="str">
        <f>BW67</f>
        <v/>
      </c>
      <c r="BZ67" s="154" t="str">
        <f>IF(NOT(ISERROR((BY66/BW67)*100)),(BY66/BW67)*100, "")</f>
        <v/>
      </c>
      <c r="CA67" s="152" t="str">
        <f>IF(SUMIF(CA11:CA63, "&gt; 0", $H11:$H63) &gt; 0, SUMIF(CA11:CA63, "&gt; 0", $H11:$H63), "")</f>
        <v/>
      </c>
      <c r="CB67" s="153" t="str">
        <f>IF(NOT(ISERROR(CA66/CA67)*100), (CA66/CA67)*100, "")</f>
        <v/>
      </c>
      <c r="CC67" s="152" t="str">
        <f>CA67</f>
        <v/>
      </c>
      <c r="CD67" s="154" t="str">
        <f>IF(NOT(ISERROR((CC66/CA67)*100)),(CC66/CA67)*100, "")</f>
        <v/>
      </c>
      <c r="CE67" s="152" t="str">
        <f>IF(SUMIF(CE11:CE63, "&gt; 0", $H11:$H63) &gt; 0, SUMIF(CE11:CE63, "&gt; 0", $H11:$H63), "")</f>
        <v/>
      </c>
      <c r="CF67" s="153" t="str">
        <f>IF(NOT(ISERROR(CE66/CE67)*100), (CE66/CE67)*100, "")</f>
        <v/>
      </c>
      <c r="CG67" s="152" t="str">
        <f>CE67</f>
        <v/>
      </c>
      <c r="CH67" s="154" t="str">
        <f>IF(NOT(ISERROR((CG66/CE67)*100)),(CG66/CE67)*100, "")</f>
        <v/>
      </c>
      <c r="CI67" s="152" t="str">
        <f>IF(SUMIF(CI11:CI63, "&gt; 0", $H11:$H63) &gt; 0, SUMIF(CI11:CI63, "&gt; 0", $H11:$H63), "")</f>
        <v/>
      </c>
      <c r="CJ67" s="153" t="str">
        <f>IF(NOT(ISERROR(CI66/CI67)*100), (CI66/CI67)*100, "")</f>
        <v/>
      </c>
      <c r="CK67" s="152" t="str">
        <f>CI67</f>
        <v/>
      </c>
      <c r="CL67" s="154" t="str">
        <f>IF(NOT(ISERROR((CK66/CI67)*100)),(CK66/CI67)*100, "")</f>
        <v/>
      </c>
      <c r="CM67" s="152" t="str">
        <f>IF(SUMIF(CM11:CM63, "&gt; 0", $H11:$H63) &gt; 0, SUMIF(CM11:CM63, "&gt; 0", $H11:$H63), "")</f>
        <v/>
      </c>
      <c r="CN67" s="153" t="str">
        <f>IF(NOT(ISERROR(CM66/CM67)*100), (CM66/CM67)*100, "")</f>
        <v/>
      </c>
      <c r="CO67" s="152" t="str">
        <f>CM67</f>
        <v/>
      </c>
      <c r="CP67" s="154" t="str">
        <f>IF(NOT(ISERROR((CO66/CM67)*100)),(CO66/CM67)*100, "")</f>
        <v/>
      </c>
    </row>
    <row r="68" spans="3:94" ht="17" customHeight="1" thickBot="1" x14ac:dyDescent="0.25">
      <c r="H68" s="372" t="s">
        <v>453</v>
      </c>
      <c r="I68" s="375"/>
      <c r="J68" s="376"/>
      <c r="K68" s="351" t="s">
        <v>240</v>
      </c>
      <c r="L68" s="353" t="s">
        <v>241</v>
      </c>
      <c r="M68" s="685" t="s">
        <v>454</v>
      </c>
      <c r="N68" s="682" t="s">
        <v>241</v>
      </c>
      <c r="O68" s="351" t="s">
        <v>240</v>
      </c>
      <c r="P68" s="353" t="s">
        <v>241</v>
      </c>
      <c r="Q68" s="685" t="s">
        <v>454</v>
      </c>
      <c r="R68" s="682" t="s">
        <v>241</v>
      </c>
      <c r="S68" s="351" t="s">
        <v>240</v>
      </c>
      <c r="T68" s="353" t="s">
        <v>241</v>
      </c>
      <c r="U68" s="685" t="s">
        <v>454</v>
      </c>
      <c r="V68" s="682" t="s">
        <v>241</v>
      </c>
      <c r="W68" s="351" t="s">
        <v>240</v>
      </c>
      <c r="X68" s="353" t="s">
        <v>241</v>
      </c>
      <c r="Y68" s="685" t="s">
        <v>454</v>
      </c>
      <c r="Z68" s="682" t="s">
        <v>241</v>
      </c>
      <c r="AA68" s="351" t="s">
        <v>240</v>
      </c>
      <c r="AB68" s="353" t="s">
        <v>241</v>
      </c>
      <c r="AC68" s="685" t="s">
        <v>454</v>
      </c>
      <c r="AD68" s="682" t="s">
        <v>241</v>
      </c>
      <c r="AE68" s="351" t="s">
        <v>240</v>
      </c>
      <c r="AF68" s="353" t="s">
        <v>241</v>
      </c>
      <c r="AG68" s="685" t="s">
        <v>454</v>
      </c>
      <c r="AH68" s="682" t="s">
        <v>241</v>
      </c>
      <c r="AI68" s="351" t="s">
        <v>240</v>
      </c>
      <c r="AJ68" s="353" t="s">
        <v>241</v>
      </c>
      <c r="AK68" s="685" t="s">
        <v>454</v>
      </c>
      <c r="AL68" s="682" t="s">
        <v>241</v>
      </c>
      <c r="AM68" s="351" t="s">
        <v>240</v>
      </c>
      <c r="AN68" s="353" t="s">
        <v>241</v>
      </c>
      <c r="AO68" s="685" t="s">
        <v>454</v>
      </c>
      <c r="AP68" s="682" t="s">
        <v>241</v>
      </c>
      <c r="AQ68" s="351" t="s">
        <v>240</v>
      </c>
      <c r="AR68" s="353" t="s">
        <v>241</v>
      </c>
      <c r="AS68" s="685" t="s">
        <v>454</v>
      </c>
      <c r="AT68" s="682" t="s">
        <v>241</v>
      </c>
      <c r="AU68" s="351" t="s">
        <v>240</v>
      </c>
      <c r="AV68" s="353" t="s">
        <v>241</v>
      </c>
      <c r="AW68" s="685" t="s">
        <v>454</v>
      </c>
      <c r="AX68" s="682" t="s">
        <v>241</v>
      </c>
      <c r="AY68" s="351" t="s">
        <v>240</v>
      </c>
      <c r="AZ68" s="353" t="s">
        <v>241</v>
      </c>
      <c r="BA68" s="685" t="s">
        <v>454</v>
      </c>
      <c r="BB68" s="682" t="s">
        <v>241</v>
      </c>
      <c r="BC68" s="351" t="s">
        <v>240</v>
      </c>
      <c r="BD68" s="353" t="s">
        <v>241</v>
      </c>
      <c r="BE68" s="685" t="s">
        <v>454</v>
      </c>
      <c r="BF68" s="682" t="s">
        <v>241</v>
      </c>
      <c r="BG68" s="351" t="s">
        <v>240</v>
      </c>
      <c r="BH68" s="353" t="s">
        <v>241</v>
      </c>
      <c r="BI68" s="685" t="s">
        <v>454</v>
      </c>
      <c r="BJ68" s="682" t="s">
        <v>241</v>
      </c>
      <c r="BK68" s="351" t="s">
        <v>240</v>
      </c>
      <c r="BL68" s="353" t="s">
        <v>241</v>
      </c>
      <c r="BM68" s="685" t="s">
        <v>454</v>
      </c>
      <c r="BN68" s="682" t="s">
        <v>241</v>
      </c>
      <c r="BO68" s="351" t="s">
        <v>240</v>
      </c>
      <c r="BP68" s="353" t="s">
        <v>241</v>
      </c>
      <c r="BQ68" s="685" t="s">
        <v>454</v>
      </c>
      <c r="BR68" s="682" t="s">
        <v>241</v>
      </c>
      <c r="BS68" s="351" t="s">
        <v>240</v>
      </c>
      <c r="BT68" s="353" t="s">
        <v>241</v>
      </c>
      <c r="BU68" s="685" t="s">
        <v>454</v>
      </c>
      <c r="BV68" s="682" t="s">
        <v>241</v>
      </c>
      <c r="BW68" s="351" t="s">
        <v>240</v>
      </c>
      <c r="BX68" s="353" t="s">
        <v>241</v>
      </c>
      <c r="BY68" s="685" t="s">
        <v>454</v>
      </c>
      <c r="BZ68" s="682" t="s">
        <v>241</v>
      </c>
      <c r="CA68" s="351" t="s">
        <v>240</v>
      </c>
      <c r="CB68" s="353" t="s">
        <v>241</v>
      </c>
      <c r="CC68" s="685" t="s">
        <v>454</v>
      </c>
      <c r="CD68" s="682" t="s">
        <v>241</v>
      </c>
      <c r="CE68" s="351" t="s">
        <v>240</v>
      </c>
      <c r="CF68" s="353" t="s">
        <v>241</v>
      </c>
      <c r="CG68" s="685" t="s">
        <v>454</v>
      </c>
      <c r="CH68" s="682" t="s">
        <v>241</v>
      </c>
      <c r="CI68" s="351" t="s">
        <v>240</v>
      </c>
      <c r="CJ68" s="353" t="s">
        <v>241</v>
      </c>
      <c r="CK68" s="685" t="s">
        <v>454</v>
      </c>
      <c r="CL68" s="682" t="s">
        <v>241</v>
      </c>
      <c r="CM68" s="351" t="s">
        <v>240</v>
      </c>
      <c r="CN68" s="353" t="s">
        <v>241</v>
      </c>
      <c r="CO68" s="685" t="s">
        <v>454</v>
      </c>
      <c r="CP68" s="682" t="s">
        <v>241</v>
      </c>
    </row>
    <row r="69" spans="3:94" x14ac:dyDescent="0.2">
      <c r="E69" s="55" t="s">
        <v>246</v>
      </c>
      <c r="F69" s="58">
        <v>1</v>
      </c>
      <c r="H69" s="373"/>
      <c r="I69" s="377"/>
      <c r="J69" s="378"/>
      <c r="K69" s="351"/>
      <c r="L69" s="354"/>
      <c r="M69" s="686"/>
      <c r="N69" s="683"/>
      <c r="O69" s="351"/>
      <c r="P69" s="354"/>
      <c r="Q69" s="686"/>
      <c r="R69" s="683"/>
      <c r="S69" s="351"/>
      <c r="T69" s="354"/>
      <c r="U69" s="686"/>
      <c r="V69" s="683"/>
      <c r="W69" s="351"/>
      <c r="X69" s="354"/>
      <c r="Y69" s="686"/>
      <c r="Z69" s="683"/>
      <c r="AA69" s="351"/>
      <c r="AB69" s="354"/>
      <c r="AC69" s="686"/>
      <c r="AD69" s="683"/>
      <c r="AE69" s="351"/>
      <c r="AF69" s="354"/>
      <c r="AG69" s="686"/>
      <c r="AH69" s="683"/>
      <c r="AI69" s="351"/>
      <c r="AJ69" s="354"/>
      <c r="AK69" s="686"/>
      <c r="AL69" s="683"/>
      <c r="AM69" s="351"/>
      <c r="AN69" s="354"/>
      <c r="AO69" s="686"/>
      <c r="AP69" s="683"/>
      <c r="AQ69" s="351"/>
      <c r="AR69" s="354"/>
      <c r="AS69" s="686"/>
      <c r="AT69" s="683"/>
      <c r="AU69" s="351"/>
      <c r="AV69" s="354"/>
      <c r="AW69" s="686"/>
      <c r="AX69" s="683"/>
      <c r="AY69" s="351"/>
      <c r="AZ69" s="354"/>
      <c r="BA69" s="686"/>
      <c r="BB69" s="683"/>
      <c r="BC69" s="351"/>
      <c r="BD69" s="354"/>
      <c r="BE69" s="686"/>
      <c r="BF69" s="683"/>
      <c r="BG69" s="351"/>
      <c r="BH69" s="354"/>
      <c r="BI69" s="686"/>
      <c r="BJ69" s="683"/>
      <c r="BK69" s="351"/>
      <c r="BL69" s="354"/>
      <c r="BM69" s="686"/>
      <c r="BN69" s="683"/>
      <c r="BO69" s="351"/>
      <c r="BP69" s="354"/>
      <c r="BQ69" s="686"/>
      <c r="BR69" s="683"/>
      <c r="BS69" s="351"/>
      <c r="BT69" s="354"/>
      <c r="BU69" s="686"/>
      <c r="BV69" s="683"/>
      <c r="BW69" s="351"/>
      <c r="BX69" s="354"/>
      <c r="BY69" s="686"/>
      <c r="BZ69" s="683"/>
      <c r="CA69" s="351"/>
      <c r="CB69" s="354"/>
      <c r="CC69" s="686"/>
      <c r="CD69" s="683"/>
      <c r="CE69" s="351"/>
      <c r="CF69" s="354"/>
      <c r="CG69" s="686"/>
      <c r="CH69" s="683"/>
      <c r="CI69" s="351"/>
      <c r="CJ69" s="354"/>
      <c r="CK69" s="686"/>
      <c r="CL69" s="683"/>
      <c r="CM69" s="351"/>
      <c r="CN69" s="354"/>
      <c r="CO69" s="686"/>
      <c r="CP69" s="683"/>
    </row>
    <row r="70" spans="3:94" ht="16" customHeight="1" x14ac:dyDescent="0.2">
      <c r="E70" s="671" t="s">
        <v>455</v>
      </c>
      <c r="F70" s="672"/>
      <c r="H70" s="373"/>
      <c r="I70" s="377"/>
      <c r="J70" s="378"/>
      <c r="K70" s="351"/>
      <c r="L70" s="354"/>
      <c r="M70" s="686"/>
      <c r="N70" s="683"/>
      <c r="O70" s="351"/>
      <c r="P70" s="354"/>
      <c r="Q70" s="686"/>
      <c r="R70" s="683"/>
      <c r="S70" s="351"/>
      <c r="T70" s="354"/>
      <c r="U70" s="686"/>
      <c r="V70" s="683"/>
      <c r="W70" s="351"/>
      <c r="X70" s="354"/>
      <c r="Y70" s="686"/>
      <c r="Z70" s="683"/>
      <c r="AA70" s="351"/>
      <c r="AB70" s="354"/>
      <c r="AC70" s="686"/>
      <c r="AD70" s="683"/>
      <c r="AE70" s="351"/>
      <c r="AF70" s="354"/>
      <c r="AG70" s="686"/>
      <c r="AH70" s="683"/>
      <c r="AI70" s="351"/>
      <c r="AJ70" s="354"/>
      <c r="AK70" s="686"/>
      <c r="AL70" s="683"/>
      <c r="AM70" s="351"/>
      <c r="AN70" s="354"/>
      <c r="AO70" s="686"/>
      <c r="AP70" s="683"/>
      <c r="AQ70" s="351"/>
      <c r="AR70" s="354"/>
      <c r="AS70" s="686"/>
      <c r="AT70" s="683"/>
      <c r="AU70" s="351"/>
      <c r="AV70" s="354"/>
      <c r="AW70" s="686"/>
      <c r="AX70" s="683"/>
      <c r="AY70" s="351"/>
      <c r="AZ70" s="354"/>
      <c r="BA70" s="686"/>
      <c r="BB70" s="683"/>
      <c r="BC70" s="351"/>
      <c r="BD70" s="354"/>
      <c r="BE70" s="686"/>
      <c r="BF70" s="683"/>
      <c r="BG70" s="351"/>
      <c r="BH70" s="354"/>
      <c r="BI70" s="686"/>
      <c r="BJ70" s="683"/>
      <c r="BK70" s="351"/>
      <c r="BL70" s="354"/>
      <c r="BM70" s="686"/>
      <c r="BN70" s="683"/>
      <c r="BO70" s="351"/>
      <c r="BP70" s="354"/>
      <c r="BQ70" s="686"/>
      <c r="BR70" s="683"/>
      <c r="BS70" s="351"/>
      <c r="BT70" s="354"/>
      <c r="BU70" s="686"/>
      <c r="BV70" s="683"/>
      <c r="BW70" s="351"/>
      <c r="BX70" s="354"/>
      <c r="BY70" s="686"/>
      <c r="BZ70" s="683"/>
      <c r="CA70" s="351"/>
      <c r="CB70" s="354"/>
      <c r="CC70" s="686"/>
      <c r="CD70" s="683"/>
      <c r="CE70" s="351"/>
      <c r="CF70" s="354"/>
      <c r="CG70" s="686"/>
      <c r="CH70" s="683"/>
      <c r="CI70" s="351"/>
      <c r="CJ70" s="354"/>
      <c r="CK70" s="686"/>
      <c r="CL70" s="683"/>
      <c r="CM70" s="351"/>
      <c r="CN70" s="354"/>
      <c r="CO70" s="686"/>
      <c r="CP70" s="683"/>
    </row>
    <row r="71" spans="3:94" ht="16" customHeight="1" x14ac:dyDescent="0.2">
      <c r="E71" s="671"/>
      <c r="F71" s="672"/>
      <c r="H71" s="373"/>
      <c r="I71" s="377"/>
      <c r="J71" s="378"/>
      <c r="K71" s="351"/>
      <c r="L71" s="354"/>
      <c r="M71" s="686"/>
      <c r="N71" s="683"/>
      <c r="O71" s="351"/>
      <c r="P71" s="354"/>
      <c r="Q71" s="686"/>
      <c r="R71" s="683"/>
      <c r="S71" s="351"/>
      <c r="T71" s="354"/>
      <c r="U71" s="686"/>
      <c r="V71" s="683"/>
      <c r="W71" s="351"/>
      <c r="X71" s="354"/>
      <c r="Y71" s="686"/>
      <c r="Z71" s="683"/>
      <c r="AA71" s="351"/>
      <c r="AB71" s="354"/>
      <c r="AC71" s="686"/>
      <c r="AD71" s="683"/>
      <c r="AE71" s="351"/>
      <c r="AF71" s="354"/>
      <c r="AG71" s="686"/>
      <c r="AH71" s="683"/>
      <c r="AI71" s="351"/>
      <c r="AJ71" s="354"/>
      <c r="AK71" s="686"/>
      <c r="AL71" s="683"/>
      <c r="AM71" s="351"/>
      <c r="AN71" s="354"/>
      <c r="AO71" s="686"/>
      <c r="AP71" s="683"/>
      <c r="AQ71" s="351"/>
      <c r="AR71" s="354"/>
      <c r="AS71" s="686"/>
      <c r="AT71" s="683"/>
      <c r="AU71" s="351"/>
      <c r="AV71" s="354"/>
      <c r="AW71" s="686"/>
      <c r="AX71" s="683"/>
      <c r="AY71" s="351"/>
      <c r="AZ71" s="354"/>
      <c r="BA71" s="686"/>
      <c r="BB71" s="683"/>
      <c r="BC71" s="351"/>
      <c r="BD71" s="354"/>
      <c r="BE71" s="686"/>
      <c r="BF71" s="683"/>
      <c r="BG71" s="351"/>
      <c r="BH71" s="354"/>
      <c r="BI71" s="686"/>
      <c r="BJ71" s="683"/>
      <c r="BK71" s="351"/>
      <c r="BL71" s="354"/>
      <c r="BM71" s="686"/>
      <c r="BN71" s="683"/>
      <c r="BO71" s="351"/>
      <c r="BP71" s="354"/>
      <c r="BQ71" s="686"/>
      <c r="BR71" s="683"/>
      <c r="BS71" s="351"/>
      <c r="BT71" s="354"/>
      <c r="BU71" s="686"/>
      <c r="BV71" s="683"/>
      <c r="BW71" s="351"/>
      <c r="BX71" s="354"/>
      <c r="BY71" s="686"/>
      <c r="BZ71" s="683"/>
      <c r="CA71" s="351"/>
      <c r="CB71" s="354"/>
      <c r="CC71" s="686"/>
      <c r="CD71" s="683"/>
      <c r="CE71" s="351"/>
      <c r="CF71" s="354"/>
      <c r="CG71" s="686"/>
      <c r="CH71" s="683"/>
      <c r="CI71" s="351"/>
      <c r="CJ71" s="354"/>
      <c r="CK71" s="686"/>
      <c r="CL71" s="683"/>
      <c r="CM71" s="351"/>
      <c r="CN71" s="354"/>
      <c r="CO71" s="686"/>
      <c r="CP71" s="683"/>
    </row>
    <row r="72" spans="3:94" x14ac:dyDescent="0.2">
      <c r="E72" s="671"/>
      <c r="F72" s="672"/>
      <c r="H72" s="373"/>
      <c r="I72" s="377"/>
      <c r="J72" s="378"/>
      <c r="K72" s="352"/>
      <c r="L72" s="354"/>
      <c r="M72" s="687"/>
      <c r="N72" s="684"/>
      <c r="O72" s="352"/>
      <c r="P72" s="354"/>
      <c r="Q72" s="687"/>
      <c r="R72" s="684"/>
      <c r="S72" s="352"/>
      <c r="T72" s="354"/>
      <c r="U72" s="687"/>
      <c r="V72" s="684"/>
      <c r="W72" s="352"/>
      <c r="X72" s="354"/>
      <c r="Y72" s="687"/>
      <c r="Z72" s="684"/>
      <c r="AA72" s="352"/>
      <c r="AB72" s="354"/>
      <c r="AC72" s="687"/>
      <c r="AD72" s="684"/>
      <c r="AE72" s="352"/>
      <c r="AF72" s="354"/>
      <c r="AG72" s="687"/>
      <c r="AH72" s="684"/>
      <c r="AI72" s="352"/>
      <c r="AJ72" s="354"/>
      <c r="AK72" s="687"/>
      <c r="AL72" s="684"/>
      <c r="AM72" s="352"/>
      <c r="AN72" s="354"/>
      <c r="AO72" s="687"/>
      <c r="AP72" s="684"/>
      <c r="AQ72" s="352"/>
      <c r="AR72" s="354"/>
      <c r="AS72" s="687"/>
      <c r="AT72" s="684"/>
      <c r="AU72" s="352"/>
      <c r="AV72" s="354"/>
      <c r="AW72" s="687"/>
      <c r="AX72" s="684"/>
      <c r="AY72" s="352"/>
      <c r="AZ72" s="354"/>
      <c r="BA72" s="687"/>
      <c r="BB72" s="684"/>
      <c r="BC72" s="352"/>
      <c r="BD72" s="354"/>
      <c r="BE72" s="687"/>
      <c r="BF72" s="684"/>
      <c r="BG72" s="352"/>
      <c r="BH72" s="354"/>
      <c r="BI72" s="687"/>
      <c r="BJ72" s="684"/>
      <c r="BK72" s="352"/>
      <c r="BL72" s="354"/>
      <c r="BM72" s="687"/>
      <c r="BN72" s="684"/>
      <c r="BO72" s="352"/>
      <c r="BP72" s="354"/>
      <c r="BQ72" s="687"/>
      <c r="BR72" s="684"/>
      <c r="BS72" s="352"/>
      <c r="BT72" s="354"/>
      <c r="BU72" s="687"/>
      <c r="BV72" s="684"/>
      <c r="BW72" s="352"/>
      <c r="BX72" s="354"/>
      <c r="BY72" s="687"/>
      <c r="BZ72" s="684"/>
      <c r="CA72" s="352"/>
      <c r="CB72" s="354"/>
      <c r="CC72" s="687"/>
      <c r="CD72" s="684"/>
      <c r="CE72" s="352"/>
      <c r="CF72" s="354"/>
      <c r="CG72" s="687"/>
      <c r="CH72" s="684"/>
      <c r="CI72" s="352"/>
      <c r="CJ72" s="354"/>
      <c r="CK72" s="687"/>
      <c r="CL72" s="684"/>
      <c r="CM72" s="352"/>
      <c r="CN72" s="354"/>
      <c r="CO72" s="687"/>
      <c r="CP72" s="684"/>
    </row>
    <row r="73" spans="3:94" ht="16" customHeight="1" x14ac:dyDescent="0.2">
      <c r="E73" s="671"/>
      <c r="F73" s="672"/>
      <c r="H73" s="373"/>
      <c r="I73" s="377"/>
      <c r="J73" s="378"/>
      <c r="K73" s="385" t="s">
        <v>239</v>
      </c>
      <c r="L73" s="415"/>
      <c r="M73" s="416"/>
      <c r="N73" s="398"/>
      <c r="O73" s="385" t="s">
        <v>237</v>
      </c>
      <c r="P73" s="415"/>
      <c r="Q73" s="416"/>
      <c r="R73" s="398"/>
      <c r="S73" s="381" t="s">
        <v>208</v>
      </c>
      <c r="T73" s="401"/>
      <c r="U73" s="402"/>
      <c r="V73" s="359"/>
      <c r="W73" s="381" t="s">
        <v>172</v>
      </c>
      <c r="X73" s="401"/>
      <c r="Y73" s="402"/>
      <c r="Z73" s="359"/>
      <c r="AA73" s="381" t="s">
        <v>164</v>
      </c>
      <c r="AB73" s="401"/>
      <c r="AC73" s="402"/>
      <c r="AD73" s="359"/>
      <c r="AE73" s="381" t="s">
        <v>173</v>
      </c>
      <c r="AF73" s="401"/>
      <c r="AG73" s="402"/>
      <c r="AH73" s="359"/>
      <c r="AI73" s="381" t="s">
        <v>171</v>
      </c>
      <c r="AJ73" s="401"/>
      <c r="AK73" s="402"/>
      <c r="AL73" s="359"/>
      <c r="AM73" s="381" t="s">
        <v>174</v>
      </c>
      <c r="AN73" s="401"/>
      <c r="AO73" s="402"/>
      <c r="AP73" s="359"/>
      <c r="AQ73" s="381" t="s">
        <v>157</v>
      </c>
      <c r="AR73" s="401"/>
      <c r="AS73" s="402"/>
      <c r="AT73" s="359"/>
      <c r="AU73" s="381" t="s">
        <v>158</v>
      </c>
      <c r="AV73" s="401"/>
      <c r="AW73" s="402"/>
      <c r="AX73" s="359"/>
      <c r="AY73" s="381" t="s">
        <v>376</v>
      </c>
      <c r="AZ73" s="401"/>
      <c r="BA73" s="402"/>
      <c r="BB73" s="359"/>
      <c r="BC73" s="385" t="s">
        <v>236</v>
      </c>
      <c r="BD73" s="415"/>
      <c r="BE73" s="416"/>
      <c r="BF73" s="398"/>
      <c r="BG73" s="381" t="s">
        <v>163</v>
      </c>
      <c r="BH73" s="401"/>
      <c r="BI73" s="402"/>
      <c r="BJ73" s="359"/>
      <c r="BK73" s="381" t="s">
        <v>159</v>
      </c>
      <c r="BL73" s="401"/>
      <c r="BM73" s="402"/>
      <c r="BN73" s="359"/>
      <c r="BO73" s="385" t="s">
        <v>238</v>
      </c>
      <c r="BP73" s="415"/>
      <c r="BQ73" s="416"/>
      <c r="BR73" s="398"/>
      <c r="BS73" s="381" t="s">
        <v>160</v>
      </c>
      <c r="BT73" s="401"/>
      <c r="BU73" s="402"/>
      <c r="BV73" s="359"/>
      <c r="BW73" s="381" t="s">
        <v>206</v>
      </c>
      <c r="BX73" s="401"/>
      <c r="BY73" s="402"/>
      <c r="BZ73" s="359"/>
      <c r="CA73" s="381" t="s">
        <v>205</v>
      </c>
      <c r="CB73" s="401"/>
      <c r="CC73" s="402"/>
      <c r="CD73" s="359"/>
      <c r="CE73" s="381" t="s">
        <v>207</v>
      </c>
      <c r="CF73" s="401"/>
      <c r="CG73" s="402"/>
      <c r="CH73" s="359"/>
      <c r="CI73" s="381" t="s">
        <v>202</v>
      </c>
      <c r="CJ73" s="401"/>
      <c r="CK73" s="402"/>
      <c r="CL73" s="359"/>
      <c r="CM73" s="381" t="s">
        <v>161</v>
      </c>
      <c r="CN73" s="401"/>
      <c r="CO73" s="402"/>
      <c r="CP73" s="359"/>
    </row>
    <row r="74" spans="3:94" x14ac:dyDescent="0.2">
      <c r="E74" s="671"/>
      <c r="F74" s="672"/>
      <c r="H74" s="373"/>
      <c r="I74" s="377"/>
      <c r="J74" s="378"/>
      <c r="K74" s="397"/>
      <c r="L74" s="416"/>
      <c r="M74" s="416"/>
      <c r="N74" s="398"/>
      <c r="O74" s="397"/>
      <c r="P74" s="416"/>
      <c r="Q74" s="416"/>
      <c r="R74" s="398"/>
      <c r="S74" s="358"/>
      <c r="T74" s="402"/>
      <c r="U74" s="402"/>
      <c r="V74" s="359"/>
      <c r="W74" s="358"/>
      <c r="X74" s="402"/>
      <c r="Y74" s="402"/>
      <c r="Z74" s="359"/>
      <c r="AA74" s="358"/>
      <c r="AB74" s="402"/>
      <c r="AC74" s="402"/>
      <c r="AD74" s="359"/>
      <c r="AE74" s="358"/>
      <c r="AF74" s="402"/>
      <c r="AG74" s="402"/>
      <c r="AH74" s="359"/>
      <c r="AI74" s="358"/>
      <c r="AJ74" s="402"/>
      <c r="AK74" s="402"/>
      <c r="AL74" s="359"/>
      <c r="AM74" s="358"/>
      <c r="AN74" s="402"/>
      <c r="AO74" s="402"/>
      <c r="AP74" s="359"/>
      <c r="AQ74" s="358"/>
      <c r="AR74" s="402"/>
      <c r="AS74" s="402"/>
      <c r="AT74" s="359"/>
      <c r="AU74" s="358"/>
      <c r="AV74" s="402"/>
      <c r="AW74" s="402"/>
      <c r="AX74" s="359"/>
      <c r="AY74" s="358"/>
      <c r="AZ74" s="402"/>
      <c r="BA74" s="402"/>
      <c r="BB74" s="359"/>
      <c r="BC74" s="397"/>
      <c r="BD74" s="416"/>
      <c r="BE74" s="416"/>
      <c r="BF74" s="398"/>
      <c r="BG74" s="358"/>
      <c r="BH74" s="402"/>
      <c r="BI74" s="402"/>
      <c r="BJ74" s="359"/>
      <c r="BK74" s="358"/>
      <c r="BL74" s="402"/>
      <c r="BM74" s="402"/>
      <c r="BN74" s="359"/>
      <c r="BO74" s="397"/>
      <c r="BP74" s="416"/>
      <c r="BQ74" s="416"/>
      <c r="BR74" s="398"/>
      <c r="BS74" s="358"/>
      <c r="BT74" s="402"/>
      <c r="BU74" s="402"/>
      <c r="BV74" s="359"/>
      <c r="BW74" s="358"/>
      <c r="BX74" s="402"/>
      <c r="BY74" s="402"/>
      <c r="BZ74" s="359"/>
      <c r="CA74" s="358"/>
      <c r="CB74" s="402"/>
      <c r="CC74" s="402"/>
      <c r="CD74" s="359"/>
      <c r="CE74" s="358"/>
      <c r="CF74" s="402"/>
      <c r="CG74" s="402"/>
      <c r="CH74" s="359"/>
      <c r="CI74" s="358"/>
      <c r="CJ74" s="402"/>
      <c r="CK74" s="402"/>
      <c r="CL74" s="359"/>
      <c r="CM74" s="358"/>
      <c r="CN74" s="402"/>
      <c r="CO74" s="402"/>
      <c r="CP74" s="359"/>
    </row>
    <row r="75" spans="3:94" ht="17" thickBot="1" x14ac:dyDescent="0.25">
      <c r="E75" s="671"/>
      <c r="F75" s="672"/>
      <c r="H75" s="373"/>
      <c r="I75" s="377"/>
      <c r="J75" s="378"/>
      <c r="K75" s="417"/>
      <c r="L75" s="418"/>
      <c r="M75" s="418"/>
      <c r="N75" s="681"/>
      <c r="O75" s="417"/>
      <c r="P75" s="418"/>
      <c r="Q75" s="418"/>
      <c r="R75" s="681"/>
      <c r="S75" s="409"/>
      <c r="T75" s="411"/>
      <c r="U75" s="411"/>
      <c r="V75" s="410"/>
      <c r="W75" s="409"/>
      <c r="X75" s="411"/>
      <c r="Y75" s="411"/>
      <c r="Z75" s="410"/>
      <c r="AA75" s="409"/>
      <c r="AB75" s="411"/>
      <c r="AC75" s="411"/>
      <c r="AD75" s="410"/>
      <c r="AE75" s="409"/>
      <c r="AF75" s="411"/>
      <c r="AG75" s="411"/>
      <c r="AH75" s="410"/>
      <c r="AI75" s="409"/>
      <c r="AJ75" s="411"/>
      <c r="AK75" s="411"/>
      <c r="AL75" s="410"/>
      <c r="AM75" s="409"/>
      <c r="AN75" s="411"/>
      <c r="AO75" s="411"/>
      <c r="AP75" s="410"/>
      <c r="AQ75" s="409"/>
      <c r="AR75" s="411"/>
      <c r="AS75" s="411"/>
      <c r="AT75" s="410"/>
      <c r="AU75" s="409"/>
      <c r="AV75" s="411"/>
      <c r="AW75" s="411"/>
      <c r="AX75" s="410"/>
      <c r="AY75" s="409"/>
      <c r="AZ75" s="411"/>
      <c r="BA75" s="411"/>
      <c r="BB75" s="410"/>
      <c r="BC75" s="417"/>
      <c r="BD75" s="418"/>
      <c r="BE75" s="418"/>
      <c r="BF75" s="681"/>
      <c r="BG75" s="409"/>
      <c r="BH75" s="411"/>
      <c r="BI75" s="411"/>
      <c r="BJ75" s="410"/>
      <c r="BK75" s="409"/>
      <c r="BL75" s="411"/>
      <c r="BM75" s="411"/>
      <c r="BN75" s="410"/>
      <c r="BO75" s="417"/>
      <c r="BP75" s="418"/>
      <c r="BQ75" s="418"/>
      <c r="BR75" s="681"/>
      <c r="BS75" s="409"/>
      <c r="BT75" s="411"/>
      <c r="BU75" s="411"/>
      <c r="BV75" s="410"/>
      <c r="BW75" s="409"/>
      <c r="BX75" s="411"/>
      <c r="BY75" s="411"/>
      <c r="BZ75" s="410"/>
      <c r="CA75" s="409"/>
      <c r="CB75" s="411"/>
      <c r="CC75" s="411"/>
      <c r="CD75" s="410"/>
      <c r="CE75" s="409"/>
      <c r="CF75" s="411"/>
      <c r="CG75" s="411"/>
      <c r="CH75" s="410"/>
      <c r="CI75" s="409"/>
      <c r="CJ75" s="411"/>
      <c r="CK75" s="411"/>
      <c r="CL75" s="410"/>
      <c r="CM75" s="409"/>
      <c r="CN75" s="411"/>
      <c r="CO75" s="411"/>
      <c r="CP75" s="410"/>
    </row>
    <row r="76" spans="3:94" ht="20" thickBot="1" x14ac:dyDescent="0.3">
      <c r="E76" s="673"/>
      <c r="F76" s="674"/>
      <c r="H76" s="374"/>
      <c r="I76" s="379"/>
      <c r="J76" s="380"/>
      <c r="K76" s="412" t="s">
        <v>162</v>
      </c>
      <c r="L76" s="413"/>
      <c r="M76" s="413"/>
      <c r="N76" s="413"/>
      <c r="O76" s="413"/>
      <c r="P76" s="413"/>
      <c r="Q76" s="413"/>
      <c r="R76" s="413"/>
      <c r="S76" s="413"/>
      <c r="T76" s="413"/>
      <c r="U76" s="413"/>
      <c r="V76" s="413"/>
      <c r="W76" s="413"/>
      <c r="X76" s="413"/>
      <c r="Y76" s="413"/>
      <c r="Z76" s="413"/>
      <c r="AA76" s="413"/>
      <c r="AB76" s="413"/>
      <c r="AC76" s="413"/>
      <c r="AD76" s="413"/>
      <c r="AE76" s="413"/>
      <c r="AF76" s="413"/>
      <c r="AG76" s="413"/>
      <c r="AH76" s="413"/>
      <c r="AI76" s="413"/>
      <c r="AJ76" s="413"/>
      <c r="AK76" s="413"/>
      <c r="AL76" s="413"/>
      <c r="AM76" s="413"/>
      <c r="AN76" s="413"/>
      <c r="AO76" s="413"/>
      <c r="AP76" s="413"/>
      <c r="AQ76" s="413"/>
      <c r="AR76" s="413"/>
      <c r="AS76" s="413"/>
      <c r="AT76" s="413"/>
      <c r="AU76" s="413"/>
      <c r="AV76" s="413"/>
      <c r="AW76" s="413"/>
      <c r="AX76" s="413"/>
      <c r="AY76" s="413"/>
      <c r="AZ76" s="413"/>
      <c r="BA76" s="413"/>
      <c r="BB76" s="413"/>
      <c r="BC76" s="413"/>
      <c r="BD76" s="413"/>
      <c r="BE76" s="413"/>
      <c r="BF76" s="413"/>
      <c r="BG76" s="413"/>
      <c r="BH76" s="413"/>
      <c r="BI76" s="413"/>
      <c r="BJ76" s="413"/>
      <c r="BK76" s="413"/>
      <c r="BL76" s="413"/>
      <c r="BM76" s="413"/>
      <c r="BN76" s="413"/>
      <c r="BO76" s="413"/>
      <c r="BP76" s="413"/>
      <c r="BQ76" s="413"/>
      <c r="BR76" s="413"/>
      <c r="BS76" s="413"/>
      <c r="BT76" s="413"/>
      <c r="BU76" s="413"/>
      <c r="BV76" s="413"/>
      <c r="BW76" s="413"/>
      <c r="BX76" s="413"/>
      <c r="BY76" s="413"/>
      <c r="BZ76" s="413"/>
      <c r="CA76" s="413"/>
      <c r="CB76" s="413"/>
      <c r="CC76" s="413"/>
      <c r="CD76" s="413"/>
      <c r="CE76" s="413"/>
      <c r="CF76" s="413"/>
      <c r="CG76" s="413"/>
      <c r="CH76" s="413"/>
      <c r="CI76" s="413"/>
      <c r="CJ76" s="413"/>
      <c r="CK76" s="413"/>
      <c r="CL76" s="413"/>
      <c r="CM76" s="413"/>
      <c r="CN76" s="413"/>
      <c r="CO76" s="413"/>
      <c r="CP76" s="688"/>
    </row>
    <row r="77" spans="3:94" x14ac:dyDescent="0.2">
      <c r="H77" s="155" t="s">
        <v>456</v>
      </c>
    </row>
    <row r="78" spans="3:94" x14ac:dyDescent="0.2">
      <c r="H78" s="156" t="s">
        <v>457</v>
      </c>
    </row>
  </sheetData>
  <mergeCells count="223">
    <mergeCell ref="AE6:AE10"/>
    <mergeCell ref="M6:M10"/>
    <mergeCell ref="N6:N10"/>
    <mergeCell ref="S6:S10"/>
    <mergeCell ref="T6:T10"/>
    <mergeCell ref="U6:U10"/>
    <mergeCell ref="D3:D4"/>
    <mergeCell ref="D5:D7"/>
    <mergeCell ref="G6:G10"/>
    <mergeCell ref="H6:H10"/>
    <mergeCell ref="I6:I10"/>
    <mergeCell ref="J6:J10"/>
    <mergeCell ref="K6:K10"/>
    <mergeCell ref="L6:L10"/>
    <mergeCell ref="BH6:BH10"/>
    <mergeCell ref="BK6:BK10"/>
    <mergeCell ref="BL6:BL10"/>
    <mergeCell ref="AU6:AU10"/>
    <mergeCell ref="AV6:AV10"/>
    <mergeCell ref="BO6:BO10"/>
    <mergeCell ref="BP6:BP10"/>
    <mergeCell ref="O6:O10"/>
    <mergeCell ref="P6:P10"/>
    <mergeCell ref="AA6:AA10"/>
    <mergeCell ref="AB6:AB10"/>
    <mergeCell ref="W6:W10"/>
    <mergeCell ref="X6:X10"/>
    <mergeCell ref="AG6:AG10"/>
    <mergeCell ref="AH6:AH10"/>
    <mergeCell ref="Y6:Y10"/>
    <mergeCell ref="Z6:Z10"/>
    <mergeCell ref="AC6:AC10"/>
    <mergeCell ref="AD6:AD10"/>
    <mergeCell ref="Q6:Q10"/>
    <mergeCell ref="R6:R10"/>
    <mergeCell ref="AX6:AX10"/>
    <mergeCell ref="AW6:AW10"/>
    <mergeCell ref="V6:V10"/>
    <mergeCell ref="A7:A10"/>
    <mergeCell ref="B7:B10"/>
    <mergeCell ref="H68:H76"/>
    <mergeCell ref="I68:J76"/>
    <mergeCell ref="K68:K72"/>
    <mergeCell ref="L68:L72"/>
    <mergeCell ref="AE68:AE72"/>
    <mergeCell ref="AF68:AF72"/>
    <mergeCell ref="CA6:CA10"/>
    <mergeCell ref="AY6:AY10"/>
    <mergeCell ref="AZ6:AZ10"/>
    <mergeCell ref="BA6:BA10"/>
    <mergeCell ref="BB6:BB10"/>
    <mergeCell ref="AI6:AI10"/>
    <mergeCell ref="AJ6:AJ10"/>
    <mergeCell ref="AM6:AM10"/>
    <mergeCell ref="AN6:AN10"/>
    <mergeCell ref="AQ6:AQ10"/>
    <mergeCell ref="AR6:AR10"/>
    <mergeCell ref="AK6:AK10"/>
    <mergeCell ref="AL6:AL10"/>
    <mergeCell ref="AO6:AO10"/>
    <mergeCell ref="AP6:AP10"/>
    <mergeCell ref="AF6:AF10"/>
    <mergeCell ref="AY68:AY72"/>
    <mergeCell ref="AZ68:AZ72"/>
    <mergeCell ref="S68:S72"/>
    <mergeCell ref="T68:T72"/>
    <mergeCell ref="O68:O72"/>
    <mergeCell ref="P68:P72"/>
    <mergeCell ref="AA68:AA72"/>
    <mergeCell ref="AB68:AB72"/>
    <mergeCell ref="W68:W72"/>
    <mergeCell ref="X68:X72"/>
    <mergeCell ref="Q68:Q72"/>
    <mergeCell ref="R68:R72"/>
    <mergeCell ref="AX68:AX72"/>
    <mergeCell ref="AW68:AW72"/>
    <mergeCell ref="V68:V72"/>
    <mergeCell ref="U68:U72"/>
    <mergeCell ref="BT68:BT72"/>
    <mergeCell ref="BW68:BW72"/>
    <mergeCell ref="BX68:BX72"/>
    <mergeCell ref="BE68:BE72"/>
    <mergeCell ref="BF68:BF72"/>
    <mergeCell ref="BU68:BU72"/>
    <mergeCell ref="BV68:BV72"/>
    <mergeCell ref="BG68:BG72"/>
    <mergeCell ref="BH68:BH72"/>
    <mergeCell ref="M68:M72"/>
    <mergeCell ref="N68:N72"/>
    <mergeCell ref="AG68:AG72"/>
    <mergeCell ref="AH68:AH72"/>
    <mergeCell ref="BS73:BV75"/>
    <mergeCell ref="AI73:AL75"/>
    <mergeCell ref="BK68:BK72"/>
    <mergeCell ref="BL68:BL72"/>
    <mergeCell ref="BA68:BA72"/>
    <mergeCell ref="BB68:BB72"/>
    <mergeCell ref="AI68:AI72"/>
    <mergeCell ref="AJ68:AJ72"/>
    <mergeCell ref="AM68:AM72"/>
    <mergeCell ref="AN68:AN72"/>
    <mergeCell ref="AQ68:AQ72"/>
    <mergeCell ref="AR68:AR72"/>
    <mergeCell ref="AK68:AK72"/>
    <mergeCell ref="AL68:AL72"/>
    <mergeCell ref="AO68:AO72"/>
    <mergeCell ref="AP68:AP72"/>
    <mergeCell ref="Y68:Y72"/>
    <mergeCell ref="Z68:Z72"/>
    <mergeCell ref="AC68:AC72"/>
    <mergeCell ref="AD68:AD72"/>
    <mergeCell ref="K76:CP76"/>
    <mergeCell ref="CO6:CO10"/>
    <mergeCell ref="CP6:CP10"/>
    <mergeCell ref="CO68:CO72"/>
    <mergeCell ref="CP68:CP72"/>
    <mergeCell ref="AM3:AP5"/>
    <mergeCell ref="AQ3:AT5"/>
    <mergeCell ref="BG3:BJ5"/>
    <mergeCell ref="CK6:CK10"/>
    <mergeCell ref="CL6:CL10"/>
    <mergeCell ref="CK68:CK72"/>
    <mergeCell ref="CL68:CL72"/>
    <mergeCell ref="CG6:CG10"/>
    <mergeCell ref="CH6:CH10"/>
    <mergeCell ref="CG68:CG72"/>
    <mergeCell ref="CH68:CH72"/>
    <mergeCell ref="BY6:BY10"/>
    <mergeCell ref="BZ6:BZ10"/>
    <mergeCell ref="BY68:BY72"/>
    <mergeCell ref="BZ68:BZ72"/>
    <mergeCell ref="CC6:CC10"/>
    <mergeCell ref="CD6:CD10"/>
    <mergeCell ref="CC68:CC72"/>
    <mergeCell ref="BM6:BM10"/>
    <mergeCell ref="CE3:CH5"/>
    <mergeCell ref="CI3:CL5"/>
    <mergeCell ref="CM3:CP5"/>
    <mergeCell ref="K2:CP2"/>
    <mergeCell ref="K3:N5"/>
    <mergeCell ref="AE3:AH5"/>
    <mergeCell ref="O3:R5"/>
    <mergeCell ref="AA3:AD5"/>
    <mergeCell ref="W3:Z5"/>
    <mergeCell ref="S3:V5"/>
    <mergeCell ref="AU3:AX5"/>
    <mergeCell ref="BO3:BR5"/>
    <mergeCell ref="AI3:AL5"/>
    <mergeCell ref="AY3:BB5"/>
    <mergeCell ref="BK3:BN5"/>
    <mergeCell ref="BC3:BF5"/>
    <mergeCell ref="K73:N75"/>
    <mergeCell ref="AE73:AH75"/>
    <mergeCell ref="O73:R75"/>
    <mergeCell ref="AA73:AD75"/>
    <mergeCell ref="W73:Z75"/>
    <mergeCell ref="S73:V75"/>
    <mergeCell ref="BS3:BV5"/>
    <mergeCell ref="BW3:BZ5"/>
    <mergeCell ref="CA3:CD5"/>
    <mergeCell ref="BN6:BN10"/>
    <mergeCell ref="BM68:BM72"/>
    <mergeCell ref="BN68:BN72"/>
    <mergeCell ref="AS6:AS10"/>
    <mergeCell ref="AT6:AT10"/>
    <mergeCell ref="AS68:AS72"/>
    <mergeCell ref="AT68:AT72"/>
    <mergeCell ref="BI6:BI10"/>
    <mergeCell ref="BJ6:BJ10"/>
    <mergeCell ref="BI68:BI72"/>
    <mergeCell ref="BJ68:BJ72"/>
    <mergeCell ref="BQ6:BQ10"/>
    <mergeCell ref="BR6:BR10"/>
    <mergeCell ref="BQ68:BQ72"/>
    <mergeCell ref="BR68:BR72"/>
    <mergeCell ref="BG6:BG10"/>
    <mergeCell ref="BW73:BZ75"/>
    <mergeCell ref="CA73:CD75"/>
    <mergeCell ref="CE73:CH75"/>
    <mergeCell ref="CI73:CL75"/>
    <mergeCell ref="CM73:CP75"/>
    <mergeCell ref="AM73:AP75"/>
    <mergeCell ref="AQ73:AT75"/>
    <mergeCell ref="BG73:BJ75"/>
    <mergeCell ref="AY73:BB75"/>
    <mergeCell ref="BK73:BN75"/>
    <mergeCell ref="BC73:BF75"/>
    <mergeCell ref="BO73:BR75"/>
    <mergeCell ref="AU73:AX75"/>
    <mergeCell ref="CA68:CA72"/>
    <mergeCell ref="CB68:CB72"/>
    <mergeCell ref="CE68:CE72"/>
    <mergeCell ref="CF68:CF72"/>
    <mergeCell ref="CI68:CI72"/>
    <mergeCell ref="CJ68:CJ72"/>
    <mergeCell ref="CD68:CD72"/>
    <mergeCell ref="BC68:BC72"/>
    <mergeCell ref="BD68:BD72"/>
    <mergeCell ref="BS68:BS72"/>
    <mergeCell ref="E70:F76"/>
    <mergeCell ref="CM68:CM72"/>
    <mergeCell ref="CN68:CN72"/>
    <mergeCell ref="AU68:AU72"/>
    <mergeCell ref="AV68:AV72"/>
    <mergeCell ref="BO68:BO72"/>
    <mergeCell ref="BP68:BP72"/>
    <mergeCell ref="CM6:CM10"/>
    <mergeCell ref="CN6:CN10"/>
    <mergeCell ref="CB6:CB10"/>
    <mergeCell ref="CE6:CE10"/>
    <mergeCell ref="CF6:CF10"/>
    <mergeCell ref="CI6:CI10"/>
    <mergeCell ref="CJ6:CJ10"/>
    <mergeCell ref="BC6:BC10"/>
    <mergeCell ref="BD6:BD10"/>
    <mergeCell ref="BS6:BS10"/>
    <mergeCell ref="BT6:BT10"/>
    <mergeCell ref="BW6:BW10"/>
    <mergeCell ref="BX6:BX10"/>
    <mergeCell ref="BE6:BE10"/>
    <mergeCell ref="BF6:BF10"/>
    <mergeCell ref="BU6:BU10"/>
    <mergeCell ref="BV6:BV10"/>
  </mergeCells>
  <pageMargins left="0.7" right="0.7" top="0.75" bottom="0.75" header="0.3" footer="0.3"/>
  <pageSetup paperSize="9" orientation="portrait" horizontalDpi="0" verticalDpi="0"/>
  <ignoredErrors>
    <ignoredError sqref="I11:I13 I15:I17 I26:I63 I25:J25 I18:I24"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89"/>
  <sheetViews>
    <sheetView showRuler="0" workbookViewId="0"/>
  </sheetViews>
  <sheetFormatPr baseColWidth="10" defaultRowHeight="19" x14ac:dyDescent="0.25"/>
  <cols>
    <col min="1" max="1" width="4.1640625" style="157" customWidth="1"/>
    <col min="2" max="2" width="28.5" style="162" customWidth="1"/>
    <col min="3" max="3" width="21.6640625" style="160" customWidth="1"/>
    <col min="4" max="4" width="21.6640625" style="158" customWidth="1"/>
    <col min="5" max="5" width="21.6640625" style="159" customWidth="1"/>
    <col min="6" max="6" width="21.6640625" style="158" customWidth="1"/>
    <col min="7" max="7" width="13.6640625" style="157" customWidth="1"/>
    <col min="8" max="16384" width="10.83203125" style="157"/>
  </cols>
  <sheetData>
    <row r="1" spans="2:14" x14ac:dyDescent="0.25">
      <c r="B1" s="183" t="s">
        <v>479</v>
      </c>
    </row>
    <row r="2" spans="2:14" ht="20" thickBot="1" x14ac:dyDescent="0.3"/>
    <row r="3" spans="2:14" customFormat="1" ht="16" x14ac:dyDescent="0.2">
      <c r="B3" s="691" t="s">
        <v>475</v>
      </c>
      <c r="C3" s="692"/>
      <c r="D3" s="693"/>
    </row>
    <row r="4" spans="2:14" ht="20" thickBot="1" x14ac:dyDescent="0.3">
      <c r="B4" s="694"/>
      <c r="C4" s="695"/>
      <c r="D4" s="696"/>
    </row>
    <row r="5" spans="2:14" ht="20" thickBot="1" x14ac:dyDescent="0.3"/>
    <row r="6" spans="2:14" ht="64" customHeight="1" thickBot="1" x14ac:dyDescent="0.3">
      <c r="B6" s="166" t="s">
        <v>465</v>
      </c>
      <c r="C6" s="167" t="s">
        <v>474</v>
      </c>
      <c r="D6" s="168" t="s">
        <v>558</v>
      </c>
      <c r="E6" s="180" t="s">
        <v>466</v>
      </c>
      <c r="F6" s="181" t="s">
        <v>559</v>
      </c>
      <c r="G6" s="701" t="s">
        <v>25</v>
      </c>
      <c r="H6" s="701"/>
      <c r="I6" s="701"/>
      <c r="J6" s="701"/>
      <c r="K6" s="701"/>
      <c r="L6" s="701"/>
      <c r="M6" s="701"/>
      <c r="N6" s="702"/>
    </row>
    <row r="7" spans="2:14" ht="22" customHeight="1" x14ac:dyDescent="0.25">
      <c r="B7" s="165" t="s">
        <v>467</v>
      </c>
      <c r="C7" s="169">
        <f>'Random-Controlled (MLT - PLB)'!L$67</f>
        <v>62.5</v>
      </c>
      <c r="D7" s="182" t="str">
        <f>IF(AND('Random-Controlled (MLT - PLB)'!K$66&gt;0,'Random-Controlled (MLT - PLB)'!K$66&lt;&gt;"", 'Random-Controlled (MLT - PLB)'!K$67&gt;0,'Random-Controlled (MLT - PLB)'!K$67&lt;&gt;""),'Random-Controlled (MLT - PLB)'!K$66&amp;"/"&amp;'Random-Controlled (MLT - PLB)'!K$67,"-")</f>
        <v>5/8</v>
      </c>
      <c r="E7" s="178">
        <f>IF(AND('Random-Controlled (MLT - PLB)'!L$66&lt;&gt;0, 'Random-Controlled (MLT - PLB)'!L$66 &lt;&gt;""), 'Random-Controlled (MLT - PLB)'!L$66, "-")</f>
        <v>0.24888003982080636</v>
      </c>
      <c r="F7" s="179" t="str">
        <f>IF(AND('Random-Controlled (MLT - PLB)'!K$66&gt;0,'Random-Controlled (MLT - PLB)'!K$66&lt;&gt;""),'Random-Controlled (MLT - PLB)'!K$66&amp;"/"&amp;'Random-Controlled (MLT - PLB)'!$H$66,"-")</f>
        <v>5/2009</v>
      </c>
      <c r="G7" s="703"/>
      <c r="H7" s="703"/>
      <c r="I7" s="703"/>
      <c r="J7" s="703"/>
      <c r="K7" s="703"/>
      <c r="L7" s="703"/>
      <c r="M7" s="703"/>
      <c r="N7" s="703"/>
    </row>
    <row r="8" spans="2:14" ht="22" customHeight="1" x14ac:dyDescent="0.25">
      <c r="B8" s="163" t="s">
        <v>468</v>
      </c>
      <c r="C8" s="170">
        <f>'Random-Controlled (MLT - PLB)'!P$67</f>
        <v>40.322580645161288</v>
      </c>
      <c r="D8" s="171" t="str">
        <f>IF(AND('Random-Controlled (MLT - PLB)'!O$66&gt;0,'Random-Controlled (MLT - PLB)'!O$66&lt;&gt;"", 'Random-Controlled (MLT - PLB)'!O$67&gt;0,'Random-Controlled (MLT - PLB)'!O$67&lt;&gt;""),'Random-Controlled (MLT - PLB)'!O$66&amp;"/"&amp;'Random-Controlled (MLT - PLB)'!O$67,"-")</f>
        <v>25/62</v>
      </c>
      <c r="E8" s="174">
        <f>IF(AND('Random-Controlled (MLT - PLB)'!P$66&lt;&gt;0, 'Random-Controlled (MLT - PLB)'!P$66 &lt;&gt;""), 'Random-Controlled (MLT - PLB)'!P$66, "-")</f>
        <v>1.2444001991040319</v>
      </c>
      <c r="F8" s="175" t="str">
        <f>IF(AND('Random-Controlled (MLT - PLB)'!O$66&gt;0,'Random-Controlled (MLT - PLB)'!O$66&lt;&gt;""),'Random-Controlled (MLT - PLB)'!O$66&amp;"/"&amp;'Random-Controlled (MLT - PLB)'!$H$66,"-")</f>
        <v>25/2009</v>
      </c>
      <c r="G8" s="689"/>
      <c r="H8" s="689"/>
      <c r="I8" s="689"/>
      <c r="J8" s="689"/>
      <c r="K8" s="689"/>
      <c r="L8" s="689"/>
      <c r="M8" s="689"/>
      <c r="N8" s="689"/>
    </row>
    <row r="9" spans="2:14" ht="22" customHeight="1" x14ac:dyDescent="0.25">
      <c r="B9" s="163" t="s">
        <v>172</v>
      </c>
      <c r="C9" s="170">
        <f>'Random-Controlled (MLT - PLB)'!X$67</f>
        <v>25</v>
      </c>
      <c r="D9" s="171" t="str">
        <f>IF(AND('Random-Controlled (MLT - PLB)'!W$66&gt;0,'Random-Controlled (MLT - PLB)'!W$66&lt;&gt;"", 'Random-Controlled (MLT - PLB)'!W$67&gt;0,'Random-Controlled (MLT - PLB)'!W$67&lt;&gt;""),'Random-Controlled (MLT - PLB)'!W$66&amp;"/"&amp;'Random-Controlled (MLT - PLB)'!W$67,"-")</f>
        <v>2/8</v>
      </c>
      <c r="E9" s="174">
        <f>IF(AND('Random-Controlled (MLT - PLB)'!X$66&lt;&gt;0, 'Random-Controlled (MLT - PLB)'!X$66 &lt;&gt;""), 'Random-Controlled (MLT - PLB)'!X$66, "-")</f>
        <v>9.9552015928322551E-2</v>
      </c>
      <c r="F9" s="175" t="str">
        <f>IF(AND('Random-Controlled (MLT - PLB)'!W$66&gt;0,'Random-Controlled (MLT - PLB)'!W$66&lt;&gt;""),'Random-Controlled (MLT - PLB)'!W$66&amp;"/"&amp;'Random-Controlled (MLT - PLB)'!$H$66,"-")</f>
        <v>2/2009</v>
      </c>
      <c r="G9" s="689"/>
      <c r="H9" s="689"/>
      <c r="I9" s="689"/>
      <c r="J9" s="689"/>
      <c r="K9" s="689"/>
      <c r="L9" s="689"/>
      <c r="M9" s="689"/>
      <c r="N9" s="689"/>
    </row>
    <row r="10" spans="2:14" ht="22" customHeight="1" x14ac:dyDescent="0.25">
      <c r="B10" s="163" t="s">
        <v>470</v>
      </c>
      <c r="C10" s="170">
        <f>'Random-Controlled (MLT - PLB)'!AB$67</f>
        <v>23.041474654377879</v>
      </c>
      <c r="D10" s="171" t="str">
        <f>IF(AND('Random-Controlled (MLT - PLB)'!AA$66&gt;0,'Random-Controlled (MLT - PLB)'!AA$66&lt;&gt;"", 'Random-Controlled (MLT - PLB)'!AA$67&gt;0,'Random-Controlled (MLT - PLB)'!AA$67&lt;&gt;""),'Random-Controlled (MLT - PLB)'!AA$66&amp;"/"&amp;'Random-Controlled (MLT - PLB)'!AA$67,"-")</f>
        <v>50/217</v>
      </c>
      <c r="E10" s="174">
        <f>IF(AND('Random-Controlled (MLT - PLB)'!AB$66&lt;&gt;0, 'Random-Controlled (MLT - PLB)'!AB$66 &lt;&gt;""), 'Random-Controlled (MLT - PLB)'!AB$66, "-")</f>
        <v>2.4888003982080638</v>
      </c>
      <c r="F10" s="175" t="str">
        <f>IF(AND('Random-Controlled (MLT - PLB)'!AA$66&gt;0,'Random-Controlled (MLT - PLB)'!AA$66&lt;&gt;""),'Random-Controlled (MLT - PLB)'!AA$66&amp;"/"&amp;'Random-Controlled (MLT - PLB)'!$H$66,"-")</f>
        <v>50/2009</v>
      </c>
      <c r="G10" s="689"/>
      <c r="H10" s="689"/>
      <c r="I10" s="689"/>
      <c r="J10" s="689"/>
      <c r="K10" s="689"/>
      <c r="L10" s="689"/>
      <c r="M10" s="689"/>
      <c r="N10" s="689"/>
    </row>
    <row r="11" spans="2:14" ht="22" customHeight="1" x14ac:dyDescent="0.25">
      <c r="B11" s="163" t="s">
        <v>469</v>
      </c>
      <c r="C11" s="170">
        <f>'Random-Controlled (MLT - PLB)'!AF$67</f>
        <v>21.794871794871796</v>
      </c>
      <c r="D11" s="171" t="str">
        <f>IF(AND('Random-Controlled (MLT - PLB)'!AE$66&gt;0,'Random-Controlled (MLT - PLB)'!AE$66&lt;&gt;"", 'Random-Controlled (MLT - PLB)'!AE$67&gt;0,'Random-Controlled (MLT - PLB)'!AE$67&lt;&gt;""),'Random-Controlled (MLT - PLB)'!AE$66&amp;"/"&amp;'Random-Controlled (MLT - PLB)'!AE$67,"-")</f>
        <v>34/156</v>
      </c>
      <c r="E11" s="174">
        <f>IF(AND('Random-Controlled (MLT - PLB)'!AF$66&lt;&gt;0, 'Random-Controlled (MLT - PLB)'!AF$66 &lt;&gt;""), 'Random-Controlled (MLT - PLB)'!AF$66, "-")</f>
        <v>1.6923842707814833</v>
      </c>
      <c r="F11" s="175" t="str">
        <f>IF(AND('Random-Controlled (MLT - PLB)'!AE$66&gt;0,'Random-Controlled (MLT - PLB)'!AE$66&lt;&gt;""),'Random-Controlled (MLT - PLB)'!AE$66&amp;"/"&amp;'Random-Controlled (MLT - PLB)'!$H$66,"-")</f>
        <v>34/2009</v>
      </c>
      <c r="G11" s="689"/>
      <c r="H11" s="689"/>
      <c r="I11" s="689"/>
      <c r="J11" s="689"/>
      <c r="K11" s="689"/>
      <c r="L11" s="689"/>
      <c r="M11" s="689"/>
      <c r="N11" s="689"/>
    </row>
    <row r="12" spans="2:14" ht="22" customHeight="1" x14ac:dyDescent="0.25">
      <c r="B12" s="163" t="s">
        <v>171</v>
      </c>
      <c r="C12" s="170">
        <f>'Random-Controlled (MLT - PLB)'!AJ$67</f>
        <v>12.5</v>
      </c>
      <c r="D12" s="171" t="str">
        <f>IF(AND('Random-Controlled (MLT - PLB)'!AI$66&gt;0,'Random-Controlled (MLT - PLB)'!AI$66&lt;&gt;"", 'Random-Controlled (MLT - PLB)'!AI$67&gt;0,'Random-Controlled (MLT - PLB)'!AI$67&lt;&gt;""),'Random-Controlled (MLT - PLB)'!AI$66&amp;"/"&amp;'Random-Controlled (MLT - PLB)'!AI$67,"-")</f>
        <v>1/8</v>
      </c>
      <c r="E12" s="174">
        <f>IF(AND('Random-Controlled (MLT - PLB)'!AJ$66&lt;&gt;0, 'Random-Controlled (MLT - PLB)'!AJ$66 &lt;&gt;""), 'Random-Controlled (MLT - PLB)'!AJ$66, "-")</f>
        <v>4.9776007964161276E-2</v>
      </c>
      <c r="F12" s="175" t="str">
        <f>IF(AND('Random-Controlled (MLT - PLB)'!AI$66&gt;0,'Random-Controlled (MLT - PLB)'!AI$66&lt;&gt;""),'Random-Controlled (MLT - PLB)'!AI$66&amp;"/"&amp;'Random-Controlled (MLT - PLB)'!$H$66,"-")</f>
        <v>1/2009</v>
      </c>
      <c r="G12" s="689"/>
      <c r="H12" s="689"/>
      <c r="I12" s="689"/>
      <c r="J12" s="689"/>
      <c r="K12" s="689"/>
      <c r="L12" s="689"/>
      <c r="M12" s="689"/>
      <c r="N12" s="689"/>
    </row>
    <row r="13" spans="2:14" ht="22" customHeight="1" x14ac:dyDescent="0.25">
      <c r="B13" s="163" t="s">
        <v>174</v>
      </c>
      <c r="C13" s="170">
        <f>'Random-Controlled (MLT - PLB)'!AN$67</f>
        <v>16.216216216216218</v>
      </c>
      <c r="D13" s="171" t="str">
        <f>IF(AND('Random-Controlled (MLT - PLB)'!AM$66&gt;0,'Random-Controlled (MLT - PLB)'!AM$66&lt;&gt;"", 'Random-Controlled (MLT - PLB)'!AM$67&gt;0,'Random-Controlled (MLT - PLB)'!AM$67&lt;&gt;""),'Random-Controlled (MLT - PLB)'!AM$66&amp;"/"&amp;'Random-Controlled (MLT - PLB)'!AM$67,"-")</f>
        <v>6/37</v>
      </c>
      <c r="E13" s="174">
        <f>IF(AND('Random-Controlled (MLT - PLB)'!AN$66&lt;&gt;0, 'Random-Controlled (MLT - PLB)'!AN$66 &lt;&gt;""), 'Random-Controlled (MLT - PLB)'!AN$66, "-")</f>
        <v>0.29865604778496768</v>
      </c>
      <c r="F13" s="175" t="str">
        <f>IF(AND('Random-Controlled (MLT - PLB)'!AM$66&gt;0,'Random-Controlled (MLT - PLB)'!AM$66&lt;&gt;""),'Random-Controlled (MLT - PLB)'!AM$66&amp;"/"&amp;'Random-Controlled (MLT - PLB)'!$H$66,"-")</f>
        <v>6/2009</v>
      </c>
      <c r="G13" s="689"/>
      <c r="H13" s="689"/>
      <c r="I13" s="689"/>
      <c r="J13" s="689"/>
      <c r="K13" s="689"/>
      <c r="L13" s="689"/>
      <c r="M13" s="689"/>
      <c r="N13" s="689"/>
    </row>
    <row r="14" spans="2:14" ht="22" customHeight="1" x14ac:dyDescent="0.25">
      <c r="B14" s="163" t="s">
        <v>471</v>
      </c>
      <c r="C14" s="170">
        <f>'Random-Controlled (MLT - PLB)'!AR$67</f>
        <v>12.149532710280374</v>
      </c>
      <c r="D14" s="171" t="str">
        <f>IF(AND('Random-Controlled (MLT - PLB)'!AQ$66&gt;0,'Random-Controlled (MLT - PLB)'!AQ$66&lt;&gt;"", 'Random-Controlled (MLT - PLB)'!AQ$67&gt;0,'Random-Controlled (MLT - PLB)'!AQ$67&lt;&gt;""),'Random-Controlled (MLT - PLB)'!AQ$66&amp;"/"&amp;'Random-Controlled (MLT - PLB)'!AQ$67,"-")</f>
        <v>26/214</v>
      </c>
      <c r="E14" s="174">
        <f>IF(AND('Random-Controlled (MLT - PLB)'!AR$66&lt;&gt;0, 'Random-Controlled (MLT - PLB)'!AR$66 &lt;&gt;""), 'Random-Controlled (MLT - PLB)'!AR$66, "-")</f>
        <v>1.2941762070681933</v>
      </c>
      <c r="F14" s="175" t="str">
        <f>IF(AND('Random-Controlled (MLT - PLB)'!AQ$66&gt;0,'Random-Controlled (MLT - PLB)'!AQ$66&lt;&gt;""),'Random-Controlled (MLT - PLB)'!AQ$66&amp;"/"&amp;'Random-Controlled (MLT - PLB)'!$H$66,"-")</f>
        <v>26/2009</v>
      </c>
      <c r="G14" s="689"/>
      <c r="H14" s="689"/>
      <c r="I14" s="689"/>
      <c r="J14" s="689"/>
      <c r="K14" s="689"/>
      <c r="L14" s="689"/>
      <c r="M14" s="689"/>
      <c r="N14" s="689"/>
    </row>
    <row r="15" spans="2:14" ht="22" customHeight="1" x14ac:dyDescent="0.25">
      <c r="B15" s="163" t="s">
        <v>158</v>
      </c>
      <c r="C15" s="170">
        <f>'Random-Controlled (MLT - PLB)'!AV$67</f>
        <v>11.578947368421053</v>
      </c>
      <c r="D15" s="171" t="str">
        <f>IF(AND('Random-Controlled (MLT - PLB)'!AU$66&gt;0,'Random-Controlled (MLT - PLB)'!AU$66&lt;&gt;"", 'Random-Controlled (MLT - PLB)'!AU$67&gt;0,'Random-Controlled (MLT - PLB)'!AU$67&lt;&gt;""),'Random-Controlled (MLT - PLB)'!AU$66&amp;"/"&amp;'Random-Controlled (MLT - PLB)'!AU$67,"-")</f>
        <v>22/190</v>
      </c>
      <c r="E15" s="174">
        <f>IF(AND('Random-Controlled (MLT - PLB)'!AV$66&lt;&gt;0, 'Random-Controlled (MLT - PLB)'!AV$66 &lt;&gt;""), 'Random-Controlled (MLT - PLB)'!AV$66, "-")</f>
        <v>1.0950721752115482</v>
      </c>
      <c r="F15" s="175" t="str">
        <f>IF(AND('Random-Controlled (MLT - PLB)'!AU$66&gt;0,'Random-Controlled (MLT - PLB)'!AU$66&lt;&gt;""),'Random-Controlled (MLT - PLB)'!AU$66&amp;"/"&amp;'Random-Controlled (MLT - PLB)'!$H$66,"-")</f>
        <v>22/2009</v>
      </c>
      <c r="G15" s="689"/>
      <c r="H15" s="689"/>
      <c r="I15" s="689"/>
      <c r="J15" s="689"/>
      <c r="K15" s="689"/>
      <c r="L15" s="689"/>
      <c r="M15" s="689"/>
      <c r="N15" s="689"/>
    </row>
    <row r="16" spans="2:14" ht="22" customHeight="1" x14ac:dyDescent="0.25">
      <c r="B16" s="163" t="s">
        <v>472</v>
      </c>
      <c r="C16" s="170">
        <f>'Random-Controlled (MLT - PLB)'!BD$67</f>
        <v>7.4074074074074066</v>
      </c>
      <c r="D16" s="171" t="str">
        <f>IF(AND('Random-Controlled (MLT - PLB)'!BC$66&gt;0,'Random-Controlled (MLT - PLB)'!BC$66&lt;&gt;"", 'Random-Controlled (MLT - PLB)'!BC$67&gt;0,'Random-Controlled (MLT - PLB)'!BC$67&lt;&gt;""),'Random-Controlled (MLT - PLB)'!BC$66&amp;"/"&amp;'Random-Controlled (MLT - PLB)'!BC$67,"-")</f>
        <v>2/27</v>
      </c>
      <c r="E16" s="174">
        <f>IF(AND('Random-Controlled (MLT - PLB)'!BD$66&lt;&gt;0, 'Random-Controlled (MLT - PLB)'!BD$66 &lt;&gt;""), 'Random-Controlled (MLT - PLB)'!BD$66, "-")</f>
        <v>9.9552015928322551E-2</v>
      </c>
      <c r="F16" s="175" t="str">
        <f>IF(AND('Random-Controlled (MLT - PLB)'!BC$66&gt;0,'Random-Controlled (MLT - PLB)'!BC$66&lt;&gt;""),'Random-Controlled (MLT - PLB)'!BC$66&amp;"/"&amp;'Random-Controlled (MLT - PLB)'!$H$66,"-")</f>
        <v>2/2009</v>
      </c>
      <c r="G16" s="689"/>
      <c r="H16" s="689"/>
      <c r="I16" s="689"/>
      <c r="J16" s="689"/>
      <c r="K16" s="689"/>
      <c r="L16" s="689"/>
      <c r="M16" s="689"/>
      <c r="N16" s="689"/>
    </row>
    <row r="17" spans="2:14" ht="22" customHeight="1" x14ac:dyDescent="0.25">
      <c r="B17" s="163" t="s">
        <v>163</v>
      </c>
      <c r="C17" s="170">
        <f>'Random-Controlled (MLT - PLB)'!BH$67</f>
        <v>6.557377049180328</v>
      </c>
      <c r="D17" s="171" t="str">
        <f>IF(AND('Random-Controlled (MLT - PLB)'!BG$66&gt;0,'Random-Controlled (MLT - PLB)'!BG$66&lt;&gt;"", 'Random-Controlled (MLT - PLB)'!BG$67&gt;0,'Random-Controlled (MLT - PLB)'!BG$67&lt;&gt;""),'Random-Controlled (MLT - PLB)'!BG$66&amp;"/"&amp;'Random-Controlled (MLT - PLB)'!BG$67,"-")</f>
        <v>4/61</v>
      </c>
      <c r="E17" s="174">
        <f>IF(AND('Random-Controlled (MLT - PLB)'!BH$66&lt;&gt;0, 'Random-Controlled (MLT - PLB)'!BH$66 &lt;&gt;""), 'Random-Controlled (MLT - PLB)'!BH$66, "-")</f>
        <v>0.1991040318566451</v>
      </c>
      <c r="F17" s="175" t="str">
        <f>IF(AND('Random-Controlled (MLT - PLB)'!BG$66&gt;0,'Random-Controlled (MLT - PLB)'!BG$66&lt;&gt;""),'Random-Controlled (MLT - PLB)'!BG$66&amp;"/"&amp;'Random-Controlled (MLT - PLB)'!$H$66,"-")</f>
        <v>4/2009</v>
      </c>
      <c r="G17" s="689"/>
      <c r="H17" s="689"/>
      <c r="I17" s="689"/>
      <c r="J17" s="689"/>
      <c r="K17" s="689"/>
      <c r="L17" s="689"/>
      <c r="M17" s="689"/>
      <c r="N17" s="689"/>
    </row>
    <row r="18" spans="2:14" ht="22" customHeight="1" x14ac:dyDescent="0.25">
      <c r="B18" s="163" t="s">
        <v>159</v>
      </c>
      <c r="C18" s="170">
        <f>'Random-Controlled (MLT - PLB)'!BL$67</f>
        <v>4.9382716049382713</v>
      </c>
      <c r="D18" s="171" t="str">
        <f>IF(AND('Random-Controlled (MLT - PLB)'!BK$66&gt;0,'Random-Controlled (MLT - PLB)'!BK$66&lt;&gt;"", 'Random-Controlled (MLT - PLB)'!BK$67&gt;0,'Random-Controlled (MLT - PLB)'!BK$67&lt;&gt;""),'Random-Controlled (MLT - PLB)'!BK$66&amp;"/"&amp;'Random-Controlled (MLT - PLB)'!BK$67,"-")</f>
        <v>8/162</v>
      </c>
      <c r="E18" s="174">
        <f>IF(AND('Random-Controlled (MLT - PLB)'!BL$66&lt;&gt;0, 'Random-Controlled (MLT - PLB)'!BL$66 &lt;&gt;""), 'Random-Controlled (MLT - PLB)'!BL$66, "-")</f>
        <v>0.39820806371329021</v>
      </c>
      <c r="F18" s="175" t="str">
        <f>IF(AND('Random-Controlled (MLT - PLB)'!BK$66&gt;0,'Random-Controlled (MLT - PLB)'!BK$66&lt;&gt;""),'Random-Controlled (MLT - PLB)'!BK$66&amp;"/"&amp;'Random-Controlled (MLT - PLB)'!$H$66,"-")</f>
        <v>8/2009</v>
      </c>
      <c r="G18" s="689"/>
      <c r="H18" s="689"/>
      <c r="I18" s="689"/>
      <c r="J18" s="689"/>
      <c r="K18" s="689"/>
      <c r="L18" s="689"/>
      <c r="M18" s="689"/>
      <c r="N18" s="689"/>
    </row>
    <row r="19" spans="2:14" ht="22" customHeight="1" x14ac:dyDescent="0.25">
      <c r="B19" s="163" t="s">
        <v>473</v>
      </c>
      <c r="C19" s="170">
        <f>'Random-Controlled (MLT - PLB)'!BP$67</f>
        <v>4.2553191489361701</v>
      </c>
      <c r="D19" s="171" t="str">
        <f>IF(AND('Random-Controlled (MLT - PLB)'!BO$66&gt;0,'Random-Controlled (MLT - PLB)'!BO$66&lt;&gt;"", 'Random-Controlled (MLT - PLB)'!BO$67&gt;0,'Random-Controlled (MLT - PLB)'!BO$67&lt;&gt;""),'Random-Controlled (MLT - PLB)'!BO$66&amp;"/"&amp;'Random-Controlled (MLT - PLB)'!BO$67,"-")</f>
        <v>2/47</v>
      </c>
      <c r="E19" s="174">
        <f>IF(AND('Random-Controlled (MLT - PLB)'!BP$66&lt;&gt;0, 'Random-Controlled (MLT - PLB)'!BP$66 &lt;&gt;""), 'Random-Controlled (MLT - PLB)'!BP$66, "-")</f>
        <v>9.9552015928322551E-2</v>
      </c>
      <c r="F19" s="175" t="str">
        <f>IF(AND('Random-Controlled (MLT - PLB)'!BO$66&gt;0,'Random-Controlled (MLT - PLB)'!BO$66&lt;&gt;""),'Random-Controlled (MLT - PLB)'!BO$66&amp;"/"&amp;'Random-Controlled (MLT - PLB)'!$H$66,"-")</f>
        <v>2/2009</v>
      </c>
      <c r="G19" s="689"/>
      <c r="H19" s="689"/>
      <c r="I19" s="689"/>
      <c r="J19" s="689"/>
      <c r="K19" s="689"/>
      <c r="L19" s="689"/>
      <c r="M19" s="689"/>
      <c r="N19" s="689"/>
    </row>
    <row r="20" spans="2:14" ht="22" customHeight="1" x14ac:dyDescent="0.25">
      <c r="B20" s="163" t="s">
        <v>160</v>
      </c>
      <c r="C20" s="170" t="str">
        <f>IF('Random-Controlled (MLT - PLB)'!BT$67&lt;&gt;"", 'Random-Controlled (MLT - PLB)'!BT$67, "-")</f>
        <v>-</v>
      </c>
      <c r="D20" s="171" t="str">
        <f>IF(AND('Random-Controlled (MLT - PLB)'!BS$66&gt;0,'Random-Controlled (MLT - PLB)'!BS$66&lt;&gt;"", 'Random-Controlled (MLT - PLB)'!BS$67&gt;0,'Random-Controlled (MLT - PLB)'!BS$67&lt;&gt;""),'Random-Controlled (MLT - PLB)'!BS$66&amp;"/"&amp;'Random-Controlled (MLT - PLB)'!BS$67,"-")</f>
        <v>-</v>
      </c>
      <c r="E20" s="174" t="str">
        <f>IF(AND('Random-Controlled (MLT - PLB)'!BT$66&lt;&gt;0, 'Random-Controlled (MLT - PLB)'!BT$66 &lt;&gt;""), 'Random-Controlled (MLT - PLB)'!BT$66, "-")</f>
        <v>-</v>
      </c>
      <c r="F20" s="175" t="str">
        <f>IF(AND('Random-Controlled (MLT - PLB)'!BS$66&gt;0,'Random-Controlled (MLT - PLB)'!BS$66&lt;&gt;""),'Random-Controlled (MLT - PLB)'!BS$66&amp;"/"&amp;'Random-Controlled (MLT - PLB)'!$H$66,"-")</f>
        <v>-</v>
      </c>
      <c r="G20" s="689" t="s">
        <v>476</v>
      </c>
      <c r="H20" s="689"/>
      <c r="I20" s="689"/>
      <c r="J20" s="689"/>
      <c r="K20" s="689"/>
      <c r="L20" s="689"/>
      <c r="M20" s="689"/>
      <c r="N20" s="689"/>
    </row>
    <row r="21" spans="2:14" ht="22" customHeight="1" x14ac:dyDescent="0.25">
      <c r="B21" s="163" t="s">
        <v>206</v>
      </c>
      <c r="C21" s="170" t="str">
        <f>IF('Random-Controlled (MLT - PLB)'!BX$67&lt;&gt;"", 'Random-Controlled (MLT - PLB)'!BX$67, "-")</f>
        <v>-</v>
      </c>
      <c r="D21" s="171" t="str">
        <f>IF(AND('Random-Controlled (MLT - PLB)'!BW$66&gt;0,'Random-Controlled (MLT - PLB)'!BW$66&lt;&gt;"", 'Random-Controlled (MLT - PLB)'!BW$67&gt;0,'Random-Controlled (MLT - PLB)'!BW$67&lt;&gt;""),'Random-Controlled (MLT - PLB)'!BW$66&amp;"/"&amp;'Random-Controlled (MLT - PLB)'!BW$67,"-")</f>
        <v>-</v>
      </c>
      <c r="E21" s="174" t="str">
        <f>IF(AND('Random-Controlled (MLT - PLB)'!BX$66&lt;&gt;0, 'Random-Controlled (MLT - PLB)'!BX$66&lt;&gt;""), 'Random-Controlled (MLT - PLB)'!BX$66, "-")</f>
        <v>-</v>
      </c>
      <c r="F21" s="175" t="str">
        <f>IF(AND('Random-Controlled (MLT - PLB)'!BW$66&gt;0,'Random-Controlled (MLT - PLB)'!BW$66&lt;&gt;""),'Random-Controlled (MLT - PLB)'!BW$66&amp;"/"&amp;'Random-Controlled (MLT - PLB)'!$H$66,"-")</f>
        <v>-</v>
      </c>
      <c r="G21" s="689" t="s">
        <v>476</v>
      </c>
      <c r="H21" s="689"/>
      <c r="I21" s="689"/>
      <c r="J21" s="689"/>
      <c r="K21" s="689"/>
      <c r="L21" s="689"/>
      <c r="M21" s="689"/>
      <c r="N21" s="689"/>
    </row>
    <row r="22" spans="2:14" ht="22" customHeight="1" x14ac:dyDescent="0.25">
      <c r="B22" s="163" t="s">
        <v>205</v>
      </c>
      <c r="C22" s="170" t="str">
        <f>IF('Random-Controlled (MLT - PLB)'!CB$67&lt;&gt;"", 'Random-Controlled (MLT - PLB)'!CB$67, "-")</f>
        <v>-</v>
      </c>
      <c r="D22" s="171" t="str">
        <f>IF(AND('Random-Controlled (MLT - PLB)'!CA$66&gt;0,'Random-Controlled (MLT - PLB)'!CA$66&lt;&gt;"", 'Random-Controlled (MLT - PLB)'!CA$67&gt;0,'Random-Controlled (MLT - PLB)'!CA$67&lt;&gt;""),'Random-Controlled (MLT - PLB)'!CA$66&amp;"/"&amp;'Random-Controlled (MLT - PLB)'!CA$67,"-")</f>
        <v>-</v>
      </c>
      <c r="E22" s="174" t="str">
        <f>IF(AND('Random-Controlled (MLT - PLB)'!CB$66&lt;&gt;0, 'Random-Controlled (MLT - PLB)'!CB$66 &lt;&gt;""), 'Random-Controlled (MLT - PLB)'!CB$66, "-")</f>
        <v>-</v>
      </c>
      <c r="F22" s="175" t="str">
        <f>IF(AND('Random-Controlled (MLT - PLB)'!CA$66&gt;0,'Random-Controlled (MLT - PLB)'!CA$66&lt;&gt;""),'Random-Controlled (MLT - PLB)'!CA$66&amp;"/"&amp;'Random-Controlled (MLT - PLB)'!$H$66,"-")</f>
        <v>-</v>
      </c>
      <c r="G22" s="689" t="s">
        <v>476</v>
      </c>
      <c r="H22" s="689"/>
      <c r="I22" s="689"/>
      <c r="J22" s="689"/>
      <c r="K22" s="689"/>
      <c r="L22" s="689"/>
      <c r="M22" s="689"/>
      <c r="N22" s="689"/>
    </row>
    <row r="23" spans="2:14" ht="22" customHeight="1" x14ac:dyDescent="0.25">
      <c r="B23" s="163" t="s">
        <v>207</v>
      </c>
      <c r="C23" s="170" t="str">
        <f>IF('Random-Controlled (MLT - PLB)'!CF$67&lt;&gt;"", 'Random-Controlled (MLT - PLB)'!CF$67, "-")</f>
        <v>-</v>
      </c>
      <c r="D23" s="171" t="str">
        <f>IF(AND('Random-Controlled (MLT - PLB)'!CE$66&gt;0,'Random-Controlled (MLT - PLB)'!CE$66&lt;&gt;"", 'Random-Controlled (MLT - PLB)'!CE$67&gt;0,'Random-Controlled (MLT - PLB)'!CE$67&lt;&gt;""),'Random-Controlled (MLT - PLB)'!CE$66&amp;"/"&amp;'Random-Controlled (MLT - PLB)'!CE$67,"-")</f>
        <v>-</v>
      </c>
      <c r="E23" s="174" t="str">
        <f>IF(AND('Random-Controlled (MLT - PLB)'!CF$66&lt;&gt;0, 'Random-Controlled (MLT - PLB)'!CF$66 &lt;&gt;""), 'Random-Controlled (MLT - PLB)'!CF$66, "-")</f>
        <v>-</v>
      </c>
      <c r="F23" s="175" t="str">
        <f>IF(AND('Random-Controlled (MLT - PLB)'!CE$66&gt;0,'Random-Controlled (MLT - PLB)'!CE$66&lt;&gt;""),'Random-Controlled (MLT - PLB)'!CE$66&amp;"/"&amp;'Random-Controlled (MLT - PLB)'!$H$66,"-")</f>
        <v>-</v>
      </c>
      <c r="G23" s="689" t="s">
        <v>476</v>
      </c>
      <c r="H23" s="689"/>
      <c r="I23" s="689"/>
      <c r="J23" s="689"/>
      <c r="K23" s="689"/>
      <c r="L23" s="689"/>
      <c r="M23" s="689"/>
      <c r="N23" s="689"/>
    </row>
    <row r="24" spans="2:14" ht="22" customHeight="1" x14ac:dyDescent="0.25">
      <c r="B24" s="163" t="s">
        <v>202</v>
      </c>
      <c r="C24" s="170" t="str">
        <f>IF('Random-Controlled (MLT - PLB)'!CJ$67&lt;&gt;"", 'Random-Controlled (MLT - PLB)'!CJ$67, "-")</f>
        <v>-</v>
      </c>
      <c r="D24" s="171" t="str">
        <f>IF(AND('Random-Controlled (MLT - PLB)'!CI$66&gt;0,'Random-Controlled (MLT - PLB)'!CI$66&lt;&gt;"", 'Random-Controlled (MLT - PLB)'!CI$67&gt;0,'Random-Controlled (MLT - PLB)'!CI$67&lt;&gt;""),'Random-Controlled (MLT - PLB)'!CI$66&amp;"/"&amp;'Random-Controlled (MLT - PLB)'!CI$67,"-")</f>
        <v>-</v>
      </c>
      <c r="E24" s="174" t="str">
        <f>IF(AND('Random-Controlled (MLT - PLB)'!CJ$66&lt;&gt;0, 'Random-Controlled (MLT - PLB)'!CJ$66 &lt;&gt;""), 'Random-Controlled (MLT - PLB)'!CJ$66, "-")</f>
        <v>-</v>
      </c>
      <c r="F24" s="175" t="str">
        <f>IF(AND('Random-Controlled (MLT - PLB)'!CI$66&gt;0,'Random-Controlled (MLT - PLB)'!CI$66&lt;&gt;""),'Random-Controlled (MLT - PLB)'!CI$66&amp;"/"&amp;'Random-Controlled (MLT - PLB)'!$H$66,"-")</f>
        <v>-</v>
      </c>
      <c r="G24" s="689" t="s">
        <v>476</v>
      </c>
      <c r="H24" s="689"/>
      <c r="I24" s="689"/>
      <c r="J24" s="689"/>
      <c r="K24" s="689"/>
      <c r="L24" s="689"/>
      <c r="M24" s="689"/>
      <c r="N24" s="689"/>
    </row>
    <row r="25" spans="2:14" ht="22" customHeight="1" x14ac:dyDescent="0.25">
      <c r="B25" s="163" t="s">
        <v>161</v>
      </c>
      <c r="C25" s="170" t="str">
        <f>IF('Random-Controlled (MLT - PLB)'!CN$67&lt;&gt;"", 'Random-Controlled (MLT - PLB)'!CN$67, "-")</f>
        <v>-</v>
      </c>
      <c r="D25" s="171" t="str">
        <f>IF(AND('Random-Controlled (MLT - PLB)'!CM$66&gt;0,'Random-Controlled (MLT - PLB)'!CM$66&lt;&gt;"", 'Random-Controlled (MLT - PLB)'!CM$67&gt;0,'Random-Controlled (MLT - PLB)'!CM$67&lt;&gt;""),'Random-Controlled (MLT - PLB)'!CM$66&amp;"/"&amp;'Random-Controlled (MLT - PLB)'!CM$67,"-")</f>
        <v>-</v>
      </c>
      <c r="E25" s="174" t="str">
        <f>IF(AND('Random-Controlled (MLT - PLB)'!CN$66&lt;&gt;0, 'Random-Controlled (MLT - PLB)'!CN$66 &lt;&gt;""), 'Random-Controlled (MLT - PLB)'!CN$66, "-")</f>
        <v>-</v>
      </c>
      <c r="F25" s="175" t="str">
        <f>IF(AND('Random-Controlled (MLT - PLB)'!CM$66&gt;0,'Random-Controlled (MLT - PLB)'!CM$66&lt;&gt;""),'Random-Controlled (MLT - PLB)'!CM$66&amp;"/"&amp;'Random-Controlled (MLT - PLB)'!$H$66,"-")</f>
        <v>-</v>
      </c>
      <c r="G25" s="689" t="s">
        <v>476</v>
      </c>
      <c r="H25" s="689"/>
      <c r="I25" s="689"/>
      <c r="J25" s="689"/>
      <c r="K25" s="689"/>
      <c r="L25" s="689"/>
      <c r="M25" s="689"/>
      <c r="N25" s="689"/>
    </row>
    <row r="26" spans="2:14" ht="22" customHeight="1" x14ac:dyDescent="0.25">
      <c r="B26" s="163" t="s">
        <v>208</v>
      </c>
      <c r="C26" s="170">
        <f>IF('Random-Controlled (MLT - PLB)'!T$67&lt;&gt;"", 'Random-Controlled (MLT - PLB)'!T$67, "-")</f>
        <v>29.056603773584904</v>
      </c>
      <c r="D26" s="171" t="str">
        <f>IF(AND('Random-Controlled (MLT - PLB)'!S$66&gt;0,'Random-Controlled (MLT - PLB)'!S$66&lt;&gt;"", 'Random-Controlled (MLT - PLB)'!S$67&gt;0,'Random-Controlled (MLT - PLB)'!S$67&lt;&gt;""),'Random-Controlled (MLT - PLB)'!S$66&amp;"/"&amp;'Random-Controlled (MLT - PLB)'!S$67,"-")</f>
        <v>77/265</v>
      </c>
      <c r="E26" s="174">
        <f>IF(AND('Random-Controlled (MLT - PLB)'!T$66&lt;&gt;0, 'Random-Controlled (MLT - PLB)'!T$66 &lt;&gt;""), 'Random-Controlled (MLT - PLB)'!T$66, "-")</f>
        <v>3.8327526132404177</v>
      </c>
      <c r="F26" s="175" t="str">
        <f>IF(AND('Random-Controlled (MLT - PLB)'!S$66&gt;0,'Random-Controlled (MLT - PLB)'!S$66&lt;&gt;""),'Random-Controlled (MLT - PLB)'!S$66&amp;"/"&amp;'Random-Controlled (MLT - PLB)'!$H$66,"")</f>
        <v>77/2009</v>
      </c>
      <c r="G26" s="689"/>
      <c r="H26" s="689"/>
      <c r="I26" s="689"/>
      <c r="J26" s="689"/>
      <c r="K26" s="689"/>
      <c r="L26" s="689"/>
      <c r="M26" s="689"/>
      <c r="N26" s="689"/>
    </row>
    <row r="27" spans="2:14" ht="22" customHeight="1" thickBot="1" x14ac:dyDescent="0.3">
      <c r="B27" s="164" t="s">
        <v>376</v>
      </c>
      <c r="C27" s="172">
        <f>IF('Random-Controlled (MLT - PLB)'!AZ$67&lt;&gt;"", 'Random-Controlled (MLT - PLB)'!AZ$67, "-")</f>
        <v>9.5642933049946866</v>
      </c>
      <c r="D27" s="173" t="str">
        <f>IF(AND('Random-Controlled (MLT - PLB)'!AY$66&gt;0,'Random-Controlled (MLT - PLB)'!AY$66&lt;&gt;"", 'Random-Controlled (MLT - PLB)'!AY$67&gt;0,'Random-Controlled (MLT - PLB)'!AY$67&lt;&gt;""),'Random-Controlled (MLT - PLB)'!AY$66&amp;"/"&amp;'Random-Controlled (MLT - PLB)'!AY$67,"-")</f>
        <v>90/941</v>
      </c>
      <c r="E27" s="176">
        <f>IF(AND('Random-Controlled (MLT - PLB)'!AZ$66&lt;&gt;0, 'Random-Controlled (MLT - PLB)'!AZ$66 &lt;&gt;""), 'Random-Controlled (MLT - PLB)'!AZ$66, "-")</f>
        <v>4.4798407167745147</v>
      </c>
      <c r="F27" s="177" t="str">
        <f>IF(AND('Random-Controlled (MLT - PLB)'!AY$66&gt;0,'Random-Controlled (MLT - PLB)'!AY$66&lt;&gt;""),'Random-Controlled (MLT - PLB)'!AY$66&amp;"/"&amp;'Random-Controlled (MLT - PLB)'!$H$66,"")</f>
        <v>90/2009</v>
      </c>
      <c r="G27" s="690"/>
      <c r="H27" s="690"/>
      <c r="I27" s="690"/>
      <c r="J27" s="690"/>
      <c r="K27" s="690"/>
      <c r="L27" s="690"/>
      <c r="M27" s="690"/>
      <c r="N27" s="690"/>
    </row>
    <row r="28" spans="2:14" x14ac:dyDescent="0.25">
      <c r="C28" s="161" t="s">
        <v>560</v>
      </c>
    </row>
    <row r="29" spans="2:14" x14ac:dyDescent="0.25">
      <c r="C29" s="161" t="s">
        <v>557</v>
      </c>
    </row>
    <row r="31" spans="2:14" ht="20" thickBot="1" x14ac:dyDescent="0.3"/>
    <row r="32" spans="2:14" x14ac:dyDescent="0.25">
      <c r="B32" s="697" t="s">
        <v>477</v>
      </c>
      <c r="C32" s="692"/>
      <c r="D32" s="693"/>
      <c r="E32"/>
      <c r="F32"/>
      <c r="G32"/>
      <c r="H32"/>
      <c r="I32"/>
      <c r="J32"/>
      <c r="K32"/>
      <c r="L32"/>
      <c r="M32"/>
      <c r="N32"/>
    </row>
    <row r="33" spans="2:14" x14ac:dyDescent="0.25">
      <c r="B33" s="698"/>
      <c r="C33" s="699"/>
      <c r="D33" s="700"/>
      <c r="E33"/>
      <c r="F33"/>
      <c r="G33"/>
      <c r="H33"/>
      <c r="I33"/>
      <c r="J33"/>
      <c r="K33"/>
      <c r="L33"/>
      <c r="M33"/>
      <c r="N33"/>
    </row>
    <row r="34" spans="2:14" ht="20" thickBot="1" x14ac:dyDescent="0.3">
      <c r="B34" s="694"/>
      <c r="C34" s="695"/>
      <c r="D34" s="696"/>
    </row>
    <row r="35" spans="2:14" ht="20" thickBot="1" x14ac:dyDescent="0.3"/>
    <row r="36" spans="2:14" ht="58" thickBot="1" x14ac:dyDescent="0.3">
      <c r="B36" s="166" t="s">
        <v>465</v>
      </c>
      <c r="C36" s="167" t="s">
        <v>474</v>
      </c>
      <c r="D36" s="168" t="s">
        <v>558</v>
      </c>
      <c r="E36" s="180" t="s">
        <v>466</v>
      </c>
      <c r="F36" s="181" t="s">
        <v>559</v>
      </c>
      <c r="G36" s="701" t="s">
        <v>25</v>
      </c>
      <c r="H36" s="701"/>
      <c r="I36" s="701"/>
      <c r="J36" s="701"/>
      <c r="K36" s="701"/>
      <c r="L36" s="701"/>
      <c r="M36" s="701"/>
      <c r="N36" s="702"/>
    </row>
    <row r="37" spans="2:14" x14ac:dyDescent="0.25">
      <c r="B37" s="165" t="s">
        <v>467</v>
      </c>
      <c r="C37" s="169">
        <f>'Random-Controlled (MLT - PLB)'!L96</f>
        <v>0</v>
      </c>
      <c r="D37" s="182" t="str">
        <f>IF(AND('Random-Controlled (MLT - PLB)'!K$66&gt;0,'Random-Controlled (MLT - PLB)'!K$66&lt;&gt;"", 'Random-Controlled (MLT - PLB)'!K$67&gt;0,'Random-Controlled (MLT - PLB)'!K$67&lt;&gt;""),'Random-Controlled (MLT - PLB)'!K$66&amp;"/"&amp;'Random-Controlled (MLT - PLB)'!K$67,"-")</f>
        <v>5/8</v>
      </c>
      <c r="E37" s="178">
        <f>IF(AND('Random-Controlled (MLT - PLB)'!L$66&lt;&gt;0, 'Random-Controlled (MLT - PLB)'!L$66 &lt;&gt;""), 'Random-Controlled (MLT - PLB)'!L$66, "-")</f>
        <v>0.24888003982080636</v>
      </c>
      <c r="F37" s="179" t="str">
        <f>IF(AND('Random-Controlled (MLT - PLB)'!K$66&gt;0,'Random-Controlled (MLT - PLB)'!K$66&lt;&gt;""),'Random-Controlled (MLT - PLB)'!K$66&amp;"/"&amp;'Random-Controlled (MLT - PLB)'!$H$66,"-")</f>
        <v>5/2009</v>
      </c>
      <c r="G37" s="703"/>
      <c r="H37" s="703"/>
      <c r="I37" s="703"/>
      <c r="J37" s="703"/>
      <c r="K37" s="703"/>
      <c r="L37" s="703"/>
      <c r="M37" s="703"/>
      <c r="N37" s="703"/>
    </row>
    <row r="38" spans="2:14" x14ac:dyDescent="0.25">
      <c r="B38" s="163" t="s">
        <v>468</v>
      </c>
      <c r="C38" s="170">
        <f>'Random-Controlled (MLT - PLB)'!P96</f>
        <v>0</v>
      </c>
      <c r="D38" s="171" t="str">
        <f>IF(AND('Random-Controlled (MLT - PLB)'!O$66&gt;0,'Random-Controlled (MLT - PLB)'!O$66&lt;&gt;"", 'Random-Controlled (MLT - PLB)'!O$67&gt;0,'Random-Controlled (MLT - PLB)'!O$67&lt;&gt;""),'Random-Controlled (MLT - PLB)'!O$66&amp;"/"&amp;'Random-Controlled (MLT - PLB)'!O$67,"-")</f>
        <v>25/62</v>
      </c>
      <c r="E38" s="174">
        <f>IF(AND('Random-Controlled (MLT - PLB)'!P$66&lt;&gt;0, 'Random-Controlled (MLT - PLB)'!P$66 &lt;&gt;""), 'Random-Controlled (MLT - PLB)'!P$66, "-")</f>
        <v>1.2444001991040319</v>
      </c>
      <c r="F38" s="175" t="str">
        <f>IF(AND('Random-Controlled (MLT - PLB)'!O$66&gt;0,'Random-Controlled (MLT - PLB)'!O$66&lt;&gt;""),'Random-Controlled (MLT - PLB)'!O$66&amp;"/"&amp;'Random-Controlled (MLT - PLB)'!$H$66,"-")</f>
        <v>25/2009</v>
      </c>
      <c r="G38" s="689"/>
      <c r="H38" s="689"/>
      <c r="I38" s="689"/>
      <c r="J38" s="689"/>
      <c r="K38" s="689"/>
      <c r="L38" s="689"/>
      <c r="M38" s="689"/>
      <c r="N38" s="689"/>
    </row>
    <row r="39" spans="2:14" x14ac:dyDescent="0.25">
      <c r="B39" s="163" t="s">
        <v>172</v>
      </c>
      <c r="C39" s="170">
        <f>'Random-Controlled (MLT - PLB)'!X96</f>
        <v>0</v>
      </c>
      <c r="D39" s="171" t="str">
        <f>IF(AND('Random-Controlled (MLT - PLB)'!W$66&gt;0,'Random-Controlled (MLT - PLB)'!W$66&lt;&gt;"", 'Random-Controlled (MLT - PLB)'!W$67&gt;0,'Random-Controlled (MLT - PLB)'!W$67&lt;&gt;""),'Random-Controlled (MLT - PLB)'!W$66&amp;"/"&amp;'Random-Controlled (MLT - PLB)'!W$67,"-")</f>
        <v>2/8</v>
      </c>
      <c r="E39" s="174">
        <f>IF(AND('Random-Controlled (MLT - PLB)'!X$66&lt;&gt;0, 'Random-Controlled (MLT - PLB)'!X$66 &lt;&gt;""), 'Random-Controlled (MLT - PLB)'!X$66, "-")</f>
        <v>9.9552015928322551E-2</v>
      </c>
      <c r="F39" s="175" t="str">
        <f>IF(AND('Random-Controlled (MLT - PLB)'!W$66&gt;0,'Random-Controlled (MLT - PLB)'!W$66&lt;&gt;""),'Random-Controlled (MLT - PLB)'!W$66&amp;"/"&amp;'Random-Controlled (MLT - PLB)'!$H$66,"-")</f>
        <v>2/2009</v>
      </c>
      <c r="G39" s="689"/>
      <c r="H39" s="689"/>
      <c r="I39" s="689"/>
      <c r="J39" s="689"/>
      <c r="K39" s="689"/>
      <c r="L39" s="689"/>
      <c r="M39" s="689"/>
      <c r="N39" s="689"/>
    </row>
    <row r="40" spans="2:14" x14ac:dyDescent="0.25">
      <c r="B40" s="163" t="s">
        <v>470</v>
      </c>
      <c r="C40" s="170">
        <f>'Random-Controlled (MLT - PLB)'!AB96</f>
        <v>0</v>
      </c>
      <c r="D40" s="171" t="str">
        <f>IF(AND('Random-Controlled (MLT - PLB)'!AA$66&gt;0,'Random-Controlled (MLT - PLB)'!AA$66&lt;&gt;"", 'Random-Controlled (MLT - PLB)'!AA$67&gt;0,'Random-Controlled (MLT - PLB)'!AA$67&lt;&gt;""),'Random-Controlled (MLT - PLB)'!AA$66&amp;"/"&amp;'Random-Controlled (MLT - PLB)'!AA$67,"-")</f>
        <v>50/217</v>
      </c>
      <c r="E40" s="174">
        <f>IF(AND('Random-Controlled (MLT - PLB)'!AB$66&lt;&gt;0, 'Random-Controlled (MLT - PLB)'!AB$66 &lt;&gt;""), 'Random-Controlled (MLT - PLB)'!AB$66, "-")</f>
        <v>2.4888003982080638</v>
      </c>
      <c r="F40" s="175" t="str">
        <f>IF(AND('Random-Controlled (MLT - PLB)'!AA$66&gt;0,'Random-Controlled (MLT - PLB)'!AA$66&lt;&gt;""),'Random-Controlled (MLT - PLB)'!AA$66&amp;"/"&amp;'Random-Controlled (MLT - PLB)'!$H$66,"-")</f>
        <v>50/2009</v>
      </c>
      <c r="G40" s="689"/>
      <c r="H40" s="689"/>
      <c r="I40" s="689"/>
      <c r="J40" s="689"/>
      <c r="K40" s="689"/>
      <c r="L40" s="689"/>
      <c r="M40" s="689"/>
      <c r="N40" s="689"/>
    </row>
    <row r="41" spans="2:14" x14ac:dyDescent="0.25">
      <c r="B41" s="163" t="s">
        <v>469</v>
      </c>
      <c r="C41" s="170">
        <f>'Random-Controlled (MLT - PLB)'!AF$67</f>
        <v>21.794871794871796</v>
      </c>
      <c r="D41" s="171" t="str">
        <f>IF(AND('Random-Controlled (MLT - PLB)'!AE$66&gt;0,'Random-Controlled (MLT - PLB)'!AE$66&lt;&gt;"", 'Random-Controlled (MLT - PLB)'!AE$67&gt;0,'Random-Controlled (MLT - PLB)'!AE$67&lt;&gt;""),'Random-Controlled (MLT - PLB)'!AE$66&amp;"/"&amp;'Random-Controlled (MLT - PLB)'!AE$67,"-")</f>
        <v>34/156</v>
      </c>
      <c r="E41" s="174">
        <f>IF(AND('Random-Controlled (MLT - PLB)'!AF$66&lt;&gt;0, 'Random-Controlled (MLT - PLB)'!AF$66 &lt;&gt;""), 'Random-Controlled (MLT - PLB)'!AF$66, "-")</f>
        <v>1.6923842707814833</v>
      </c>
      <c r="F41" s="175" t="str">
        <f>IF(AND('Random-Controlled (MLT - PLB)'!AE$66&gt;0,'Random-Controlled (MLT - PLB)'!AE$66&lt;&gt;""),'Random-Controlled (MLT - PLB)'!AE$66&amp;"/"&amp;'Random-Controlled (MLT - PLB)'!$H$66,"-")</f>
        <v>34/2009</v>
      </c>
      <c r="G41" s="689"/>
      <c r="H41" s="689"/>
      <c r="I41" s="689"/>
      <c r="J41" s="689"/>
      <c r="K41" s="689"/>
      <c r="L41" s="689"/>
      <c r="M41" s="689"/>
      <c r="N41" s="689"/>
    </row>
    <row r="42" spans="2:14" x14ac:dyDescent="0.25">
      <c r="B42" s="163" t="s">
        <v>171</v>
      </c>
      <c r="C42" s="170">
        <f>'Random-Controlled (MLT - PLB)'!AJ$67</f>
        <v>12.5</v>
      </c>
      <c r="D42" s="171" t="str">
        <f>IF(AND('Random-Controlled (MLT - PLB)'!AI$66&gt;0,'Random-Controlled (MLT - PLB)'!AI$66&lt;&gt;"", 'Random-Controlled (MLT - PLB)'!AI$67&gt;0,'Random-Controlled (MLT - PLB)'!AI$67&lt;&gt;""),'Random-Controlled (MLT - PLB)'!AI$66&amp;"/"&amp;'Random-Controlled (MLT - PLB)'!AI$67,"-")</f>
        <v>1/8</v>
      </c>
      <c r="E42" s="174">
        <f>IF(AND('Random-Controlled (MLT - PLB)'!AJ$66&lt;&gt;0, 'Random-Controlled (MLT - PLB)'!AJ$66 &lt;&gt;""), 'Random-Controlled (MLT - PLB)'!AJ$66, "-")</f>
        <v>4.9776007964161276E-2</v>
      </c>
      <c r="F42" s="175" t="str">
        <f>IF(AND('Random-Controlled (MLT - PLB)'!AI$66&gt;0,'Random-Controlled (MLT - PLB)'!AI$66&lt;&gt;""),'Random-Controlled (MLT - PLB)'!AI$66&amp;"/"&amp;'Random-Controlled (MLT - PLB)'!$H$66,"-")</f>
        <v>1/2009</v>
      </c>
      <c r="G42" s="689"/>
      <c r="H42" s="689"/>
      <c r="I42" s="689"/>
      <c r="J42" s="689"/>
      <c r="K42" s="689"/>
      <c r="L42" s="689"/>
      <c r="M42" s="689"/>
      <c r="N42" s="689"/>
    </row>
    <row r="43" spans="2:14" x14ac:dyDescent="0.25">
      <c r="B43" s="163" t="s">
        <v>174</v>
      </c>
      <c r="C43" s="170">
        <f>'Random-Controlled (MLT - PLB)'!AN$67</f>
        <v>16.216216216216218</v>
      </c>
      <c r="D43" s="171" t="str">
        <f>IF(AND('Random-Controlled (MLT - PLB)'!AM$66&gt;0,'Random-Controlled (MLT - PLB)'!AM$66&lt;&gt;"", 'Random-Controlled (MLT - PLB)'!AM$67&gt;0,'Random-Controlled (MLT - PLB)'!AM$67&lt;&gt;""),'Random-Controlled (MLT - PLB)'!AM$66&amp;"/"&amp;'Random-Controlled (MLT - PLB)'!AM$67,"-")</f>
        <v>6/37</v>
      </c>
      <c r="E43" s="174">
        <f>IF(AND('Random-Controlled (MLT - PLB)'!AN$66&lt;&gt;0, 'Random-Controlled (MLT - PLB)'!AN$66 &lt;&gt;""), 'Random-Controlled (MLT - PLB)'!AN$66, "-")</f>
        <v>0.29865604778496768</v>
      </c>
      <c r="F43" s="175" t="str">
        <f>IF(AND('Random-Controlled (MLT - PLB)'!AM$66&gt;0,'Random-Controlled (MLT - PLB)'!AM$66&lt;&gt;""),'Random-Controlled (MLT - PLB)'!AM$66&amp;"/"&amp;'Random-Controlled (MLT - PLB)'!$H$66,"-")</f>
        <v>6/2009</v>
      </c>
      <c r="G43" s="689"/>
      <c r="H43" s="689"/>
      <c r="I43" s="689"/>
      <c r="J43" s="689"/>
      <c r="K43" s="689"/>
      <c r="L43" s="689"/>
      <c r="M43" s="689"/>
      <c r="N43" s="689"/>
    </row>
    <row r="44" spans="2:14" x14ac:dyDescent="0.25">
      <c r="B44" s="163" t="s">
        <v>471</v>
      </c>
      <c r="C44" s="170">
        <f>'Random-Controlled (MLT - PLB)'!AR$67</f>
        <v>12.149532710280374</v>
      </c>
      <c r="D44" s="171" t="str">
        <f>IF(AND('Random-Controlled (MLT - PLB)'!AQ$66&gt;0,'Random-Controlled (MLT - PLB)'!AQ$66&lt;&gt;"", 'Random-Controlled (MLT - PLB)'!AQ$67&gt;0,'Random-Controlled (MLT - PLB)'!AQ$67&lt;&gt;""),'Random-Controlled (MLT - PLB)'!AQ$66&amp;"/"&amp;'Random-Controlled (MLT - PLB)'!AQ$67,"-")</f>
        <v>26/214</v>
      </c>
      <c r="E44" s="174">
        <f>IF(AND('Random-Controlled (MLT - PLB)'!AR$66&lt;&gt;0, 'Random-Controlled (MLT - PLB)'!AR$66 &lt;&gt;""), 'Random-Controlled (MLT - PLB)'!AR$66, "-")</f>
        <v>1.2941762070681933</v>
      </c>
      <c r="F44" s="175" t="str">
        <f>IF(AND('Random-Controlled (MLT - PLB)'!AQ$66&gt;0,'Random-Controlled (MLT - PLB)'!AQ$66&lt;&gt;""),'Random-Controlled (MLT - PLB)'!AQ$66&amp;"/"&amp;'Random-Controlled (MLT - PLB)'!$H$66,"-")</f>
        <v>26/2009</v>
      </c>
      <c r="G44" s="689"/>
      <c r="H44" s="689"/>
      <c r="I44" s="689"/>
      <c r="J44" s="689"/>
      <c r="K44" s="689"/>
      <c r="L44" s="689"/>
      <c r="M44" s="689"/>
      <c r="N44" s="689"/>
    </row>
    <row r="45" spans="2:14" x14ac:dyDescent="0.25">
      <c r="B45" s="163" t="s">
        <v>158</v>
      </c>
      <c r="C45" s="170">
        <f>'Random-Controlled (MLT - PLB)'!AV$67</f>
        <v>11.578947368421053</v>
      </c>
      <c r="D45" s="171" t="str">
        <f>IF(AND('Random-Controlled (MLT - PLB)'!AU$66&gt;0,'Random-Controlled (MLT - PLB)'!AU$66&lt;&gt;"", 'Random-Controlled (MLT - PLB)'!AU$67&gt;0,'Random-Controlled (MLT - PLB)'!AU$67&lt;&gt;""),'Random-Controlled (MLT - PLB)'!AU$66&amp;"/"&amp;'Random-Controlled (MLT - PLB)'!AU$67,"-")</f>
        <v>22/190</v>
      </c>
      <c r="E45" s="174">
        <f>IF(AND('Random-Controlled (MLT - PLB)'!AV$66&lt;&gt;0, 'Random-Controlled (MLT - PLB)'!AV$66 &lt;&gt;""), 'Random-Controlled (MLT - PLB)'!AV$66, "-")</f>
        <v>1.0950721752115482</v>
      </c>
      <c r="F45" s="175" t="str">
        <f>IF(AND('Random-Controlled (MLT - PLB)'!AU$66&gt;0,'Random-Controlled (MLT - PLB)'!AU$66&lt;&gt;""),'Random-Controlled (MLT - PLB)'!AU$66&amp;"/"&amp;'Random-Controlled (MLT - PLB)'!$H$66,"-")</f>
        <v>22/2009</v>
      </c>
      <c r="G45" s="689"/>
      <c r="H45" s="689"/>
      <c r="I45" s="689"/>
      <c r="J45" s="689"/>
      <c r="K45" s="689"/>
      <c r="L45" s="689"/>
      <c r="M45" s="689"/>
      <c r="N45" s="689"/>
    </row>
    <row r="46" spans="2:14" x14ac:dyDescent="0.25">
      <c r="B46" s="163" t="s">
        <v>472</v>
      </c>
      <c r="C46" s="170">
        <f>'Random-Controlled (MLT - PLB)'!BD$67</f>
        <v>7.4074074074074066</v>
      </c>
      <c r="D46" s="171" t="str">
        <f>IF(AND('Random-Controlled (MLT - PLB)'!BC$66&gt;0,'Random-Controlled (MLT - PLB)'!BC$66&lt;&gt;"", 'Random-Controlled (MLT - PLB)'!BC$67&gt;0,'Random-Controlled (MLT - PLB)'!BC$67&lt;&gt;""),'Random-Controlled (MLT - PLB)'!BC$66&amp;"/"&amp;'Random-Controlled (MLT - PLB)'!BC$67,"-")</f>
        <v>2/27</v>
      </c>
      <c r="E46" s="174">
        <f>IF(AND('Random-Controlled (MLT - PLB)'!BD$66&lt;&gt;0, 'Random-Controlled (MLT - PLB)'!BD$66 &lt;&gt;""), 'Random-Controlled (MLT - PLB)'!BD$66, "-")</f>
        <v>9.9552015928322551E-2</v>
      </c>
      <c r="F46" s="175" t="str">
        <f>IF(AND('Random-Controlled (MLT - PLB)'!BC$66&gt;0,'Random-Controlled (MLT - PLB)'!BC$66&lt;&gt;""),'Random-Controlled (MLT - PLB)'!BC$66&amp;"/"&amp;'Random-Controlled (MLT - PLB)'!$H$66,"-")</f>
        <v>2/2009</v>
      </c>
      <c r="G46" s="689"/>
      <c r="H46" s="689"/>
      <c r="I46" s="689"/>
      <c r="J46" s="689"/>
      <c r="K46" s="689"/>
      <c r="L46" s="689"/>
      <c r="M46" s="689"/>
      <c r="N46" s="689"/>
    </row>
    <row r="47" spans="2:14" x14ac:dyDescent="0.25">
      <c r="B47" s="163" t="s">
        <v>163</v>
      </c>
      <c r="C47" s="170">
        <f>'Random-Controlled (MLT - PLB)'!BH$67</f>
        <v>6.557377049180328</v>
      </c>
      <c r="D47" s="171" t="str">
        <f>IF(AND('Random-Controlled (MLT - PLB)'!BG$66&gt;0,'Random-Controlled (MLT - PLB)'!BG$66&lt;&gt;"", 'Random-Controlled (MLT - PLB)'!BG$67&gt;0,'Random-Controlled (MLT - PLB)'!BG$67&lt;&gt;""),'Random-Controlled (MLT - PLB)'!BG$66&amp;"/"&amp;'Random-Controlled (MLT - PLB)'!BG$67,"-")</f>
        <v>4/61</v>
      </c>
      <c r="E47" s="174">
        <f>IF(AND('Random-Controlled (MLT - PLB)'!BH$66&lt;&gt;0, 'Random-Controlled (MLT - PLB)'!BH$66 &lt;&gt;""), 'Random-Controlled (MLT - PLB)'!BH$66, "-")</f>
        <v>0.1991040318566451</v>
      </c>
      <c r="F47" s="175" t="str">
        <f>IF(AND('Random-Controlled (MLT - PLB)'!BG$66&gt;0,'Random-Controlled (MLT - PLB)'!BG$66&lt;&gt;""),'Random-Controlled (MLT - PLB)'!BG$66&amp;"/"&amp;'Random-Controlled (MLT - PLB)'!$H$66,"-")</f>
        <v>4/2009</v>
      </c>
      <c r="G47" s="689"/>
      <c r="H47" s="689"/>
      <c r="I47" s="689"/>
      <c r="J47" s="689"/>
      <c r="K47" s="689"/>
      <c r="L47" s="689"/>
      <c r="M47" s="689"/>
      <c r="N47" s="689"/>
    </row>
    <row r="48" spans="2:14" x14ac:dyDescent="0.25">
      <c r="B48" s="163" t="s">
        <v>159</v>
      </c>
      <c r="C48" s="170">
        <f>'Random-Controlled (MLT - PLB)'!BL$67</f>
        <v>4.9382716049382713</v>
      </c>
      <c r="D48" s="171" t="str">
        <f>IF(AND('Random-Controlled (MLT - PLB)'!BK$66&gt;0,'Random-Controlled (MLT - PLB)'!BK$66&lt;&gt;"", 'Random-Controlled (MLT - PLB)'!BK$67&gt;0,'Random-Controlled (MLT - PLB)'!BK$67&lt;&gt;""),'Random-Controlled (MLT - PLB)'!BK$66&amp;"/"&amp;'Random-Controlled (MLT - PLB)'!BK$67,"-")</f>
        <v>8/162</v>
      </c>
      <c r="E48" s="174">
        <f>IF(AND('Random-Controlled (MLT - PLB)'!BL$66&lt;&gt;0, 'Random-Controlled (MLT - PLB)'!BL$66 &lt;&gt;""), 'Random-Controlled (MLT - PLB)'!BL$66, "-")</f>
        <v>0.39820806371329021</v>
      </c>
      <c r="F48" s="175" t="str">
        <f>IF(AND('Random-Controlled (MLT - PLB)'!BK$66&gt;0,'Random-Controlled (MLT - PLB)'!BK$66&lt;&gt;""),'Random-Controlled (MLT - PLB)'!BK$66&amp;"/"&amp;'Random-Controlled (MLT - PLB)'!$H$66,"-")</f>
        <v>8/2009</v>
      </c>
      <c r="G48" s="689"/>
      <c r="H48" s="689"/>
      <c r="I48" s="689"/>
      <c r="J48" s="689"/>
      <c r="K48" s="689"/>
      <c r="L48" s="689"/>
      <c r="M48" s="689"/>
      <c r="N48" s="689"/>
    </row>
    <row r="49" spans="2:14" x14ac:dyDescent="0.25">
      <c r="B49" s="163" t="s">
        <v>473</v>
      </c>
      <c r="C49" s="170">
        <f>'Random-Controlled (MLT - PLB)'!BP$67</f>
        <v>4.2553191489361701</v>
      </c>
      <c r="D49" s="171" t="str">
        <f>IF(AND('Random-Controlled (MLT - PLB)'!BO$66&gt;0,'Random-Controlled (MLT - PLB)'!BO$66&lt;&gt;"", 'Random-Controlled (MLT - PLB)'!BO$67&gt;0,'Random-Controlled (MLT - PLB)'!BO$67&lt;&gt;""),'Random-Controlled (MLT - PLB)'!BO$66&amp;"/"&amp;'Random-Controlled (MLT - PLB)'!BO$67,"-")</f>
        <v>2/47</v>
      </c>
      <c r="E49" s="174">
        <f>IF(AND('Random-Controlled (MLT - PLB)'!BP$66&lt;&gt;0, 'Random-Controlled (MLT - PLB)'!BP$66 &lt;&gt;""), 'Random-Controlled (MLT - PLB)'!BP$66, "-")</f>
        <v>9.9552015928322551E-2</v>
      </c>
      <c r="F49" s="175" t="str">
        <f>IF(AND('Random-Controlled (MLT - PLB)'!BO$66&gt;0,'Random-Controlled (MLT - PLB)'!BO$66&lt;&gt;""),'Random-Controlled (MLT - PLB)'!BO$66&amp;"/"&amp;'Random-Controlled (MLT - PLB)'!$H$66,"-")</f>
        <v>2/2009</v>
      </c>
      <c r="G49" s="689"/>
      <c r="H49" s="689"/>
      <c r="I49" s="689"/>
      <c r="J49" s="689"/>
      <c r="K49" s="689"/>
      <c r="L49" s="689"/>
      <c r="M49" s="689"/>
      <c r="N49" s="689"/>
    </row>
    <row r="50" spans="2:14" x14ac:dyDescent="0.25">
      <c r="B50" s="163" t="s">
        <v>160</v>
      </c>
      <c r="C50" s="170" t="str">
        <f>IF('Random-Controlled (MLT - PLB)'!BT$67&lt;&gt;"", 'Random-Controlled (MLT - PLB)'!BT$67, "-")</f>
        <v>-</v>
      </c>
      <c r="D50" s="171" t="str">
        <f>IF(AND('Random-Controlled (MLT - PLB)'!BS$66&gt;0,'Random-Controlled (MLT - PLB)'!BS$66&lt;&gt;"", 'Random-Controlled (MLT - PLB)'!BS$67&gt;0,'Random-Controlled (MLT - PLB)'!BS$67&lt;&gt;""),'Random-Controlled (MLT - PLB)'!BS$66&amp;"/"&amp;'Random-Controlled (MLT - PLB)'!BS$67,"-")</f>
        <v>-</v>
      </c>
      <c r="E50" s="174" t="str">
        <f>IF(AND('Random-Controlled (MLT - PLB)'!BT$66&lt;&gt;0, 'Random-Controlled (MLT - PLB)'!BT$66 &lt;&gt;""), 'Random-Controlled (MLT - PLB)'!BT$66, "-")</f>
        <v>-</v>
      </c>
      <c r="F50" s="175" t="str">
        <f>IF(AND('Random-Controlled (MLT - PLB)'!BS$66&gt;0,'Random-Controlled (MLT - PLB)'!BS$66&lt;&gt;""),'Random-Controlled (MLT - PLB)'!BS$66&amp;"/"&amp;'Random-Controlled (MLT - PLB)'!$H$66,"-")</f>
        <v>-</v>
      </c>
      <c r="G50" s="689" t="s">
        <v>476</v>
      </c>
      <c r="H50" s="689"/>
      <c r="I50" s="689"/>
      <c r="J50" s="689"/>
      <c r="K50" s="689"/>
      <c r="L50" s="689"/>
      <c r="M50" s="689"/>
      <c r="N50" s="689"/>
    </row>
    <row r="51" spans="2:14" x14ac:dyDescent="0.25">
      <c r="B51" s="163" t="s">
        <v>206</v>
      </c>
      <c r="C51" s="170" t="str">
        <f>IF('Random-Controlled (MLT - PLB)'!BX$67&lt;&gt;"", 'Random-Controlled (MLT - PLB)'!BX$67, "-")</f>
        <v>-</v>
      </c>
      <c r="D51" s="171" t="str">
        <f>IF(AND('Random-Controlled (MLT - PLB)'!BW$66&gt;0,'Random-Controlled (MLT - PLB)'!BW$66&lt;&gt;"", 'Random-Controlled (MLT - PLB)'!BW$67&gt;0,'Random-Controlled (MLT - PLB)'!BW$67&lt;&gt;""),'Random-Controlled (MLT - PLB)'!BW$66&amp;"/"&amp;'Random-Controlled (MLT - PLB)'!BW$67,"-")</f>
        <v>-</v>
      </c>
      <c r="E51" s="174" t="str">
        <f>IF(AND('Random-Controlled (MLT - PLB)'!BX$66&lt;&gt;0, 'Random-Controlled (MLT - PLB)'!BX$66&lt;&gt;""), 'Random-Controlled (MLT - PLB)'!BX$66, "-")</f>
        <v>-</v>
      </c>
      <c r="F51" s="175" t="str">
        <f>IF(AND('Random-Controlled (MLT - PLB)'!BW$66&gt;0,'Random-Controlled (MLT - PLB)'!BW$66&lt;&gt;""),'Random-Controlled (MLT - PLB)'!BW$66&amp;"/"&amp;'Random-Controlled (MLT - PLB)'!$H$66,"-")</f>
        <v>-</v>
      </c>
      <c r="G51" s="689" t="s">
        <v>476</v>
      </c>
      <c r="H51" s="689"/>
      <c r="I51" s="689"/>
      <c r="J51" s="689"/>
      <c r="K51" s="689"/>
      <c r="L51" s="689"/>
      <c r="M51" s="689"/>
      <c r="N51" s="689"/>
    </row>
    <row r="52" spans="2:14" x14ac:dyDescent="0.25">
      <c r="B52" s="163" t="s">
        <v>205</v>
      </c>
      <c r="C52" s="170" t="str">
        <f>IF('Random-Controlled (MLT - PLB)'!CB$67&lt;&gt;"", 'Random-Controlled (MLT - PLB)'!CB$67, "-")</f>
        <v>-</v>
      </c>
      <c r="D52" s="171" t="str">
        <f>IF(AND('Random-Controlled (MLT - PLB)'!CA$66&gt;0,'Random-Controlled (MLT - PLB)'!CA$66&lt;&gt;"", 'Random-Controlled (MLT - PLB)'!CA$67&gt;0,'Random-Controlled (MLT - PLB)'!CA$67&lt;&gt;""),'Random-Controlled (MLT - PLB)'!CA$66&amp;"/"&amp;'Random-Controlled (MLT - PLB)'!CA$67,"-")</f>
        <v>-</v>
      </c>
      <c r="E52" s="174" t="str">
        <f>IF(AND('Random-Controlled (MLT - PLB)'!CB$66&lt;&gt;0, 'Random-Controlled (MLT - PLB)'!CB$66 &lt;&gt;""), 'Random-Controlled (MLT - PLB)'!CB$66, "-")</f>
        <v>-</v>
      </c>
      <c r="F52" s="175" t="str">
        <f>IF(AND('Random-Controlled (MLT - PLB)'!CA$66&gt;0,'Random-Controlled (MLT - PLB)'!CA$66&lt;&gt;""),'Random-Controlled (MLT - PLB)'!CA$66&amp;"/"&amp;'Random-Controlled (MLT - PLB)'!$H$66,"-")</f>
        <v>-</v>
      </c>
      <c r="G52" s="689" t="s">
        <v>476</v>
      </c>
      <c r="H52" s="689"/>
      <c r="I52" s="689"/>
      <c r="J52" s="689"/>
      <c r="K52" s="689"/>
      <c r="L52" s="689"/>
      <c r="M52" s="689"/>
      <c r="N52" s="689"/>
    </row>
    <row r="53" spans="2:14" x14ac:dyDescent="0.25">
      <c r="B53" s="163" t="s">
        <v>207</v>
      </c>
      <c r="C53" s="170" t="str">
        <f>IF('Random-Controlled (MLT - PLB)'!CF$67&lt;&gt;"", 'Random-Controlled (MLT - PLB)'!CF$67, "-")</f>
        <v>-</v>
      </c>
      <c r="D53" s="171" t="str">
        <f>IF(AND('Random-Controlled (MLT - PLB)'!CE$66&gt;0,'Random-Controlled (MLT - PLB)'!CE$66&lt;&gt;"", 'Random-Controlled (MLT - PLB)'!CE$67&gt;0,'Random-Controlled (MLT - PLB)'!CE$67&lt;&gt;""),'Random-Controlled (MLT - PLB)'!CE$66&amp;"/"&amp;'Random-Controlled (MLT - PLB)'!CE$67,"-")</f>
        <v>-</v>
      </c>
      <c r="E53" s="174" t="str">
        <f>IF(AND('Random-Controlled (MLT - PLB)'!CF$66&lt;&gt;0, 'Random-Controlled (MLT - PLB)'!CF$66 &lt;&gt;""), 'Random-Controlled (MLT - PLB)'!CF$66, "-")</f>
        <v>-</v>
      </c>
      <c r="F53" s="175" t="str">
        <f>IF(AND('Random-Controlled (MLT - PLB)'!CE$66&gt;0,'Random-Controlled (MLT - PLB)'!CE$66&lt;&gt;""),'Random-Controlled (MLT - PLB)'!CE$66&amp;"/"&amp;'Random-Controlled (MLT - PLB)'!$H$66,"-")</f>
        <v>-</v>
      </c>
      <c r="G53" s="689" t="s">
        <v>476</v>
      </c>
      <c r="H53" s="689"/>
      <c r="I53" s="689"/>
      <c r="J53" s="689"/>
      <c r="K53" s="689"/>
      <c r="L53" s="689"/>
      <c r="M53" s="689"/>
      <c r="N53" s="689"/>
    </row>
    <row r="54" spans="2:14" x14ac:dyDescent="0.25">
      <c r="B54" s="163" t="s">
        <v>202</v>
      </c>
      <c r="C54" s="170" t="str">
        <f>IF('Random-Controlled (MLT - PLB)'!CJ$67&lt;&gt;"", 'Random-Controlled (MLT - PLB)'!CJ$67, "-")</f>
        <v>-</v>
      </c>
      <c r="D54" s="171" t="str">
        <f>IF(AND('Random-Controlled (MLT - PLB)'!CI$66&gt;0,'Random-Controlled (MLT - PLB)'!CI$66&lt;&gt;"", 'Random-Controlled (MLT - PLB)'!CI$67&gt;0,'Random-Controlled (MLT - PLB)'!CI$67&lt;&gt;""),'Random-Controlled (MLT - PLB)'!CI$66&amp;"/"&amp;'Random-Controlled (MLT - PLB)'!CI$67,"-")</f>
        <v>-</v>
      </c>
      <c r="E54" s="174" t="str">
        <f>IF(AND('Random-Controlled (MLT - PLB)'!CJ$66&lt;&gt;0, 'Random-Controlled (MLT - PLB)'!CJ$66 &lt;&gt;""), 'Random-Controlled (MLT - PLB)'!CJ$66, "-")</f>
        <v>-</v>
      </c>
      <c r="F54" s="175" t="str">
        <f>IF(AND('Random-Controlled (MLT - PLB)'!CI$66&gt;0,'Random-Controlled (MLT - PLB)'!CI$66&lt;&gt;""),'Random-Controlled (MLT - PLB)'!CI$66&amp;"/"&amp;'Random-Controlled (MLT - PLB)'!$H$66,"-")</f>
        <v>-</v>
      </c>
      <c r="G54" s="689" t="s">
        <v>476</v>
      </c>
      <c r="H54" s="689"/>
      <c r="I54" s="689"/>
      <c r="J54" s="689"/>
      <c r="K54" s="689"/>
      <c r="L54" s="689"/>
      <c r="M54" s="689"/>
      <c r="N54" s="689"/>
    </row>
    <row r="55" spans="2:14" x14ac:dyDescent="0.25">
      <c r="B55" s="163" t="s">
        <v>161</v>
      </c>
      <c r="C55" s="170" t="str">
        <f>IF('Random-Controlled (MLT - PLB)'!CN$67&lt;&gt;"", 'Random-Controlled (MLT - PLB)'!CN$67, "-")</f>
        <v>-</v>
      </c>
      <c r="D55" s="171" t="str">
        <f>IF(AND('Random-Controlled (MLT - PLB)'!CM$66&gt;0,'Random-Controlled (MLT - PLB)'!CM$66&lt;&gt;"", 'Random-Controlled (MLT - PLB)'!CM$67&gt;0,'Random-Controlled (MLT - PLB)'!CM$67&lt;&gt;""),'Random-Controlled (MLT - PLB)'!CM$66&amp;"/"&amp;'Random-Controlled (MLT - PLB)'!CM$67,"-")</f>
        <v>-</v>
      </c>
      <c r="E55" s="174" t="str">
        <f>IF(AND('Random-Controlled (MLT - PLB)'!CN$66&lt;&gt;0, 'Random-Controlled (MLT - PLB)'!CN$66 &lt;&gt;""), 'Random-Controlled (MLT - PLB)'!CN$66, "-")</f>
        <v>-</v>
      </c>
      <c r="F55" s="175" t="str">
        <f>IF(AND('Random-Controlled (MLT - PLB)'!CM$66&gt;0,'Random-Controlled (MLT - PLB)'!CM$66&lt;&gt;""),'Random-Controlled (MLT - PLB)'!CM$66&amp;"/"&amp;'Random-Controlled (MLT - PLB)'!$H$66,"-")</f>
        <v>-</v>
      </c>
      <c r="G55" s="689" t="s">
        <v>476</v>
      </c>
      <c r="H55" s="689"/>
      <c r="I55" s="689"/>
      <c r="J55" s="689"/>
      <c r="K55" s="689"/>
      <c r="L55" s="689"/>
      <c r="M55" s="689"/>
      <c r="N55" s="689"/>
    </row>
    <row r="56" spans="2:14" x14ac:dyDescent="0.25">
      <c r="B56" s="163" t="s">
        <v>208</v>
      </c>
      <c r="C56" s="170">
        <f>IF('Random-Controlled (MLT - PLB)'!T$67&lt;&gt;"", 'Random-Controlled (MLT - PLB)'!T$67, "-")</f>
        <v>29.056603773584904</v>
      </c>
      <c r="D56" s="171" t="str">
        <f>IF(AND('Random-Controlled (MLT - PLB)'!S$66&gt;0,'Random-Controlled (MLT - PLB)'!S$66&lt;&gt;"", 'Random-Controlled (MLT - PLB)'!S$67&gt;0,'Random-Controlled (MLT - PLB)'!S$67&lt;&gt;""),'Random-Controlled (MLT - PLB)'!S$66&amp;"/"&amp;'Random-Controlled (MLT - PLB)'!S$67,"-")</f>
        <v>77/265</v>
      </c>
      <c r="E56" s="174">
        <f>IF(AND('Random-Controlled (MLT - PLB)'!T$66&lt;&gt;0, 'Random-Controlled (MLT - PLB)'!T$66 &lt;&gt;""), 'Random-Controlled (MLT - PLB)'!T$66, "-")</f>
        <v>3.8327526132404177</v>
      </c>
      <c r="F56" s="175" t="str">
        <f>IF(AND('Random-Controlled (MLT - PLB)'!S$66&gt;0,'Random-Controlled (MLT - PLB)'!S$66&lt;&gt;""),'Random-Controlled (MLT - PLB)'!S$66&amp;"/"&amp;'Random-Controlled (MLT - PLB)'!$H$66,"")</f>
        <v>77/2009</v>
      </c>
      <c r="G56" s="689"/>
      <c r="H56" s="689"/>
      <c r="I56" s="689"/>
      <c r="J56" s="689"/>
      <c r="K56" s="689"/>
      <c r="L56" s="689"/>
      <c r="M56" s="689"/>
      <c r="N56" s="689"/>
    </row>
    <row r="57" spans="2:14" ht="20" thickBot="1" x14ac:dyDescent="0.3">
      <c r="B57" s="164" t="s">
        <v>376</v>
      </c>
      <c r="C57" s="172">
        <f>IF('Random-Controlled (MLT - PLB)'!AZ$67&lt;&gt;"", 'Random-Controlled (MLT - PLB)'!AZ$67, "-")</f>
        <v>9.5642933049946866</v>
      </c>
      <c r="D57" s="173" t="str">
        <f>IF(AND('Random-Controlled (MLT - PLB)'!AY$66&gt;0,'Random-Controlled (MLT - PLB)'!AY$66&lt;&gt;"", 'Random-Controlled (MLT - PLB)'!AY$67&gt;0,'Random-Controlled (MLT - PLB)'!AY$67&lt;&gt;""),'Random-Controlled (MLT - PLB)'!AY$66&amp;"/"&amp;'Random-Controlled (MLT - PLB)'!AY$67,"-")</f>
        <v>90/941</v>
      </c>
      <c r="E57" s="176">
        <f>IF(AND('Random-Controlled (MLT - PLB)'!AZ$66&lt;&gt;0, 'Random-Controlled (MLT - PLB)'!AZ$66 &lt;&gt;""), 'Random-Controlled (MLT - PLB)'!AZ$66, "-")</f>
        <v>4.4798407167745147</v>
      </c>
      <c r="F57" s="177" t="str">
        <f>IF(AND('Random-Controlled (MLT - PLB)'!AY$66&gt;0,'Random-Controlled (MLT - PLB)'!AY$66&lt;&gt;""),'Random-Controlled (MLT - PLB)'!AY$66&amp;"/"&amp;'Random-Controlled (MLT - PLB)'!$H$66,"")</f>
        <v>90/2009</v>
      </c>
      <c r="G57" s="690"/>
      <c r="H57" s="690"/>
      <c r="I57" s="690"/>
      <c r="J57" s="690"/>
      <c r="K57" s="690"/>
      <c r="L57" s="690"/>
      <c r="M57" s="690"/>
      <c r="N57" s="690"/>
    </row>
    <row r="58" spans="2:14" x14ac:dyDescent="0.25">
      <c r="C58" s="161" t="s">
        <v>560</v>
      </c>
    </row>
    <row r="59" spans="2:14" x14ac:dyDescent="0.25">
      <c r="C59" s="161" t="s">
        <v>561</v>
      </c>
    </row>
    <row r="61" spans="2:14" ht="20" thickBot="1" x14ac:dyDescent="0.3"/>
    <row r="62" spans="2:14" x14ac:dyDescent="0.25">
      <c r="B62" s="697" t="s">
        <v>478</v>
      </c>
      <c r="C62" s="692"/>
      <c r="D62" s="693"/>
      <c r="E62"/>
      <c r="F62"/>
      <c r="G62"/>
      <c r="H62"/>
      <c r="I62"/>
      <c r="J62"/>
      <c r="K62"/>
      <c r="L62"/>
      <c r="M62"/>
      <c r="N62"/>
    </row>
    <row r="63" spans="2:14" x14ac:dyDescent="0.25">
      <c r="B63" s="698"/>
      <c r="C63" s="699"/>
      <c r="D63" s="700"/>
      <c r="E63"/>
      <c r="F63"/>
      <c r="G63"/>
      <c r="H63"/>
      <c r="I63"/>
      <c r="J63"/>
      <c r="K63"/>
      <c r="L63"/>
      <c r="M63"/>
      <c r="N63"/>
    </row>
    <row r="64" spans="2:14" ht="20" thickBot="1" x14ac:dyDescent="0.3">
      <c r="B64" s="694"/>
      <c r="C64" s="695"/>
      <c r="D64" s="696"/>
    </row>
    <row r="65" spans="2:14" ht="20" thickBot="1" x14ac:dyDescent="0.3"/>
    <row r="66" spans="2:14" ht="58" thickBot="1" x14ac:dyDescent="0.3">
      <c r="B66" s="166" t="s">
        <v>465</v>
      </c>
      <c r="C66" s="167" t="s">
        <v>474</v>
      </c>
      <c r="D66" s="168" t="s">
        <v>558</v>
      </c>
      <c r="E66" s="180" t="s">
        <v>466</v>
      </c>
      <c r="F66" s="181" t="s">
        <v>559</v>
      </c>
      <c r="G66" s="701" t="s">
        <v>25</v>
      </c>
      <c r="H66" s="701"/>
      <c r="I66" s="701"/>
      <c r="J66" s="701"/>
      <c r="K66" s="701"/>
      <c r="L66" s="701"/>
      <c r="M66" s="701"/>
      <c r="N66" s="702"/>
    </row>
    <row r="67" spans="2:14" x14ac:dyDescent="0.25">
      <c r="B67" s="165" t="s">
        <v>467</v>
      </c>
      <c r="C67" s="169">
        <f>'Random-Controlled (MLT - PLB)'!L126</f>
        <v>0</v>
      </c>
      <c r="D67" s="182" t="str">
        <f>IF(AND('Random-Controlled (MLT - PLB)'!K$66&gt;0,'Random-Controlled (MLT - PLB)'!K$66&lt;&gt;"", 'Random-Controlled (MLT - PLB)'!K$67&gt;0,'Random-Controlled (MLT - PLB)'!K$67&lt;&gt;""),'Random-Controlled (MLT - PLB)'!K$66&amp;"/"&amp;'Random-Controlled (MLT - PLB)'!K$67,"-")</f>
        <v>5/8</v>
      </c>
      <c r="E67" s="178">
        <f>IF(AND('Random-Controlled (MLT - PLB)'!L$66&lt;&gt;0, 'Random-Controlled (MLT - PLB)'!L$66 &lt;&gt;""), 'Random-Controlled (MLT - PLB)'!L$66, "-")</f>
        <v>0.24888003982080636</v>
      </c>
      <c r="F67" s="179" t="str">
        <f>IF(AND('Random-Controlled (MLT - PLB)'!K$66&gt;0,'Random-Controlled (MLT - PLB)'!K$66&lt;&gt;""),'Random-Controlled (MLT - PLB)'!K$66&amp;"/"&amp;'Random-Controlled (MLT - PLB)'!$H$66,"-")</f>
        <v>5/2009</v>
      </c>
      <c r="G67" s="703"/>
      <c r="H67" s="703"/>
      <c r="I67" s="703"/>
      <c r="J67" s="703"/>
      <c r="K67" s="703"/>
      <c r="L67" s="703"/>
      <c r="M67" s="703"/>
      <c r="N67" s="703"/>
    </row>
    <row r="68" spans="2:14" x14ac:dyDescent="0.25">
      <c r="B68" s="163" t="s">
        <v>468</v>
      </c>
      <c r="C68" s="170">
        <f>'Random-Controlled (MLT - PLB)'!P126</f>
        <v>0</v>
      </c>
      <c r="D68" s="171" t="str">
        <f>IF(AND('Random-Controlled (MLT - PLB)'!O$66&gt;0,'Random-Controlled (MLT - PLB)'!O$66&lt;&gt;"", 'Random-Controlled (MLT - PLB)'!O$67&gt;0,'Random-Controlled (MLT - PLB)'!O$67&lt;&gt;""),'Random-Controlled (MLT - PLB)'!O$66&amp;"/"&amp;'Random-Controlled (MLT - PLB)'!O$67,"-")</f>
        <v>25/62</v>
      </c>
      <c r="E68" s="174">
        <f>IF(AND('Random-Controlled (MLT - PLB)'!P$66&lt;&gt;0, 'Random-Controlled (MLT - PLB)'!P$66 &lt;&gt;""), 'Random-Controlled (MLT - PLB)'!P$66, "-")</f>
        <v>1.2444001991040319</v>
      </c>
      <c r="F68" s="175" t="str">
        <f>IF(AND('Random-Controlled (MLT - PLB)'!O$66&gt;0,'Random-Controlled (MLT - PLB)'!O$66&lt;&gt;""),'Random-Controlled (MLT - PLB)'!O$66&amp;"/"&amp;'Random-Controlled (MLT - PLB)'!$H$66,"-")</f>
        <v>25/2009</v>
      </c>
      <c r="G68" s="689"/>
      <c r="H68" s="689"/>
      <c r="I68" s="689"/>
      <c r="J68" s="689"/>
      <c r="K68" s="689"/>
      <c r="L68" s="689"/>
      <c r="M68" s="689"/>
      <c r="N68" s="689"/>
    </row>
    <row r="69" spans="2:14" x14ac:dyDescent="0.25">
      <c r="B69" s="163" t="s">
        <v>172</v>
      </c>
      <c r="C69" s="170">
        <f>'Random-Controlled (MLT - PLB)'!X126</f>
        <v>0</v>
      </c>
      <c r="D69" s="171" t="str">
        <f>IF(AND('Random-Controlled (MLT - PLB)'!W$66&gt;0,'Random-Controlled (MLT - PLB)'!W$66&lt;&gt;"", 'Random-Controlled (MLT - PLB)'!W$67&gt;0,'Random-Controlled (MLT - PLB)'!W$67&lt;&gt;""),'Random-Controlled (MLT - PLB)'!W$66&amp;"/"&amp;'Random-Controlled (MLT - PLB)'!W$67,"-")</f>
        <v>2/8</v>
      </c>
      <c r="E69" s="174">
        <f>IF(AND('Random-Controlled (MLT - PLB)'!X$66&lt;&gt;0, 'Random-Controlled (MLT - PLB)'!X$66 &lt;&gt;""), 'Random-Controlled (MLT - PLB)'!X$66, "-")</f>
        <v>9.9552015928322551E-2</v>
      </c>
      <c r="F69" s="175" t="str">
        <f>IF(AND('Random-Controlled (MLT - PLB)'!W$66&gt;0,'Random-Controlled (MLT - PLB)'!W$66&lt;&gt;""),'Random-Controlled (MLT - PLB)'!W$66&amp;"/"&amp;'Random-Controlled (MLT - PLB)'!$H$66,"-")</f>
        <v>2/2009</v>
      </c>
      <c r="G69" s="689"/>
      <c r="H69" s="689"/>
      <c r="I69" s="689"/>
      <c r="J69" s="689"/>
      <c r="K69" s="689"/>
      <c r="L69" s="689"/>
      <c r="M69" s="689"/>
      <c r="N69" s="689"/>
    </row>
    <row r="70" spans="2:14" x14ac:dyDescent="0.25">
      <c r="B70" s="163" t="s">
        <v>470</v>
      </c>
      <c r="C70" s="170">
        <f>'Random-Controlled (MLT - PLB)'!AB126</f>
        <v>0</v>
      </c>
      <c r="D70" s="171" t="str">
        <f>IF(AND('Random-Controlled (MLT - PLB)'!AA$66&gt;0,'Random-Controlled (MLT - PLB)'!AA$66&lt;&gt;"", 'Random-Controlled (MLT - PLB)'!AA$67&gt;0,'Random-Controlled (MLT - PLB)'!AA$67&lt;&gt;""),'Random-Controlled (MLT - PLB)'!AA$66&amp;"/"&amp;'Random-Controlled (MLT - PLB)'!AA$67,"-")</f>
        <v>50/217</v>
      </c>
      <c r="E70" s="174">
        <f>IF(AND('Random-Controlled (MLT - PLB)'!AB$66&lt;&gt;0, 'Random-Controlled (MLT - PLB)'!AB$66 &lt;&gt;""), 'Random-Controlled (MLT - PLB)'!AB$66, "-")</f>
        <v>2.4888003982080638</v>
      </c>
      <c r="F70" s="175" t="str">
        <f>IF(AND('Random-Controlled (MLT - PLB)'!AA$66&gt;0,'Random-Controlled (MLT - PLB)'!AA$66&lt;&gt;""),'Random-Controlled (MLT - PLB)'!AA$66&amp;"/"&amp;'Random-Controlled (MLT - PLB)'!$H$66,"-")</f>
        <v>50/2009</v>
      </c>
      <c r="G70" s="689"/>
      <c r="H70" s="689"/>
      <c r="I70" s="689"/>
      <c r="J70" s="689"/>
      <c r="K70" s="689"/>
      <c r="L70" s="689"/>
      <c r="M70" s="689"/>
      <c r="N70" s="689"/>
    </row>
    <row r="71" spans="2:14" x14ac:dyDescent="0.25">
      <c r="B71" s="163" t="s">
        <v>469</v>
      </c>
      <c r="C71" s="170">
        <f>'Random-Controlled (MLT - PLB)'!AF$67</f>
        <v>21.794871794871796</v>
      </c>
      <c r="D71" s="171" t="str">
        <f>IF(AND('Random-Controlled (MLT - PLB)'!AE$66&gt;0,'Random-Controlled (MLT - PLB)'!AE$66&lt;&gt;"", 'Random-Controlled (MLT - PLB)'!AE$67&gt;0,'Random-Controlled (MLT - PLB)'!AE$67&lt;&gt;""),'Random-Controlled (MLT - PLB)'!AE$66&amp;"/"&amp;'Random-Controlled (MLT - PLB)'!AE$67,"-")</f>
        <v>34/156</v>
      </c>
      <c r="E71" s="174">
        <f>IF(AND('Random-Controlled (MLT - PLB)'!AF$66&lt;&gt;0, 'Random-Controlled (MLT - PLB)'!AF$66 &lt;&gt;""), 'Random-Controlled (MLT - PLB)'!AF$66, "-")</f>
        <v>1.6923842707814833</v>
      </c>
      <c r="F71" s="175" t="str">
        <f>IF(AND('Random-Controlled (MLT - PLB)'!AE$66&gt;0,'Random-Controlled (MLT - PLB)'!AE$66&lt;&gt;""),'Random-Controlled (MLT - PLB)'!AE$66&amp;"/"&amp;'Random-Controlled (MLT - PLB)'!$H$66,"-")</f>
        <v>34/2009</v>
      </c>
      <c r="G71" s="689"/>
      <c r="H71" s="689"/>
      <c r="I71" s="689"/>
      <c r="J71" s="689"/>
      <c r="K71" s="689"/>
      <c r="L71" s="689"/>
      <c r="M71" s="689"/>
      <c r="N71" s="689"/>
    </row>
    <row r="72" spans="2:14" x14ac:dyDescent="0.25">
      <c r="B72" s="163" t="s">
        <v>171</v>
      </c>
      <c r="C72" s="170">
        <f>'Random-Controlled (MLT - PLB)'!AJ$67</f>
        <v>12.5</v>
      </c>
      <c r="D72" s="171" t="str">
        <f>IF(AND('Random-Controlled (MLT - PLB)'!AI$66&gt;0,'Random-Controlled (MLT - PLB)'!AI$66&lt;&gt;"", 'Random-Controlled (MLT - PLB)'!AI$67&gt;0,'Random-Controlled (MLT - PLB)'!AI$67&lt;&gt;""),'Random-Controlled (MLT - PLB)'!AI$66&amp;"/"&amp;'Random-Controlled (MLT - PLB)'!AI$67,"-")</f>
        <v>1/8</v>
      </c>
      <c r="E72" s="174">
        <f>IF(AND('Random-Controlled (MLT - PLB)'!AJ$66&lt;&gt;0, 'Random-Controlled (MLT - PLB)'!AJ$66 &lt;&gt;""), 'Random-Controlled (MLT - PLB)'!AJ$66, "-")</f>
        <v>4.9776007964161276E-2</v>
      </c>
      <c r="F72" s="175" t="str">
        <f>IF(AND('Random-Controlled (MLT - PLB)'!AI$66&gt;0,'Random-Controlled (MLT - PLB)'!AI$66&lt;&gt;""),'Random-Controlled (MLT - PLB)'!AI$66&amp;"/"&amp;'Random-Controlled (MLT - PLB)'!$H$66,"-")</f>
        <v>1/2009</v>
      </c>
      <c r="G72" s="689"/>
      <c r="H72" s="689"/>
      <c r="I72" s="689"/>
      <c r="J72" s="689"/>
      <c r="K72" s="689"/>
      <c r="L72" s="689"/>
      <c r="M72" s="689"/>
      <c r="N72" s="689"/>
    </row>
    <row r="73" spans="2:14" x14ac:dyDescent="0.25">
      <c r="B73" s="163" t="s">
        <v>174</v>
      </c>
      <c r="C73" s="170">
        <f>'Random-Controlled (MLT - PLB)'!AN$67</f>
        <v>16.216216216216218</v>
      </c>
      <c r="D73" s="171" t="str">
        <f>IF(AND('Random-Controlled (MLT - PLB)'!AM$66&gt;0,'Random-Controlled (MLT - PLB)'!AM$66&lt;&gt;"", 'Random-Controlled (MLT - PLB)'!AM$67&gt;0,'Random-Controlled (MLT - PLB)'!AM$67&lt;&gt;""),'Random-Controlled (MLT - PLB)'!AM$66&amp;"/"&amp;'Random-Controlled (MLT - PLB)'!AM$67,"-")</f>
        <v>6/37</v>
      </c>
      <c r="E73" s="174">
        <f>IF(AND('Random-Controlled (MLT - PLB)'!AN$66&lt;&gt;0, 'Random-Controlled (MLT - PLB)'!AN$66 &lt;&gt;""), 'Random-Controlled (MLT - PLB)'!AN$66, "-")</f>
        <v>0.29865604778496768</v>
      </c>
      <c r="F73" s="175" t="str">
        <f>IF(AND('Random-Controlled (MLT - PLB)'!AM$66&gt;0,'Random-Controlled (MLT - PLB)'!AM$66&lt;&gt;""),'Random-Controlled (MLT - PLB)'!AM$66&amp;"/"&amp;'Random-Controlled (MLT - PLB)'!$H$66,"-")</f>
        <v>6/2009</v>
      </c>
      <c r="G73" s="689"/>
      <c r="H73" s="689"/>
      <c r="I73" s="689"/>
      <c r="J73" s="689"/>
      <c r="K73" s="689"/>
      <c r="L73" s="689"/>
      <c r="M73" s="689"/>
      <c r="N73" s="689"/>
    </row>
    <row r="74" spans="2:14" x14ac:dyDescent="0.25">
      <c r="B74" s="163" t="s">
        <v>471</v>
      </c>
      <c r="C74" s="170">
        <f>'Random-Controlled (MLT - PLB)'!AR$67</f>
        <v>12.149532710280374</v>
      </c>
      <c r="D74" s="171" t="str">
        <f>IF(AND('Random-Controlled (MLT - PLB)'!AQ$66&gt;0,'Random-Controlled (MLT - PLB)'!AQ$66&lt;&gt;"", 'Random-Controlled (MLT - PLB)'!AQ$67&gt;0,'Random-Controlled (MLT - PLB)'!AQ$67&lt;&gt;""),'Random-Controlled (MLT - PLB)'!AQ$66&amp;"/"&amp;'Random-Controlled (MLT - PLB)'!AQ$67,"-")</f>
        <v>26/214</v>
      </c>
      <c r="E74" s="174">
        <f>IF(AND('Random-Controlled (MLT - PLB)'!AR$66&lt;&gt;0, 'Random-Controlled (MLT - PLB)'!AR$66 &lt;&gt;""), 'Random-Controlled (MLT - PLB)'!AR$66, "-")</f>
        <v>1.2941762070681933</v>
      </c>
      <c r="F74" s="175" t="str">
        <f>IF(AND('Random-Controlled (MLT - PLB)'!AQ$66&gt;0,'Random-Controlled (MLT - PLB)'!AQ$66&lt;&gt;""),'Random-Controlled (MLT - PLB)'!AQ$66&amp;"/"&amp;'Random-Controlled (MLT - PLB)'!$H$66,"-")</f>
        <v>26/2009</v>
      </c>
      <c r="G74" s="689"/>
      <c r="H74" s="689"/>
      <c r="I74" s="689"/>
      <c r="J74" s="689"/>
      <c r="K74" s="689"/>
      <c r="L74" s="689"/>
      <c r="M74" s="689"/>
      <c r="N74" s="689"/>
    </row>
    <row r="75" spans="2:14" x14ac:dyDescent="0.25">
      <c r="B75" s="163" t="s">
        <v>158</v>
      </c>
      <c r="C75" s="170">
        <f>'Random-Controlled (MLT - PLB)'!AV$67</f>
        <v>11.578947368421053</v>
      </c>
      <c r="D75" s="171" t="str">
        <f>IF(AND('Random-Controlled (MLT - PLB)'!AU$66&gt;0,'Random-Controlled (MLT - PLB)'!AU$66&lt;&gt;"", 'Random-Controlled (MLT - PLB)'!AU$67&gt;0,'Random-Controlled (MLT - PLB)'!AU$67&lt;&gt;""),'Random-Controlled (MLT - PLB)'!AU$66&amp;"/"&amp;'Random-Controlled (MLT - PLB)'!AU$67,"-")</f>
        <v>22/190</v>
      </c>
      <c r="E75" s="174">
        <f>IF(AND('Random-Controlled (MLT - PLB)'!AV$66&lt;&gt;0, 'Random-Controlled (MLT - PLB)'!AV$66 &lt;&gt;""), 'Random-Controlled (MLT - PLB)'!AV$66, "-")</f>
        <v>1.0950721752115482</v>
      </c>
      <c r="F75" s="175" t="str">
        <f>IF(AND('Random-Controlled (MLT - PLB)'!AU$66&gt;0,'Random-Controlled (MLT - PLB)'!AU$66&lt;&gt;""),'Random-Controlled (MLT - PLB)'!AU$66&amp;"/"&amp;'Random-Controlled (MLT - PLB)'!$H$66,"-")</f>
        <v>22/2009</v>
      </c>
      <c r="G75" s="689"/>
      <c r="H75" s="689"/>
      <c r="I75" s="689"/>
      <c r="J75" s="689"/>
      <c r="K75" s="689"/>
      <c r="L75" s="689"/>
      <c r="M75" s="689"/>
      <c r="N75" s="689"/>
    </row>
    <row r="76" spans="2:14" x14ac:dyDescent="0.25">
      <c r="B76" s="163" t="s">
        <v>472</v>
      </c>
      <c r="C76" s="170">
        <f>'Random-Controlled (MLT - PLB)'!BD$67</f>
        <v>7.4074074074074066</v>
      </c>
      <c r="D76" s="171" t="str">
        <f>IF(AND('Random-Controlled (MLT - PLB)'!BC$66&gt;0,'Random-Controlled (MLT - PLB)'!BC$66&lt;&gt;"", 'Random-Controlled (MLT - PLB)'!BC$67&gt;0,'Random-Controlled (MLT - PLB)'!BC$67&lt;&gt;""),'Random-Controlled (MLT - PLB)'!BC$66&amp;"/"&amp;'Random-Controlled (MLT - PLB)'!BC$67,"-")</f>
        <v>2/27</v>
      </c>
      <c r="E76" s="174">
        <f>IF(AND('Random-Controlled (MLT - PLB)'!BD$66&lt;&gt;0, 'Random-Controlled (MLT - PLB)'!BD$66 &lt;&gt;""), 'Random-Controlled (MLT - PLB)'!BD$66, "-")</f>
        <v>9.9552015928322551E-2</v>
      </c>
      <c r="F76" s="175" t="str">
        <f>IF(AND('Random-Controlled (MLT - PLB)'!BC$66&gt;0,'Random-Controlled (MLT - PLB)'!BC$66&lt;&gt;""),'Random-Controlled (MLT - PLB)'!BC$66&amp;"/"&amp;'Random-Controlled (MLT - PLB)'!$H$66,"-")</f>
        <v>2/2009</v>
      </c>
      <c r="G76" s="689"/>
      <c r="H76" s="689"/>
      <c r="I76" s="689"/>
      <c r="J76" s="689"/>
      <c r="K76" s="689"/>
      <c r="L76" s="689"/>
      <c r="M76" s="689"/>
      <c r="N76" s="689"/>
    </row>
    <row r="77" spans="2:14" x14ac:dyDescent="0.25">
      <c r="B77" s="163" t="s">
        <v>163</v>
      </c>
      <c r="C77" s="170">
        <f>'Random-Controlled (MLT - PLB)'!BH$67</f>
        <v>6.557377049180328</v>
      </c>
      <c r="D77" s="171" t="str">
        <f>IF(AND('Random-Controlled (MLT - PLB)'!BG$66&gt;0,'Random-Controlled (MLT - PLB)'!BG$66&lt;&gt;"", 'Random-Controlled (MLT - PLB)'!BG$67&gt;0,'Random-Controlled (MLT - PLB)'!BG$67&lt;&gt;""),'Random-Controlled (MLT - PLB)'!BG$66&amp;"/"&amp;'Random-Controlled (MLT - PLB)'!BG$67,"-")</f>
        <v>4/61</v>
      </c>
      <c r="E77" s="174">
        <f>IF(AND('Random-Controlled (MLT - PLB)'!BH$66&lt;&gt;0, 'Random-Controlled (MLT - PLB)'!BH$66 &lt;&gt;""), 'Random-Controlled (MLT - PLB)'!BH$66, "-")</f>
        <v>0.1991040318566451</v>
      </c>
      <c r="F77" s="175" t="str">
        <f>IF(AND('Random-Controlled (MLT - PLB)'!BG$66&gt;0,'Random-Controlled (MLT - PLB)'!BG$66&lt;&gt;""),'Random-Controlled (MLT - PLB)'!BG$66&amp;"/"&amp;'Random-Controlled (MLT - PLB)'!$H$66,"-")</f>
        <v>4/2009</v>
      </c>
      <c r="G77" s="689"/>
      <c r="H77" s="689"/>
      <c r="I77" s="689"/>
      <c r="J77" s="689"/>
      <c r="K77" s="689"/>
      <c r="L77" s="689"/>
      <c r="M77" s="689"/>
      <c r="N77" s="689"/>
    </row>
    <row r="78" spans="2:14" x14ac:dyDescent="0.25">
      <c r="B78" s="163" t="s">
        <v>159</v>
      </c>
      <c r="C78" s="170">
        <f>'Random-Controlled (MLT - PLB)'!BL$67</f>
        <v>4.9382716049382713</v>
      </c>
      <c r="D78" s="171" t="str">
        <f>IF(AND('Random-Controlled (MLT - PLB)'!BK$66&gt;0,'Random-Controlled (MLT - PLB)'!BK$66&lt;&gt;"", 'Random-Controlled (MLT - PLB)'!BK$67&gt;0,'Random-Controlled (MLT - PLB)'!BK$67&lt;&gt;""),'Random-Controlled (MLT - PLB)'!BK$66&amp;"/"&amp;'Random-Controlled (MLT - PLB)'!BK$67,"-")</f>
        <v>8/162</v>
      </c>
      <c r="E78" s="174">
        <f>IF(AND('Random-Controlled (MLT - PLB)'!BL$66&lt;&gt;0, 'Random-Controlled (MLT - PLB)'!BL$66 &lt;&gt;""), 'Random-Controlled (MLT - PLB)'!BL$66, "-")</f>
        <v>0.39820806371329021</v>
      </c>
      <c r="F78" s="175" t="str">
        <f>IF(AND('Random-Controlled (MLT - PLB)'!BK$66&gt;0,'Random-Controlled (MLT - PLB)'!BK$66&lt;&gt;""),'Random-Controlled (MLT - PLB)'!BK$66&amp;"/"&amp;'Random-Controlled (MLT - PLB)'!$H$66,"-")</f>
        <v>8/2009</v>
      </c>
      <c r="G78" s="689"/>
      <c r="H78" s="689"/>
      <c r="I78" s="689"/>
      <c r="J78" s="689"/>
      <c r="K78" s="689"/>
      <c r="L78" s="689"/>
      <c r="M78" s="689"/>
      <c r="N78" s="689"/>
    </row>
    <row r="79" spans="2:14" x14ac:dyDescent="0.25">
      <c r="B79" s="163" t="s">
        <v>473</v>
      </c>
      <c r="C79" s="170">
        <f>'Random-Controlled (MLT - PLB)'!BP$67</f>
        <v>4.2553191489361701</v>
      </c>
      <c r="D79" s="171" t="str">
        <f>IF(AND('Random-Controlled (MLT - PLB)'!BO$66&gt;0,'Random-Controlled (MLT - PLB)'!BO$66&lt;&gt;"", 'Random-Controlled (MLT - PLB)'!BO$67&gt;0,'Random-Controlled (MLT - PLB)'!BO$67&lt;&gt;""),'Random-Controlled (MLT - PLB)'!BO$66&amp;"/"&amp;'Random-Controlled (MLT - PLB)'!BO$67,"-")</f>
        <v>2/47</v>
      </c>
      <c r="E79" s="174">
        <f>IF(AND('Random-Controlled (MLT - PLB)'!BP$66&lt;&gt;0, 'Random-Controlled (MLT - PLB)'!BP$66 &lt;&gt;""), 'Random-Controlled (MLT - PLB)'!BP$66, "-")</f>
        <v>9.9552015928322551E-2</v>
      </c>
      <c r="F79" s="175" t="str">
        <f>IF(AND('Random-Controlled (MLT - PLB)'!BO$66&gt;0,'Random-Controlled (MLT - PLB)'!BO$66&lt;&gt;""),'Random-Controlled (MLT - PLB)'!BO$66&amp;"/"&amp;'Random-Controlled (MLT - PLB)'!$H$66,"-")</f>
        <v>2/2009</v>
      </c>
      <c r="G79" s="689"/>
      <c r="H79" s="689"/>
      <c r="I79" s="689"/>
      <c r="J79" s="689"/>
      <c r="K79" s="689"/>
      <c r="L79" s="689"/>
      <c r="M79" s="689"/>
      <c r="N79" s="689"/>
    </row>
    <row r="80" spans="2:14" x14ac:dyDescent="0.25">
      <c r="B80" s="163" t="s">
        <v>160</v>
      </c>
      <c r="C80" s="170" t="str">
        <f>IF('Random-Controlled (MLT - PLB)'!BT$67&lt;&gt;"", 'Random-Controlled (MLT - PLB)'!BT$67, "-")</f>
        <v>-</v>
      </c>
      <c r="D80" s="171" t="str">
        <f>IF(AND('Random-Controlled (MLT - PLB)'!BS$66&gt;0,'Random-Controlled (MLT - PLB)'!BS$66&lt;&gt;"", 'Random-Controlled (MLT - PLB)'!BS$67&gt;0,'Random-Controlled (MLT - PLB)'!BS$67&lt;&gt;""),'Random-Controlled (MLT - PLB)'!BS$66&amp;"/"&amp;'Random-Controlled (MLT - PLB)'!BS$67,"-")</f>
        <v>-</v>
      </c>
      <c r="E80" s="174" t="str">
        <f>IF(AND('Random-Controlled (MLT - PLB)'!BT$66&lt;&gt;0, 'Random-Controlled (MLT - PLB)'!BT$66 &lt;&gt;""), 'Random-Controlled (MLT - PLB)'!BT$66, "-")</f>
        <v>-</v>
      </c>
      <c r="F80" s="175" t="str">
        <f>IF(AND('Random-Controlled (MLT - PLB)'!BS$66&gt;0,'Random-Controlled (MLT - PLB)'!BS$66&lt;&gt;""),'Random-Controlled (MLT - PLB)'!BS$66&amp;"/"&amp;'Random-Controlled (MLT - PLB)'!$H$66,"-")</f>
        <v>-</v>
      </c>
      <c r="G80" s="689" t="s">
        <v>476</v>
      </c>
      <c r="H80" s="689"/>
      <c r="I80" s="689"/>
      <c r="J80" s="689"/>
      <c r="K80" s="689"/>
      <c r="L80" s="689"/>
      <c r="M80" s="689"/>
      <c r="N80" s="689"/>
    </row>
    <row r="81" spans="2:14" x14ac:dyDescent="0.25">
      <c r="B81" s="163" t="s">
        <v>206</v>
      </c>
      <c r="C81" s="170" t="str">
        <f>IF('Random-Controlled (MLT - PLB)'!BX$67&lt;&gt;"", 'Random-Controlled (MLT - PLB)'!BX$67, "-")</f>
        <v>-</v>
      </c>
      <c r="D81" s="171" t="str">
        <f>IF(AND('Random-Controlled (MLT - PLB)'!BW$66&gt;0,'Random-Controlled (MLT - PLB)'!BW$66&lt;&gt;"", 'Random-Controlled (MLT - PLB)'!BW$67&gt;0,'Random-Controlled (MLT - PLB)'!BW$67&lt;&gt;""),'Random-Controlled (MLT - PLB)'!BW$66&amp;"/"&amp;'Random-Controlled (MLT - PLB)'!BW$67,"-")</f>
        <v>-</v>
      </c>
      <c r="E81" s="174" t="str">
        <f>IF(AND('Random-Controlled (MLT - PLB)'!BX$66&lt;&gt;0, 'Random-Controlled (MLT - PLB)'!BX$66&lt;&gt;""), 'Random-Controlled (MLT - PLB)'!BX$66, "-")</f>
        <v>-</v>
      </c>
      <c r="F81" s="175" t="str">
        <f>IF(AND('Random-Controlled (MLT - PLB)'!BW$66&gt;0,'Random-Controlled (MLT - PLB)'!BW$66&lt;&gt;""),'Random-Controlled (MLT - PLB)'!BW$66&amp;"/"&amp;'Random-Controlled (MLT - PLB)'!$H$66,"-")</f>
        <v>-</v>
      </c>
      <c r="G81" s="689" t="s">
        <v>476</v>
      </c>
      <c r="H81" s="689"/>
      <c r="I81" s="689"/>
      <c r="J81" s="689"/>
      <c r="K81" s="689"/>
      <c r="L81" s="689"/>
      <c r="M81" s="689"/>
      <c r="N81" s="689"/>
    </row>
    <row r="82" spans="2:14" x14ac:dyDescent="0.25">
      <c r="B82" s="163" t="s">
        <v>205</v>
      </c>
      <c r="C82" s="170" t="str">
        <f>IF('Random-Controlled (MLT - PLB)'!CB$67&lt;&gt;"", 'Random-Controlled (MLT - PLB)'!CB$67, "-")</f>
        <v>-</v>
      </c>
      <c r="D82" s="171" t="str">
        <f>IF(AND('Random-Controlled (MLT - PLB)'!CA$66&gt;0,'Random-Controlled (MLT - PLB)'!CA$66&lt;&gt;"", 'Random-Controlled (MLT - PLB)'!CA$67&gt;0,'Random-Controlled (MLT - PLB)'!CA$67&lt;&gt;""),'Random-Controlled (MLT - PLB)'!CA$66&amp;"/"&amp;'Random-Controlled (MLT - PLB)'!CA$67,"-")</f>
        <v>-</v>
      </c>
      <c r="E82" s="174" t="str">
        <f>IF(AND('Random-Controlled (MLT - PLB)'!CB$66&lt;&gt;0, 'Random-Controlled (MLT - PLB)'!CB$66 &lt;&gt;""), 'Random-Controlled (MLT - PLB)'!CB$66, "-")</f>
        <v>-</v>
      </c>
      <c r="F82" s="175" t="str">
        <f>IF(AND('Random-Controlled (MLT - PLB)'!CA$66&gt;0,'Random-Controlled (MLT - PLB)'!CA$66&lt;&gt;""),'Random-Controlled (MLT - PLB)'!CA$66&amp;"/"&amp;'Random-Controlled (MLT - PLB)'!$H$66,"-")</f>
        <v>-</v>
      </c>
      <c r="G82" s="689" t="s">
        <v>476</v>
      </c>
      <c r="H82" s="689"/>
      <c r="I82" s="689"/>
      <c r="J82" s="689"/>
      <c r="K82" s="689"/>
      <c r="L82" s="689"/>
      <c r="M82" s="689"/>
      <c r="N82" s="689"/>
    </row>
    <row r="83" spans="2:14" x14ac:dyDescent="0.25">
      <c r="B83" s="163" t="s">
        <v>207</v>
      </c>
      <c r="C83" s="170" t="str">
        <f>IF('Random-Controlled (MLT - PLB)'!CF$67&lt;&gt;"", 'Random-Controlled (MLT - PLB)'!CF$67, "-")</f>
        <v>-</v>
      </c>
      <c r="D83" s="171" t="str">
        <f>IF(AND('Random-Controlled (MLT - PLB)'!CE$66&gt;0,'Random-Controlled (MLT - PLB)'!CE$66&lt;&gt;"", 'Random-Controlled (MLT - PLB)'!CE$67&gt;0,'Random-Controlled (MLT - PLB)'!CE$67&lt;&gt;""),'Random-Controlled (MLT - PLB)'!CE$66&amp;"/"&amp;'Random-Controlled (MLT - PLB)'!CE$67,"-")</f>
        <v>-</v>
      </c>
      <c r="E83" s="174" t="str">
        <f>IF(AND('Random-Controlled (MLT - PLB)'!CF$66&lt;&gt;0, 'Random-Controlled (MLT - PLB)'!CF$66 &lt;&gt;""), 'Random-Controlled (MLT - PLB)'!CF$66, "-")</f>
        <v>-</v>
      </c>
      <c r="F83" s="175" t="str">
        <f>IF(AND('Random-Controlled (MLT - PLB)'!CE$66&gt;0,'Random-Controlled (MLT - PLB)'!CE$66&lt;&gt;""),'Random-Controlled (MLT - PLB)'!CE$66&amp;"/"&amp;'Random-Controlled (MLT - PLB)'!$H$66,"-")</f>
        <v>-</v>
      </c>
      <c r="G83" s="689" t="s">
        <v>476</v>
      </c>
      <c r="H83" s="689"/>
      <c r="I83" s="689"/>
      <c r="J83" s="689"/>
      <c r="K83" s="689"/>
      <c r="L83" s="689"/>
      <c r="M83" s="689"/>
      <c r="N83" s="689"/>
    </row>
    <row r="84" spans="2:14" x14ac:dyDescent="0.25">
      <c r="B84" s="163" t="s">
        <v>202</v>
      </c>
      <c r="C84" s="170" t="str">
        <f>IF('Random-Controlled (MLT - PLB)'!CJ$67&lt;&gt;"", 'Random-Controlled (MLT - PLB)'!CJ$67, "-")</f>
        <v>-</v>
      </c>
      <c r="D84" s="171" t="str">
        <f>IF(AND('Random-Controlled (MLT - PLB)'!CI$66&gt;0,'Random-Controlled (MLT - PLB)'!CI$66&lt;&gt;"", 'Random-Controlled (MLT - PLB)'!CI$67&gt;0,'Random-Controlled (MLT - PLB)'!CI$67&lt;&gt;""),'Random-Controlled (MLT - PLB)'!CI$66&amp;"/"&amp;'Random-Controlled (MLT - PLB)'!CI$67,"-")</f>
        <v>-</v>
      </c>
      <c r="E84" s="174" t="str">
        <f>IF(AND('Random-Controlled (MLT - PLB)'!CJ$66&lt;&gt;0, 'Random-Controlled (MLT - PLB)'!CJ$66 &lt;&gt;""), 'Random-Controlled (MLT - PLB)'!CJ$66, "-")</f>
        <v>-</v>
      </c>
      <c r="F84" s="175" t="str">
        <f>IF(AND('Random-Controlled (MLT - PLB)'!CI$66&gt;0,'Random-Controlled (MLT - PLB)'!CI$66&lt;&gt;""),'Random-Controlled (MLT - PLB)'!CI$66&amp;"/"&amp;'Random-Controlled (MLT - PLB)'!$H$66,"-")</f>
        <v>-</v>
      </c>
      <c r="G84" s="689" t="s">
        <v>476</v>
      </c>
      <c r="H84" s="689"/>
      <c r="I84" s="689"/>
      <c r="J84" s="689"/>
      <c r="K84" s="689"/>
      <c r="L84" s="689"/>
      <c r="M84" s="689"/>
      <c r="N84" s="689"/>
    </row>
    <row r="85" spans="2:14" x14ac:dyDescent="0.25">
      <c r="B85" s="163" t="s">
        <v>161</v>
      </c>
      <c r="C85" s="170" t="str">
        <f>IF('Random-Controlled (MLT - PLB)'!CN$67&lt;&gt;"", 'Random-Controlled (MLT - PLB)'!CN$67, "-")</f>
        <v>-</v>
      </c>
      <c r="D85" s="171" t="str">
        <f>IF(AND('Random-Controlled (MLT - PLB)'!CM$66&gt;0,'Random-Controlled (MLT - PLB)'!CM$66&lt;&gt;"", 'Random-Controlled (MLT - PLB)'!CM$67&gt;0,'Random-Controlled (MLT - PLB)'!CM$67&lt;&gt;""),'Random-Controlled (MLT - PLB)'!CM$66&amp;"/"&amp;'Random-Controlled (MLT - PLB)'!CM$67,"-")</f>
        <v>-</v>
      </c>
      <c r="E85" s="174" t="str">
        <f>IF(AND('Random-Controlled (MLT - PLB)'!CN$66&lt;&gt;0, 'Random-Controlled (MLT - PLB)'!CN$66 &lt;&gt;""), 'Random-Controlled (MLT - PLB)'!CN$66, "-")</f>
        <v>-</v>
      </c>
      <c r="F85" s="175" t="str">
        <f>IF(AND('Random-Controlled (MLT - PLB)'!CM$66&gt;0,'Random-Controlled (MLT - PLB)'!CM$66&lt;&gt;""),'Random-Controlled (MLT - PLB)'!CM$66&amp;"/"&amp;'Random-Controlled (MLT - PLB)'!$H$66,"-")</f>
        <v>-</v>
      </c>
      <c r="G85" s="689" t="s">
        <v>476</v>
      </c>
      <c r="H85" s="689"/>
      <c r="I85" s="689"/>
      <c r="J85" s="689"/>
      <c r="K85" s="689"/>
      <c r="L85" s="689"/>
      <c r="M85" s="689"/>
      <c r="N85" s="689"/>
    </row>
    <row r="86" spans="2:14" x14ac:dyDescent="0.25">
      <c r="B86" s="163" t="s">
        <v>208</v>
      </c>
      <c r="C86" s="170">
        <f>IF('Random-Controlled (MLT - PLB)'!T$67&lt;&gt;"", 'Random-Controlled (MLT - PLB)'!T$67, "-")</f>
        <v>29.056603773584904</v>
      </c>
      <c r="D86" s="171" t="str">
        <f>IF(AND('Random-Controlled (MLT - PLB)'!S$66&gt;0,'Random-Controlled (MLT - PLB)'!S$66&lt;&gt;"", 'Random-Controlled (MLT - PLB)'!S$67&gt;0,'Random-Controlled (MLT - PLB)'!S$67&lt;&gt;""),'Random-Controlled (MLT - PLB)'!S$66&amp;"/"&amp;'Random-Controlled (MLT - PLB)'!S$67,"-")</f>
        <v>77/265</v>
      </c>
      <c r="E86" s="174">
        <f>IF(AND('Random-Controlled (MLT - PLB)'!T$66&lt;&gt;0, 'Random-Controlled (MLT - PLB)'!T$66 &lt;&gt;""), 'Random-Controlled (MLT - PLB)'!T$66, "-")</f>
        <v>3.8327526132404177</v>
      </c>
      <c r="F86" s="175" t="str">
        <f>IF(AND('Random-Controlled (MLT - PLB)'!S$66&gt;0,'Random-Controlled (MLT - PLB)'!S$66&lt;&gt;""),'Random-Controlled (MLT - PLB)'!S$66&amp;"/"&amp;'Random-Controlled (MLT - PLB)'!$H$66,"")</f>
        <v>77/2009</v>
      </c>
      <c r="G86" s="689"/>
      <c r="H86" s="689"/>
      <c r="I86" s="689"/>
      <c r="J86" s="689"/>
      <c r="K86" s="689"/>
      <c r="L86" s="689"/>
      <c r="M86" s="689"/>
      <c r="N86" s="689"/>
    </row>
    <row r="87" spans="2:14" ht="20" thickBot="1" x14ac:dyDescent="0.3">
      <c r="B87" s="164" t="s">
        <v>376</v>
      </c>
      <c r="C87" s="172">
        <f>IF('Random-Controlled (MLT - PLB)'!AZ$67&lt;&gt;"", 'Random-Controlled (MLT - PLB)'!AZ$67, "-")</f>
        <v>9.5642933049946866</v>
      </c>
      <c r="D87" s="173" t="str">
        <f>IF(AND('Random-Controlled (MLT - PLB)'!AY$66&gt;0,'Random-Controlled (MLT - PLB)'!AY$66&lt;&gt;"", 'Random-Controlled (MLT - PLB)'!AY$67&gt;0,'Random-Controlled (MLT - PLB)'!AY$67&lt;&gt;""),'Random-Controlled (MLT - PLB)'!AY$66&amp;"/"&amp;'Random-Controlled (MLT - PLB)'!AY$67,"-")</f>
        <v>90/941</v>
      </c>
      <c r="E87" s="176">
        <f>IF(AND('Random-Controlled (MLT - PLB)'!AZ$66&lt;&gt;0, 'Random-Controlled (MLT - PLB)'!AZ$66 &lt;&gt;""), 'Random-Controlled (MLT - PLB)'!AZ$66, "-")</f>
        <v>4.4798407167745147</v>
      </c>
      <c r="F87" s="177" t="str">
        <f>IF(AND('Random-Controlled (MLT - PLB)'!AY$66&gt;0,'Random-Controlled (MLT - PLB)'!AY$66&lt;&gt;""),'Random-Controlled (MLT - PLB)'!AY$66&amp;"/"&amp;'Random-Controlled (MLT - PLB)'!$H$66,"")</f>
        <v>90/2009</v>
      </c>
      <c r="G87" s="690"/>
      <c r="H87" s="690"/>
      <c r="I87" s="690"/>
      <c r="J87" s="690"/>
      <c r="K87" s="690"/>
      <c r="L87" s="690"/>
      <c r="M87" s="690"/>
      <c r="N87" s="690"/>
    </row>
    <row r="88" spans="2:14" x14ac:dyDescent="0.25">
      <c r="C88" s="161" t="s">
        <v>560</v>
      </c>
    </row>
    <row r="89" spans="2:14" x14ac:dyDescent="0.25">
      <c r="C89" s="161" t="s">
        <v>561</v>
      </c>
    </row>
  </sheetData>
  <mergeCells count="69">
    <mergeCell ref="G85:N85"/>
    <mergeCell ref="G86:N86"/>
    <mergeCell ref="G87:N87"/>
    <mergeCell ref="G80:N80"/>
    <mergeCell ref="G81:N81"/>
    <mergeCell ref="G82:N82"/>
    <mergeCell ref="G83:N83"/>
    <mergeCell ref="G84:N84"/>
    <mergeCell ref="G75:N75"/>
    <mergeCell ref="G76:N76"/>
    <mergeCell ref="G77:N77"/>
    <mergeCell ref="G78:N78"/>
    <mergeCell ref="G79:N79"/>
    <mergeCell ref="G70:N70"/>
    <mergeCell ref="G71:N71"/>
    <mergeCell ref="G72:N72"/>
    <mergeCell ref="G73:N73"/>
    <mergeCell ref="G74:N74"/>
    <mergeCell ref="B62:D64"/>
    <mergeCell ref="G66:N66"/>
    <mergeCell ref="G67:N67"/>
    <mergeCell ref="G68:N68"/>
    <mergeCell ref="G69:N69"/>
    <mergeCell ref="G53:N53"/>
    <mergeCell ref="G54:N54"/>
    <mergeCell ref="G55:N55"/>
    <mergeCell ref="G56:N56"/>
    <mergeCell ref="G57:N57"/>
    <mergeCell ref="G48:N48"/>
    <mergeCell ref="G49:N49"/>
    <mergeCell ref="G50:N50"/>
    <mergeCell ref="G51:N51"/>
    <mergeCell ref="G52:N52"/>
    <mergeCell ref="G43:N43"/>
    <mergeCell ref="G44:N44"/>
    <mergeCell ref="G45:N45"/>
    <mergeCell ref="G46:N46"/>
    <mergeCell ref="G47:N47"/>
    <mergeCell ref="G38:N38"/>
    <mergeCell ref="G39:N39"/>
    <mergeCell ref="G40:N40"/>
    <mergeCell ref="G41:N41"/>
    <mergeCell ref="G42:N42"/>
    <mergeCell ref="B3:D4"/>
    <mergeCell ref="B32:D34"/>
    <mergeCell ref="G36:N36"/>
    <mergeCell ref="G37:N37"/>
    <mergeCell ref="G17:N17"/>
    <mergeCell ref="G6:N6"/>
    <mergeCell ref="G7:N7"/>
    <mergeCell ref="G8:N8"/>
    <mergeCell ref="G9:N9"/>
    <mergeCell ref="G10:N10"/>
    <mergeCell ref="G11:N11"/>
    <mergeCell ref="G12:N12"/>
    <mergeCell ref="G13:N13"/>
    <mergeCell ref="G14:N14"/>
    <mergeCell ref="G15:N15"/>
    <mergeCell ref="G16:N16"/>
    <mergeCell ref="G24:N24"/>
    <mergeCell ref="G25:N25"/>
    <mergeCell ref="G26:N26"/>
    <mergeCell ref="G27:N27"/>
    <mergeCell ref="G18:N18"/>
    <mergeCell ref="G19:N19"/>
    <mergeCell ref="G20:N20"/>
    <mergeCell ref="G21:N21"/>
    <mergeCell ref="G22:N22"/>
    <mergeCell ref="G23:N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128"/>
  <sheetViews>
    <sheetView showRuler="0"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390" t="s">
        <v>162</v>
      </c>
      <c r="L2" s="391"/>
      <c r="M2" s="391"/>
      <c r="N2" s="391"/>
      <c r="O2" s="391"/>
      <c r="P2" s="391"/>
      <c r="Q2" s="391"/>
      <c r="R2" s="391"/>
      <c r="S2" s="391"/>
      <c r="T2" s="391"/>
      <c r="U2" s="391"/>
      <c r="V2" s="391"/>
      <c r="W2" s="391"/>
      <c r="X2" s="391"/>
      <c r="Y2" s="391"/>
      <c r="Z2" s="391"/>
      <c r="AA2" s="391"/>
      <c r="AB2" s="391"/>
      <c r="AC2" s="391"/>
      <c r="AD2" s="391"/>
      <c r="AE2" s="391"/>
      <c r="AF2" s="391"/>
      <c r="AG2" s="391"/>
      <c r="AH2" s="391"/>
      <c r="AI2" s="391"/>
      <c r="AJ2" s="391"/>
      <c r="AK2" s="391"/>
      <c r="AL2" s="391"/>
      <c r="AM2" s="391"/>
      <c r="AN2" s="391"/>
      <c r="AO2" s="391"/>
      <c r="AP2" s="391"/>
      <c r="AQ2" s="391"/>
      <c r="AR2" s="391"/>
      <c r="AS2" s="391"/>
      <c r="AT2" s="391"/>
      <c r="AU2" s="391"/>
      <c r="AV2" s="391"/>
      <c r="AW2" s="391"/>
      <c r="AX2" s="391"/>
      <c r="AY2" s="391"/>
      <c r="AZ2" s="392"/>
    </row>
    <row r="3" spans="1:53" ht="16" customHeight="1" x14ac:dyDescent="0.2">
      <c r="D3" s="334" t="s">
        <v>232</v>
      </c>
      <c r="K3" s="362" t="s">
        <v>237</v>
      </c>
      <c r="L3" s="357"/>
      <c r="M3" s="356" t="s">
        <v>160</v>
      </c>
      <c r="N3" s="357"/>
      <c r="O3" s="362" t="s">
        <v>239</v>
      </c>
      <c r="P3" s="357"/>
      <c r="Q3" s="356" t="s">
        <v>172</v>
      </c>
      <c r="R3" s="357"/>
      <c r="S3" s="356" t="s">
        <v>164</v>
      </c>
      <c r="T3" s="357"/>
      <c r="U3" s="404" t="s">
        <v>208</v>
      </c>
      <c r="V3" s="357"/>
      <c r="W3" s="356" t="s">
        <v>173</v>
      </c>
      <c r="X3" s="357"/>
      <c r="Y3" s="356" t="s">
        <v>171</v>
      </c>
      <c r="Z3" s="357"/>
      <c r="AA3" s="356" t="s">
        <v>174</v>
      </c>
      <c r="AB3" s="357"/>
      <c r="AC3" s="356" t="s">
        <v>161</v>
      </c>
      <c r="AD3" s="357"/>
      <c r="AE3" s="362" t="s">
        <v>376</v>
      </c>
      <c r="AF3" s="396"/>
      <c r="AG3" s="356" t="s">
        <v>157</v>
      </c>
      <c r="AH3" s="357"/>
      <c r="AI3" s="362" t="s">
        <v>236</v>
      </c>
      <c r="AJ3" s="357"/>
      <c r="AK3" s="356" t="s">
        <v>163</v>
      </c>
      <c r="AL3" s="357"/>
      <c r="AM3" s="356" t="s">
        <v>207</v>
      </c>
      <c r="AN3" s="357"/>
      <c r="AO3" s="356" t="s">
        <v>158</v>
      </c>
      <c r="AP3" s="357"/>
      <c r="AQ3" s="362" t="s">
        <v>238</v>
      </c>
      <c r="AR3" s="357"/>
      <c r="AS3" s="356" t="s">
        <v>159</v>
      </c>
      <c r="AT3" s="357"/>
      <c r="AU3" s="356" t="s">
        <v>206</v>
      </c>
      <c r="AV3" s="357"/>
      <c r="AW3" s="356" t="s">
        <v>205</v>
      </c>
      <c r="AX3" s="357"/>
      <c r="AY3" s="356" t="s">
        <v>202</v>
      </c>
      <c r="AZ3" s="357"/>
    </row>
    <row r="4" spans="1:53" ht="20" customHeight="1" x14ac:dyDescent="0.2">
      <c r="B4" s="84"/>
      <c r="D4" s="335"/>
      <c r="K4" s="358"/>
      <c r="L4" s="359"/>
      <c r="M4" s="358"/>
      <c r="N4" s="359"/>
      <c r="O4" s="358"/>
      <c r="P4" s="359"/>
      <c r="Q4" s="358"/>
      <c r="R4" s="359"/>
      <c r="S4" s="358"/>
      <c r="T4" s="359"/>
      <c r="U4" s="402"/>
      <c r="V4" s="359"/>
      <c r="W4" s="358"/>
      <c r="X4" s="359"/>
      <c r="Y4" s="358"/>
      <c r="Z4" s="359"/>
      <c r="AA4" s="358"/>
      <c r="AB4" s="359"/>
      <c r="AC4" s="358"/>
      <c r="AD4" s="359"/>
      <c r="AE4" s="397"/>
      <c r="AF4" s="398"/>
      <c r="AG4" s="358"/>
      <c r="AH4" s="359"/>
      <c r="AI4" s="358"/>
      <c r="AJ4" s="359"/>
      <c r="AK4" s="358"/>
      <c r="AL4" s="359"/>
      <c r="AM4" s="358"/>
      <c r="AN4" s="359"/>
      <c r="AO4" s="358"/>
      <c r="AP4" s="359"/>
      <c r="AQ4" s="358"/>
      <c r="AR4" s="359"/>
      <c r="AS4" s="358"/>
      <c r="AT4" s="359"/>
      <c r="AU4" s="358"/>
      <c r="AV4" s="359"/>
      <c r="AW4" s="358"/>
      <c r="AX4" s="359"/>
      <c r="AY4" s="358"/>
      <c r="AZ4" s="359"/>
    </row>
    <row r="5" spans="1:53" ht="20" customHeight="1" thickBot="1" x14ac:dyDescent="0.25">
      <c r="A5" s="61"/>
      <c r="B5" s="83"/>
      <c r="D5" s="332" t="s">
        <v>245</v>
      </c>
      <c r="I5" s="24"/>
      <c r="J5" s="24"/>
      <c r="K5" s="360"/>
      <c r="L5" s="361"/>
      <c r="M5" s="360"/>
      <c r="N5" s="361"/>
      <c r="O5" s="360"/>
      <c r="P5" s="361"/>
      <c r="Q5" s="360"/>
      <c r="R5" s="361"/>
      <c r="S5" s="360"/>
      <c r="T5" s="361"/>
      <c r="U5" s="405"/>
      <c r="V5" s="361"/>
      <c r="W5" s="360"/>
      <c r="X5" s="361"/>
      <c r="Y5" s="360"/>
      <c r="Z5" s="361"/>
      <c r="AA5" s="360"/>
      <c r="AB5" s="361"/>
      <c r="AC5" s="360"/>
      <c r="AD5" s="361"/>
      <c r="AE5" s="399"/>
      <c r="AF5" s="400"/>
      <c r="AG5" s="360"/>
      <c r="AH5" s="361"/>
      <c r="AI5" s="360"/>
      <c r="AJ5" s="361"/>
      <c r="AK5" s="360"/>
      <c r="AL5" s="361"/>
      <c r="AM5" s="360"/>
      <c r="AN5" s="361"/>
      <c r="AO5" s="360"/>
      <c r="AP5" s="361"/>
      <c r="AQ5" s="360"/>
      <c r="AR5" s="361"/>
      <c r="AS5" s="360"/>
      <c r="AT5" s="361"/>
      <c r="AU5" s="360"/>
      <c r="AV5" s="361"/>
      <c r="AW5" s="360"/>
      <c r="AX5" s="361"/>
      <c r="AY5" s="360"/>
      <c r="AZ5" s="361"/>
    </row>
    <row r="6" spans="1:53" ht="20" customHeight="1" x14ac:dyDescent="0.2">
      <c r="A6" s="60"/>
      <c r="B6" s="82"/>
      <c r="D6" s="332"/>
      <c r="G6" s="328" t="s">
        <v>24</v>
      </c>
      <c r="H6" s="339" t="s">
        <v>327</v>
      </c>
      <c r="I6" s="342" t="s">
        <v>325</v>
      </c>
      <c r="J6" s="345" t="s">
        <v>326</v>
      </c>
      <c r="K6" s="363" t="s">
        <v>240</v>
      </c>
      <c r="L6" s="364" t="s">
        <v>241</v>
      </c>
      <c r="M6" s="336" t="s">
        <v>240</v>
      </c>
      <c r="N6" s="364" t="s">
        <v>241</v>
      </c>
      <c r="O6" s="336" t="s">
        <v>240</v>
      </c>
      <c r="P6" s="364" t="s">
        <v>241</v>
      </c>
      <c r="Q6" s="336" t="s">
        <v>240</v>
      </c>
      <c r="R6" s="364" t="s">
        <v>241</v>
      </c>
      <c r="S6" s="336" t="s">
        <v>240</v>
      </c>
      <c r="T6" s="364" t="s">
        <v>241</v>
      </c>
      <c r="U6" s="366" t="s">
        <v>240</v>
      </c>
      <c r="V6" s="364" t="s">
        <v>241</v>
      </c>
      <c r="W6" s="369" t="s">
        <v>240</v>
      </c>
      <c r="X6" s="364" t="s">
        <v>241</v>
      </c>
      <c r="Y6" s="336" t="s">
        <v>240</v>
      </c>
      <c r="Z6" s="364" t="s">
        <v>241</v>
      </c>
      <c r="AA6" s="336" t="s">
        <v>240</v>
      </c>
      <c r="AB6" s="364" t="s">
        <v>241</v>
      </c>
      <c r="AC6" s="348" t="s">
        <v>240</v>
      </c>
      <c r="AD6" s="364" t="s">
        <v>241</v>
      </c>
      <c r="AE6" s="366" t="s">
        <v>240</v>
      </c>
      <c r="AF6" s="364" t="s">
        <v>241</v>
      </c>
      <c r="AG6" s="348" t="s">
        <v>240</v>
      </c>
      <c r="AH6" s="406" t="s">
        <v>241</v>
      </c>
      <c r="AI6" s="363" t="s">
        <v>240</v>
      </c>
      <c r="AJ6" s="364" t="s">
        <v>241</v>
      </c>
      <c r="AK6" s="336" t="s">
        <v>240</v>
      </c>
      <c r="AL6" s="364" t="s">
        <v>241</v>
      </c>
      <c r="AM6" s="336" t="s">
        <v>240</v>
      </c>
      <c r="AN6" s="364" t="s">
        <v>241</v>
      </c>
      <c r="AO6" s="336" t="s">
        <v>240</v>
      </c>
      <c r="AP6" s="364" t="s">
        <v>241</v>
      </c>
      <c r="AQ6" s="363" t="s">
        <v>240</v>
      </c>
      <c r="AR6" s="364" t="s">
        <v>241</v>
      </c>
      <c r="AS6" s="336" t="s">
        <v>240</v>
      </c>
      <c r="AT6" s="364" t="s">
        <v>241</v>
      </c>
      <c r="AU6" s="336" t="s">
        <v>240</v>
      </c>
      <c r="AV6" s="364" t="s">
        <v>241</v>
      </c>
      <c r="AW6" s="336" t="s">
        <v>240</v>
      </c>
      <c r="AX6" s="364" t="s">
        <v>241</v>
      </c>
      <c r="AY6" s="336" t="s">
        <v>240</v>
      </c>
      <c r="AZ6" s="364" t="s">
        <v>241</v>
      </c>
    </row>
    <row r="7" spans="1:53" ht="23" customHeight="1" thickBot="1" x14ac:dyDescent="0.25">
      <c r="A7" s="328" t="s">
        <v>248</v>
      </c>
      <c r="B7" s="330" t="s">
        <v>487</v>
      </c>
      <c r="D7" s="333"/>
      <c r="G7" s="328"/>
      <c r="H7" s="340"/>
      <c r="I7" s="343"/>
      <c r="J7" s="346"/>
      <c r="K7" s="363"/>
      <c r="L7" s="364"/>
      <c r="M7" s="336"/>
      <c r="N7" s="364"/>
      <c r="O7" s="336"/>
      <c r="P7" s="364"/>
      <c r="Q7" s="336"/>
      <c r="R7" s="364"/>
      <c r="S7" s="336"/>
      <c r="T7" s="364"/>
      <c r="U7" s="366"/>
      <c r="V7" s="364"/>
      <c r="W7" s="370"/>
      <c r="X7" s="364"/>
      <c r="Y7" s="336"/>
      <c r="Z7" s="364"/>
      <c r="AA7" s="336"/>
      <c r="AB7" s="364"/>
      <c r="AC7" s="349"/>
      <c r="AD7" s="364"/>
      <c r="AE7" s="366"/>
      <c r="AF7" s="364"/>
      <c r="AG7" s="349"/>
      <c r="AH7" s="407"/>
      <c r="AI7" s="336"/>
      <c r="AJ7" s="364"/>
      <c r="AK7" s="336"/>
      <c r="AL7" s="364"/>
      <c r="AM7" s="336"/>
      <c r="AN7" s="364"/>
      <c r="AO7" s="336"/>
      <c r="AP7" s="364"/>
      <c r="AQ7" s="363"/>
      <c r="AR7" s="364"/>
      <c r="AS7" s="336"/>
      <c r="AT7" s="364"/>
      <c r="AU7" s="336"/>
      <c r="AV7" s="364"/>
      <c r="AW7" s="336"/>
      <c r="AX7" s="364"/>
      <c r="AY7" s="336"/>
      <c r="AZ7" s="364"/>
    </row>
    <row r="8" spans="1:53" ht="23" customHeight="1" x14ac:dyDescent="0.2">
      <c r="A8" s="328"/>
      <c r="B8" s="330"/>
      <c r="G8" s="328"/>
      <c r="H8" s="340"/>
      <c r="I8" s="343"/>
      <c r="J8" s="346"/>
      <c r="K8" s="363"/>
      <c r="L8" s="364"/>
      <c r="M8" s="336"/>
      <c r="N8" s="364"/>
      <c r="O8" s="336"/>
      <c r="P8" s="364"/>
      <c r="Q8" s="336"/>
      <c r="R8" s="364"/>
      <c r="S8" s="336"/>
      <c r="T8" s="364"/>
      <c r="U8" s="366"/>
      <c r="V8" s="364"/>
      <c r="W8" s="370"/>
      <c r="X8" s="364"/>
      <c r="Y8" s="336"/>
      <c r="Z8" s="364"/>
      <c r="AA8" s="336"/>
      <c r="AB8" s="364"/>
      <c r="AC8" s="349"/>
      <c r="AD8" s="364"/>
      <c r="AE8" s="366"/>
      <c r="AF8" s="364"/>
      <c r="AG8" s="349"/>
      <c r="AH8" s="407"/>
      <c r="AI8" s="336"/>
      <c r="AJ8" s="364"/>
      <c r="AK8" s="336"/>
      <c r="AL8" s="364"/>
      <c r="AM8" s="336"/>
      <c r="AN8" s="364"/>
      <c r="AO8" s="336"/>
      <c r="AP8" s="364"/>
      <c r="AQ8" s="363"/>
      <c r="AR8" s="364"/>
      <c r="AS8" s="336"/>
      <c r="AT8" s="364"/>
      <c r="AU8" s="336"/>
      <c r="AV8" s="364"/>
      <c r="AW8" s="336"/>
      <c r="AX8" s="364"/>
      <c r="AY8" s="336"/>
      <c r="AZ8" s="364"/>
    </row>
    <row r="9" spans="1:53" ht="23" customHeight="1" x14ac:dyDescent="0.2">
      <c r="A9" s="328"/>
      <c r="B9" s="330"/>
      <c r="G9" s="328"/>
      <c r="H9" s="340"/>
      <c r="I9" s="343"/>
      <c r="J9" s="346"/>
      <c r="K9" s="363"/>
      <c r="L9" s="364"/>
      <c r="M9" s="336"/>
      <c r="N9" s="364"/>
      <c r="O9" s="336"/>
      <c r="P9" s="364"/>
      <c r="Q9" s="336"/>
      <c r="R9" s="364"/>
      <c r="S9" s="336"/>
      <c r="T9" s="364"/>
      <c r="U9" s="366"/>
      <c r="V9" s="364"/>
      <c r="W9" s="370"/>
      <c r="X9" s="364"/>
      <c r="Y9" s="336"/>
      <c r="Z9" s="364"/>
      <c r="AA9" s="336"/>
      <c r="AB9" s="364"/>
      <c r="AC9" s="349"/>
      <c r="AD9" s="364"/>
      <c r="AE9" s="366"/>
      <c r="AF9" s="364"/>
      <c r="AG9" s="349"/>
      <c r="AH9" s="407"/>
      <c r="AI9" s="336"/>
      <c r="AJ9" s="364"/>
      <c r="AK9" s="336"/>
      <c r="AL9" s="364"/>
      <c r="AM9" s="336"/>
      <c r="AN9" s="364"/>
      <c r="AO9" s="336"/>
      <c r="AP9" s="364"/>
      <c r="AQ9" s="363"/>
      <c r="AR9" s="364"/>
      <c r="AS9" s="336"/>
      <c r="AT9" s="364"/>
      <c r="AU9" s="336"/>
      <c r="AV9" s="364"/>
      <c r="AW9" s="336"/>
      <c r="AX9" s="364"/>
      <c r="AY9" s="336"/>
      <c r="AZ9" s="364"/>
    </row>
    <row r="10" spans="1:53" s="22" customFormat="1" ht="23" customHeight="1" thickBot="1" x14ac:dyDescent="0.25">
      <c r="A10" s="329"/>
      <c r="B10" s="331"/>
      <c r="C10" s="21" t="s">
        <v>20</v>
      </c>
      <c r="D10" s="20" t="s">
        <v>21</v>
      </c>
      <c r="E10" s="20" t="s">
        <v>22</v>
      </c>
      <c r="F10" s="21" t="s">
        <v>23</v>
      </c>
      <c r="G10" s="338"/>
      <c r="H10" s="341"/>
      <c r="I10" s="344"/>
      <c r="J10" s="347"/>
      <c r="K10" s="368"/>
      <c r="L10" s="365"/>
      <c r="M10" s="337"/>
      <c r="N10" s="365"/>
      <c r="O10" s="337"/>
      <c r="P10" s="365"/>
      <c r="Q10" s="337"/>
      <c r="R10" s="365"/>
      <c r="S10" s="337"/>
      <c r="T10" s="365"/>
      <c r="U10" s="367"/>
      <c r="V10" s="365"/>
      <c r="W10" s="371"/>
      <c r="X10" s="365"/>
      <c r="Y10" s="337"/>
      <c r="Z10" s="365"/>
      <c r="AA10" s="337"/>
      <c r="AB10" s="365"/>
      <c r="AC10" s="350"/>
      <c r="AD10" s="365"/>
      <c r="AE10" s="367"/>
      <c r="AF10" s="365"/>
      <c r="AG10" s="350"/>
      <c r="AH10" s="408"/>
      <c r="AI10" s="337"/>
      <c r="AJ10" s="365"/>
      <c r="AK10" s="337"/>
      <c r="AL10" s="365"/>
      <c r="AM10" s="337"/>
      <c r="AN10" s="365"/>
      <c r="AO10" s="337"/>
      <c r="AP10" s="365"/>
      <c r="AQ10" s="368"/>
      <c r="AR10" s="365"/>
      <c r="AS10" s="337"/>
      <c r="AT10" s="365"/>
      <c r="AU10" s="337"/>
      <c r="AV10" s="365"/>
      <c r="AW10" s="337"/>
      <c r="AX10" s="365"/>
      <c r="AY10" s="337"/>
      <c r="AZ10" s="365"/>
      <c r="BA10" s="20" t="s">
        <v>25</v>
      </c>
    </row>
    <row r="11" spans="1:53" s="22" customFormat="1" ht="20" customHeight="1" x14ac:dyDescent="0.2">
      <c r="A11" s="60"/>
      <c r="B11" s="84"/>
      <c r="C11" s="63" t="s">
        <v>85</v>
      </c>
      <c r="D11" s="62" t="s">
        <v>249</v>
      </c>
      <c r="E11" s="62" t="s">
        <v>250</v>
      </c>
      <c r="F11" s="63">
        <v>2015</v>
      </c>
      <c r="G11" s="63"/>
      <c r="H11" s="114">
        <v>40</v>
      </c>
      <c r="I11" s="109" t="s">
        <v>328</v>
      </c>
      <c r="J11" s="110" t="s">
        <v>329</v>
      </c>
      <c r="K11" s="71"/>
      <c r="L11" s="77" t="str">
        <f t="shared" ref="L11:L41" si="0">IF((ISERROR((K11/$H11)*100)), "", IF(AND(NOT(ISERROR((K11/$H11)*100)),((K11/$H11)*100) &lt;&gt; 0), (K11/$H11)*100, ""))</f>
        <v/>
      </c>
      <c r="M11" s="70"/>
      <c r="N11" s="77" t="str">
        <f t="shared" ref="N11:N41" si="1">IF((ISERROR((M11/$H11)*100)), "", IF(AND(NOT(ISERROR((M11/$H11)*100)),((M11/$H11)*100) &lt;&gt; 0), (M11/$H11)*100, ""))</f>
        <v/>
      </c>
      <c r="O11" s="70"/>
      <c r="P11" s="77" t="str">
        <f t="shared" ref="P11:P41" si="2">IF((ISERROR((O11/$H11)*100)), "", IF(AND(NOT(ISERROR((O11/$H11)*100)),((O11/$H11)*100) &lt;&gt; 0), (O11/$H11)*100, ""))</f>
        <v/>
      </c>
      <c r="Q11" s="70"/>
      <c r="R11" s="77" t="str">
        <f t="shared" ref="R11:R41" si="3">IF((ISERROR((Q11/$H11)*100)), "", IF(AND(NOT(ISERROR((Q11/$H11)*100)),((Q11/$H11)*100) &lt;&gt; 0), (Q11/$H11)*100, ""))</f>
        <v/>
      </c>
      <c r="S11" s="70"/>
      <c r="T11" s="77" t="str">
        <f t="shared" ref="T11:T41" si="4">IF((ISERROR((S11/$H11)*100)), "", IF(AND(NOT(ISERROR((S11/$H11)*100)),((S11/$H11)*100) &lt;&gt; 0), (S11/$H11)*100, ""))</f>
        <v/>
      </c>
      <c r="U11" s="72"/>
      <c r="V11" s="78" t="str">
        <f t="shared" ref="V11:V41" si="5">IF((ISERROR((U11/$H11)*100)), "", IF(AND(NOT(ISERROR((U11/$H11)*100)),((U11/$H11)*100) &lt;&gt; 0), (U11/$H11)*100, ""))</f>
        <v/>
      </c>
      <c r="W11" s="71"/>
      <c r="X11" s="77" t="str">
        <f>IF((ISERROR((W11/$H11)*100)), "", IF(AND(NOT(ISERROR((W11/$H11)*100)),((W11/$H11)*100) &lt;&gt; 0), (W11/$H11)*100, ""))</f>
        <v/>
      </c>
      <c r="Y11" s="70"/>
      <c r="Z11" s="77" t="str">
        <f>IF((ISERROR((Y11/$H11)*100)), "", IF(AND(NOT(ISERROR((Y11/$H11)*100)),((Y11/$H11)*100) &lt;&gt; 0), (Y11/$H11)*100, ""))</f>
        <v/>
      </c>
      <c r="AA11" s="70"/>
      <c r="AB11" s="77" t="str">
        <f>IF((ISERROR((AA11/$H11)*100)), "", IF(AND(NOT(ISERROR((AA11/$H11)*100)),((AA11/$H11)*100) &lt;&gt; 0), (AA11/$H11)*100, ""))</f>
        <v/>
      </c>
      <c r="AC11" s="70"/>
      <c r="AD11" s="77" t="str">
        <f>IF((ISERROR((AC11/$H11)*100)), "", IF(AND(NOT(ISERROR((AC11/$H11)*100)),((AC11/$H11)*100) &lt;&gt; 0), (AC11/$H11)*100, ""))</f>
        <v/>
      </c>
      <c r="AE11" s="72"/>
      <c r="AF11" s="78" t="str">
        <f t="shared" ref="AF11:AF41" si="6">IF((ISERROR((AE11/$H11)*100)), "", IF(AND(NOT(ISERROR((AE11/$H11)*100)),((AE11/$H11)*100) &lt;&gt; 0), (AE11/$H11)*100, ""))</f>
        <v/>
      </c>
      <c r="AG11" s="70"/>
      <c r="AH11" s="77" t="str">
        <f>IF((ISERROR((AG11/$H11)*100)), "", IF(AND(NOT(ISERROR((AG11/$H11)*100)),((AG11/$H11)*100) &lt;&gt; 0), (AG11/$H11)*100, ""))</f>
        <v/>
      </c>
      <c r="AI11" s="70"/>
      <c r="AJ11" s="77" t="str">
        <f t="shared" ref="AJ11:AJ41" si="7">IF((ISERROR((AI11/$H11)*100)), "", IF(AND(NOT(ISERROR((AI11/$H11)*100)),((AI11/$H11)*100) &lt;&gt; 0), (AI11/$H11)*100, ""))</f>
        <v/>
      </c>
      <c r="AK11" s="70"/>
      <c r="AL11" s="77" t="str">
        <f>IF((ISERROR((AK11/$H11)*100)), "", IF(AND(NOT(ISERROR((AK11/$H11)*100)),((AK11/$H11)*100) &lt;&gt; 0), (AK11/$H11)*100, ""))</f>
        <v/>
      </c>
      <c r="AM11" s="70"/>
      <c r="AN11" s="77" t="str">
        <f>IF((ISERROR((AM11/$H11)*100)), "", IF(AND(NOT(ISERROR((AM11/$H11)*100)),((AM11/$H11)*100) &lt;&gt; 0), (AM11/$H11)*100, ""))</f>
        <v/>
      </c>
      <c r="AO11" s="70"/>
      <c r="AP11" s="77" t="str">
        <f t="shared" ref="AP11:AP41" si="8">IF((ISERROR((AO11/$H11)*100)), "", IF(AND(NOT(ISERROR((AO11/$H11)*100)),((AO11/$H11)*100) &lt;&gt; 0), (AO11/$H11)*100, ""))</f>
        <v/>
      </c>
      <c r="AQ11" s="71"/>
      <c r="AR11" s="77" t="str">
        <f t="shared" ref="AR11:AR41" si="9">IF((ISERROR((AQ11/$H11)*100)), "", IF(AND(NOT(ISERROR((AQ11/$H11)*100)),((AQ11/$H11)*100) &lt;&gt; 0), (AQ11/$H11)*100, ""))</f>
        <v/>
      </c>
      <c r="AS11" s="70"/>
      <c r="AT11" s="77" t="str">
        <f t="shared" ref="AT11" si="10">IF((ISERROR((AS11/$H11)*100)), "", IF(AND(NOT(ISERROR((AS11/$H11)*100)),((AS11/$H11)*100) &lt;&gt; 0), (AS11/$H11)*100, ""))</f>
        <v/>
      </c>
      <c r="AU11" s="70"/>
      <c r="AV11" s="77" t="str">
        <f t="shared" ref="AV11" si="11">IF((ISERROR((AU11/$H11)*100)), "", IF(AND(NOT(ISERROR((AU11/$H11)*100)),((AU11/$H11)*100) &lt;&gt; 0), (AU11/$H11)*100, ""))</f>
        <v/>
      </c>
      <c r="AW11" s="70"/>
      <c r="AX11" s="77" t="str">
        <f t="shared" ref="AX11" si="12">IF((ISERROR((AW11/$H11)*100)), "", IF(AND(NOT(ISERROR((AW11/$H11)*100)),((AW11/$H11)*100) &lt;&gt; 0), (AW11/$H11)*100, ""))</f>
        <v/>
      </c>
      <c r="AY11" s="70"/>
      <c r="AZ11" s="77" t="str">
        <f t="shared" ref="AZ11" si="13">IF((ISERROR((AY11/$H11)*100)), "", IF(AND(NOT(ISERROR((AY11/$H11)*100)),((AY11/$H11)*100) &lt;&gt; 0), (AY11/$H11)*100, ""))</f>
        <v/>
      </c>
      <c r="BA11" s="62" t="s">
        <v>330</v>
      </c>
    </row>
    <row r="12" spans="1:53" ht="20" customHeight="1" x14ac:dyDescent="0.2">
      <c r="A12" s="61"/>
      <c r="B12" s="82"/>
      <c r="C12" s="24" t="s">
        <v>85</v>
      </c>
      <c r="D12" s="23" t="s">
        <v>26</v>
      </c>
      <c r="E12" s="23" t="s">
        <v>27</v>
      </c>
      <c r="F12" s="24">
        <v>2008</v>
      </c>
      <c r="G12" s="24">
        <v>165</v>
      </c>
      <c r="H12" s="114">
        <v>107</v>
      </c>
      <c r="I12" s="109" t="s">
        <v>166</v>
      </c>
      <c r="J12" s="110"/>
      <c r="K12" s="65"/>
      <c r="L12" s="66" t="str">
        <f t="shared" si="0"/>
        <v/>
      </c>
      <c r="M12" s="67"/>
      <c r="N12" s="68" t="str">
        <f t="shared" si="1"/>
        <v/>
      </c>
      <c r="O12" s="67"/>
      <c r="P12" s="68" t="str">
        <f t="shared" si="2"/>
        <v/>
      </c>
      <c r="Q12" s="67"/>
      <c r="R12" s="68" t="str">
        <f t="shared" si="3"/>
        <v/>
      </c>
      <c r="S12" s="65"/>
      <c r="T12" s="66" t="str">
        <f t="shared" si="4"/>
        <v/>
      </c>
      <c r="U12" s="69"/>
      <c r="V12" s="36" t="str">
        <f t="shared" si="5"/>
        <v/>
      </c>
      <c r="W12" s="65"/>
      <c r="X12" s="66" t="str">
        <f t="shared" ref="X12:X42" si="14">IF((ISERROR((W12/$H12)*100)), "", IF(AND(NOT(ISERROR((W12/$H12)*100)),((W12/$H12)*100) &lt;&gt; 0), (W12/$H12)*100, ""))</f>
        <v/>
      </c>
      <c r="Y12" s="67"/>
      <c r="Z12" s="68" t="str">
        <f t="shared" ref="Z12:Z42" si="15">IF((ISERROR((Y12/$H12)*100)), "", IF(AND(NOT(ISERROR((Y12/$H12)*100)),((Y12/$H12)*100) &lt;&gt; 0), (Y12/$H12)*100, ""))</f>
        <v/>
      </c>
      <c r="AA12" s="67"/>
      <c r="AB12" s="68" t="str">
        <f t="shared" ref="AB12:AB42" si="16">IF((ISERROR((AA12/$H12)*100)), "", IF(AND(NOT(ISERROR((AA12/$H12)*100)),((AA12/$H12)*100) &lt;&gt; 0), (AA12/$H12)*100, ""))</f>
        <v/>
      </c>
      <c r="AC12" s="67"/>
      <c r="AD12" s="68" t="str">
        <f t="shared" ref="AD12:AD42" si="17">IF((ISERROR((AC12/$H12)*100)), "", IF(AND(NOT(ISERROR((AC12/$H12)*100)),((AC12/$H12)*100) &lt;&gt; 0), (AC12/$H12)*100, ""))</f>
        <v/>
      </c>
      <c r="AE12" s="69"/>
      <c r="AF12" s="36" t="str">
        <f t="shared" si="6"/>
        <v/>
      </c>
      <c r="AG12" s="65"/>
      <c r="AH12" s="66" t="str">
        <f>IF((ISERROR((AG12/$H12)*100)), "", IF(AND(NOT(ISERROR((AG12/$H12)*100)),((AG12/$H12)*100) &lt;&gt; 0), (AG12/$H12)*100, ""))</f>
        <v/>
      </c>
      <c r="AI12" s="67"/>
      <c r="AJ12" s="68" t="str">
        <f t="shared" si="7"/>
        <v/>
      </c>
      <c r="AK12" s="67"/>
      <c r="AL12" s="68" t="str">
        <f t="shared" ref="AL12:AL42" si="18">IF((ISERROR((AK12/$H12)*100)), "", IF(AND(NOT(ISERROR((AK12/$H12)*100)),((AK12/$H12)*100) &lt;&gt; 0), (AK12/$H12)*100, ""))</f>
        <v/>
      </c>
      <c r="AM12" s="65"/>
      <c r="AN12" s="66" t="str">
        <f t="shared" ref="AN12:AT111" si="19">IF((ISERROR((AM12/$H12)*100)), "", IF(AND(NOT(ISERROR((AM12/$H12)*100)),((AM12/$H12)*100) &lt;&gt; 0), (AM12/$H12)*100, ""))</f>
        <v/>
      </c>
      <c r="AO12" s="67"/>
      <c r="AP12" s="68" t="str">
        <f t="shared" si="8"/>
        <v/>
      </c>
      <c r="AQ12" s="67"/>
      <c r="AR12" s="68" t="str">
        <f t="shared" si="9"/>
        <v/>
      </c>
      <c r="AS12" s="67"/>
      <c r="AT12" s="68" t="str">
        <f t="shared" si="19"/>
        <v/>
      </c>
      <c r="AU12" s="67"/>
      <c r="AV12" s="68" t="str">
        <f t="shared" ref="AV12:AV74" si="20">IF((ISERROR((AU12/$H12)*100)), "", IF(AND(NOT(ISERROR((AU12/$H12)*100)),((AU12/$H12)*100) &lt;&gt; 0), (AU12/$H12)*100, ""))</f>
        <v/>
      </c>
      <c r="AW12" s="67"/>
      <c r="AX12" s="68" t="str">
        <f t="shared" ref="AX12:AX42" si="21">IF((ISERROR((AW12/$H12)*100)), "", IF(AND(NOT(ISERROR((AW12/$H12)*100)),((AW12/$H12)*100) &lt;&gt; 0), (AW12/$H12)*100, ""))</f>
        <v/>
      </c>
      <c r="AY12" s="67"/>
      <c r="AZ12" s="68" t="str">
        <f t="shared" ref="AZ12:AZ42" si="22">IF((ISERROR((AY12/$H12)*100)), "", IF(AND(NOT(ISERROR((AY12/$H12)*100)),((AY12/$H12)*100) &lt;&gt; 0), (AY12/$H12)*100, ""))</f>
        <v/>
      </c>
      <c r="BA12" s="23" t="s">
        <v>165</v>
      </c>
    </row>
    <row r="13" spans="1:53" ht="20" customHeight="1" x14ac:dyDescent="0.2">
      <c r="A13" s="60"/>
      <c r="B13" s="24"/>
      <c r="C13" s="50" t="s">
        <v>30</v>
      </c>
      <c r="D13" s="49" t="s">
        <v>28</v>
      </c>
      <c r="E13" s="49" t="s">
        <v>29</v>
      </c>
      <c r="F13" s="50">
        <v>2016</v>
      </c>
      <c r="G13" s="50">
        <v>22</v>
      </c>
      <c r="H13" s="89"/>
      <c r="I13" s="85"/>
      <c r="J13" s="86"/>
      <c r="K13" s="33"/>
      <c r="L13" s="36" t="str">
        <f t="shared" si="0"/>
        <v/>
      </c>
      <c r="M13" s="33"/>
      <c r="N13" s="36" t="str">
        <f t="shared" si="1"/>
        <v/>
      </c>
      <c r="O13" s="33"/>
      <c r="P13" s="36" t="str">
        <f t="shared" si="2"/>
        <v/>
      </c>
      <c r="Q13" s="33"/>
      <c r="R13" s="36" t="str">
        <f t="shared" si="3"/>
        <v/>
      </c>
      <c r="S13" s="33"/>
      <c r="T13" s="36" t="str">
        <f t="shared" si="4"/>
        <v/>
      </c>
      <c r="U13" s="76"/>
      <c r="V13" s="36" t="str">
        <f t="shared" si="5"/>
        <v/>
      </c>
      <c r="W13" s="33"/>
      <c r="X13" s="36" t="str">
        <f t="shared" si="14"/>
        <v/>
      </c>
      <c r="Y13" s="33"/>
      <c r="Z13" s="36" t="str">
        <f t="shared" si="15"/>
        <v/>
      </c>
      <c r="AA13" s="33"/>
      <c r="AB13" s="36" t="str">
        <f t="shared" si="16"/>
        <v/>
      </c>
      <c r="AC13" s="33"/>
      <c r="AD13" s="36" t="str">
        <f t="shared" si="17"/>
        <v/>
      </c>
      <c r="AE13" s="76"/>
      <c r="AF13" s="36" t="str">
        <f t="shared" si="6"/>
        <v/>
      </c>
      <c r="AG13" s="33"/>
      <c r="AH13" s="36" t="str">
        <f t="shared" ref="AH13:AH76" si="23">IF((ISERROR((AG13/$H13)*100)), "", IF(AND(NOT(ISERROR((AG13/$H13)*100)),((AG13/$H13)*100) &lt;&gt; 0), (AG13/$H13)*100, ""))</f>
        <v/>
      </c>
      <c r="AI13" s="33"/>
      <c r="AJ13" s="36" t="str">
        <f t="shared" si="7"/>
        <v/>
      </c>
      <c r="AK13" s="33"/>
      <c r="AL13" s="36" t="str">
        <f t="shared" si="18"/>
        <v/>
      </c>
      <c r="AM13" s="33"/>
      <c r="AN13" s="36" t="str">
        <f t="shared" si="19"/>
        <v/>
      </c>
      <c r="AO13" s="33"/>
      <c r="AP13" s="36" t="str">
        <f t="shared" si="8"/>
        <v/>
      </c>
      <c r="AQ13" s="33"/>
      <c r="AR13" s="36" t="str">
        <f t="shared" si="9"/>
        <v/>
      </c>
      <c r="AS13" s="33"/>
      <c r="AT13" s="36" t="str">
        <f t="shared" si="19"/>
        <v/>
      </c>
      <c r="AU13" s="33"/>
      <c r="AV13" s="36" t="str">
        <f t="shared" si="20"/>
        <v/>
      </c>
      <c r="AW13" s="33"/>
      <c r="AX13" s="36" t="str">
        <f t="shared" si="21"/>
        <v/>
      </c>
      <c r="AY13" s="33"/>
      <c r="AZ13" s="36" t="str">
        <f t="shared" si="22"/>
        <v/>
      </c>
    </row>
    <row r="14" spans="1:53" customFormat="1" ht="20" customHeight="1" x14ac:dyDescent="0.2">
      <c r="A14" s="61"/>
      <c r="B14" s="83"/>
      <c r="C14" s="24" t="s">
        <v>85</v>
      </c>
      <c r="D14" s="23" t="s">
        <v>251</v>
      </c>
      <c r="E14" s="23" t="s">
        <v>252</v>
      </c>
      <c r="F14" s="24">
        <v>2016</v>
      </c>
      <c r="H14" s="89">
        <v>12</v>
      </c>
      <c r="I14" s="85" t="s">
        <v>332</v>
      </c>
      <c r="J14" s="86"/>
      <c r="K14" s="33"/>
      <c r="L14" s="36" t="str">
        <f t="shared" si="0"/>
        <v/>
      </c>
      <c r="M14" s="33"/>
      <c r="N14" s="36" t="str">
        <f t="shared" si="1"/>
        <v/>
      </c>
      <c r="O14" s="33"/>
      <c r="P14" s="36" t="str">
        <f t="shared" si="2"/>
        <v/>
      </c>
      <c r="Q14" s="33"/>
      <c r="R14" s="36" t="str">
        <f t="shared" si="3"/>
        <v/>
      </c>
      <c r="S14" s="33"/>
      <c r="T14" s="36" t="str">
        <f t="shared" si="4"/>
        <v/>
      </c>
      <c r="U14" s="76"/>
      <c r="V14" s="36" t="str">
        <f t="shared" si="5"/>
        <v/>
      </c>
      <c r="W14" s="33"/>
      <c r="X14" s="36" t="str">
        <f>IF((ISERROR((W14/$H14)*100)), "", IF(AND(NOT(ISERROR((W14/$H14)*100)),((W14/$H14)*100) &lt;&gt; 0), (W14/$H14)*100, ""))</f>
        <v/>
      </c>
      <c r="Y14" s="33"/>
      <c r="Z14" s="36" t="str">
        <f>IF((ISERROR((Y14/$H14)*100)), "", IF(AND(NOT(ISERROR((Y14/$H14)*100)),((Y14/$H14)*100) &lt;&gt; 0), (Y14/$H14)*100, ""))</f>
        <v/>
      </c>
      <c r="AA14" s="33"/>
      <c r="AB14" s="36" t="str">
        <f>IF((ISERROR((AA14/$H14)*100)), "", IF(AND(NOT(ISERROR((AA14/$H14)*100)),((AA14/$H14)*100) &lt;&gt; 0), (AA14/$H14)*100, ""))</f>
        <v/>
      </c>
      <c r="AC14" s="33"/>
      <c r="AD14" s="36" t="str">
        <f>IF((ISERROR((AC14/$H14)*100)), "", IF(AND(NOT(ISERROR((AC14/$H14)*100)),((AC14/$H14)*100) &lt;&gt; 0), (AC14/$H14)*100, ""))</f>
        <v/>
      </c>
      <c r="AE14" s="76"/>
      <c r="AF14" s="36" t="str">
        <f t="shared" si="6"/>
        <v/>
      </c>
      <c r="AG14" s="33"/>
      <c r="AH14" s="36" t="str">
        <f>IF((ISERROR((AG14/$H14)*100)), "", IF(AND(NOT(ISERROR((AG14/$H14)*100)),((AG14/$H14)*100) &lt;&gt; 0), (AG14/$H14)*100, ""))</f>
        <v/>
      </c>
      <c r="AI14" s="33"/>
      <c r="AJ14" s="36" t="str">
        <f t="shared" si="7"/>
        <v/>
      </c>
      <c r="AK14" s="33"/>
      <c r="AL14" s="36" t="str">
        <f>IF((ISERROR((AK14/$H14)*100)), "", IF(AND(NOT(ISERROR((AK14/$H14)*100)),((AK14/$H14)*100) &lt;&gt; 0), (AK14/$H14)*100, ""))</f>
        <v/>
      </c>
      <c r="AM14" s="33"/>
      <c r="AN14" s="36" t="str">
        <f>IF((ISERROR((AM14/$H14)*100)), "", IF(AND(NOT(ISERROR((AM14/$H14)*100)),((AM14/$H14)*100) &lt;&gt; 0), (AM14/$H14)*100, ""))</f>
        <v/>
      </c>
      <c r="AO14" s="33"/>
      <c r="AP14" s="36" t="str">
        <f t="shared" si="8"/>
        <v/>
      </c>
      <c r="AQ14" s="33"/>
      <c r="AR14" s="36" t="str">
        <f t="shared" si="9"/>
        <v/>
      </c>
      <c r="AS14" s="33"/>
      <c r="AT14" s="36" t="str">
        <f t="shared" si="19"/>
        <v/>
      </c>
      <c r="AU14" s="33"/>
      <c r="AV14" s="36" t="str">
        <f t="shared" si="20"/>
        <v/>
      </c>
      <c r="AW14" s="33"/>
      <c r="AX14" s="36" t="str">
        <f t="shared" si="21"/>
        <v/>
      </c>
      <c r="AY14" s="33"/>
      <c r="AZ14" s="36" t="str">
        <f t="shared" si="22"/>
        <v/>
      </c>
      <c r="BA14" s="23" t="s">
        <v>333</v>
      </c>
    </row>
    <row r="15" spans="1:53" ht="20" customHeight="1" x14ac:dyDescent="0.2">
      <c r="A15" s="61"/>
      <c r="B15" s="24"/>
      <c r="C15" s="50"/>
      <c r="D15" s="49" t="s">
        <v>155</v>
      </c>
      <c r="E15" s="49" t="s">
        <v>156</v>
      </c>
      <c r="F15" s="50">
        <v>1997</v>
      </c>
      <c r="G15" s="50"/>
      <c r="H15" s="89"/>
      <c r="I15" s="85"/>
      <c r="J15" s="86"/>
      <c r="K15" s="33"/>
      <c r="L15" s="36" t="str">
        <f t="shared" si="0"/>
        <v/>
      </c>
      <c r="M15" s="33"/>
      <c r="N15" s="36" t="str">
        <f t="shared" si="1"/>
        <v/>
      </c>
      <c r="O15" s="33"/>
      <c r="P15" s="36" t="str">
        <f t="shared" si="2"/>
        <v/>
      </c>
      <c r="Q15" s="33"/>
      <c r="R15" s="36" t="str">
        <f t="shared" si="3"/>
        <v/>
      </c>
      <c r="S15" s="33"/>
      <c r="T15" s="36" t="str">
        <f t="shared" si="4"/>
        <v/>
      </c>
      <c r="U15" s="76"/>
      <c r="V15" s="36" t="str">
        <f t="shared" si="5"/>
        <v/>
      </c>
      <c r="W15" s="33"/>
      <c r="X15" s="36" t="str">
        <f t="shared" si="14"/>
        <v/>
      </c>
      <c r="Y15" s="33"/>
      <c r="Z15" s="36" t="str">
        <f t="shared" si="15"/>
        <v/>
      </c>
      <c r="AA15" s="33"/>
      <c r="AB15" s="36" t="str">
        <f t="shared" si="16"/>
        <v/>
      </c>
      <c r="AC15" s="33"/>
      <c r="AD15" s="36" t="str">
        <f t="shared" si="17"/>
        <v/>
      </c>
      <c r="AE15" s="76"/>
      <c r="AF15" s="36" t="str">
        <f t="shared" si="6"/>
        <v/>
      </c>
      <c r="AG15" s="33"/>
      <c r="AH15" s="36" t="str">
        <f t="shared" si="23"/>
        <v/>
      </c>
      <c r="AI15" s="33"/>
      <c r="AJ15" s="36" t="str">
        <f t="shared" si="7"/>
        <v/>
      </c>
      <c r="AK15" s="33"/>
      <c r="AL15" s="36" t="str">
        <f t="shared" si="18"/>
        <v/>
      </c>
      <c r="AM15" s="33"/>
      <c r="AN15" s="36" t="str">
        <f t="shared" si="19"/>
        <v/>
      </c>
      <c r="AO15" s="33"/>
      <c r="AP15" s="36" t="str">
        <f t="shared" si="8"/>
        <v/>
      </c>
      <c r="AQ15" s="33"/>
      <c r="AR15" s="36" t="str">
        <f t="shared" si="9"/>
        <v/>
      </c>
      <c r="AS15" s="33"/>
      <c r="AT15" s="36" t="str">
        <f t="shared" si="19"/>
        <v/>
      </c>
      <c r="AU15" s="33"/>
      <c r="AV15" s="36" t="str">
        <f t="shared" si="20"/>
        <v/>
      </c>
      <c r="AW15" s="33"/>
      <c r="AX15" s="36" t="str">
        <f t="shared" si="21"/>
        <v/>
      </c>
      <c r="AY15" s="33"/>
      <c r="AZ15" s="36" t="str">
        <f t="shared" si="22"/>
        <v/>
      </c>
    </row>
    <row r="16" spans="1:53" ht="20" customHeight="1" x14ac:dyDescent="0.2">
      <c r="A16" s="60"/>
      <c r="B16" s="24"/>
      <c r="C16" s="50" t="s">
        <v>30</v>
      </c>
      <c r="D16" s="49" t="s">
        <v>31</v>
      </c>
      <c r="E16" s="49" t="s">
        <v>32</v>
      </c>
      <c r="F16" s="50">
        <v>2004</v>
      </c>
      <c r="G16" s="50">
        <v>21</v>
      </c>
      <c r="H16" s="89"/>
      <c r="I16" s="85"/>
      <c r="J16" s="86"/>
      <c r="K16" s="33"/>
      <c r="L16" s="36" t="str">
        <f t="shared" si="0"/>
        <v/>
      </c>
      <c r="M16" s="33"/>
      <c r="N16" s="36" t="str">
        <f t="shared" si="1"/>
        <v/>
      </c>
      <c r="O16" s="33"/>
      <c r="P16" s="36" t="str">
        <f t="shared" si="2"/>
        <v/>
      </c>
      <c r="Q16" s="33"/>
      <c r="R16" s="36" t="str">
        <f t="shared" si="3"/>
        <v/>
      </c>
      <c r="S16" s="33"/>
      <c r="T16" s="36" t="str">
        <f t="shared" si="4"/>
        <v/>
      </c>
      <c r="U16" s="76"/>
      <c r="V16" s="36" t="str">
        <f t="shared" si="5"/>
        <v/>
      </c>
      <c r="W16" s="33"/>
      <c r="X16" s="36" t="str">
        <f t="shared" si="14"/>
        <v/>
      </c>
      <c r="Y16" s="33"/>
      <c r="Z16" s="36" t="str">
        <f t="shared" si="15"/>
        <v/>
      </c>
      <c r="AA16" s="33"/>
      <c r="AB16" s="36" t="str">
        <f t="shared" si="16"/>
        <v/>
      </c>
      <c r="AC16" s="33"/>
      <c r="AD16" s="36" t="str">
        <f t="shared" si="17"/>
        <v/>
      </c>
      <c r="AE16" s="76"/>
      <c r="AF16" s="36" t="str">
        <f t="shared" si="6"/>
        <v/>
      </c>
      <c r="AG16" s="33"/>
      <c r="AH16" s="36" t="str">
        <f t="shared" si="23"/>
        <v/>
      </c>
      <c r="AI16" s="33"/>
      <c r="AJ16" s="36" t="str">
        <f t="shared" si="7"/>
        <v/>
      </c>
      <c r="AK16" s="33"/>
      <c r="AL16" s="36" t="str">
        <f t="shared" si="18"/>
        <v/>
      </c>
      <c r="AM16" s="33"/>
      <c r="AN16" s="36" t="str">
        <f t="shared" si="19"/>
        <v/>
      </c>
      <c r="AO16" s="33"/>
      <c r="AP16" s="36" t="str">
        <f t="shared" si="8"/>
        <v/>
      </c>
      <c r="AQ16" s="33"/>
      <c r="AR16" s="36" t="str">
        <f t="shared" si="9"/>
        <v/>
      </c>
      <c r="AS16" s="33"/>
      <c r="AT16" s="36" t="str">
        <f t="shared" si="19"/>
        <v/>
      </c>
      <c r="AU16" s="33"/>
      <c r="AV16" s="36" t="str">
        <f t="shared" si="20"/>
        <v/>
      </c>
      <c r="AW16" s="33"/>
      <c r="AX16" s="36" t="str">
        <f t="shared" si="21"/>
        <v/>
      </c>
      <c r="AY16" s="33"/>
      <c r="AZ16" s="36" t="str">
        <f t="shared" si="22"/>
        <v/>
      </c>
    </row>
    <row r="17" spans="1:53" ht="20" customHeight="1" x14ac:dyDescent="0.2">
      <c r="A17" s="61"/>
      <c r="B17" s="82"/>
      <c r="C17" s="24" t="s">
        <v>85</v>
      </c>
      <c r="D17" s="23" t="s">
        <v>33</v>
      </c>
      <c r="E17" s="23" t="s">
        <v>34</v>
      </c>
      <c r="F17" s="24">
        <v>2003</v>
      </c>
      <c r="G17" s="24">
        <v>291</v>
      </c>
      <c r="H17" s="89">
        <v>14</v>
      </c>
      <c r="I17" s="85" t="s">
        <v>167</v>
      </c>
      <c r="J17" s="86"/>
      <c r="K17" s="33"/>
      <c r="L17" s="36" t="str">
        <f t="shared" si="0"/>
        <v/>
      </c>
      <c r="M17" s="33"/>
      <c r="N17" s="36" t="str">
        <f t="shared" si="1"/>
        <v/>
      </c>
      <c r="O17" s="33"/>
      <c r="P17" s="36" t="str">
        <f t="shared" si="2"/>
        <v/>
      </c>
      <c r="Q17" s="33"/>
      <c r="R17" s="36" t="str">
        <f t="shared" si="3"/>
        <v/>
      </c>
      <c r="S17" s="33">
        <v>2</v>
      </c>
      <c r="T17" s="36">
        <f t="shared" si="4"/>
        <v>14.285714285714285</v>
      </c>
      <c r="U17" s="76"/>
      <c r="V17" s="36" t="str">
        <f t="shared" si="5"/>
        <v/>
      </c>
      <c r="W17" s="33"/>
      <c r="X17" s="36" t="str">
        <f t="shared" si="14"/>
        <v/>
      </c>
      <c r="Y17" s="33"/>
      <c r="Z17" s="36" t="str">
        <f t="shared" si="15"/>
        <v/>
      </c>
      <c r="AA17" s="33"/>
      <c r="AB17" s="36" t="str">
        <f t="shared" si="16"/>
        <v/>
      </c>
      <c r="AC17" s="33"/>
      <c r="AD17" s="36" t="str">
        <f t="shared" si="17"/>
        <v/>
      </c>
      <c r="AE17" s="76"/>
      <c r="AF17" s="36" t="str">
        <f t="shared" si="6"/>
        <v/>
      </c>
      <c r="AG17" s="33">
        <v>2</v>
      </c>
      <c r="AH17" s="36">
        <f t="shared" si="23"/>
        <v>14.285714285714285</v>
      </c>
      <c r="AI17" s="33"/>
      <c r="AJ17" s="36" t="str">
        <f t="shared" si="7"/>
        <v/>
      </c>
      <c r="AK17" s="33"/>
      <c r="AL17" s="36" t="str">
        <f t="shared" si="18"/>
        <v/>
      </c>
      <c r="AM17" s="33"/>
      <c r="AN17" s="36" t="str">
        <f t="shared" si="19"/>
        <v/>
      </c>
      <c r="AO17" s="33"/>
      <c r="AP17" s="36" t="str">
        <f t="shared" si="8"/>
        <v/>
      </c>
      <c r="AQ17" s="33">
        <v>1</v>
      </c>
      <c r="AR17" s="36">
        <f t="shared" si="9"/>
        <v>7.1428571428571423</v>
      </c>
      <c r="AS17" s="33"/>
      <c r="AT17" s="36" t="str">
        <f t="shared" si="19"/>
        <v/>
      </c>
      <c r="AU17" s="33"/>
      <c r="AV17" s="36" t="str">
        <f t="shared" si="20"/>
        <v/>
      </c>
      <c r="AW17" s="33"/>
      <c r="AX17" s="36" t="str">
        <f t="shared" si="21"/>
        <v/>
      </c>
      <c r="AY17" s="33"/>
      <c r="AZ17" s="36" t="str">
        <f t="shared" si="22"/>
        <v/>
      </c>
      <c r="BA17" s="23" t="s">
        <v>334</v>
      </c>
    </row>
    <row r="18" spans="1:53" ht="20" customHeight="1" x14ac:dyDescent="0.2">
      <c r="A18" s="60"/>
      <c r="B18" s="82"/>
      <c r="C18" s="24" t="s">
        <v>85</v>
      </c>
      <c r="D18" s="23" t="s">
        <v>253</v>
      </c>
      <c r="E18" s="23" t="s">
        <v>254</v>
      </c>
      <c r="F18" s="24">
        <v>2008</v>
      </c>
      <c r="H18" s="89">
        <v>13</v>
      </c>
      <c r="I18" s="85" t="s">
        <v>218</v>
      </c>
      <c r="J18" s="86" t="s">
        <v>335</v>
      </c>
      <c r="K18" s="33"/>
      <c r="L18" s="36" t="str">
        <f t="shared" si="0"/>
        <v/>
      </c>
      <c r="M18" s="33"/>
      <c r="N18" s="36" t="str">
        <f t="shared" si="1"/>
        <v/>
      </c>
      <c r="O18" s="33"/>
      <c r="P18" s="36" t="str">
        <f t="shared" si="2"/>
        <v/>
      </c>
      <c r="Q18" s="33"/>
      <c r="R18" s="36" t="str">
        <f t="shared" si="3"/>
        <v/>
      </c>
      <c r="S18" s="33"/>
      <c r="T18" s="36" t="str">
        <f t="shared" si="4"/>
        <v/>
      </c>
      <c r="U18" s="76"/>
      <c r="V18" s="36" t="str">
        <f t="shared" si="5"/>
        <v/>
      </c>
      <c r="W18" s="33"/>
      <c r="X18" s="36" t="str">
        <f>IF((ISERROR((W18/$H18)*100)), "", IF(AND(NOT(ISERROR((W18/$H18)*100)),((W18/$H18)*100) &lt;&gt; 0), (W18/$H18)*100, ""))</f>
        <v/>
      </c>
      <c r="Y18" s="33"/>
      <c r="Z18" s="36" t="str">
        <f>IF((ISERROR((Y18/$H18)*100)), "", IF(AND(NOT(ISERROR((Y18/$H18)*100)),((Y18/$H18)*100) &lt;&gt; 0), (Y18/$H18)*100, ""))</f>
        <v/>
      </c>
      <c r="AA18" s="33"/>
      <c r="AB18" s="36" t="str">
        <f>IF((ISERROR((AA18/$H18)*100)), "", IF(AND(NOT(ISERROR((AA18/$H18)*100)),((AA18/$H18)*100) &lt;&gt; 0), (AA18/$H18)*100, ""))</f>
        <v/>
      </c>
      <c r="AC18" s="33"/>
      <c r="AD18" s="36" t="str">
        <f>IF((ISERROR((AC18/$H18)*100)), "", IF(AND(NOT(ISERROR((AC18/$H18)*100)),((AC18/$H18)*100) &lt;&gt; 0), (AC18/$H18)*100, ""))</f>
        <v/>
      </c>
      <c r="AE18" s="76"/>
      <c r="AF18" s="36" t="str">
        <f t="shared" si="6"/>
        <v/>
      </c>
      <c r="AG18" s="33">
        <v>1</v>
      </c>
      <c r="AH18" s="36">
        <f>IF((ISERROR((AG18/$H18)*100)), "", IF(AND(NOT(ISERROR((AG18/$H18)*100)),((AG18/$H18)*100) &lt;&gt; 0), (AG18/$H18)*100, ""))</f>
        <v>7.6923076923076925</v>
      </c>
      <c r="AI18" s="33"/>
      <c r="AJ18" s="36" t="str">
        <f t="shared" si="7"/>
        <v/>
      </c>
      <c r="AK18" s="33"/>
      <c r="AL18" s="36" t="str">
        <f>IF((ISERROR((AK18/$H18)*100)), "", IF(AND(NOT(ISERROR((AK18/$H18)*100)),((AK18/$H18)*100) &lt;&gt; 0), (AK18/$H18)*100, ""))</f>
        <v/>
      </c>
      <c r="AM18" s="33"/>
      <c r="AN18" s="36" t="str">
        <f>IF((ISERROR((AM18/$H18)*100)), "", IF(AND(NOT(ISERROR((AM18/$H18)*100)),((AM18/$H18)*100) &lt;&gt; 0), (AM18/$H18)*100, ""))</f>
        <v/>
      </c>
      <c r="AO18" s="33"/>
      <c r="AP18" s="36" t="str">
        <f t="shared" si="8"/>
        <v/>
      </c>
      <c r="AQ18" s="33"/>
      <c r="AR18" s="36" t="str">
        <f t="shared" si="9"/>
        <v/>
      </c>
      <c r="AS18" s="33"/>
      <c r="AT18" s="36" t="str">
        <f t="shared" si="19"/>
        <v/>
      </c>
      <c r="AU18" s="33"/>
      <c r="AV18" s="36" t="str">
        <f t="shared" si="20"/>
        <v/>
      </c>
      <c r="AW18" s="33"/>
      <c r="AX18" s="36" t="str">
        <f t="shared" si="21"/>
        <v/>
      </c>
      <c r="AY18" s="33"/>
      <c r="AZ18" s="36" t="str">
        <f t="shared" si="22"/>
        <v/>
      </c>
    </row>
    <row r="19" spans="1:53" ht="20" customHeight="1" x14ac:dyDescent="0.2">
      <c r="A19" s="61"/>
      <c r="B19" s="82"/>
      <c r="C19" s="24" t="s">
        <v>85</v>
      </c>
      <c r="D19" s="23" t="s">
        <v>36</v>
      </c>
      <c r="E19" s="23" t="s">
        <v>37</v>
      </c>
      <c r="F19" s="24">
        <v>2008</v>
      </c>
      <c r="G19" s="24">
        <v>40</v>
      </c>
      <c r="H19" s="89">
        <v>29</v>
      </c>
      <c r="I19" s="85" t="s">
        <v>176</v>
      </c>
      <c r="J19" s="86" t="s">
        <v>169</v>
      </c>
      <c r="K19" s="33"/>
      <c r="L19" s="36" t="str">
        <f t="shared" si="0"/>
        <v/>
      </c>
      <c r="M19" s="33"/>
      <c r="N19" s="36" t="str">
        <f t="shared" si="1"/>
        <v/>
      </c>
      <c r="O19" s="33"/>
      <c r="P19" s="36" t="str">
        <f t="shared" si="2"/>
        <v/>
      </c>
      <c r="Q19" s="33"/>
      <c r="R19" s="36" t="str">
        <f t="shared" si="3"/>
        <v/>
      </c>
      <c r="S19" s="33"/>
      <c r="T19" s="36" t="str">
        <f t="shared" si="4"/>
        <v/>
      </c>
      <c r="U19" s="76">
        <v>5</v>
      </c>
      <c r="V19" s="36">
        <f t="shared" si="5"/>
        <v>17.241379310344829</v>
      </c>
      <c r="W19" s="33"/>
      <c r="X19" s="36" t="str">
        <f>IF((ISERROR((W19/$H19)*100)), "", IF(AND(NOT(ISERROR((W19/$H19)*100)),((W19/$H19)*100) &lt;&gt; 0), (W19/$H19)*100, ""))</f>
        <v/>
      </c>
      <c r="Y19" s="33"/>
      <c r="Z19" s="36" t="str">
        <f>IF((ISERROR((Y19/$H19)*100)), "", IF(AND(NOT(ISERROR((Y19/$H19)*100)),((Y19/$H19)*100) &lt;&gt; 0), (Y19/$H19)*100, ""))</f>
        <v/>
      </c>
      <c r="AA19" s="33">
        <v>5</v>
      </c>
      <c r="AB19" s="36">
        <f>IF((ISERROR((AA19/$H19)*100)), "", IF(AND(NOT(ISERROR((AA19/$H19)*100)),((AA19/$H19)*100) &lt;&gt; 0), (AA19/$H19)*100, ""))</f>
        <v>17.241379310344829</v>
      </c>
      <c r="AC19" s="33"/>
      <c r="AD19" s="36" t="str">
        <f>IF((ISERROR((AC19/$H19)*100)), "", IF(AND(NOT(ISERROR((AC19/$H19)*100)),((AC19/$H19)*100) &lt;&gt; 0), (AC19/$H19)*100, ""))</f>
        <v/>
      </c>
      <c r="AE19" s="76"/>
      <c r="AF19" s="36" t="str">
        <f t="shared" si="6"/>
        <v/>
      </c>
      <c r="AG19" s="33"/>
      <c r="AH19" s="36" t="str">
        <f>IF((ISERROR((AG19/$H19)*100)), "", IF(AND(NOT(ISERROR((AG19/$H19)*100)),((AG19/$H19)*100) &lt;&gt; 0), (AG19/$H19)*100, ""))</f>
        <v/>
      </c>
      <c r="AI19" s="33"/>
      <c r="AJ19" s="36" t="str">
        <f t="shared" si="7"/>
        <v/>
      </c>
      <c r="AK19" s="33"/>
      <c r="AL19" s="36" t="str">
        <f>IF((ISERROR((AK19/$H19)*100)), "", IF(AND(NOT(ISERROR((AK19/$H19)*100)),((AK19/$H19)*100) &lt;&gt; 0), (AK19/$H19)*100, ""))</f>
        <v/>
      </c>
      <c r="AM19" s="33"/>
      <c r="AN19" s="36" t="str">
        <f>IF((ISERROR((AM19/$H19)*100)), "", IF(AND(NOT(ISERROR((AM19/$H19)*100)),((AM19/$H19)*100) &lt;&gt; 0), (AM19/$H19)*100, ""))</f>
        <v/>
      </c>
      <c r="AO19" s="33"/>
      <c r="AP19" s="36" t="str">
        <f t="shared" si="8"/>
        <v/>
      </c>
      <c r="AQ19" s="33"/>
      <c r="AR19" s="36" t="str">
        <f t="shared" si="9"/>
        <v/>
      </c>
      <c r="AS19" s="33"/>
      <c r="AT19" s="36" t="str">
        <f t="shared" si="19"/>
        <v/>
      </c>
      <c r="AU19" s="33"/>
      <c r="AV19" s="36" t="str">
        <f t="shared" si="20"/>
        <v/>
      </c>
      <c r="AW19" s="33"/>
      <c r="AX19" s="36" t="str">
        <f t="shared" si="21"/>
        <v/>
      </c>
      <c r="AY19" s="33"/>
      <c r="AZ19" s="36" t="str">
        <f t="shared" si="22"/>
        <v/>
      </c>
      <c r="BA19" s="23" t="s">
        <v>480</v>
      </c>
    </row>
    <row r="20" spans="1:53" ht="20" customHeight="1" x14ac:dyDescent="0.2">
      <c r="A20" s="60"/>
      <c r="B20" s="24"/>
      <c r="C20" s="50" t="s">
        <v>30</v>
      </c>
      <c r="D20" s="49" t="s">
        <v>38</v>
      </c>
      <c r="E20" s="49" t="s">
        <v>39</v>
      </c>
      <c r="F20" s="50">
        <v>2005</v>
      </c>
      <c r="G20" s="50">
        <v>282</v>
      </c>
      <c r="H20" s="89"/>
      <c r="I20" s="85"/>
      <c r="J20" s="86"/>
      <c r="K20" s="33"/>
      <c r="L20" s="36" t="str">
        <f t="shared" si="0"/>
        <v/>
      </c>
      <c r="M20" s="33"/>
      <c r="N20" s="36" t="str">
        <f t="shared" si="1"/>
        <v/>
      </c>
      <c r="O20" s="33"/>
      <c r="P20" s="36" t="str">
        <f t="shared" si="2"/>
        <v/>
      </c>
      <c r="Q20" s="33"/>
      <c r="R20" s="36" t="str">
        <f t="shared" si="3"/>
        <v/>
      </c>
      <c r="S20" s="33"/>
      <c r="T20" s="36" t="str">
        <f t="shared" si="4"/>
        <v/>
      </c>
      <c r="U20" s="76"/>
      <c r="V20" s="36" t="str">
        <f t="shared" si="5"/>
        <v/>
      </c>
      <c r="W20" s="33"/>
      <c r="X20" s="36" t="str">
        <f t="shared" si="14"/>
        <v/>
      </c>
      <c r="Y20" s="33"/>
      <c r="Z20" s="36" t="str">
        <f t="shared" si="15"/>
        <v/>
      </c>
      <c r="AA20" s="33"/>
      <c r="AB20" s="36" t="str">
        <f t="shared" si="16"/>
        <v/>
      </c>
      <c r="AC20" s="33"/>
      <c r="AD20" s="36" t="str">
        <f t="shared" si="17"/>
        <v/>
      </c>
      <c r="AE20" s="76"/>
      <c r="AF20" s="36" t="str">
        <f t="shared" si="6"/>
        <v/>
      </c>
      <c r="AG20" s="33"/>
      <c r="AH20" s="36" t="str">
        <f t="shared" si="23"/>
        <v/>
      </c>
      <c r="AI20" s="33"/>
      <c r="AJ20" s="36" t="str">
        <f t="shared" si="7"/>
        <v/>
      </c>
      <c r="AK20" s="33"/>
      <c r="AL20" s="36" t="str">
        <f t="shared" si="18"/>
        <v/>
      </c>
      <c r="AM20" s="33"/>
      <c r="AN20" s="36" t="str">
        <f t="shared" si="19"/>
        <v/>
      </c>
      <c r="AO20" s="33"/>
      <c r="AP20" s="36" t="str">
        <f t="shared" si="8"/>
        <v/>
      </c>
      <c r="AQ20" s="33"/>
      <c r="AR20" s="36" t="str">
        <f t="shared" si="9"/>
        <v/>
      </c>
      <c r="AS20" s="33"/>
      <c r="AT20" s="36" t="str">
        <f t="shared" si="19"/>
        <v/>
      </c>
      <c r="AU20" s="33"/>
      <c r="AV20" s="36" t="str">
        <f t="shared" si="20"/>
        <v/>
      </c>
      <c r="AW20" s="33"/>
      <c r="AX20" s="36" t="str">
        <f t="shared" si="21"/>
        <v/>
      </c>
      <c r="AY20" s="33"/>
      <c r="AZ20" s="36" t="str">
        <f t="shared" si="22"/>
        <v/>
      </c>
      <c r="BA20" s="23" t="s">
        <v>382</v>
      </c>
    </row>
    <row r="21" spans="1:53" ht="20" customHeight="1" x14ac:dyDescent="0.2">
      <c r="A21" s="60"/>
      <c r="B21" s="24"/>
      <c r="C21" s="50" t="s">
        <v>30</v>
      </c>
      <c r="D21" s="49" t="s">
        <v>40</v>
      </c>
      <c r="E21" s="49" t="s">
        <v>39</v>
      </c>
      <c r="F21" s="50">
        <v>2006</v>
      </c>
      <c r="G21" s="50">
        <v>380</v>
      </c>
      <c r="H21" s="89"/>
      <c r="I21" s="85"/>
      <c r="J21" s="86"/>
      <c r="K21" s="38"/>
      <c r="L21" s="39" t="str">
        <f t="shared" si="0"/>
        <v/>
      </c>
      <c r="M21" s="33"/>
      <c r="N21" s="36" t="str">
        <f t="shared" si="1"/>
        <v/>
      </c>
      <c r="O21" s="33"/>
      <c r="P21" s="36" t="str">
        <f t="shared" si="2"/>
        <v/>
      </c>
      <c r="Q21" s="33"/>
      <c r="R21" s="36" t="str">
        <f t="shared" si="3"/>
        <v/>
      </c>
      <c r="S21" s="38"/>
      <c r="T21" s="39" t="str">
        <f t="shared" si="4"/>
        <v/>
      </c>
      <c r="U21" s="76"/>
      <c r="V21" s="36" t="str">
        <f t="shared" si="5"/>
        <v/>
      </c>
      <c r="W21" s="38"/>
      <c r="X21" s="39" t="str">
        <f t="shared" si="14"/>
        <v/>
      </c>
      <c r="Y21" s="33"/>
      <c r="Z21" s="36" t="str">
        <f t="shared" si="15"/>
        <v/>
      </c>
      <c r="AA21" s="33"/>
      <c r="AB21" s="36" t="str">
        <f t="shared" si="16"/>
        <v/>
      </c>
      <c r="AC21" s="33"/>
      <c r="AD21" s="36" t="str">
        <f t="shared" si="17"/>
        <v/>
      </c>
      <c r="AE21" s="76"/>
      <c r="AF21" s="36" t="str">
        <f t="shared" si="6"/>
        <v/>
      </c>
      <c r="AG21" s="38"/>
      <c r="AH21" s="39" t="str">
        <f t="shared" si="23"/>
        <v/>
      </c>
      <c r="AI21" s="33"/>
      <c r="AJ21" s="36" t="str">
        <f t="shared" si="7"/>
        <v/>
      </c>
      <c r="AK21" s="33"/>
      <c r="AL21" s="36" t="str">
        <f t="shared" si="18"/>
        <v/>
      </c>
      <c r="AM21" s="38"/>
      <c r="AN21" s="39" t="str">
        <f t="shared" si="19"/>
        <v/>
      </c>
      <c r="AO21" s="38"/>
      <c r="AP21" s="39" t="str">
        <f t="shared" si="8"/>
        <v/>
      </c>
      <c r="AQ21" s="33"/>
      <c r="AR21" s="36" t="str">
        <f t="shared" si="9"/>
        <v/>
      </c>
      <c r="AS21" s="38"/>
      <c r="AT21" s="39" t="str">
        <f t="shared" si="19"/>
        <v/>
      </c>
      <c r="AU21" s="33"/>
      <c r="AV21" s="36" t="str">
        <f t="shared" si="20"/>
        <v/>
      </c>
      <c r="AW21" s="33"/>
      <c r="AX21" s="36" t="str">
        <f t="shared" si="21"/>
        <v/>
      </c>
      <c r="AY21" s="38"/>
      <c r="AZ21" s="39" t="str">
        <f t="shared" si="22"/>
        <v/>
      </c>
      <c r="BA21" s="23" t="s">
        <v>383</v>
      </c>
    </row>
    <row r="22" spans="1:53" ht="20" customHeight="1" x14ac:dyDescent="0.2">
      <c r="A22" s="60"/>
      <c r="B22" s="82"/>
      <c r="C22" s="24" t="s">
        <v>85</v>
      </c>
      <c r="D22" s="23" t="s">
        <v>41</v>
      </c>
      <c r="E22" s="23" t="s">
        <v>42</v>
      </c>
      <c r="F22" s="24">
        <v>2004</v>
      </c>
      <c r="G22" s="24">
        <v>79</v>
      </c>
      <c r="H22" s="89">
        <v>12</v>
      </c>
      <c r="I22" s="85" t="s">
        <v>168</v>
      </c>
      <c r="J22" s="86" t="s">
        <v>169</v>
      </c>
      <c r="K22" s="33"/>
      <c r="L22" s="36" t="str">
        <f t="shared" si="0"/>
        <v/>
      </c>
      <c r="M22" s="33"/>
      <c r="N22" s="36" t="str">
        <f t="shared" si="1"/>
        <v/>
      </c>
      <c r="O22" s="33"/>
      <c r="P22" s="36" t="str">
        <f t="shared" si="2"/>
        <v/>
      </c>
      <c r="Q22" s="33"/>
      <c r="R22" s="36" t="str">
        <f t="shared" si="3"/>
        <v/>
      </c>
      <c r="S22" s="33"/>
      <c r="T22" s="36" t="str">
        <f t="shared" si="4"/>
        <v/>
      </c>
      <c r="U22" s="76"/>
      <c r="V22" s="36" t="str">
        <f t="shared" si="5"/>
        <v/>
      </c>
      <c r="W22" s="33"/>
      <c r="X22" s="36" t="str">
        <f>IF((ISERROR((W22/$H22)*100)), "", IF(AND(NOT(ISERROR((W22/$H22)*100)),((W22/$H22)*100) &lt;&gt; 0), (W22/$H22)*100, ""))</f>
        <v/>
      </c>
      <c r="Y22" s="33"/>
      <c r="Z22" s="36" t="str">
        <f>IF((ISERROR((Y22/$H22)*100)), "", IF(AND(NOT(ISERROR((Y22/$H22)*100)),((Y22/$H22)*100) &lt;&gt; 0), (Y22/$H22)*100, ""))</f>
        <v/>
      </c>
      <c r="AA22" s="33"/>
      <c r="AB22" s="36" t="str">
        <f>IF((ISERROR((AA22/$H22)*100)), "", IF(AND(NOT(ISERROR((AA22/$H22)*100)),((AA22/$H22)*100) &lt;&gt; 0), (AA22/$H22)*100, ""))</f>
        <v/>
      </c>
      <c r="AC22" s="33"/>
      <c r="AD22" s="36" t="str">
        <f>IF((ISERROR((AC22/$H22)*100)), "", IF(AND(NOT(ISERROR((AC22/$H22)*100)),((AC22/$H22)*100) &lt;&gt; 0), (AC22/$H22)*100, ""))</f>
        <v/>
      </c>
      <c r="AE22" s="76"/>
      <c r="AF22" s="36" t="str">
        <f t="shared" si="6"/>
        <v/>
      </c>
      <c r="AG22" s="33">
        <v>5</v>
      </c>
      <c r="AH22" s="36">
        <f>IF((ISERROR((AG22/$H22)*100)), "", IF(AND(NOT(ISERROR((AG22/$H22)*100)),((AG22/$H22)*100) &lt;&gt; 0), (AG22/$H22)*100, ""))</f>
        <v>41.666666666666671</v>
      </c>
      <c r="AI22" s="33"/>
      <c r="AJ22" s="36" t="str">
        <f t="shared" si="7"/>
        <v/>
      </c>
      <c r="AK22" s="33"/>
      <c r="AL22" s="36" t="str">
        <f>IF((ISERROR((AK22/$H22)*100)), "", IF(AND(NOT(ISERROR((AK22/$H22)*100)),((AK22/$H22)*100) &lt;&gt; 0), (AK22/$H22)*100, ""))</f>
        <v/>
      </c>
      <c r="AM22" s="33"/>
      <c r="AN22" s="36" t="str">
        <f>IF((ISERROR((AM22/$H22)*100)), "", IF(AND(NOT(ISERROR((AM22/$H22)*100)),((AM22/$H22)*100) &lt;&gt; 0), (AM22/$H22)*100, ""))</f>
        <v/>
      </c>
      <c r="AO22" s="33"/>
      <c r="AP22" s="36" t="str">
        <f t="shared" si="8"/>
        <v/>
      </c>
      <c r="AQ22" s="33"/>
      <c r="AR22" s="36" t="str">
        <f t="shared" si="9"/>
        <v/>
      </c>
      <c r="AS22" s="33"/>
      <c r="AT22" s="36" t="str">
        <f t="shared" si="19"/>
        <v/>
      </c>
      <c r="AU22" s="33"/>
      <c r="AV22" s="36" t="str">
        <f t="shared" si="20"/>
        <v/>
      </c>
      <c r="AW22" s="33"/>
      <c r="AX22" s="36" t="str">
        <f t="shared" si="21"/>
        <v/>
      </c>
      <c r="AY22" s="33"/>
      <c r="AZ22" s="36" t="str">
        <f t="shared" si="22"/>
        <v/>
      </c>
      <c r="BA22" s="23" t="s">
        <v>170</v>
      </c>
    </row>
    <row r="23" spans="1:53" ht="20" customHeight="1" x14ac:dyDescent="0.2">
      <c r="A23" s="60"/>
      <c r="B23" s="82"/>
      <c r="C23" s="24" t="s">
        <v>85</v>
      </c>
      <c r="D23" s="23" t="s">
        <v>43</v>
      </c>
      <c r="E23" s="23" t="s">
        <v>44</v>
      </c>
      <c r="F23" s="24">
        <v>1976</v>
      </c>
      <c r="G23" s="24">
        <v>179</v>
      </c>
      <c r="H23" s="89">
        <v>8</v>
      </c>
      <c r="I23" s="111" t="s">
        <v>336</v>
      </c>
      <c r="J23" s="86"/>
      <c r="K23" s="38">
        <v>2</v>
      </c>
      <c r="L23" s="39">
        <f t="shared" si="0"/>
        <v>25</v>
      </c>
      <c r="M23" s="33"/>
      <c r="N23" s="36" t="str">
        <f t="shared" si="1"/>
        <v/>
      </c>
      <c r="O23" s="38">
        <v>5</v>
      </c>
      <c r="P23" s="39">
        <f t="shared" si="2"/>
        <v>62.5</v>
      </c>
      <c r="Q23" s="38">
        <v>2</v>
      </c>
      <c r="R23" s="39">
        <f t="shared" si="3"/>
        <v>25</v>
      </c>
      <c r="S23" s="38">
        <v>1</v>
      </c>
      <c r="T23" s="39">
        <f t="shared" si="4"/>
        <v>12.5</v>
      </c>
      <c r="U23" s="76">
        <v>1</v>
      </c>
      <c r="V23" s="36">
        <f t="shared" si="5"/>
        <v>12.5</v>
      </c>
      <c r="W23" s="38">
        <v>1</v>
      </c>
      <c r="X23" s="39">
        <f>IF((ISERROR((W23/$H23)*100)), "", IF(AND(NOT(ISERROR((W23/$H23)*100)),((W23/$H23)*100) &lt;&gt; 0), (W23/$H23)*100, ""))</f>
        <v>12.5</v>
      </c>
      <c r="Y23" s="38">
        <v>1</v>
      </c>
      <c r="Z23" s="39">
        <f>IF((ISERROR((Y23/$H23)*100)), "", IF(AND(NOT(ISERROR((Y23/$H23)*100)),((Y23/$H23)*100) &lt;&gt; 0), (Y23/$H23)*100, ""))</f>
        <v>12.5</v>
      </c>
      <c r="AA23" s="38">
        <v>1</v>
      </c>
      <c r="AB23" s="39">
        <f>IF((ISERROR((AA23/$H23)*100)), "", IF(AND(NOT(ISERROR((AA23/$H23)*100)),((AA23/$H23)*100) &lt;&gt; 0), (AA23/$H23)*100, ""))</f>
        <v>12.5</v>
      </c>
      <c r="AC23" s="33"/>
      <c r="AD23" s="36" t="str">
        <f>IF((ISERROR((AC23/$H23)*100)), "", IF(AND(NOT(ISERROR((AC23/$H23)*100)),((AC23/$H23)*100) &lt;&gt; 0), (AC23/$H23)*100, ""))</f>
        <v/>
      </c>
      <c r="AE23" s="76"/>
      <c r="AF23" s="36" t="str">
        <f t="shared" si="6"/>
        <v/>
      </c>
      <c r="AG23" s="33"/>
      <c r="AH23" s="36" t="str">
        <f>IF((ISERROR((AG23/$H23)*100)), "", IF(AND(NOT(ISERROR((AG23/$H23)*100)),((AG23/$H23)*100) &lt;&gt; 0), (AG23/$H23)*100, ""))</f>
        <v/>
      </c>
      <c r="AI23" s="33"/>
      <c r="AJ23" s="36" t="str">
        <f t="shared" si="7"/>
        <v/>
      </c>
      <c r="AK23" s="38">
        <v>1</v>
      </c>
      <c r="AL23" s="39">
        <f>IF((ISERROR((AK23/$H23)*100)), "", IF(AND(NOT(ISERROR((AK23/$H23)*100)),((AK23/$H23)*100) &lt;&gt; 0), (AK23/$H23)*100, ""))</f>
        <v>12.5</v>
      </c>
      <c r="AM23" s="33"/>
      <c r="AN23" s="36" t="str">
        <f>IF((ISERROR((AM23/$H23)*100)), "", IF(AND(NOT(ISERROR((AM23/$H23)*100)),((AM23/$H23)*100) &lt;&gt; 0), (AM23/$H23)*100, ""))</f>
        <v/>
      </c>
      <c r="AO23" s="33"/>
      <c r="AP23" s="36" t="str">
        <f t="shared" si="8"/>
        <v/>
      </c>
      <c r="AQ23" s="38">
        <v>1</v>
      </c>
      <c r="AR23" s="39">
        <f t="shared" si="9"/>
        <v>12.5</v>
      </c>
      <c r="AS23" s="33"/>
      <c r="AT23" s="36" t="str">
        <f t="shared" si="19"/>
        <v/>
      </c>
      <c r="AU23" s="38"/>
      <c r="AV23" s="39" t="str">
        <f t="shared" si="20"/>
        <v/>
      </c>
      <c r="AW23" s="38"/>
      <c r="AX23" s="39" t="str">
        <f t="shared" si="21"/>
        <v/>
      </c>
      <c r="AY23" s="33"/>
      <c r="AZ23" s="36" t="str">
        <f t="shared" si="22"/>
        <v/>
      </c>
      <c r="BA23" s="23" t="s">
        <v>183</v>
      </c>
    </row>
    <row r="24" spans="1:53" ht="20" customHeight="1" x14ac:dyDescent="0.2">
      <c r="A24" s="61"/>
      <c r="B24" s="83"/>
      <c r="C24" s="24" t="s">
        <v>85</v>
      </c>
      <c r="D24" s="23" t="s">
        <v>152</v>
      </c>
      <c r="E24" s="23" t="s">
        <v>153</v>
      </c>
      <c r="F24" s="24">
        <v>2007</v>
      </c>
      <c r="H24" s="89">
        <v>44</v>
      </c>
      <c r="I24" s="85"/>
      <c r="J24" s="86"/>
      <c r="K24" s="33"/>
      <c r="L24" s="36" t="str">
        <f t="shared" si="0"/>
        <v/>
      </c>
      <c r="M24" s="33"/>
      <c r="N24" s="36" t="str">
        <f t="shared" si="1"/>
        <v/>
      </c>
      <c r="O24" s="33"/>
      <c r="P24" s="36" t="str">
        <f t="shared" si="2"/>
        <v/>
      </c>
      <c r="Q24" s="33"/>
      <c r="R24" s="36" t="str">
        <f t="shared" si="3"/>
        <v/>
      </c>
      <c r="S24" s="33"/>
      <c r="T24" s="36" t="str">
        <f t="shared" si="4"/>
        <v/>
      </c>
      <c r="U24" s="76"/>
      <c r="V24" s="36" t="str">
        <f t="shared" si="5"/>
        <v/>
      </c>
      <c r="W24" s="33"/>
      <c r="X24" s="36" t="str">
        <f t="shared" si="14"/>
        <v/>
      </c>
      <c r="Y24" s="33"/>
      <c r="Z24" s="36" t="str">
        <f t="shared" si="15"/>
        <v/>
      </c>
      <c r="AA24" s="33"/>
      <c r="AB24" s="36" t="str">
        <f t="shared" si="16"/>
        <v/>
      </c>
      <c r="AC24" s="33"/>
      <c r="AD24" s="36" t="str">
        <f t="shared" si="17"/>
        <v/>
      </c>
      <c r="AE24" s="76"/>
      <c r="AF24" s="36" t="str">
        <f t="shared" si="6"/>
        <v/>
      </c>
      <c r="AG24" s="33"/>
      <c r="AH24" s="36" t="str">
        <f t="shared" si="23"/>
        <v/>
      </c>
      <c r="AI24" s="33"/>
      <c r="AJ24" s="36" t="str">
        <f t="shared" si="7"/>
        <v/>
      </c>
      <c r="AK24" s="33"/>
      <c r="AL24" s="36" t="str">
        <f t="shared" si="18"/>
        <v/>
      </c>
      <c r="AM24" s="33"/>
      <c r="AN24" s="36" t="str">
        <f t="shared" si="19"/>
        <v/>
      </c>
      <c r="AO24" s="33"/>
      <c r="AP24" s="36" t="str">
        <f t="shared" si="8"/>
        <v/>
      </c>
      <c r="AQ24" s="33"/>
      <c r="AR24" s="36" t="str">
        <f t="shared" si="9"/>
        <v/>
      </c>
      <c r="AS24" s="33"/>
      <c r="AT24" s="36" t="str">
        <f t="shared" si="19"/>
        <v/>
      </c>
      <c r="AU24" s="33"/>
      <c r="AV24" s="36" t="str">
        <f t="shared" si="20"/>
        <v/>
      </c>
      <c r="AW24" s="33"/>
      <c r="AX24" s="36" t="str">
        <f t="shared" si="21"/>
        <v/>
      </c>
      <c r="AY24" s="33"/>
      <c r="AZ24" s="36" t="str">
        <f t="shared" si="22"/>
        <v/>
      </c>
      <c r="BA24" s="23" t="s">
        <v>175</v>
      </c>
    </row>
    <row r="25" spans="1:53" ht="20" customHeight="1" x14ac:dyDescent="0.2">
      <c r="A25" s="60"/>
      <c r="B25" s="83"/>
      <c r="C25" s="24" t="s">
        <v>85</v>
      </c>
      <c r="D25" s="23" t="s">
        <v>255</v>
      </c>
      <c r="E25" s="23" t="s">
        <v>256</v>
      </c>
      <c r="F25" s="24">
        <v>2014</v>
      </c>
      <c r="H25" s="89">
        <v>48</v>
      </c>
      <c r="I25" s="85" t="s">
        <v>214</v>
      </c>
      <c r="J25" s="86" t="s">
        <v>337</v>
      </c>
      <c r="K25" s="38"/>
      <c r="L25" s="38" t="str">
        <f t="shared" si="0"/>
        <v/>
      </c>
      <c r="M25" s="33"/>
      <c r="N25" s="36" t="str">
        <f t="shared" si="1"/>
        <v/>
      </c>
      <c r="O25" s="33"/>
      <c r="P25" s="36" t="str">
        <f t="shared" si="2"/>
        <v/>
      </c>
      <c r="Q25" s="33"/>
      <c r="R25" s="36" t="str">
        <f t="shared" si="3"/>
        <v/>
      </c>
      <c r="S25" s="33"/>
      <c r="T25" s="36" t="str">
        <f t="shared" si="4"/>
        <v/>
      </c>
      <c r="U25" s="76"/>
      <c r="V25" s="36" t="str">
        <f t="shared" si="5"/>
        <v/>
      </c>
      <c r="W25" s="33"/>
      <c r="X25" s="36" t="str">
        <f>IF((ISERROR((W25/$H25)*100)), "", IF(AND(NOT(ISERROR((W25/$H25)*100)),((W25/$H25)*100) &lt;&gt; 0), (W25/$H25)*100, ""))</f>
        <v/>
      </c>
      <c r="Y25" s="33"/>
      <c r="Z25" s="36" t="str">
        <f>IF((ISERROR((Y25/$H25)*100)), "", IF(AND(NOT(ISERROR((Y25/$H25)*100)),((Y25/$H25)*100) &lt;&gt; 0), (Y25/$H25)*100, ""))</f>
        <v/>
      </c>
      <c r="AA25" s="33"/>
      <c r="AB25" s="36" t="str">
        <f>IF((ISERROR((AA25/$H25)*100)), "", IF(AND(NOT(ISERROR((AA25/$H25)*100)),((AA25/$H25)*100) &lt;&gt; 0), (AA25/$H25)*100, ""))</f>
        <v/>
      </c>
      <c r="AC25" s="33"/>
      <c r="AD25" s="36" t="str">
        <f>IF((ISERROR((AC25/$H25)*100)), "", IF(AND(NOT(ISERROR((AC25/$H25)*100)),((AC25/$H25)*100) &lt;&gt; 0), (AC25/$H25)*100, ""))</f>
        <v/>
      </c>
      <c r="AE25" s="76"/>
      <c r="AF25" s="36" t="str">
        <f t="shared" si="6"/>
        <v/>
      </c>
      <c r="AG25" s="38"/>
      <c r="AH25" s="38" t="str">
        <f>IF((ISERROR((AG25/$H25)*100)), "", IF(AND(NOT(ISERROR((AG25/$H25)*100)),((AG25/$H25)*100) &lt;&gt; 0), (AG25/$H25)*100, ""))</f>
        <v/>
      </c>
      <c r="AI25" s="33"/>
      <c r="AJ25" s="36" t="str">
        <f t="shared" si="7"/>
        <v/>
      </c>
      <c r="AK25" s="33"/>
      <c r="AL25" s="36" t="str">
        <f>IF((ISERROR((AK25/$H25)*100)), "", IF(AND(NOT(ISERROR((AK25/$H25)*100)),((AK25/$H25)*100) &lt;&gt; 0), (AK25/$H25)*100, ""))</f>
        <v/>
      </c>
      <c r="AM25" s="33"/>
      <c r="AN25" s="36" t="str">
        <f>IF((ISERROR((AM25/$H25)*100)), "", IF(AND(NOT(ISERROR((AM25/$H25)*100)),((AM25/$H25)*100) &lt;&gt; 0), (AM25/$H25)*100, ""))</f>
        <v/>
      </c>
      <c r="AO25" s="33"/>
      <c r="AP25" s="36" t="str">
        <f t="shared" si="8"/>
        <v/>
      </c>
      <c r="AQ25" s="33"/>
      <c r="AR25" s="36" t="str">
        <f t="shared" si="9"/>
        <v/>
      </c>
      <c r="AS25" s="33"/>
      <c r="AT25" s="36" t="str">
        <f t="shared" si="19"/>
        <v/>
      </c>
      <c r="AU25" s="33"/>
      <c r="AV25" s="36" t="str">
        <f t="shared" si="20"/>
        <v/>
      </c>
      <c r="AW25" s="33"/>
      <c r="AX25" s="36" t="str">
        <f t="shared" si="21"/>
        <v/>
      </c>
      <c r="AY25" s="33"/>
      <c r="AZ25" s="36" t="str">
        <f t="shared" si="22"/>
        <v/>
      </c>
      <c r="BA25" s="23" t="s">
        <v>400</v>
      </c>
    </row>
    <row r="26" spans="1:53" ht="20" customHeight="1" x14ac:dyDescent="0.2">
      <c r="A26" s="60"/>
      <c r="B26" s="83"/>
      <c r="C26" s="24" t="s">
        <v>85</v>
      </c>
      <c r="D26" s="23" t="s">
        <v>259</v>
      </c>
      <c r="E26" s="23" t="s">
        <v>260</v>
      </c>
      <c r="F26" s="24">
        <v>2012</v>
      </c>
      <c r="H26" s="89">
        <v>80</v>
      </c>
      <c r="I26" s="85" t="s">
        <v>214</v>
      </c>
      <c r="J26" s="86" t="s">
        <v>191</v>
      </c>
      <c r="K26" s="33"/>
      <c r="L26" s="36" t="str">
        <f t="shared" si="0"/>
        <v/>
      </c>
      <c r="M26" s="33"/>
      <c r="N26" s="36" t="str">
        <f t="shared" si="1"/>
        <v/>
      </c>
      <c r="O26" s="33"/>
      <c r="P26" s="36" t="str">
        <f t="shared" si="2"/>
        <v/>
      </c>
      <c r="Q26" s="33"/>
      <c r="R26" s="36" t="str">
        <f t="shared" si="3"/>
        <v/>
      </c>
      <c r="S26" s="33"/>
      <c r="T26" s="36" t="str">
        <f t="shared" si="4"/>
        <v/>
      </c>
      <c r="U26" s="76"/>
      <c r="V26" s="36" t="str">
        <f t="shared" si="5"/>
        <v/>
      </c>
      <c r="W26" s="33"/>
      <c r="X26" s="36" t="str">
        <f>IF((ISERROR((W26/$H26)*100)), "", IF(AND(NOT(ISERROR((W26/$H26)*100)),((W26/$H26)*100) &lt;&gt; 0), (W26/$H26)*100, ""))</f>
        <v/>
      </c>
      <c r="Y26" s="33"/>
      <c r="Z26" s="36" t="str">
        <f>IF((ISERROR((Y26/$H26)*100)), "", IF(AND(NOT(ISERROR((Y26/$H26)*100)),((Y26/$H26)*100) &lt;&gt; 0), (Y26/$H26)*100, ""))</f>
        <v/>
      </c>
      <c r="AA26" s="33"/>
      <c r="AB26" s="36" t="str">
        <f>IF((ISERROR((AA26/$H26)*100)), "", IF(AND(NOT(ISERROR((AA26/$H26)*100)),((AA26/$H26)*100) &lt;&gt; 0), (AA26/$H26)*100, ""))</f>
        <v/>
      </c>
      <c r="AC26" s="33"/>
      <c r="AD26" s="36" t="str">
        <f>IF((ISERROR((AC26/$H26)*100)), "", IF(AND(NOT(ISERROR((AC26/$H26)*100)),((AC26/$H26)*100) &lt;&gt; 0), (AC26/$H26)*100, ""))</f>
        <v/>
      </c>
      <c r="AE26" s="76"/>
      <c r="AF26" s="36" t="str">
        <f t="shared" si="6"/>
        <v/>
      </c>
      <c r="AG26" s="33"/>
      <c r="AH26" s="36" t="str">
        <f>IF((ISERROR((AG26/$H26)*100)), "", IF(AND(NOT(ISERROR((AG26/$H26)*100)),((AG26/$H26)*100) &lt;&gt; 0), (AG26/$H26)*100, ""))</f>
        <v/>
      </c>
      <c r="AI26" s="33"/>
      <c r="AJ26" s="36" t="str">
        <f t="shared" si="7"/>
        <v/>
      </c>
      <c r="AK26" s="33"/>
      <c r="AL26" s="36" t="str">
        <f>IF((ISERROR((AK26/$H26)*100)), "", IF(AND(NOT(ISERROR((AK26/$H26)*100)),((AK26/$H26)*100) &lt;&gt; 0), (AK26/$H26)*100, ""))</f>
        <v/>
      </c>
      <c r="AM26" s="33"/>
      <c r="AN26" s="36" t="str">
        <f>IF((ISERROR((AM26/$H26)*100)), "", IF(AND(NOT(ISERROR((AM26/$H26)*100)),((AM26/$H26)*100) &lt;&gt; 0), (AM26/$H26)*100, ""))</f>
        <v/>
      </c>
      <c r="AO26" s="33"/>
      <c r="AP26" s="36" t="str">
        <f t="shared" si="8"/>
        <v/>
      </c>
      <c r="AQ26" s="33"/>
      <c r="AR26" s="36" t="str">
        <f t="shared" si="9"/>
        <v/>
      </c>
      <c r="AS26" s="33"/>
      <c r="AT26" s="36" t="str">
        <f t="shared" si="19"/>
        <v/>
      </c>
      <c r="AU26" s="33"/>
      <c r="AV26" s="36" t="str">
        <f t="shared" si="20"/>
        <v/>
      </c>
      <c r="AW26" s="33"/>
      <c r="AX26" s="36" t="str">
        <f t="shared" si="21"/>
        <v/>
      </c>
      <c r="AY26" s="33"/>
      <c r="AZ26" s="36" t="str">
        <f t="shared" si="22"/>
        <v/>
      </c>
    </row>
    <row r="27" spans="1:53" ht="20" customHeight="1" x14ac:dyDescent="0.2">
      <c r="A27" s="60"/>
      <c r="B27" s="82"/>
      <c r="C27" s="24" t="s">
        <v>85</v>
      </c>
      <c r="D27" s="23" t="s">
        <v>261</v>
      </c>
      <c r="E27" s="23" t="s">
        <v>262</v>
      </c>
      <c r="F27" s="24">
        <v>2013</v>
      </c>
      <c r="H27" s="89">
        <v>12</v>
      </c>
      <c r="I27" s="85" t="s">
        <v>214</v>
      </c>
      <c r="J27" s="86" t="s">
        <v>338</v>
      </c>
      <c r="K27" s="33"/>
      <c r="L27" s="36" t="str">
        <f t="shared" si="0"/>
        <v/>
      </c>
      <c r="M27" s="33"/>
      <c r="N27" s="36" t="str">
        <f t="shared" si="1"/>
        <v/>
      </c>
      <c r="O27" s="33"/>
      <c r="P27" s="36" t="str">
        <f t="shared" si="2"/>
        <v/>
      </c>
      <c r="Q27" s="33"/>
      <c r="R27" s="36" t="str">
        <f t="shared" si="3"/>
        <v/>
      </c>
      <c r="S27" s="38"/>
      <c r="T27" s="39" t="str">
        <f t="shared" si="4"/>
        <v/>
      </c>
      <c r="U27" s="40"/>
      <c r="V27" s="39" t="str">
        <f t="shared" si="5"/>
        <v/>
      </c>
      <c r="W27" s="33"/>
      <c r="X27" s="36" t="str">
        <f>IF((ISERROR((W27/$H27)*100)), "", IF(AND(NOT(ISERROR((W27/$H27)*100)),((W27/$H27)*100) &lt;&gt; 0), (W27/$H27)*100, ""))</f>
        <v/>
      </c>
      <c r="Y27" s="33"/>
      <c r="Z27" s="36" t="str">
        <f>IF((ISERROR((Y27/$H27)*100)), "", IF(AND(NOT(ISERROR((Y27/$H27)*100)),((Y27/$H27)*100) &lt;&gt; 0), (Y27/$H27)*100, ""))</f>
        <v/>
      </c>
      <c r="AA27" s="33"/>
      <c r="AB27" s="36" t="str">
        <f>IF((ISERROR((AA27/$H27)*100)), "", IF(AND(NOT(ISERROR((AA27/$H27)*100)),((AA27/$H27)*100) &lt;&gt; 0), (AA27/$H27)*100, ""))</f>
        <v/>
      </c>
      <c r="AC27" s="33"/>
      <c r="AD27" s="36" t="str">
        <f>IF((ISERROR((AC27/$H27)*100)), "", IF(AND(NOT(ISERROR((AC27/$H27)*100)),((AC27/$H27)*100) &lt;&gt; 0), (AC27/$H27)*100, ""))</f>
        <v/>
      </c>
      <c r="AE27" s="76"/>
      <c r="AF27" s="36" t="str">
        <f t="shared" si="6"/>
        <v/>
      </c>
      <c r="AG27" s="33"/>
      <c r="AH27" s="36" t="str">
        <f>IF((ISERROR((AG27/$H27)*100)), "", IF(AND(NOT(ISERROR((AG27/$H27)*100)),((AG27/$H27)*100) &lt;&gt; 0), (AG27/$H27)*100, ""))</f>
        <v/>
      </c>
      <c r="AI27" s="33"/>
      <c r="AJ27" s="36" t="str">
        <f t="shared" si="7"/>
        <v/>
      </c>
      <c r="AK27" s="33"/>
      <c r="AL27" s="36" t="str">
        <f>IF((ISERROR((AK27/$H27)*100)), "", IF(AND(NOT(ISERROR((AK27/$H27)*100)),((AK27/$H27)*100) &lt;&gt; 0), (AK27/$H27)*100, ""))</f>
        <v/>
      </c>
      <c r="AM27" s="33"/>
      <c r="AN27" s="36" t="str">
        <f>IF((ISERROR((AM27/$H27)*100)), "", IF(AND(NOT(ISERROR((AM27/$H27)*100)),((AM27/$H27)*100) &lt;&gt; 0), (AM27/$H27)*100, ""))</f>
        <v/>
      </c>
      <c r="AO27" s="33"/>
      <c r="AP27" s="36" t="str">
        <f t="shared" si="8"/>
        <v/>
      </c>
      <c r="AQ27" s="33"/>
      <c r="AR27" s="36" t="str">
        <f t="shared" si="9"/>
        <v/>
      </c>
      <c r="AS27" s="33"/>
      <c r="AT27" s="36" t="str">
        <f t="shared" si="19"/>
        <v/>
      </c>
      <c r="AU27" s="33"/>
      <c r="AV27" s="36" t="str">
        <f t="shared" si="20"/>
        <v/>
      </c>
      <c r="AW27" s="33"/>
      <c r="AX27" s="36" t="str">
        <f t="shared" si="21"/>
        <v/>
      </c>
      <c r="AY27" s="33"/>
      <c r="AZ27" s="36" t="str">
        <f t="shared" si="22"/>
        <v/>
      </c>
      <c r="BA27" s="23" t="s">
        <v>401</v>
      </c>
    </row>
    <row r="28" spans="1:53" ht="20" customHeight="1" x14ac:dyDescent="0.2">
      <c r="A28" s="61"/>
      <c r="B28" s="84"/>
      <c r="C28" s="24" t="s">
        <v>85</v>
      </c>
      <c r="D28" s="23" t="s">
        <v>45</v>
      </c>
      <c r="E28" s="23" t="s">
        <v>46</v>
      </c>
      <c r="F28" s="24">
        <v>1998</v>
      </c>
      <c r="G28" s="24">
        <v>96</v>
      </c>
      <c r="H28" s="89">
        <v>61</v>
      </c>
      <c r="I28" s="85" t="s">
        <v>176</v>
      </c>
      <c r="J28" s="86" t="s">
        <v>188</v>
      </c>
      <c r="K28" s="33"/>
      <c r="L28" s="36" t="str">
        <f t="shared" si="0"/>
        <v/>
      </c>
      <c r="M28" s="33"/>
      <c r="N28" s="36" t="str">
        <f t="shared" si="1"/>
        <v/>
      </c>
      <c r="O28" s="33"/>
      <c r="P28" s="36" t="str">
        <f t="shared" si="2"/>
        <v/>
      </c>
      <c r="Q28" s="33"/>
      <c r="R28" s="36" t="str">
        <f t="shared" si="3"/>
        <v/>
      </c>
      <c r="S28" s="33"/>
      <c r="T28" s="36" t="str">
        <f t="shared" si="4"/>
        <v/>
      </c>
      <c r="U28" s="76"/>
      <c r="V28" s="36" t="str">
        <f t="shared" si="5"/>
        <v/>
      </c>
      <c r="W28" s="33"/>
      <c r="X28" s="36" t="str">
        <f t="shared" si="14"/>
        <v/>
      </c>
      <c r="Y28" s="33"/>
      <c r="Z28" s="36" t="str">
        <f t="shared" si="15"/>
        <v/>
      </c>
      <c r="AA28" s="33"/>
      <c r="AB28" s="36" t="str">
        <f t="shared" si="16"/>
        <v/>
      </c>
      <c r="AC28" s="33"/>
      <c r="AD28" s="36" t="str">
        <f t="shared" si="17"/>
        <v/>
      </c>
      <c r="AE28" s="76"/>
      <c r="AF28" s="36" t="str">
        <f t="shared" si="6"/>
        <v/>
      </c>
      <c r="AG28" s="33"/>
      <c r="AH28" s="36" t="str">
        <f t="shared" si="23"/>
        <v/>
      </c>
      <c r="AI28" s="33"/>
      <c r="AJ28" s="36" t="str">
        <f t="shared" si="7"/>
        <v/>
      </c>
      <c r="AK28" s="33"/>
      <c r="AL28" s="36" t="str">
        <f t="shared" si="18"/>
        <v/>
      </c>
      <c r="AM28" s="33"/>
      <c r="AN28" s="36" t="str">
        <f t="shared" si="19"/>
        <v/>
      </c>
      <c r="AO28" s="33"/>
      <c r="AP28" s="36" t="str">
        <f t="shared" si="8"/>
        <v/>
      </c>
      <c r="AQ28" s="33"/>
      <c r="AR28" s="36" t="str">
        <f t="shared" si="9"/>
        <v/>
      </c>
      <c r="AS28" s="33"/>
      <c r="AT28" s="36" t="str">
        <f t="shared" si="19"/>
        <v/>
      </c>
      <c r="AU28" s="33"/>
      <c r="AV28" s="36" t="str">
        <f t="shared" si="20"/>
        <v/>
      </c>
      <c r="AW28" s="33"/>
      <c r="AX28" s="36" t="str">
        <f t="shared" si="21"/>
        <v/>
      </c>
      <c r="AY28" s="33"/>
      <c r="AZ28" s="36" t="str">
        <f t="shared" si="22"/>
        <v/>
      </c>
      <c r="BA28" s="23" t="s">
        <v>177</v>
      </c>
    </row>
    <row r="29" spans="1:53" ht="20" customHeight="1" x14ac:dyDescent="0.2">
      <c r="A29" s="60"/>
      <c r="B29" s="82"/>
      <c r="C29" s="24" t="s">
        <v>85</v>
      </c>
      <c r="D29" s="23" t="s">
        <v>263</v>
      </c>
      <c r="E29" s="23" t="s">
        <v>264</v>
      </c>
      <c r="F29" s="24">
        <v>2000</v>
      </c>
      <c r="H29" s="89">
        <v>9</v>
      </c>
      <c r="I29" s="85" t="s">
        <v>218</v>
      </c>
      <c r="J29" s="86" t="s">
        <v>169</v>
      </c>
      <c r="K29" s="33"/>
      <c r="L29" s="36" t="str">
        <f t="shared" si="0"/>
        <v/>
      </c>
      <c r="M29" s="33"/>
      <c r="N29" s="36" t="str">
        <f t="shared" si="1"/>
        <v/>
      </c>
      <c r="O29" s="33">
        <v>1</v>
      </c>
      <c r="P29" s="36">
        <f t="shared" si="2"/>
        <v>11.111111111111111</v>
      </c>
      <c r="Q29" s="33"/>
      <c r="R29" s="36" t="str">
        <f t="shared" si="3"/>
        <v/>
      </c>
      <c r="S29" s="33">
        <v>1</v>
      </c>
      <c r="T29" s="36">
        <f t="shared" si="4"/>
        <v>11.111111111111111</v>
      </c>
      <c r="U29" s="76">
        <v>1</v>
      </c>
      <c r="V29" s="36">
        <f t="shared" si="5"/>
        <v>11.111111111111111</v>
      </c>
      <c r="W29" s="33"/>
      <c r="X29" s="36" t="str">
        <f t="shared" si="14"/>
        <v/>
      </c>
      <c r="Y29" s="33"/>
      <c r="Z29" s="36" t="str">
        <f t="shared" si="15"/>
        <v/>
      </c>
      <c r="AA29" s="33"/>
      <c r="AB29" s="36" t="str">
        <f t="shared" si="16"/>
        <v/>
      </c>
      <c r="AC29" s="33"/>
      <c r="AD29" s="36" t="str">
        <f t="shared" si="17"/>
        <v/>
      </c>
      <c r="AE29" s="76"/>
      <c r="AF29" s="36" t="str">
        <f t="shared" si="6"/>
        <v/>
      </c>
      <c r="AG29" s="33"/>
      <c r="AH29" s="36" t="str">
        <f t="shared" si="23"/>
        <v/>
      </c>
      <c r="AI29" s="33"/>
      <c r="AJ29" s="36" t="str">
        <f t="shared" si="7"/>
        <v/>
      </c>
      <c r="AK29" s="33"/>
      <c r="AL29" s="36" t="str">
        <f t="shared" si="18"/>
        <v/>
      </c>
      <c r="AM29" s="33"/>
      <c r="AN29" s="36" t="str">
        <f t="shared" si="19"/>
        <v/>
      </c>
      <c r="AO29" s="33"/>
      <c r="AP29" s="36" t="str">
        <f t="shared" si="8"/>
        <v/>
      </c>
      <c r="AQ29" s="33"/>
      <c r="AR29" s="36" t="str">
        <f t="shared" si="9"/>
        <v/>
      </c>
      <c r="AS29" s="33"/>
      <c r="AT29" s="36" t="str">
        <f t="shared" si="19"/>
        <v/>
      </c>
      <c r="AU29" s="33"/>
      <c r="AV29" s="36" t="str">
        <f t="shared" si="20"/>
        <v/>
      </c>
      <c r="AW29" s="33"/>
      <c r="AX29" s="36" t="str">
        <f t="shared" si="21"/>
        <v/>
      </c>
      <c r="AY29" s="33"/>
      <c r="AZ29" s="36" t="str">
        <f t="shared" si="22"/>
        <v/>
      </c>
      <c r="BA29" s="23" t="s">
        <v>339</v>
      </c>
    </row>
    <row r="30" spans="1:53" ht="20" customHeight="1" x14ac:dyDescent="0.2">
      <c r="A30" s="60"/>
      <c r="B30" s="83"/>
      <c r="C30" s="24" t="s">
        <v>85</v>
      </c>
      <c r="D30" s="23" t="s">
        <v>265</v>
      </c>
      <c r="E30" s="23" t="s">
        <v>266</v>
      </c>
      <c r="F30" s="24">
        <v>2003</v>
      </c>
      <c r="H30" s="89">
        <v>10</v>
      </c>
      <c r="I30" s="85" t="s">
        <v>185</v>
      </c>
      <c r="J30" s="86" t="s">
        <v>190</v>
      </c>
      <c r="K30" s="33"/>
      <c r="L30" s="36" t="str">
        <f t="shared" si="0"/>
        <v/>
      </c>
      <c r="M30" s="33"/>
      <c r="N30" s="36" t="str">
        <f t="shared" si="1"/>
        <v/>
      </c>
      <c r="O30" s="33"/>
      <c r="P30" s="36" t="str">
        <f t="shared" si="2"/>
        <v/>
      </c>
      <c r="Q30" s="33"/>
      <c r="R30" s="36" t="str">
        <f t="shared" si="3"/>
        <v/>
      </c>
      <c r="S30" s="33"/>
      <c r="T30" s="36" t="str">
        <f t="shared" si="4"/>
        <v/>
      </c>
      <c r="U30" s="76"/>
      <c r="V30" s="36" t="str">
        <f t="shared" si="5"/>
        <v/>
      </c>
      <c r="W30" s="33"/>
      <c r="X30" s="36" t="str">
        <f t="shared" si="14"/>
        <v/>
      </c>
      <c r="Y30" s="33"/>
      <c r="Z30" s="36" t="str">
        <f t="shared" si="15"/>
        <v/>
      </c>
      <c r="AA30" s="33"/>
      <c r="AB30" s="36" t="str">
        <f t="shared" si="16"/>
        <v/>
      </c>
      <c r="AC30" s="33"/>
      <c r="AD30" s="36" t="str">
        <f t="shared" si="17"/>
        <v/>
      </c>
      <c r="AE30" s="76"/>
      <c r="AF30" s="36" t="str">
        <f t="shared" si="6"/>
        <v/>
      </c>
      <c r="AG30" s="33"/>
      <c r="AH30" s="36" t="str">
        <f t="shared" si="23"/>
        <v/>
      </c>
      <c r="AI30" s="33"/>
      <c r="AJ30" s="36" t="str">
        <f t="shared" si="7"/>
        <v/>
      </c>
      <c r="AK30" s="33"/>
      <c r="AL30" s="36" t="str">
        <f t="shared" si="18"/>
        <v/>
      </c>
      <c r="AM30" s="33"/>
      <c r="AN30" s="36" t="str">
        <f t="shared" si="19"/>
        <v/>
      </c>
      <c r="AO30" s="33"/>
      <c r="AP30" s="36" t="str">
        <f t="shared" si="8"/>
        <v/>
      </c>
      <c r="AQ30" s="33"/>
      <c r="AR30" s="36" t="str">
        <f t="shared" si="9"/>
        <v/>
      </c>
      <c r="AS30" s="33"/>
      <c r="AT30" s="36" t="str">
        <f t="shared" si="19"/>
        <v/>
      </c>
      <c r="AU30" s="33"/>
      <c r="AV30" s="36" t="str">
        <f t="shared" si="20"/>
        <v/>
      </c>
      <c r="AW30" s="33"/>
      <c r="AX30" s="36" t="str">
        <f t="shared" si="21"/>
        <v/>
      </c>
      <c r="AY30" s="33"/>
      <c r="AZ30" s="36" t="str">
        <f t="shared" si="22"/>
        <v/>
      </c>
      <c r="BA30" s="23" t="s">
        <v>200</v>
      </c>
    </row>
    <row r="31" spans="1:53" ht="20" customHeight="1" x14ac:dyDescent="0.2">
      <c r="A31" s="61"/>
      <c r="B31" s="24"/>
      <c r="C31" s="50" t="s">
        <v>49</v>
      </c>
      <c r="D31" s="49" t="s">
        <v>47</v>
      </c>
      <c r="E31" s="49" t="s">
        <v>48</v>
      </c>
      <c r="F31" s="50">
        <v>1997</v>
      </c>
      <c r="G31" s="50">
        <v>91</v>
      </c>
      <c r="H31" s="89"/>
      <c r="I31" s="85"/>
      <c r="J31" s="86"/>
      <c r="K31" s="33"/>
      <c r="L31" s="36" t="str">
        <f t="shared" si="0"/>
        <v/>
      </c>
      <c r="M31" s="33"/>
      <c r="N31" s="36" t="str">
        <f t="shared" si="1"/>
        <v/>
      </c>
      <c r="O31" s="33"/>
      <c r="P31" s="36" t="str">
        <f t="shared" si="2"/>
        <v/>
      </c>
      <c r="Q31" s="33"/>
      <c r="R31" s="36" t="str">
        <f t="shared" si="3"/>
        <v/>
      </c>
      <c r="S31" s="33"/>
      <c r="T31" s="36" t="str">
        <f t="shared" si="4"/>
        <v/>
      </c>
      <c r="U31" s="76"/>
      <c r="V31" s="36" t="str">
        <f t="shared" si="5"/>
        <v/>
      </c>
      <c r="W31" s="33"/>
      <c r="X31" s="36" t="str">
        <f t="shared" si="14"/>
        <v/>
      </c>
      <c r="Y31" s="33"/>
      <c r="Z31" s="36" t="str">
        <f t="shared" si="15"/>
        <v/>
      </c>
      <c r="AA31" s="33"/>
      <c r="AB31" s="36" t="str">
        <f t="shared" si="16"/>
        <v/>
      </c>
      <c r="AC31" s="33"/>
      <c r="AD31" s="36" t="str">
        <f t="shared" si="17"/>
        <v/>
      </c>
      <c r="AE31" s="76"/>
      <c r="AF31" s="36" t="str">
        <f t="shared" si="6"/>
        <v/>
      </c>
      <c r="AG31" s="33"/>
      <c r="AH31" s="36" t="str">
        <f t="shared" si="23"/>
        <v/>
      </c>
      <c r="AI31" s="33"/>
      <c r="AJ31" s="36" t="str">
        <f t="shared" si="7"/>
        <v/>
      </c>
      <c r="AK31" s="33"/>
      <c r="AL31" s="36" t="str">
        <f t="shared" si="18"/>
        <v/>
      </c>
      <c r="AM31" s="33"/>
      <c r="AN31" s="36" t="str">
        <f t="shared" si="19"/>
        <v/>
      </c>
      <c r="AO31" s="33"/>
      <c r="AP31" s="36" t="str">
        <f t="shared" si="8"/>
        <v/>
      </c>
      <c r="AQ31" s="33"/>
      <c r="AR31" s="36" t="str">
        <f t="shared" si="9"/>
        <v/>
      </c>
      <c r="AS31" s="33"/>
      <c r="AT31" s="36" t="str">
        <f t="shared" si="19"/>
        <v/>
      </c>
      <c r="AU31" s="33"/>
      <c r="AV31" s="36" t="str">
        <f t="shared" si="20"/>
        <v/>
      </c>
      <c r="AW31" s="33"/>
      <c r="AX31" s="36" t="str">
        <f t="shared" si="21"/>
        <v/>
      </c>
      <c r="AY31" s="33"/>
      <c r="AZ31" s="36" t="str">
        <f t="shared" si="22"/>
        <v/>
      </c>
    </row>
    <row r="32" spans="1:53" ht="20" customHeight="1" x14ac:dyDescent="0.2">
      <c r="A32" s="60"/>
      <c r="B32" s="24"/>
      <c r="C32" s="50" t="s">
        <v>30</v>
      </c>
      <c r="D32" s="49" t="s">
        <v>50</v>
      </c>
      <c r="E32" s="49" t="s">
        <v>51</v>
      </c>
      <c r="F32" s="50">
        <v>1993</v>
      </c>
      <c r="G32" s="50">
        <v>306</v>
      </c>
      <c r="H32" s="89"/>
      <c r="I32" s="85"/>
      <c r="J32" s="86"/>
      <c r="K32" s="33"/>
      <c r="L32" s="36" t="str">
        <f t="shared" si="0"/>
        <v/>
      </c>
      <c r="M32" s="33"/>
      <c r="N32" s="36" t="str">
        <f t="shared" si="1"/>
        <v/>
      </c>
      <c r="O32" s="33"/>
      <c r="P32" s="36" t="str">
        <f t="shared" si="2"/>
        <v/>
      </c>
      <c r="Q32" s="33"/>
      <c r="R32" s="36" t="str">
        <f t="shared" si="3"/>
        <v/>
      </c>
      <c r="S32" s="33"/>
      <c r="T32" s="36" t="str">
        <f t="shared" si="4"/>
        <v/>
      </c>
      <c r="U32" s="76"/>
      <c r="V32" s="36" t="str">
        <f t="shared" si="5"/>
        <v/>
      </c>
      <c r="W32" s="33"/>
      <c r="X32" s="36" t="str">
        <f t="shared" si="14"/>
        <v/>
      </c>
      <c r="Y32" s="33"/>
      <c r="Z32" s="36" t="str">
        <f t="shared" si="15"/>
        <v/>
      </c>
      <c r="AA32" s="33"/>
      <c r="AB32" s="36" t="str">
        <f t="shared" si="16"/>
        <v/>
      </c>
      <c r="AC32" s="33"/>
      <c r="AD32" s="36" t="str">
        <f t="shared" si="17"/>
        <v/>
      </c>
      <c r="AE32" s="76"/>
      <c r="AF32" s="36" t="str">
        <f t="shared" si="6"/>
        <v/>
      </c>
      <c r="AG32" s="33"/>
      <c r="AH32" s="36" t="str">
        <f t="shared" si="23"/>
        <v/>
      </c>
      <c r="AI32" s="33"/>
      <c r="AJ32" s="36" t="str">
        <f t="shared" si="7"/>
        <v/>
      </c>
      <c r="AK32" s="33"/>
      <c r="AL32" s="36" t="str">
        <f t="shared" si="18"/>
        <v/>
      </c>
      <c r="AM32" s="33"/>
      <c r="AN32" s="36" t="str">
        <f t="shared" si="19"/>
        <v/>
      </c>
      <c r="AO32" s="33"/>
      <c r="AP32" s="36" t="str">
        <f t="shared" si="8"/>
        <v/>
      </c>
      <c r="AQ32" s="33"/>
      <c r="AR32" s="36" t="str">
        <f t="shared" si="9"/>
        <v/>
      </c>
      <c r="AS32" s="33"/>
      <c r="AT32" s="36" t="str">
        <f t="shared" si="19"/>
        <v/>
      </c>
      <c r="AU32" s="33"/>
      <c r="AV32" s="36" t="str">
        <f t="shared" si="20"/>
        <v/>
      </c>
      <c r="AW32" s="33"/>
      <c r="AX32" s="36" t="str">
        <f t="shared" si="21"/>
        <v/>
      </c>
      <c r="AY32" s="33"/>
      <c r="AZ32" s="36" t="str">
        <f t="shared" si="22"/>
        <v/>
      </c>
    </row>
    <row r="33" spans="1:53" ht="20" customHeight="1" x14ac:dyDescent="0.2">
      <c r="A33" s="60"/>
      <c r="B33" s="82"/>
      <c r="C33" s="24" t="s">
        <v>85</v>
      </c>
      <c r="D33" s="23" t="s">
        <v>402</v>
      </c>
      <c r="E33" s="23" t="s">
        <v>403</v>
      </c>
      <c r="F33" s="24">
        <v>2013</v>
      </c>
      <c r="H33" s="89">
        <v>38</v>
      </c>
      <c r="I33" s="85" t="s">
        <v>404</v>
      </c>
      <c r="J33" s="86" t="s">
        <v>169</v>
      </c>
      <c r="K33" s="33"/>
      <c r="L33" s="36" t="str">
        <f t="shared" si="0"/>
        <v/>
      </c>
      <c r="M33" s="33"/>
      <c r="N33" s="36" t="str">
        <f t="shared" si="1"/>
        <v/>
      </c>
      <c r="O33" s="33"/>
      <c r="P33" s="36" t="str">
        <f t="shared" si="2"/>
        <v/>
      </c>
      <c r="Q33" s="33"/>
      <c r="R33" s="36" t="str">
        <f t="shared" si="3"/>
        <v/>
      </c>
      <c r="S33" s="33"/>
      <c r="T33" s="36" t="str">
        <f t="shared" si="4"/>
        <v/>
      </c>
      <c r="U33" s="33"/>
      <c r="V33" s="36" t="str">
        <f t="shared" si="5"/>
        <v/>
      </c>
      <c r="W33" s="33"/>
      <c r="X33" s="36" t="str">
        <f>IF((ISERROR((W33/$H33)*100)), "", IF(AND(NOT(ISERROR((W33/$H33)*100)),((W33/$H33)*100) &lt;&gt; 0), (W33/$H33)*100, ""))</f>
        <v/>
      </c>
      <c r="Y33" s="33"/>
      <c r="Z33" s="36" t="str">
        <f>IF((ISERROR((Y33/$H33)*100)), "", IF(AND(NOT(ISERROR((Y33/$H33)*100)),((Y33/$H33)*100) &lt;&gt; 0), (Y33/$H33)*100, ""))</f>
        <v/>
      </c>
      <c r="AA33" s="33"/>
      <c r="AB33" s="36" t="str">
        <f>IF((ISERROR((AA33/$H33)*100)), "", IF(AND(NOT(ISERROR((AA33/$H33)*100)),((AA33/$H33)*100) &lt;&gt; 0), (AA33/$H33)*100, ""))</f>
        <v/>
      </c>
      <c r="AC33" s="33"/>
      <c r="AD33" s="36" t="str">
        <f>IF((ISERROR((AC33/$H33)*100)), "", IF(AND(NOT(ISERROR((AC33/$H33)*100)),((AC33/$H33)*100) &lt;&gt; 0), (AC33/$H33)*100, ""))</f>
        <v/>
      </c>
      <c r="AE33" s="76">
        <v>37</v>
      </c>
      <c r="AF33" s="36">
        <f t="shared" si="6"/>
        <v>97.368421052631575</v>
      </c>
      <c r="AG33" s="33"/>
      <c r="AH33" s="36" t="str">
        <f>IF((ISERROR((AG33/$H33)*100)), "", IF(AND(NOT(ISERROR((AG33/$H33)*100)),((AG33/$H33)*100) &lt;&gt; 0), (AG33/$H33)*100, ""))</f>
        <v/>
      </c>
      <c r="AI33" s="33"/>
      <c r="AJ33" s="36" t="str">
        <f t="shared" si="7"/>
        <v/>
      </c>
      <c r="AK33" s="33"/>
      <c r="AL33" s="36" t="str">
        <f>IF((ISERROR((AK33/$H33)*100)), "", IF(AND(NOT(ISERROR((AK33/$H33)*100)),((AK33/$H33)*100) &lt;&gt; 0), (AK33/$H33)*100, ""))</f>
        <v/>
      </c>
      <c r="AM33" s="33"/>
      <c r="AN33" s="36" t="str">
        <f>IF((ISERROR((AM33/$H33)*100)), "", IF(AND(NOT(ISERROR((AM33/$H33)*100)),((AM33/$H33)*100) &lt;&gt; 0), (AM33/$H33)*100, ""))</f>
        <v/>
      </c>
      <c r="AO33" s="33"/>
      <c r="AP33" s="36" t="str">
        <f t="shared" si="8"/>
        <v/>
      </c>
      <c r="AQ33" s="33"/>
      <c r="AR33" s="36" t="str">
        <f t="shared" si="9"/>
        <v/>
      </c>
      <c r="AS33" s="33"/>
      <c r="AT33" s="36" t="str">
        <f t="shared" si="19"/>
        <v/>
      </c>
      <c r="AU33" s="33"/>
      <c r="AV33" s="36" t="str">
        <f t="shared" si="20"/>
        <v/>
      </c>
      <c r="AW33" s="33"/>
      <c r="AX33" s="36" t="str">
        <f t="shared" si="21"/>
        <v/>
      </c>
      <c r="AY33" s="33"/>
      <c r="AZ33" s="36" t="str">
        <f t="shared" si="22"/>
        <v/>
      </c>
      <c r="BA33" s="23" t="s">
        <v>412</v>
      </c>
    </row>
    <row r="34" spans="1:53" ht="20" customHeight="1" x14ac:dyDescent="0.2">
      <c r="A34" s="61"/>
      <c r="B34" s="83"/>
      <c r="C34" s="24" t="s">
        <v>85</v>
      </c>
      <c r="D34" s="23" t="s">
        <v>52</v>
      </c>
      <c r="E34" s="23" t="s">
        <v>53</v>
      </c>
      <c r="F34" s="24">
        <v>2001</v>
      </c>
      <c r="G34" s="24">
        <v>118</v>
      </c>
      <c r="H34" s="89">
        <v>20</v>
      </c>
      <c r="I34" s="85"/>
      <c r="J34" s="86" t="s">
        <v>188</v>
      </c>
      <c r="K34" s="33"/>
      <c r="L34" s="36" t="str">
        <f t="shared" si="0"/>
        <v/>
      </c>
      <c r="M34" s="33"/>
      <c r="N34" s="36" t="str">
        <f t="shared" si="1"/>
        <v/>
      </c>
      <c r="O34" s="33"/>
      <c r="P34" s="36" t="str">
        <f t="shared" si="2"/>
        <v/>
      </c>
      <c r="Q34" s="33"/>
      <c r="R34" s="36" t="str">
        <f t="shared" si="3"/>
        <v/>
      </c>
      <c r="S34" s="33"/>
      <c r="T34" s="36" t="str">
        <f t="shared" si="4"/>
        <v/>
      </c>
      <c r="U34" s="76"/>
      <c r="V34" s="36" t="str">
        <f t="shared" si="5"/>
        <v/>
      </c>
      <c r="W34" s="33"/>
      <c r="X34" s="36" t="str">
        <f>IF((ISERROR((W34/$H34)*100)), "", IF(AND(NOT(ISERROR((W34/$H34)*100)),((W34/$H34)*100) &lt;&gt; 0), (W34/$H34)*100, ""))</f>
        <v/>
      </c>
      <c r="Y34" s="33"/>
      <c r="Z34" s="36" t="str">
        <f>IF((ISERROR((Y34/$H34)*100)), "", IF(AND(NOT(ISERROR((Y34/$H34)*100)),((Y34/$H34)*100) &lt;&gt; 0), (Y34/$H34)*100, ""))</f>
        <v/>
      </c>
      <c r="AA34" s="33"/>
      <c r="AB34" s="36" t="str">
        <f>IF((ISERROR((AA34/$H34)*100)), "", IF(AND(NOT(ISERROR((AA34/$H34)*100)),((AA34/$H34)*100) &lt;&gt; 0), (AA34/$H34)*100, ""))</f>
        <v/>
      </c>
      <c r="AC34" s="33"/>
      <c r="AD34" s="36" t="str">
        <f>IF((ISERROR((AC34/$H34)*100)), "", IF(AND(NOT(ISERROR((AC34/$H34)*100)),((AC34/$H34)*100) &lt;&gt; 0), (AC34/$H34)*100, ""))</f>
        <v/>
      </c>
      <c r="AE34" s="76"/>
      <c r="AF34" s="36" t="str">
        <f t="shared" si="6"/>
        <v/>
      </c>
      <c r="AG34" s="33"/>
      <c r="AH34" s="36" t="str">
        <f>IF((ISERROR((AG34/$H34)*100)), "", IF(AND(NOT(ISERROR((AG34/$H34)*100)),((AG34/$H34)*100) &lt;&gt; 0), (AG34/$H34)*100, ""))</f>
        <v/>
      </c>
      <c r="AI34" s="33"/>
      <c r="AJ34" s="36" t="str">
        <f t="shared" si="7"/>
        <v/>
      </c>
      <c r="AK34" s="33"/>
      <c r="AL34" s="36" t="str">
        <f>IF((ISERROR((AK34/$H34)*100)), "", IF(AND(NOT(ISERROR((AK34/$H34)*100)),((AK34/$H34)*100) &lt;&gt; 0), (AK34/$H34)*100, ""))</f>
        <v/>
      </c>
      <c r="AM34" s="33"/>
      <c r="AN34" s="36" t="str">
        <f>IF((ISERROR((AM34/$H34)*100)), "", IF(AND(NOT(ISERROR((AM34/$H34)*100)),((AM34/$H34)*100) &lt;&gt; 0), (AM34/$H34)*100, ""))</f>
        <v/>
      </c>
      <c r="AO34" s="33"/>
      <c r="AP34" s="36" t="str">
        <f t="shared" si="8"/>
        <v/>
      </c>
      <c r="AQ34" s="33"/>
      <c r="AR34" s="36" t="str">
        <f t="shared" si="9"/>
        <v/>
      </c>
      <c r="AS34" s="33"/>
      <c r="AT34" s="36" t="str">
        <f t="shared" si="19"/>
        <v/>
      </c>
      <c r="AU34" s="33"/>
      <c r="AV34" s="36" t="str">
        <f t="shared" si="20"/>
        <v/>
      </c>
      <c r="AW34" s="33"/>
      <c r="AX34" s="36" t="str">
        <f t="shared" si="21"/>
        <v/>
      </c>
      <c r="AY34" s="33"/>
      <c r="AZ34" s="36" t="str">
        <f t="shared" si="22"/>
        <v/>
      </c>
      <c r="BA34" s="23" t="s">
        <v>180</v>
      </c>
    </row>
    <row r="35" spans="1:53" ht="20" customHeight="1" x14ac:dyDescent="0.2">
      <c r="A35" s="60"/>
      <c r="B35" s="82"/>
      <c r="C35" s="24" t="s">
        <v>85</v>
      </c>
      <c r="D35" s="23" t="s">
        <v>267</v>
      </c>
      <c r="E35" s="23" t="s">
        <v>268</v>
      </c>
      <c r="F35" s="24">
        <v>1994</v>
      </c>
      <c r="H35" s="89">
        <v>20</v>
      </c>
      <c r="I35" s="85" t="s">
        <v>340</v>
      </c>
      <c r="J35" s="86"/>
      <c r="K35" s="33"/>
      <c r="L35" s="36" t="str">
        <f t="shared" si="0"/>
        <v/>
      </c>
      <c r="M35" s="33"/>
      <c r="N35" s="36" t="str">
        <f t="shared" si="1"/>
        <v/>
      </c>
      <c r="O35" s="33"/>
      <c r="P35" s="36" t="str">
        <f t="shared" si="2"/>
        <v/>
      </c>
      <c r="Q35" s="33"/>
      <c r="R35" s="36" t="str">
        <f t="shared" si="3"/>
        <v/>
      </c>
      <c r="S35" s="38"/>
      <c r="T35" s="39" t="str">
        <f t="shared" si="4"/>
        <v/>
      </c>
      <c r="U35" s="40"/>
      <c r="V35" s="39" t="str">
        <f t="shared" si="5"/>
        <v/>
      </c>
      <c r="W35" s="38"/>
      <c r="X35" s="39" t="str">
        <f>IF((ISERROR((W35/$H35)*100)), "", IF(AND(NOT(ISERROR((W35/$H35)*100)),((W35/$H35)*100) &lt;&gt; 0), (W35/$H35)*100, ""))</f>
        <v/>
      </c>
      <c r="Y35" s="33"/>
      <c r="Z35" s="36" t="str">
        <f>IF((ISERROR((Y35/$H35)*100)), "", IF(AND(NOT(ISERROR((Y35/$H35)*100)),((Y35/$H35)*100) &lt;&gt; 0), (Y35/$H35)*100, ""))</f>
        <v/>
      </c>
      <c r="AA35" s="33"/>
      <c r="AB35" s="36" t="str">
        <f>IF((ISERROR((AA35/$H35)*100)), "", IF(AND(NOT(ISERROR((AA35/$H35)*100)),((AA35/$H35)*100) &lt;&gt; 0), (AA35/$H35)*100, ""))</f>
        <v/>
      </c>
      <c r="AC35" s="33"/>
      <c r="AD35" s="36" t="str">
        <f>IF((ISERROR((AC35/$H35)*100)), "", IF(AND(NOT(ISERROR((AC35/$H35)*100)),((AC35/$H35)*100) &lt;&gt; 0), (AC35/$H35)*100, ""))</f>
        <v/>
      </c>
      <c r="AE35" s="76"/>
      <c r="AF35" s="36" t="str">
        <f t="shared" si="6"/>
        <v/>
      </c>
      <c r="AG35" s="33"/>
      <c r="AH35" s="36" t="str">
        <f>IF((ISERROR((AG35/$H35)*100)), "", IF(AND(NOT(ISERROR((AG35/$H35)*100)),((AG35/$H35)*100) &lt;&gt; 0), (AG35/$H35)*100, ""))</f>
        <v/>
      </c>
      <c r="AI35" s="33"/>
      <c r="AJ35" s="36" t="str">
        <f t="shared" si="7"/>
        <v/>
      </c>
      <c r="AK35" s="33"/>
      <c r="AL35" s="36" t="str">
        <f>IF((ISERROR((AK35/$H35)*100)), "", IF(AND(NOT(ISERROR((AK35/$H35)*100)),((AK35/$H35)*100) &lt;&gt; 0), (AK35/$H35)*100, ""))</f>
        <v/>
      </c>
      <c r="AM35" s="33"/>
      <c r="AN35" s="36" t="str">
        <f>IF((ISERROR((AM35/$H35)*100)), "", IF(AND(NOT(ISERROR((AM35/$H35)*100)),((AM35/$H35)*100) &lt;&gt; 0), (AM35/$H35)*100, ""))</f>
        <v/>
      </c>
      <c r="AO35" s="33"/>
      <c r="AP35" s="36" t="str">
        <f t="shared" si="8"/>
        <v/>
      </c>
      <c r="AQ35" s="33"/>
      <c r="AR35" s="36" t="str">
        <f t="shared" si="9"/>
        <v/>
      </c>
      <c r="AS35" s="33"/>
      <c r="AT35" s="36" t="str">
        <f t="shared" si="19"/>
        <v/>
      </c>
      <c r="AU35" s="33"/>
      <c r="AV35" s="36" t="str">
        <f t="shared" si="20"/>
        <v/>
      </c>
      <c r="AW35" s="33"/>
      <c r="AX35" s="36" t="str">
        <f t="shared" si="21"/>
        <v/>
      </c>
      <c r="AY35" s="33"/>
      <c r="AZ35" s="36" t="str">
        <f t="shared" si="22"/>
        <v/>
      </c>
      <c r="BA35" s="23" t="s">
        <v>405</v>
      </c>
    </row>
    <row r="36" spans="1:53" ht="20" customHeight="1" x14ac:dyDescent="0.2">
      <c r="A36" s="60"/>
      <c r="B36" s="83"/>
      <c r="C36" s="24" t="s">
        <v>85</v>
      </c>
      <c r="D36" s="23" t="s">
        <v>341</v>
      </c>
      <c r="E36" s="23" t="s">
        <v>342</v>
      </c>
      <c r="F36" s="24">
        <v>2008</v>
      </c>
      <c r="H36" s="89">
        <v>16</v>
      </c>
      <c r="I36" s="85" t="s">
        <v>176</v>
      </c>
      <c r="J36" s="86" t="s">
        <v>343</v>
      </c>
      <c r="K36" s="33"/>
      <c r="L36" s="36" t="str">
        <f t="shared" si="0"/>
        <v/>
      </c>
      <c r="M36" s="33"/>
      <c r="N36" s="36" t="str">
        <f t="shared" si="1"/>
        <v/>
      </c>
      <c r="O36" s="33"/>
      <c r="P36" s="36" t="str">
        <f t="shared" si="2"/>
        <v/>
      </c>
      <c r="Q36" s="33"/>
      <c r="R36" s="36" t="str">
        <f t="shared" si="3"/>
        <v/>
      </c>
      <c r="S36" s="33"/>
      <c r="T36" s="36" t="str">
        <f t="shared" si="4"/>
        <v/>
      </c>
      <c r="U36" s="76"/>
      <c r="V36" s="36" t="str">
        <f t="shared" si="5"/>
        <v/>
      </c>
      <c r="W36" s="33"/>
      <c r="X36" s="36" t="str">
        <f>IF((ISERROR((W36/$H36)*100)), "", IF(AND(NOT(ISERROR((W36/$H36)*100)),((W36/$H36)*100) &lt;&gt; 0), (W36/$H36)*100, ""))</f>
        <v/>
      </c>
      <c r="Y36" s="33"/>
      <c r="Z36" s="36" t="str">
        <f>IF((ISERROR((Y36/$H36)*100)), "", IF(AND(NOT(ISERROR((Y36/$H36)*100)),((Y36/$H36)*100) &lt;&gt; 0), (Y36/$H36)*100, ""))</f>
        <v/>
      </c>
      <c r="AA36" s="33"/>
      <c r="AB36" s="36" t="str">
        <f>IF((ISERROR((AA36/$H36)*100)), "", IF(AND(NOT(ISERROR((AA36/$H36)*100)),((AA36/$H36)*100) &lt;&gt; 0), (AA36/$H36)*100, ""))</f>
        <v/>
      </c>
      <c r="AC36" s="33"/>
      <c r="AD36" s="36" t="str">
        <f>IF((ISERROR((AC36/$H36)*100)), "", IF(AND(NOT(ISERROR((AC36/$H36)*100)),((AC36/$H36)*100) &lt;&gt; 0), (AC36/$H36)*100, ""))</f>
        <v/>
      </c>
      <c r="AE36" s="76"/>
      <c r="AF36" s="36" t="str">
        <f t="shared" si="6"/>
        <v/>
      </c>
      <c r="AG36" s="33"/>
      <c r="AH36" s="36" t="str">
        <f>IF((ISERROR((AG36/$H36)*100)), "", IF(AND(NOT(ISERROR((AG36/$H36)*100)),((AG36/$H36)*100) &lt;&gt; 0), (AG36/$H36)*100, ""))</f>
        <v/>
      </c>
      <c r="AI36" s="33"/>
      <c r="AJ36" s="36" t="str">
        <f t="shared" si="7"/>
        <v/>
      </c>
      <c r="AK36" s="33"/>
      <c r="AL36" s="36" t="str">
        <f>IF((ISERROR((AK36/$H36)*100)), "", IF(AND(NOT(ISERROR((AK36/$H36)*100)),((AK36/$H36)*100) &lt;&gt; 0), (AK36/$H36)*100, ""))</f>
        <v/>
      </c>
      <c r="AM36" s="33"/>
      <c r="AN36" s="36" t="str">
        <f>IF((ISERROR((AM36/$H36)*100)), "", IF(AND(NOT(ISERROR((AM36/$H36)*100)),((AM36/$H36)*100) &lt;&gt; 0), (AM36/$H36)*100, ""))</f>
        <v/>
      </c>
      <c r="AO36" s="33"/>
      <c r="AP36" s="36" t="str">
        <f t="shared" si="8"/>
        <v/>
      </c>
      <c r="AQ36" s="33"/>
      <c r="AR36" s="36" t="str">
        <f t="shared" si="9"/>
        <v/>
      </c>
      <c r="AS36" s="33"/>
      <c r="AT36" s="36" t="str">
        <f t="shared" si="19"/>
        <v/>
      </c>
      <c r="AU36" s="33"/>
      <c r="AV36" s="36" t="str">
        <f t="shared" si="20"/>
        <v/>
      </c>
      <c r="AW36" s="33"/>
      <c r="AX36" s="36" t="str">
        <f t="shared" si="21"/>
        <v/>
      </c>
      <c r="AY36" s="33"/>
      <c r="AZ36" s="36" t="str">
        <f t="shared" si="22"/>
        <v/>
      </c>
      <c r="BA36" s="23" t="s">
        <v>413</v>
      </c>
    </row>
    <row r="37" spans="1:53" ht="20" customHeight="1" x14ac:dyDescent="0.2">
      <c r="A37" s="60"/>
      <c r="B37" s="82"/>
      <c r="C37" s="24" t="s">
        <v>85</v>
      </c>
      <c r="D37" s="23" t="s">
        <v>54</v>
      </c>
      <c r="E37" s="23" t="s">
        <v>55</v>
      </c>
      <c r="F37" s="24">
        <v>1996</v>
      </c>
      <c r="G37" s="24">
        <v>82</v>
      </c>
      <c r="H37" s="89">
        <v>15</v>
      </c>
      <c r="I37" s="85" t="s">
        <v>176</v>
      </c>
      <c r="J37" s="86" t="s">
        <v>178</v>
      </c>
      <c r="K37" s="33">
        <v>1</v>
      </c>
      <c r="L37" s="36">
        <f t="shared" si="0"/>
        <v>6.666666666666667</v>
      </c>
      <c r="M37" s="33"/>
      <c r="N37" s="36" t="str">
        <f t="shared" si="1"/>
        <v/>
      </c>
      <c r="O37" s="33"/>
      <c r="P37" s="36" t="str">
        <f t="shared" si="2"/>
        <v/>
      </c>
      <c r="Q37" s="33"/>
      <c r="R37" s="36" t="str">
        <f t="shared" si="3"/>
        <v/>
      </c>
      <c r="S37" s="33"/>
      <c r="T37" s="36" t="str">
        <f t="shared" si="4"/>
        <v/>
      </c>
      <c r="U37" s="76">
        <v>1</v>
      </c>
      <c r="V37" s="36">
        <f t="shared" si="5"/>
        <v>6.666666666666667</v>
      </c>
      <c r="W37" s="33"/>
      <c r="X37" s="36" t="str">
        <f>IF((ISERROR((W37/$H37)*100)), "", IF(AND(NOT(ISERROR((W37/$H37)*100)),((W37/$H37)*100) &lt;&gt; 0), (W37/$H37)*100, ""))</f>
        <v/>
      </c>
      <c r="Y37" s="33"/>
      <c r="Z37" s="36" t="str">
        <f>IF((ISERROR((Y37/$H37)*100)), "", IF(AND(NOT(ISERROR((Y37/$H37)*100)),((Y37/$H37)*100) &lt;&gt; 0), (Y37/$H37)*100, ""))</f>
        <v/>
      </c>
      <c r="AA37" s="33"/>
      <c r="AB37" s="36" t="str">
        <f>IF((ISERROR((AA37/$H37)*100)), "", IF(AND(NOT(ISERROR((AA37/$H37)*100)),((AA37/$H37)*100) &lt;&gt; 0), (AA37/$H37)*100, ""))</f>
        <v/>
      </c>
      <c r="AC37" s="33"/>
      <c r="AD37" s="36" t="str">
        <f>IF((ISERROR((AC37/$H37)*100)), "", IF(AND(NOT(ISERROR((AC37/$H37)*100)),((AC37/$H37)*100) &lt;&gt; 0), (AC37/$H37)*100, ""))</f>
        <v/>
      </c>
      <c r="AE37" s="76"/>
      <c r="AF37" s="36" t="str">
        <f t="shared" si="6"/>
        <v/>
      </c>
      <c r="AG37" s="33">
        <v>3</v>
      </c>
      <c r="AH37" s="36">
        <f>IF((ISERROR((AG37/$H37)*100)), "", IF(AND(NOT(ISERROR((AG37/$H37)*100)),((AG37/$H37)*100) &lt;&gt; 0), (AG37/$H37)*100, ""))</f>
        <v>20</v>
      </c>
      <c r="AI37" s="33">
        <v>1</v>
      </c>
      <c r="AJ37" s="36">
        <f t="shared" si="7"/>
        <v>6.666666666666667</v>
      </c>
      <c r="AK37" s="33"/>
      <c r="AL37" s="36" t="str">
        <f>IF((ISERROR((AK37/$H37)*100)), "", IF(AND(NOT(ISERROR((AK37/$H37)*100)),((AK37/$H37)*100) &lt;&gt; 0), (AK37/$H37)*100, ""))</f>
        <v/>
      </c>
      <c r="AM37" s="33"/>
      <c r="AN37" s="36" t="str">
        <f>IF((ISERROR((AM37/$H37)*100)), "", IF(AND(NOT(ISERROR((AM37/$H37)*100)),((AM37/$H37)*100) &lt;&gt; 0), (AM37/$H37)*100, ""))</f>
        <v/>
      </c>
      <c r="AO37" s="33"/>
      <c r="AP37" s="36" t="str">
        <f t="shared" si="8"/>
        <v/>
      </c>
      <c r="AQ37" s="33"/>
      <c r="AR37" s="36" t="str">
        <f t="shared" si="9"/>
        <v/>
      </c>
      <c r="AS37" s="33"/>
      <c r="AT37" s="36" t="str">
        <f t="shared" si="19"/>
        <v/>
      </c>
      <c r="AU37" s="33"/>
      <c r="AV37" s="36" t="str">
        <f t="shared" si="20"/>
        <v/>
      </c>
      <c r="AW37" s="33"/>
      <c r="AX37" s="36" t="str">
        <f t="shared" si="21"/>
        <v/>
      </c>
      <c r="AY37" s="33"/>
      <c r="AZ37" s="36" t="str">
        <f t="shared" si="22"/>
        <v/>
      </c>
      <c r="BA37" s="23" t="s">
        <v>344</v>
      </c>
    </row>
    <row r="38" spans="1:53" ht="20" customHeight="1" x14ac:dyDescent="0.2">
      <c r="A38" s="60"/>
      <c r="B38" s="83"/>
      <c r="C38" s="24" t="s">
        <v>85</v>
      </c>
      <c r="D38" s="23" t="s">
        <v>269</v>
      </c>
      <c r="E38" s="23" t="s">
        <v>270</v>
      </c>
      <c r="F38" s="24">
        <v>2016</v>
      </c>
      <c r="H38" s="89">
        <v>49</v>
      </c>
      <c r="I38" s="85" t="s">
        <v>345</v>
      </c>
      <c r="J38" s="86" t="s">
        <v>193</v>
      </c>
      <c r="K38" s="33"/>
      <c r="L38" s="36" t="str">
        <f t="shared" si="0"/>
        <v/>
      </c>
      <c r="M38" s="33"/>
      <c r="N38" s="36" t="str">
        <f t="shared" si="1"/>
        <v/>
      </c>
      <c r="O38" s="33"/>
      <c r="P38" s="36" t="str">
        <f t="shared" si="2"/>
        <v/>
      </c>
      <c r="Q38" s="33"/>
      <c r="R38" s="36" t="str">
        <f t="shared" si="3"/>
        <v/>
      </c>
      <c r="S38" s="33"/>
      <c r="T38" s="36" t="str">
        <f t="shared" si="4"/>
        <v/>
      </c>
      <c r="U38" s="76"/>
      <c r="V38" s="36" t="str">
        <f t="shared" si="5"/>
        <v/>
      </c>
      <c r="W38" s="33"/>
      <c r="X38" s="36" t="str">
        <f t="shared" si="14"/>
        <v/>
      </c>
      <c r="Y38" s="33"/>
      <c r="Z38" s="36" t="str">
        <f t="shared" si="15"/>
        <v/>
      </c>
      <c r="AA38" s="33"/>
      <c r="AB38" s="36" t="str">
        <f t="shared" si="16"/>
        <v/>
      </c>
      <c r="AC38" s="33"/>
      <c r="AD38" s="36" t="str">
        <f t="shared" si="17"/>
        <v/>
      </c>
      <c r="AE38" s="76"/>
      <c r="AF38" s="36" t="str">
        <f t="shared" si="6"/>
        <v/>
      </c>
      <c r="AG38" s="33"/>
      <c r="AH38" s="36" t="str">
        <f t="shared" si="23"/>
        <v/>
      </c>
      <c r="AI38" s="33"/>
      <c r="AJ38" s="36" t="str">
        <f t="shared" si="7"/>
        <v/>
      </c>
      <c r="AK38" s="33"/>
      <c r="AL38" s="36" t="str">
        <f t="shared" si="18"/>
        <v/>
      </c>
      <c r="AM38" s="33"/>
      <c r="AN38" s="36" t="str">
        <f t="shared" si="19"/>
        <v/>
      </c>
      <c r="AO38" s="33"/>
      <c r="AP38" s="36" t="str">
        <f t="shared" si="8"/>
        <v/>
      </c>
      <c r="AQ38" s="33"/>
      <c r="AR38" s="36" t="str">
        <f t="shared" si="9"/>
        <v/>
      </c>
      <c r="AS38" s="33"/>
      <c r="AT38" s="36" t="str">
        <f t="shared" si="19"/>
        <v/>
      </c>
      <c r="AU38" s="33"/>
      <c r="AV38" s="36" t="str">
        <f t="shared" si="20"/>
        <v/>
      </c>
      <c r="AW38" s="33"/>
      <c r="AX38" s="36" t="str">
        <f t="shared" si="21"/>
        <v/>
      </c>
      <c r="AY38" s="33"/>
      <c r="AZ38" s="36" t="str">
        <f t="shared" si="22"/>
        <v/>
      </c>
      <c r="BA38" s="23" t="s">
        <v>346</v>
      </c>
    </row>
    <row r="39" spans="1:53" ht="20" customHeight="1" x14ac:dyDescent="0.2">
      <c r="A39" s="61"/>
      <c r="B39" s="83"/>
      <c r="C39" s="24" t="s">
        <v>85</v>
      </c>
      <c r="D39" s="23" t="s">
        <v>86</v>
      </c>
      <c r="E39" s="23" t="s">
        <v>56</v>
      </c>
      <c r="F39" s="24">
        <v>2014</v>
      </c>
      <c r="G39" s="24">
        <v>41</v>
      </c>
      <c r="H39" s="89">
        <v>20</v>
      </c>
      <c r="I39" s="85" t="s">
        <v>179</v>
      </c>
      <c r="J39" s="86"/>
      <c r="K39" s="33"/>
      <c r="L39" s="36" t="str">
        <f t="shared" si="0"/>
        <v/>
      </c>
      <c r="M39" s="33"/>
      <c r="N39" s="36" t="str">
        <f t="shared" si="1"/>
        <v/>
      </c>
      <c r="O39" s="33"/>
      <c r="P39" s="36" t="str">
        <f t="shared" si="2"/>
        <v/>
      </c>
      <c r="Q39" s="33"/>
      <c r="R39" s="36" t="str">
        <f t="shared" si="3"/>
        <v/>
      </c>
      <c r="S39" s="38"/>
      <c r="T39" s="39" t="str">
        <f t="shared" si="4"/>
        <v/>
      </c>
      <c r="U39" s="76"/>
      <c r="V39" s="36" t="str">
        <f t="shared" si="5"/>
        <v/>
      </c>
      <c r="W39" s="33"/>
      <c r="X39" s="36" t="str">
        <f t="shared" si="14"/>
        <v/>
      </c>
      <c r="Y39" s="33"/>
      <c r="Z39" s="36" t="str">
        <f t="shared" si="15"/>
        <v/>
      </c>
      <c r="AA39" s="33"/>
      <c r="AB39" s="36" t="str">
        <f t="shared" si="16"/>
        <v/>
      </c>
      <c r="AC39" s="33"/>
      <c r="AD39" s="36" t="str">
        <f t="shared" si="17"/>
        <v/>
      </c>
      <c r="AE39" s="76"/>
      <c r="AF39" s="36" t="str">
        <f t="shared" si="6"/>
        <v/>
      </c>
      <c r="AG39" s="33"/>
      <c r="AH39" s="36" t="str">
        <f t="shared" si="23"/>
        <v/>
      </c>
      <c r="AI39" s="33"/>
      <c r="AJ39" s="36" t="str">
        <f t="shared" si="7"/>
        <v/>
      </c>
      <c r="AK39" s="33"/>
      <c r="AL39" s="36" t="str">
        <f t="shared" si="18"/>
        <v/>
      </c>
      <c r="AM39" s="33"/>
      <c r="AN39" s="36" t="str">
        <f t="shared" si="19"/>
        <v/>
      </c>
      <c r="AO39" s="33"/>
      <c r="AP39" s="36" t="str">
        <f t="shared" si="8"/>
        <v/>
      </c>
      <c r="AQ39" s="33"/>
      <c r="AR39" s="36" t="str">
        <f t="shared" si="9"/>
        <v/>
      </c>
      <c r="AS39" s="33"/>
      <c r="AT39" s="36" t="str">
        <f t="shared" si="19"/>
        <v/>
      </c>
      <c r="AU39" s="33"/>
      <c r="AV39" s="36" t="str">
        <f t="shared" si="20"/>
        <v/>
      </c>
      <c r="AW39" s="33"/>
      <c r="AX39" s="36" t="str">
        <f t="shared" si="21"/>
        <v/>
      </c>
      <c r="AY39" s="33"/>
      <c r="AZ39" s="36" t="str">
        <f t="shared" si="22"/>
        <v/>
      </c>
      <c r="BA39" s="23" t="s">
        <v>347</v>
      </c>
    </row>
    <row r="40" spans="1:53" ht="20" customHeight="1" x14ac:dyDescent="0.2">
      <c r="A40" s="61"/>
      <c r="B40" s="84"/>
      <c r="C40" s="24" t="s">
        <v>85</v>
      </c>
      <c r="D40" s="23" t="s">
        <v>57</v>
      </c>
      <c r="E40" s="23" t="s">
        <v>58</v>
      </c>
      <c r="F40" s="24">
        <v>2006</v>
      </c>
      <c r="G40" s="24">
        <v>132</v>
      </c>
      <c r="H40" s="89">
        <v>7</v>
      </c>
      <c r="I40" s="85" t="s">
        <v>176</v>
      </c>
      <c r="J40" s="86" t="s">
        <v>169</v>
      </c>
      <c r="K40" s="33"/>
      <c r="L40" s="36" t="str">
        <f t="shared" si="0"/>
        <v/>
      </c>
      <c r="M40" s="33"/>
      <c r="N40" s="36" t="str">
        <f t="shared" si="1"/>
        <v/>
      </c>
      <c r="O40" s="33"/>
      <c r="P40" s="36" t="str">
        <f t="shared" si="2"/>
        <v/>
      </c>
      <c r="Q40" s="33"/>
      <c r="R40" s="36" t="str">
        <f t="shared" si="3"/>
        <v/>
      </c>
      <c r="S40" s="33"/>
      <c r="T40" s="36" t="str">
        <f t="shared" si="4"/>
        <v/>
      </c>
      <c r="U40" s="76"/>
      <c r="V40" s="36" t="str">
        <f t="shared" si="5"/>
        <v/>
      </c>
      <c r="W40" s="33"/>
      <c r="X40" s="36" t="str">
        <f>IF((ISERROR((W40/$H40)*100)), "", IF(AND(NOT(ISERROR((W40/$H40)*100)),((W40/$H40)*100) &lt;&gt; 0), (W40/$H40)*100, ""))</f>
        <v/>
      </c>
      <c r="Y40" s="33"/>
      <c r="Z40" s="36" t="str">
        <f>IF((ISERROR((Y40/$H40)*100)), "", IF(AND(NOT(ISERROR((Y40/$H40)*100)),((Y40/$H40)*100) &lt;&gt; 0), (Y40/$H40)*100, ""))</f>
        <v/>
      </c>
      <c r="AA40" s="33"/>
      <c r="AB40" s="36" t="str">
        <f>IF((ISERROR((AA40/$H40)*100)), "", IF(AND(NOT(ISERROR((AA40/$H40)*100)),((AA40/$H40)*100) &lt;&gt; 0), (AA40/$H40)*100, ""))</f>
        <v/>
      </c>
      <c r="AC40" s="33"/>
      <c r="AD40" s="36" t="str">
        <f>IF((ISERROR((AC40/$H40)*100)), "", IF(AND(NOT(ISERROR((AC40/$H40)*100)),((AC40/$H40)*100) &lt;&gt; 0), (AC40/$H40)*100, ""))</f>
        <v/>
      </c>
      <c r="AE40" s="76"/>
      <c r="AF40" s="36" t="str">
        <f t="shared" si="6"/>
        <v/>
      </c>
      <c r="AG40" s="33"/>
      <c r="AH40" s="36" t="str">
        <f>IF((ISERROR((AG40/$H40)*100)), "", IF(AND(NOT(ISERROR((AG40/$H40)*100)),((AG40/$H40)*100) &lt;&gt; 0), (AG40/$H40)*100, ""))</f>
        <v/>
      </c>
      <c r="AI40" s="33"/>
      <c r="AJ40" s="36" t="str">
        <f t="shared" si="7"/>
        <v/>
      </c>
      <c r="AK40" s="33"/>
      <c r="AL40" s="36" t="str">
        <f>IF((ISERROR((AK40/$H40)*100)), "", IF(AND(NOT(ISERROR((AK40/$H40)*100)),((AK40/$H40)*100) &lt;&gt; 0), (AK40/$H40)*100, ""))</f>
        <v/>
      </c>
      <c r="AM40" s="33"/>
      <c r="AN40" s="36" t="str">
        <f>IF((ISERROR((AM40/$H40)*100)), "", IF(AND(NOT(ISERROR((AM40/$H40)*100)),((AM40/$H40)*100) &lt;&gt; 0), (AM40/$H40)*100, ""))</f>
        <v/>
      </c>
      <c r="AO40" s="33"/>
      <c r="AP40" s="36" t="str">
        <f t="shared" si="8"/>
        <v/>
      </c>
      <c r="AQ40" s="33"/>
      <c r="AR40" s="36" t="str">
        <f t="shared" si="9"/>
        <v/>
      </c>
      <c r="AS40" s="33"/>
      <c r="AT40" s="36" t="str">
        <f t="shared" si="19"/>
        <v/>
      </c>
      <c r="AU40" s="33"/>
      <c r="AV40" s="36" t="str">
        <f t="shared" si="20"/>
        <v/>
      </c>
      <c r="AW40" s="33"/>
      <c r="AX40" s="36" t="str">
        <f t="shared" si="21"/>
        <v/>
      </c>
      <c r="AY40" s="33"/>
      <c r="AZ40" s="36" t="str">
        <f t="shared" si="22"/>
        <v/>
      </c>
      <c r="BA40" s="23" t="s">
        <v>481</v>
      </c>
    </row>
    <row r="41" spans="1:53" ht="20" customHeight="1" x14ac:dyDescent="0.2">
      <c r="A41" s="60"/>
      <c r="B41" s="83"/>
      <c r="C41" s="24" t="s">
        <v>85</v>
      </c>
      <c r="D41" s="23" t="s">
        <v>59</v>
      </c>
      <c r="E41" s="23" t="s">
        <v>60</v>
      </c>
      <c r="F41" s="24">
        <v>2009</v>
      </c>
      <c r="G41" s="24">
        <v>49</v>
      </c>
      <c r="H41" s="89">
        <v>22</v>
      </c>
      <c r="I41" s="85" t="s">
        <v>176</v>
      </c>
      <c r="J41" s="86" t="s">
        <v>189</v>
      </c>
      <c r="K41" s="33"/>
      <c r="L41" s="36" t="str">
        <f t="shared" si="0"/>
        <v/>
      </c>
      <c r="M41" s="33"/>
      <c r="N41" s="36" t="str">
        <f t="shared" si="1"/>
        <v/>
      </c>
      <c r="O41" s="33"/>
      <c r="P41" s="36" t="str">
        <f t="shared" si="2"/>
        <v/>
      </c>
      <c r="Q41" s="33"/>
      <c r="R41" s="36" t="str">
        <f t="shared" si="3"/>
        <v/>
      </c>
      <c r="S41" s="33"/>
      <c r="T41" s="36" t="str">
        <f t="shared" si="4"/>
        <v/>
      </c>
      <c r="U41" s="76"/>
      <c r="V41" s="36" t="str">
        <f t="shared" si="5"/>
        <v/>
      </c>
      <c r="W41" s="33"/>
      <c r="X41" s="36" t="str">
        <f>IF((ISERROR((W41/$H41)*100)), "", IF(AND(NOT(ISERROR((W41/$H41)*100)),((W41/$H41)*100) &lt;&gt; 0), (W41/$H41)*100, ""))</f>
        <v/>
      </c>
      <c r="Y41" s="33"/>
      <c r="Z41" s="36" t="str">
        <f>IF((ISERROR((Y41/$H41)*100)), "", IF(AND(NOT(ISERROR((Y41/$H41)*100)),((Y41/$H41)*100) &lt;&gt; 0), (Y41/$H41)*100, ""))</f>
        <v/>
      </c>
      <c r="AA41" s="33"/>
      <c r="AB41" s="36" t="str">
        <f>IF((ISERROR((AA41/$H41)*100)), "", IF(AND(NOT(ISERROR((AA41/$H41)*100)),((AA41/$H41)*100) &lt;&gt; 0), (AA41/$H41)*100, ""))</f>
        <v/>
      </c>
      <c r="AC41" s="33"/>
      <c r="AD41" s="36" t="str">
        <f>IF((ISERROR((AC41/$H41)*100)), "", IF(AND(NOT(ISERROR((AC41/$H41)*100)),((AC41/$H41)*100) &lt;&gt; 0), (AC41/$H41)*100, ""))</f>
        <v/>
      </c>
      <c r="AE41" s="76"/>
      <c r="AF41" s="36" t="str">
        <f t="shared" si="6"/>
        <v/>
      </c>
      <c r="AG41" s="33"/>
      <c r="AH41" s="36" t="str">
        <f>IF((ISERROR((AG41/$H41)*100)), "", IF(AND(NOT(ISERROR((AG41/$H41)*100)),((AG41/$H41)*100) &lt;&gt; 0), (AG41/$H41)*100, ""))</f>
        <v/>
      </c>
      <c r="AI41" s="33"/>
      <c r="AJ41" s="36" t="str">
        <f t="shared" si="7"/>
        <v/>
      </c>
      <c r="AK41" s="33"/>
      <c r="AL41" s="36" t="str">
        <f>IF((ISERROR((AK41/$H41)*100)), "", IF(AND(NOT(ISERROR((AK41/$H41)*100)),((AK41/$H41)*100) &lt;&gt; 0), (AK41/$H41)*100, ""))</f>
        <v/>
      </c>
      <c r="AM41" s="33"/>
      <c r="AN41" s="36" t="str">
        <f>IF((ISERROR((AM41/$H41)*100)), "", IF(AND(NOT(ISERROR((AM41/$H41)*100)),((AM41/$H41)*100) &lt;&gt; 0), (AM41/$H41)*100, ""))</f>
        <v/>
      </c>
      <c r="AO41" s="33"/>
      <c r="AP41" s="36" t="str">
        <f t="shared" si="8"/>
        <v/>
      </c>
      <c r="AQ41" s="33"/>
      <c r="AR41" s="36" t="str">
        <f t="shared" si="9"/>
        <v/>
      </c>
      <c r="AS41" s="33"/>
      <c r="AT41" s="36" t="str">
        <f t="shared" si="19"/>
        <v/>
      </c>
      <c r="AU41" s="33"/>
      <c r="AV41" s="36" t="str">
        <f t="shared" si="20"/>
        <v/>
      </c>
      <c r="AW41" s="33"/>
      <c r="AX41" s="36" t="str">
        <f t="shared" si="21"/>
        <v/>
      </c>
      <c r="AY41" s="33"/>
      <c r="AZ41" s="36" t="str">
        <f t="shared" si="22"/>
        <v/>
      </c>
      <c r="BA41" s="23" t="s">
        <v>406</v>
      </c>
    </row>
    <row r="42" spans="1:53" ht="20" customHeight="1" x14ac:dyDescent="0.2">
      <c r="A42" s="61"/>
      <c r="B42" s="83"/>
      <c r="C42" s="24" t="s">
        <v>85</v>
      </c>
      <c r="D42" s="23" t="s">
        <v>61</v>
      </c>
      <c r="E42" s="23" t="s">
        <v>62</v>
      </c>
      <c r="F42" s="24">
        <v>2006</v>
      </c>
      <c r="G42" s="24">
        <v>144</v>
      </c>
      <c r="H42" s="89">
        <v>25</v>
      </c>
      <c r="I42" s="85"/>
      <c r="J42" s="86" t="s">
        <v>190</v>
      </c>
      <c r="K42" s="33"/>
      <c r="L42" s="36" t="str">
        <f t="shared" ref="L42:L73" si="24">IF((ISERROR((K42/$H42)*100)), "", IF(AND(NOT(ISERROR((K42/$H42)*100)),((K42/$H42)*100) &lt;&gt; 0), (K42/$H42)*100, ""))</f>
        <v/>
      </c>
      <c r="M42" s="33"/>
      <c r="N42" s="36" t="str">
        <f t="shared" ref="N42:N73" si="25">IF((ISERROR((M42/$H42)*100)), "", IF(AND(NOT(ISERROR((M42/$H42)*100)),((M42/$H42)*100) &lt;&gt; 0), (M42/$H42)*100, ""))</f>
        <v/>
      </c>
      <c r="O42" s="33"/>
      <c r="P42" s="36" t="str">
        <f t="shared" ref="P42:P73" si="26">IF((ISERROR((O42/$H42)*100)), "", IF(AND(NOT(ISERROR((O42/$H42)*100)),((O42/$H42)*100) &lt;&gt; 0), (O42/$H42)*100, ""))</f>
        <v/>
      </c>
      <c r="Q42" s="33"/>
      <c r="R42" s="36" t="str">
        <f t="shared" ref="R42:R73" si="27">IF((ISERROR((Q42/$H42)*100)), "", IF(AND(NOT(ISERROR((Q42/$H42)*100)),((Q42/$H42)*100) &lt;&gt; 0), (Q42/$H42)*100, ""))</f>
        <v/>
      </c>
      <c r="S42" s="33"/>
      <c r="T42" s="36" t="str">
        <f t="shared" ref="T42:T73" si="28">IF((ISERROR((S42/$H42)*100)), "", IF(AND(NOT(ISERROR((S42/$H42)*100)),((S42/$H42)*100) &lt;&gt; 0), (S42/$H42)*100, ""))</f>
        <v/>
      </c>
      <c r="U42" s="76"/>
      <c r="V42" s="36" t="str">
        <f t="shared" ref="V42:V73" si="29">IF((ISERROR((U42/$H42)*100)), "", IF(AND(NOT(ISERROR((U42/$H42)*100)),((U42/$H42)*100) &lt;&gt; 0), (U42/$H42)*100, ""))</f>
        <v/>
      </c>
      <c r="W42" s="33"/>
      <c r="X42" s="36" t="str">
        <f t="shared" si="14"/>
        <v/>
      </c>
      <c r="Y42" s="33"/>
      <c r="Z42" s="36" t="str">
        <f t="shared" si="15"/>
        <v/>
      </c>
      <c r="AA42" s="33"/>
      <c r="AB42" s="36" t="str">
        <f t="shared" si="16"/>
        <v/>
      </c>
      <c r="AC42" s="33"/>
      <c r="AD42" s="36" t="str">
        <f t="shared" si="17"/>
        <v/>
      </c>
      <c r="AE42" s="76"/>
      <c r="AF42" s="36" t="str">
        <f t="shared" ref="AF42:AF73" si="30">IF((ISERROR((AE42/$H42)*100)), "", IF(AND(NOT(ISERROR((AE42/$H42)*100)),((AE42/$H42)*100) &lt;&gt; 0), (AE42/$H42)*100, ""))</f>
        <v/>
      </c>
      <c r="AG42" s="33"/>
      <c r="AH42" s="36" t="str">
        <f t="shared" si="23"/>
        <v/>
      </c>
      <c r="AI42" s="33"/>
      <c r="AJ42" s="36" t="str">
        <f t="shared" ref="AJ42:AJ73" si="31">IF((ISERROR((AI42/$H42)*100)), "", IF(AND(NOT(ISERROR((AI42/$H42)*100)),((AI42/$H42)*100) &lt;&gt; 0), (AI42/$H42)*100, ""))</f>
        <v/>
      </c>
      <c r="AK42" s="33"/>
      <c r="AL42" s="36" t="str">
        <f t="shared" si="18"/>
        <v/>
      </c>
      <c r="AM42" s="33"/>
      <c r="AN42" s="36" t="str">
        <f t="shared" si="19"/>
        <v/>
      </c>
      <c r="AO42" s="33"/>
      <c r="AP42" s="36" t="str">
        <f t="shared" ref="AP42:AP73" si="32">IF((ISERROR((AO42/$H42)*100)), "", IF(AND(NOT(ISERROR((AO42/$H42)*100)),((AO42/$H42)*100) &lt;&gt; 0), (AO42/$H42)*100, ""))</f>
        <v/>
      </c>
      <c r="AQ42" s="33"/>
      <c r="AR42" s="36" t="str">
        <f t="shared" ref="AR42:AR73" si="33">IF((ISERROR((AQ42/$H42)*100)), "", IF(AND(NOT(ISERROR((AQ42/$H42)*100)),((AQ42/$H42)*100) &lt;&gt; 0), (AQ42/$H42)*100, ""))</f>
        <v/>
      </c>
      <c r="AS42" s="33"/>
      <c r="AT42" s="36" t="str">
        <f t="shared" si="19"/>
        <v/>
      </c>
      <c r="AU42" s="33"/>
      <c r="AV42" s="36" t="str">
        <f t="shared" si="20"/>
        <v/>
      </c>
      <c r="AW42" s="33"/>
      <c r="AX42" s="36" t="str">
        <f t="shared" si="21"/>
        <v/>
      </c>
      <c r="AY42" s="33"/>
      <c r="AZ42" s="36" t="str">
        <f t="shared" si="22"/>
        <v/>
      </c>
      <c r="BA42" s="23" t="s">
        <v>181</v>
      </c>
    </row>
    <row r="43" spans="1:53" ht="20" customHeight="1" x14ac:dyDescent="0.2">
      <c r="A43" s="61"/>
      <c r="B43" s="24"/>
      <c r="D43" s="23" t="s">
        <v>271</v>
      </c>
      <c r="E43" s="23" t="s">
        <v>272</v>
      </c>
      <c r="F43" s="24">
        <v>2004</v>
      </c>
      <c r="H43" s="89"/>
      <c r="I43" s="85"/>
      <c r="J43" s="86"/>
      <c r="K43" s="33"/>
      <c r="L43" s="36" t="str">
        <f t="shared" si="24"/>
        <v/>
      </c>
      <c r="M43" s="33"/>
      <c r="N43" s="36" t="str">
        <f t="shared" si="25"/>
        <v/>
      </c>
      <c r="O43" s="33"/>
      <c r="P43" s="36" t="str">
        <f t="shared" si="26"/>
        <v/>
      </c>
      <c r="Q43" s="33"/>
      <c r="R43" s="36" t="str">
        <f t="shared" si="27"/>
        <v/>
      </c>
      <c r="S43" s="33"/>
      <c r="T43" s="36" t="str">
        <f t="shared" si="28"/>
        <v/>
      </c>
      <c r="U43" s="76"/>
      <c r="V43" s="36" t="str">
        <f t="shared" si="29"/>
        <v/>
      </c>
      <c r="W43" s="33"/>
      <c r="X43" s="36" t="str">
        <f t="shared" ref="X43:X74" si="34">IF((ISERROR((W43/$H43)*100)), "", IF(AND(NOT(ISERROR((W43/$H43)*100)),((W43/$H43)*100) &lt;&gt; 0), (W43/$H43)*100, ""))</f>
        <v/>
      </c>
      <c r="Y43" s="33"/>
      <c r="Z43" s="36" t="str">
        <f t="shared" ref="Z43:Z74" si="35">IF((ISERROR((Y43/$H43)*100)), "", IF(AND(NOT(ISERROR((Y43/$H43)*100)),((Y43/$H43)*100) &lt;&gt; 0), (Y43/$H43)*100, ""))</f>
        <v/>
      </c>
      <c r="AA43" s="33"/>
      <c r="AB43" s="36" t="str">
        <f t="shared" ref="AB43:AB74" si="36">IF((ISERROR((AA43/$H43)*100)), "", IF(AND(NOT(ISERROR((AA43/$H43)*100)),((AA43/$H43)*100) &lt;&gt; 0), (AA43/$H43)*100, ""))</f>
        <v/>
      </c>
      <c r="AC43" s="33"/>
      <c r="AD43" s="36" t="str">
        <f t="shared" ref="AD43:AD74" si="37">IF((ISERROR((AC43/$H43)*100)), "", IF(AND(NOT(ISERROR((AC43/$H43)*100)),((AC43/$H43)*100) &lt;&gt; 0), (AC43/$H43)*100, ""))</f>
        <v/>
      </c>
      <c r="AE43" s="76"/>
      <c r="AF43" s="36" t="str">
        <f t="shared" si="30"/>
        <v/>
      </c>
      <c r="AG43" s="33"/>
      <c r="AH43" s="36" t="str">
        <f t="shared" si="23"/>
        <v/>
      </c>
      <c r="AI43" s="33"/>
      <c r="AJ43" s="36" t="str">
        <f t="shared" si="31"/>
        <v/>
      </c>
      <c r="AK43" s="33"/>
      <c r="AL43" s="36" t="str">
        <f t="shared" ref="AL43:AL74" si="38">IF((ISERROR((AK43/$H43)*100)), "", IF(AND(NOT(ISERROR((AK43/$H43)*100)),((AK43/$H43)*100) &lt;&gt; 0), (AK43/$H43)*100, ""))</f>
        <v/>
      </c>
      <c r="AM43" s="33"/>
      <c r="AN43" s="36" t="str">
        <f t="shared" si="19"/>
        <v/>
      </c>
      <c r="AO43" s="33"/>
      <c r="AP43" s="36" t="str">
        <f t="shared" si="32"/>
        <v/>
      </c>
      <c r="AQ43" s="33"/>
      <c r="AR43" s="36" t="str">
        <f t="shared" si="33"/>
        <v/>
      </c>
      <c r="AS43" s="33"/>
      <c r="AT43" s="36" t="str">
        <f t="shared" si="19"/>
        <v/>
      </c>
      <c r="AU43" s="33"/>
      <c r="AV43" s="36" t="str">
        <f t="shared" si="20"/>
        <v/>
      </c>
      <c r="AW43" s="33"/>
      <c r="AX43" s="36" t="str">
        <f t="shared" ref="AX43:AX75" si="39">IF((ISERROR((AW43/$H43)*100)), "", IF(AND(NOT(ISERROR((AW43/$H43)*100)),((AW43/$H43)*100) &lt;&gt; 0), (AW43/$H43)*100, ""))</f>
        <v/>
      </c>
      <c r="AY43" s="33"/>
      <c r="AZ43" s="36" t="str">
        <f t="shared" ref="AZ43:AZ75" si="40">IF((ISERROR((AY43/$H43)*100)), "", IF(AND(NOT(ISERROR((AY43/$H43)*100)),((AY43/$H43)*100) &lt;&gt; 0), (AY43/$H43)*100, ""))</f>
        <v/>
      </c>
    </row>
    <row r="44" spans="1:53" ht="20" customHeight="1" x14ac:dyDescent="0.2">
      <c r="A44" s="60"/>
      <c r="B44" s="82"/>
      <c r="C44" s="24" t="s">
        <v>85</v>
      </c>
      <c r="D44" s="23" t="s">
        <v>273</v>
      </c>
      <c r="E44" s="23" t="s">
        <v>274</v>
      </c>
      <c r="F44" s="24">
        <v>2014</v>
      </c>
      <c r="H44" s="89">
        <v>39</v>
      </c>
      <c r="I44" s="85" t="s">
        <v>407</v>
      </c>
      <c r="J44" s="86" t="s">
        <v>343</v>
      </c>
      <c r="K44" s="33">
        <v>22</v>
      </c>
      <c r="L44" s="36">
        <f t="shared" si="24"/>
        <v>56.410256410256409</v>
      </c>
      <c r="M44" s="33"/>
      <c r="N44" s="36" t="str">
        <f t="shared" si="25"/>
        <v/>
      </c>
      <c r="O44" s="33"/>
      <c r="P44" s="36" t="str">
        <f t="shared" si="26"/>
        <v/>
      </c>
      <c r="Q44" s="33"/>
      <c r="R44" s="36" t="str">
        <f t="shared" si="27"/>
        <v/>
      </c>
      <c r="S44" s="33">
        <v>22</v>
      </c>
      <c r="T44" s="36">
        <f t="shared" si="28"/>
        <v>56.410256410256409</v>
      </c>
      <c r="U44" s="76"/>
      <c r="V44" s="36" t="str">
        <f t="shared" si="29"/>
        <v/>
      </c>
      <c r="W44" s="33">
        <v>23</v>
      </c>
      <c r="X44" s="36">
        <f>IF((ISERROR((W44/$H44)*100)), "", IF(AND(NOT(ISERROR((W44/$H44)*100)),((W44/$H44)*100) &lt;&gt; 0), (W44/$H44)*100, ""))</f>
        <v>58.974358974358978</v>
      </c>
      <c r="Y44" s="33"/>
      <c r="Z44" s="36" t="str">
        <f>IF((ISERROR((Y44/$H44)*100)), "", IF(AND(NOT(ISERROR((Y44/$H44)*100)),((Y44/$H44)*100) &lt;&gt; 0), (Y44/$H44)*100, ""))</f>
        <v/>
      </c>
      <c r="AA44" s="33"/>
      <c r="AB44" s="36" t="str">
        <f>IF((ISERROR((AA44/$H44)*100)), "", IF(AND(NOT(ISERROR((AA44/$H44)*100)),((AA44/$H44)*100) &lt;&gt; 0), (AA44/$H44)*100, ""))</f>
        <v/>
      </c>
      <c r="AC44" s="33"/>
      <c r="AD44" s="36" t="str">
        <f>IF((ISERROR((AC44/$H44)*100)), "", IF(AND(NOT(ISERROR((AC44/$H44)*100)),((AC44/$H44)*100) &lt;&gt; 0), (AC44/$H44)*100, ""))</f>
        <v/>
      </c>
      <c r="AE44" s="76"/>
      <c r="AF44" s="36" t="str">
        <f t="shared" si="30"/>
        <v/>
      </c>
      <c r="AG44" s="33"/>
      <c r="AH44" s="36" t="str">
        <f>IF((ISERROR((AG44/$H44)*100)), "", IF(AND(NOT(ISERROR((AG44/$H44)*100)),((AG44/$H44)*100) &lt;&gt; 0), (AG44/$H44)*100, ""))</f>
        <v/>
      </c>
      <c r="AI44" s="33"/>
      <c r="AJ44" s="36" t="str">
        <f t="shared" si="31"/>
        <v/>
      </c>
      <c r="AK44" s="33"/>
      <c r="AL44" s="36" t="str">
        <f>IF((ISERROR((AK44/$H44)*100)), "", IF(AND(NOT(ISERROR((AK44/$H44)*100)),((AK44/$H44)*100) &lt;&gt; 0), (AK44/$H44)*100, ""))</f>
        <v/>
      </c>
      <c r="AM44" s="33"/>
      <c r="AN44" s="36" t="str">
        <f>IF((ISERROR((AM44/$H44)*100)), "", IF(AND(NOT(ISERROR((AM44/$H44)*100)),((AM44/$H44)*100) &lt;&gt; 0), (AM44/$H44)*100, ""))</f>
        <v/>
      </c>
      <c r="AO44" s="33">
        <v>8</v>
      </c>
      <c r="AP44" s="36">
        <f t="shared" si="32"/>
        <v>20.512820512820511</v>
      </c>
      <c r="AQ44" s="33"/>
      <c r="AR44" s="36" t="str">
        <f t="shared" si="33"/>
        <v/>
      </c>
      <c r="AS44" s="33">
        <v>3</v>
      </c>
      <c r="AT44" s="36">
        <f t="shared" si="19"/>
        <v>7.6923076923076925</v>
      </c>
      <c r="AU44" s="33"/>
      <c r="AV44" s="36" t="str">
        <f t="shared" si="20"/>
        <v/>
      </c>
      <c r="AW44" s="33"/>
      <c r="AX44" s="36" t="str">
        <f t="shared" si="39"/>
        <v/>
      </c>
      <c r="AY44" s="33"/>
      <c r="AZ44" s="36" t="str">
        <f t="shared" si="40"/>
        <v/>
      </c>
      <c r="BA44" s="23" t="s">
        <v>349</v>
      </c>
    </row>
    <row r="45" spans="1:53" ht="20" customHeight="1" x14ac:dyDescent="0.2">
      <c r="A45" s="60"/>
      <c r="B45" s="24"/>
      <c r="C45" s="24" t="s">
        <v>85</v>
      </c>
      <c r="D45" s="23" t="s">
        <v>275</v>
      </c>
      <c r="E45" s="23" t="s">
        <v>276</v>
      </c>
      <c r="F45" s="24">
        <v>2015</v>
      </c>
      <c r="H45" s="89">
        <v>8</v>
      </c>
      <c r="I45" s="85" t="s">
        <v>214</v>
      </c>
      <c r="J45" s="86" t="s">
        <v>350</v>
      </c>
      <c r="K45" s="33"/>
      <c r="L45" s="36" t="str">
        <f t="shared" si="24"/>
        <v/>
      </c>
      <c r="M45" s="33"/>
      <c r="N45" s="36" t="str">
        <f t="shared" si="25"/>
        <v/>
      </c>
      <c r="O45" s="33"/>
      <c r="P45" s="36" t="str">
        <f t="shared" si="26"/>
        <v/>
      </c>
      <c r="Q45" s="33"/>
      <c r="R45" s="36" t="str">
        <f t="shared" si="27"/>
        <v/>
      </c>
      <c r="S45" s="33">
        <v>2</v>
      </c>
      <c r="T45" s="36">
        <f t="shared" si="28"/>
        <v>25</v>
      </c>
      <c r="U45" s="76"/>
      <c r="V45" s="36" t="str">
        <f t="shared" si="29"/>
        <v/>
      </c>
      <c r="W45" s="33"/>
      <c r="X45" s="36" t="str">
        <f>IF((ISERROR((W45/$H45)*100)), "", IF(AND(NOT(ISERROR((W45/$H45)*100)),((W45/$H45)*100) &lt;&gt; 0), (W45/$H45)*100, ""))</f>
        <v/>
      </c>
      <c r="Y45" s="33"/>
      <c r="Z45" s="36" t="str">
        <f>IF((ISERROR((Y45/$H45)*100)), "", IF(AND(NOT(ISERROR((Y45/$H45)*100)),((Y45/$H45)*100) &lt;&gt; 0), (Y45/$H45)*100, ""))</f>
        <v/>
      </c>
      <c r="AA45" s="33"/>
      <c r="AB45" s="36" t="str">
        <f>IF((ISERROR((AA45/$H45)*100)), "", IF(AND(NOT(ISERROR((AA45/$H45)*100)),((AA45/$H45)*100) &lt;&gt; 0), (AA45/$H45)*100, ""))</f>
        <v/>
      </c>
      <c r="AC45" s="33"/>
      <c r="AD45" s="36" t="str">
        <f>IF((ISERROR((AC45/$H45)*100)), "", IF(AND(NOT(ISERROR((AC45/$H45)*100)),((AC45/$H45)*100) &lt;&gt; 0), (AC45/$H45)*100, ""))</f>
        <v/>
      </c>
      <c r="AE45" s="76"/>
      <c r="AF45" s="36" t="str">
        <f t="shared" si="30"/>
        <v/>
      </c>
      <c r="AG45" s="33"/>
      <c r="AH45" s="36" t="str">
        <f>IF((ISERROR((AG45/$H45)*100)), "", IF(AND(NOT(ISERROR((AG45/$H45)*100)),((AG45/$H45)*100) &lt;&gt; 0), (AG45/$H45)*100, ""))</f>
        <v/>
      </c>
      <c r="AI45" s="33"/>
      <c r="AJ45" s="36" t="str">
        <f t="shared" si="31"/>
        <v/>
      </c>
      <c r="AK45" s="33"/>
      <c r="AL45" s="36" t="str">
        <f>IF((ISERROR((AK45/$H45)*100)), "", IF(AND(NOT(ISERROR((AK45/$H45)*100)),((AK45/$H45)*100) &lt;&gt; 0), (AK45/$H45)*100, ""))</f>
        <v/>
      </c>
      <c r="AM45" s="33"/>
      <c r="AN45" s="36" t="str">
        <f>IF((ISERROR((AM45/$H45)*100)), "", IF(AND(NOT(ISERROR((AM45/$H45)*100)),((AM45/$H45)*100) &lt;&gt; 0), (AM45/$H45)*100, ""))</f>
        <v/>
      </c>
      <c r="AO45" s="33"/>
      <c r="AP45" s="36" t="str">
        <f t="shared" si="32"/>
        <v/>
      </c>
      <c r="AQ45" s="33"/>
      <c r="AR45" s="36" t="str">
        <f t="shared" si="33"/>
        <v/>
      </c>
      <c r="AS45" s="33"/>
      <c r="AT45" s="36" t="str">
        <f t="shared" si="19"/>
        <v/>
      </c>
      <c r="AU45" s="33"/>
      <c r="AV45" s="36" t="str">
        <f t="shared" si="20"/>
        <v/>
      </c>
      <c r="AW45" s="33"/>
      <c r="AX45" s="36" t="str">
        <f t="shared" si="39"/>
        <v/>
      </c>
      <c r="AY45" s="33"/>
      <c r="AZ45" s="36" t="str">
        <f t="shared" si="40"/>
        <v/>
      </c>
      <c r="BA45" s="23" t="s">
        <v>408</v>
      </c>
    </row>
    <row r="46" spans="1:53" ht="20" customHeight="1" x14ac:dyDescent="0.2">
      <c r="A46" s="61"/>
      <c r="B46" s="82"/>
      <c r="C46" s="24" t="s">
        <v>85</v>
      </c>
      <c r="D46" s="23" t="s">
        <v>277</v>
      </c>
      <c r="E46" s="23" t="s">
        <v>278</v>
      </c>
      <c r="F46" s="24">
        <v>2001</v>
      </c>
      <c r="H46" s="89">
        <v>9</v>
      </c>
      <c r="I46" s="85"/>
      <c r="J46" s="86" t="s">
        <v>351</v>
      </c>
      <c r="K46" s="33"/>
      <c r="L46" s="36" t="str">
        <f t="shared" si="24"/>
        <v/>
      </c>
      <c r="M46" s="33"/>
      <c r="N46" s="36" t="str">
        <f t="shared" si="25"/>
        <v/>
      </c>
      <c r="O46" s="33"/>
      <c r="P46" s="36" t="str">
        <f t="shared" si="26"/>
        <v/>
      </c>
      <c r="Q46" s="33"/>
      <c r="R46" s="36" t="str">
        <f t="shared" si="27"/>
        <v/>
      </c>
      <c r="S46" s="33"/>
      <c r="T46" s="36" t="str">
        <f t="shared" si="28"/>
        <v/>
      </c>
      <c r="U46" s="40"/>
      <c r="V46" s="39" t="str">
        <f t="shared" si="29"/>
        <v/>
      </c>
      <c r="W46" s="33"/>
      <c r="X46" s="36" t="str">
        <f>IF((ISERROR((W46/$H46)*100)), "", IF(AND(NOT(ISERROR((W46/$H46)*100)),((W46/$H46)*100) &lt;&gt; 0), (W46/$H46)*100, ""))</f>
        <v/>
      </c>
      <c r="Y46" s="33"/>
      <c r="Z46" s="36" t="str">
        <f>IF((ISERROR((Y46/$H46)*100)), "", IF(AND(NOT(ISERROR((Y46/$H46)*100)),((Y46/$H46)*100) &lt;&gt; 0), (Y46/$H46)*100, ""))</f>
        <v/>
      </c>
      <c r="AA46" s="33"/>
      <c r="AB46" s="36" t="str">
        <f>IF((ISERROR((AA46/$H46)*100)), "", IF(AND(NOT(ISERROR((AA46/$H46)*100)),((AA46/$H46)*100) &lt;&gt; 0), (AA46/$H46)*100, ""))</f>
        <v/>
      </c>
      <c r="AC46" s="33"/>
      <c r="AD46" s="36" t="str">
        <f>IF((ISERROR((AC46/$H46)*100)), "", IF(AND(NOT(ISERROR((AC46/$H46)*100)),((AC46/$H46)*100) &lt;&gt; 0), (AC46/$H46)*100, ""))</f>
        <v/>
      </c>
      <c r="AE46" s="76"/>
      <c r="AF46" s="36" t="str">
        <f t="shared" si="30"/>
        <v/>
      </c>
      <c r="AG46" s="33"/>
      <c r="AH46" s="36" t="str">
        <f>IF((ISERROR((AG46/$H46)*100)), "", IF(AND(NOT(ISERROR((AG46/$H46)*100)),((AG46/$H46)*100) &lt;&gt; 0), (AG46/$H46)*100, ""))</f>
        <v/>
      </c>
      <c r="AI46" s="33"/>
      <c r="AJ46" s="36" t="str">
        <f t="shared" si="31"/>
        <v/>
      </c>
      <c r="AK46" s="33"/>
      <c r="AL46" s="36" t="str">
        <f>IF((ISERROR((AK46/$H46)*100)), "", IF(AND(NOT(ISERROR((AK46/$H46)*100)),((AK46/$H46)*100) &lt;&gt; 0), (AK46/$H46)*100, ""))</f>
        <v/>
      </c>
      <c r="AM46" s="33"/>
      <c r="AN46" s="36" t="str">
        <f>IF((ISERROR((AM46/$H46)*100)), "", IF(AND(NOT(ISERROR((AM46/$H46)*100)),((AM46/$H46)*100) &lt;&gt; 0), (AM46/$H46)*100, ""))</f>
        <v/>
      </c>
      <c r="AO46" s="33"/>
      <c r="AP46" s="36" t="str">
        <f t="shared" si="32"/>
        <v/>
      </c>
      <c r="AQ46" s="33"/>
      <c r="AR46" s="36" t="str">
        <f t="shared" si="33"/>
        <v/>
      </c>
      <c r="AS46" s="33"/>
      <c r="AT46" s="36" t="str">
        <f t="shared" si="19"/>
        <v/>
      </c>
      <c r="AU46" s="33"/>
      <c r="AV46" s="36" t="str">
        <f t="shared" si="20"/>
        <v/>
      </c>
      <c r="AW46" s="33"/>
      <c r="AX46" s="36" t="str">
        <f t="shared" si="39"/>
        <v/>
      </c>
      <c r="AY46" s="33"/>
      <c r="AZ46" s="36" t="str">
        <f t="shared" si="40"/>
        <v/>
      </c>
      <c r="BA46" s="23" t="s">
        <v>352</v>
      </c>
    </row>
    <row r="47" spans="1:53" ht="20" customHeight="1" x14ac:dyDescent="0.2">
      <c r="A47" s="60"/>
      <c r="B47" s="82"/>
      <c r="C47" s="24" t="s">
        <v>85</v>
      </c>
      <c r="D47" s="23" t="s">
        <v>63</v>
      </c>
      <c r="E47" s="23" t="s">
        <v>64</v>
      </c>
      <c r="F47" s="24">
        <v>2012</v>
      </c>
      <c r="G47" s="24">
        <v>83</v>
      </c>
      <c r="H47" s="89">
        <v>70</v>
      </c>
      <c r="I47" s="85" t="s">
        <v>182</v>
      </c>
      <c r="J47" s="86" t="s">
        <v>191</v>
      </c>
      <c r="K47" s="33"/>
      <c r="L47" s="36" t="str">
        <f t="shared" si="24"/>
        <v/>
      </c>
      <c r="M47" s="33"/>
      <c r="N47" s="36" t="str">
        <f t="shared" si="25"/>
        <v/>
      </c>
      <c r="O47" s="33"/>
      <c r="P47" s="36" t="str">
        <f t="shared" si="26"/>
        <v/>
      </c>
      <c r="Q47" s="33"/>
      <c r="R47" s="36" t="str">
        <f t="shared" si="27"/>
        <v/>
      </c>
      <c r="S47" s="33">
        <v>9</v>
      </c>
      <c r="T47" s="36">
        <f t="shared" si="28"/>
        <v>12.857142857142856</v>
      </c>
      <c r="U47" s="76">
        <v>31</v>
      </c>
      <c r="V47" s="36">
        <f t="shared" si="29"/>
        <v>44.285714285714285</v>
      </c>
      <c r="W47" s="33">
        <v>8</v>
      </c>
      <c r="X47" s="36">
        <f>IF((ISERROR((W47/$H47)*100)), "", IF(AND(NOT(ISERROR((W47/$H47)*100)),((W47/$H47)*100) &lt;&gt; 0), (W47/$H47)*100, ""))</f>
        <v>11.428571428571429</v>
      </c>
      <c r="Y47" s="33"/>
      <c r="Z47" s="36" t="str">
        <f>IF((ISERROR((Y47/$H47)*100)), "", IF(AND(NOT(ISERROR((Y47/$H47)*100)),((Y47/$H47)*100) &lt;&gt; 0), (Y47/$H47)*100, ""))</f>
        <v/>
      </c>
      <c r="AA47" s="33"/>
      <c r="AB47" s="36" t="str">
        <f>IF((ISERROR((AA47/$H47)*100)), "", IF(AND(NOT(ISERROR((AA47/$H47)*100)),((AA47/$H47)*100) &lt;&gt; 0), (AA47/$H47)*100, ""))</f>
        <v/>
      </c>
      <c r="AC47" s="33"/>
      <c r="AD47" s="36" t="str">
        <f>IF((ISERROR((AC47/$H47)*100)), "", IF(AND(NOT(ISERROR((AC47/$H47)*100)),((AC47/$H47)*100) &lt;&gt; 0), (AC47/$H47)*100, ""))</f>
        <v/>
      </c>
      <c r="AE47" s="76">
        <v>1</v>
      </c>
      <c r="AF47" s="36">
        <f t="shared" si="30"/>
        <v>1.4285714285714286</v>
      </c>
      <c r="AG47" s="33">
        <v>10</v>
      </c>
      <c r="AH47" s="36">
        <f>IF((ISERROR((AG47/$H47)*100)), "", IF(AND(NOT(ISERROR((AG47/$H47)*100)),((AG47/$H47)*100) &lt;&gt; 0), (AG47/$H47)*100, ""))</f>
        <v>14.285714285714285</v>
      </c>
      <c r="AI47" s="33"/>
      <c r="AJ47" s="36" t="str">
        <f t="shared" si="31"/>
        <v/>
      </c>
      <c r="AK47" s="33"/>
      <c r="AL47" s="36" t="str">
        <f>IF((ISERROR((AK47/$H47)*100)), "", IF(AND(NOT(ISERROR((AK47/$H47)*100)),((AK47/$H47)*100) &lt;&gt; 0), (AK47/$H47)*100, ""))</f>
        <v/>
      </c>
      <c r="AM47" s="33"/>
      <c r="AN47" s="36" t="str">
        <f>IF((ISERROR((AM47/$H47)*100)), "", IF(AND(NOT(ISERROR((AM47/$H47)*100)),((AM47/$H47)*100) &lt;&gt; 0), (AM47/$H47)*100, ""))</f>
        <v/>
      </c>
      <c r="AO47" s="33">
        <v>1</v>
      </c>
      <c r="AP47" s="36">
        <f t="shared" si="32"/>
        <v>1.4285714285714286</v>
      </c>
      <c r="AQ47" s="33"/>
      <c r="AR47" s="36" t="str">
        <f t="shared" si="33"/>
        <v/>
      </c>
      <c r="AS47" s="33">
        <v>3</v>
      </c>
      <c r="AT47" s="36">
        <f t="shared" si="19"/>
        <v>4.2857142857142856</v>
      </c>
      <c r="AU47" s="33"/>
      <c r="AV47" s="36" t="str">
        <f t="shared" si="20"/>
        <v/>
      </c>
      <c r="AW47" s="33"/>
      <c r="AX47" s="36" t="str">
        <f t="shared" si="39"/>
        <v/>
      </c>
      <c r="AY47" s="33"/>
      <c r="AZ47" s="36" t="str">
        <f t="shared" si="40"/>
        <v/>
      </c>
      <c r="BA47" s="23" t="s">
        <v>414</v>
      </c>
    </row>
    <row r="48" spans="1:53" ht="20" customHeight="1" x14ac:dyDescent="0.2">
      <c r="A48" s="61"/>
      <c r="B48" s="24"/>
      <c r="C48" s="50" t="s">
        <v>49</v>
      </c>
      <c r="D48" s="49" t="s">
        <v>65</v>
      </c>
      <c r="E48" s="49" t="s">
        <v>66</v>
      </c>
      <c r="F48" s="50">
        <v>1997</v>
      </c>
      <c r="G48" s="50"/>
      <c r="H48" s="89"/>
      <c r="I48" s="85"/>
      <c r="J48" s="86"/>
      <c r="K48" s="33"/>
      <c r="L48" s="36" t="str">
        <f t="shared" si="24"/>
        <v/>
      </c>
      <c r="M48" s="33"/>
      <c r="N48" s="36" t="str">
        <f t="shared" si="25"/>
        <v/>
      </c>
      <c r="O48" s="33"/>
      <c r="P48" s="36" t="str">
        <f t="shared" si="26"/>
        <v/>
      </c>
      <c r="Q48" s="33"/>
      <c r="R48" s="36" t="str">
        <f t="shared" si="27"/>
        <v/>
      </c>
      <c r="S48" s="33"/>
      <c r="T48" s="36" t="str">
        <f t="shared" si="28"/>
        <v/>
      </c>
      <c r="U48" s="76"/>
      <c r="V48" s="36" t="str">
        <f t="shared" si="29"/>
        <v/>
      </c>
      <c r="W48" s="33"/>
      <c r="X48" s="36" t="str">
        <f t="shared" si="34"/>
        <v/>
      </c>
      <c r="Y48" s="33"/>
      <c r="Z48" s="36" t="str">
        <f t="shared" si="35"/>
        <v/>
      </c>
      <c r="AA48" s="33"/>
      <c r="AB48" s="36" t="str">
        <f t="shared" si="36"/>
        <v/>
      </c>
      <c r="AC48" s="33"/>
      <c r="AD48" s="36" t="str">
        <f t="shared" si="37"/>
        <v/>
      </c>
      <c r="AE48" s="76"/>
      <c r="AF48" s="36" t="str">
        <f t="shared" si="30"/>
        <v/>
      </c>
      <c r="AG48" s="33"/>
      <c r="AH48" s="36" t="str">
        <f t="shared" si="23"/>
        <v/>
      </c>
      <c r="AI48" s="33"/>
      <c r="AJ48" s="36" t="str">
        <f t="shared" si="31"/>
        <v/>
      </c>
      <c r="AK48" s="33"/>
      <c r="AL48" s="36" t="str">
        <f t="shared" si="38"/>
        <v/>
      </c>
      <c r="AM48" s="33"/>
      <c r="AN48" s="36" t="str">
        <f t="shared" si="19"/>
        <v/>
      </c>
      <c r="AO48" s="33"/>
      <c r="AP48" s="36" t="str">
        <f t="shared" si="32"/>
        <v/>
      </c>
      <c r="AQ48" s="33"/>
      <c r="AR48" s="36" t="str">
        <f t="shared" si="33"/>
        <v/>
      </c>
      <c r="AS48" s="33"/>
      <c r="AT48" s="36" t="str">
        <f t="shared" si="19"/>
        <v/>
      </c>
      <c r="AU48" s="33"/>
      <c r="AV48" s="36" t="str">
        <f t="shared" si="20"/>
        <v/>
      </c>
      <c r="AW48" s="33"/>
      <c r="AX48" s="36" t="str">
        <f t="shared" si="39"/>
        <v/>
      </c>
      <c r="AY48" s="33"/>
      <c r="AZ48" s="36" t="str">
        <f t="shared" si="40"/>
        <v/>
      </c>
    </row>
    <row r="49" spans="1:53" ht="20" customHeight="1" x14ac:dyDescent="0.2">
      <c r="A49" s="61"/>
      <c r="B49" s="24"/>
      <c r="C49" s="50" t="s">
        <v>30</v>
      </c>
      <c r="D49" s="49" t="s">
        <v>67</v>
      </c>
      <c r="E49" s="49" t="s">
        <v>68</v>
      </c>
      <c r="F49" s="50">
        <v>2011</v>
      </c>
      <c r="G49" s="50">
        <v>54</v>
      </c>
      <c r="H49" s="89"/>
      <c r="I49" s="85"/>
      <c r="J49" s="86"/>
      <c r="K49" s="33"/>
      <c r="L49" s="36" t="str">
        <f t="shared" si="24"/>
        <v/>
      </c>
      <c r="M49" s="33"/>
      <c r="N49" s="36" t="str">
        <f t="shared" si="25"/>
        <v/>
      </c>
      <c r="O49" s="33"/>
      <c r="P49" s="36" t="str">
        <f t="shared" si="26"/>
        <v/>
      </c>
      <c r="Q49" s="33"/>
      <c r="R49" s="36" t="str">
        <f t="shared" si="27"/>
        <v/>
      </c>
      <c r="S49" s="33"/>
      <c r="T49" s="36" t="str">
        <f t="shared" si="28"/>
        <v/>
      </c>
      <c r="U49" s="76"/>
      <c r="V49" s="36" t="str">
        <f t="shared" si="29"/>
        <v/>
      </c>
      <c r="W49" s="33"/>
      <c r="X49" s="36" t="str">
        <f t="shared" si="34"/>
        <v/>
      </c>
      <c r="Y49" s="33"/>
      <c r="Z49" s="36" t="str">
        <f t="shared" si="35"/>
        <v/>
      </c>
      <c r="AA49" s="33"/>
      <c r="AB49" s="36" t="str">
        <f t="shared" si="36"/>
        <v/>
      </c>
      <c r="AC49" s="33"/>
      <c r="AD49" s="36" t="str">
        <f t="shared" si="37"/>
        <v/>
      </c>
      <c r="AE49" s="76"/>
      <c r="AF49" s="36" t="str">
        <f t="shared" si="30"/>
        <v/>
      </c>
      <c r="AG49" s="33"/>
      <c r="AH49" s="36" t="str">
        <f t="shared" si="23"/>
        <v/>
      </c>
      <c r="AI49" s="33"/>
      <c r="AJ49" s="36" t="str">
        <f t="shared" si="31"/>
        <v/>
      </c>
      <c r="AK49" s="33"/>
      <c r="AL49" s="36" t="str">
        <f t="shared" si="38"/>
        <v/>
      </c>
      <c r="AM49" s="33"/>
      <c r="AN49" s="36" t="str">
        <f t="shared" si="19"/>
        <v/>
      </c>
      <c r="AO49" s="33"/>
      <c r="AP49" s="36" t="str">
        <f t="shared" si="32"/>
        <v/>
      </c>
      <c r="AQ49" s="33"/>
      <c r="AR49" s="36" t="str">
        <f t="shared" si="33"/>
        <v/>
      </c>
      <c r="AS49" s="33"/>
      <c r="AT49" s="36" t="str">
        <f t="shared" si="19"/>
        <v/>
      </c>
      <c r="AU49" s="33"/>
      <c r="AV49" s="36" t="str">
        <f t="shared" si="20"/>
        <v/>
      </c>
      <c r="AW49" s="33"/>
      <c r="AX49" s="36" t="str">
        <f t="shared" si="39"/>
        <v/>
      </c>
      <c r="AY49" s="33"/>
      <c r="AZ49" s="36" t="str">
        <f t="shared" si="40"/>
        <v/>
      </c>
      <c r="BA49" s="23" t="s">
        <v>384</v>
      </c>
    </row>
    <row r="50" spans="1:53" ht="20" customHeight="1" x14ac:dyDescent="0.2">
      <c r="A50" s="60"/>
      <c r="B50" s="84"/>
      <c r="C50" s="24" t="s">
        <v>85</v>
      </c>
      <c r="D50" s="23" t="s">
        <v>69</v>
      </c>
      <c r="E50" s="23" t="s">
        <v>70</v>
      </c>
      <c r="F50" s="24">
        <v>2004</v>
      </c>
      <c r="G50" s="24">
        <v>61</v>
      </c>
      <c r="H50" s="89">
        <v>15</v>
      </c>
      <c r="I50" s="85" t="s">
        <v>184</v>
      </c>
      <c r="J50" s="86" t="s">
        <v>192</v>
      </c>
      <c r="K50" s="33"/>
      <c r="L50" s="36" t="str">
        <f t="shared" si="24"/>
        <v/>
      </c>
      <c r="M50" s="33"/>
      <c r="N50" s="36" t="str">
        <f t="shared" si="25"/>
        <v/>
      </c>
      <c r="O50" s="33"/>
      <c r="P50" s="36" t="str">
        <f t="shared" si="26"/>
        <v/>
      </c>
      <c r="Q50" s="33"/>
      <c r="R50" s="36" t="str">
        <f t="shared" si="27"/>
        <v/>
      </c>
      <c r="S50" s="33"/>
      <c r="T50" s="36" t="str">
        <f t="shared" si="28"/>
        <v/>
      </c>
      <c r="U50" s="76">
        <v>13</v>
      </c>
      <c r="V50" s="36">
        <f t="shared" si="29"/>
        <v>86.666666666666671</v>
      </c>
      <c r="W50" s="33"/>
      <c r="X50" s="36" t="str">
        <f>IF((ISERROR((W50/$H50)*100)), "", IF(AND(NOT(ISERROR((W50/$H50)*100)),((W50/$H50)*100) &lt;&gt; 0), (W50/$H50)*100, ""))</f>
        <v/>
      </c>
      <c r="Y50" s="33"/>
      <c r="Z50" s="36" t="str">
        <f>IF((ISERROR((Y50/$H50)*100)), "", IF(AND(NOT(ISERROR((Y50/$H50)*100)),((Y50/$H50)*100) &lt;&gt; 0), (Y50/$H50)*100, ""))</f>
        <v/>
      </c>
      <c r="AA50" s="33"/>
      <c r="AB50" s="36" t="str">
        <f>IF((ISERROR((AA50/$H50)*100)), "", IF(AND(NOT(ISERROR((AA50/$H50)*100)),((AA50/$H50)*100) &lt;&gt; 0), (AA50/$H50)*100, ""))</f>
        <v/>
      </c>
      <c r="AC50" s="33"/>
      <c r="AD50" s="36" t="str">
        <f>IF((ISERROR((AC50/$H50)*100)), "", IF(AND(NOT(ISERROR((AC50/$H50)*100)),((AC50/$H50)*100) &lt;&gt; 0), (AC50/$H50)*100, ""))</f>
        <v/>
      </c>
      <c r="AE50" s="76"/>
      <c r="AF50" s="36" t="str">
        <f t="shared" si="30"/>
        <v/>
      </c>
      <c r="AG50" s="33"/>
      <c r="AH50" s="36" t="str">
        <f>IF((ISERROR((AG50/$H50)*100)), "", IF(AND(NOT(ISERROR((AG50/$H50)*100)),((AG50/$H50)*100) &lt;&gt; 0), (AG50/$H50)*100, ""))</f>
        <v/>
      </c>
      <c r="AI50" s="33"/>
      <c r="AJ50" s="36" t="str">
        <f t="shared" si="31"/>
        <v/>
      </c>
      <c r="AK50" s="33"/>
      <c r="AL50" s="36" t="str">
        <f>IF((ISERROR((AK50/$H50)*100)), "", IF(AND(NOT(ISERROR((AK50/$H50)*100)),((AK50/$H50)*100) &lt;&gt; 0), (AK50/$H50)*100, ""))</f>
        <v/>
      </c>
      <c r="AM50" s="33"/>
      <c r="AN50" s="36" t="str">
        <f>IF((ISERROR((AM50/$H50)*100)), "", IF(AND(NOT(ISERROR((AM50/$H50)*100)),((AM50/$H50)*100) &lt;&gt; 0), (AM50/$H50)*100, ""))</f>
        <v/>
      </c>
      <c r="AO50" s="33"/>
      <c r="AP50" s="36" t="str">
        <f t="shared" si="32"/>
        <v/>
      </c>
      <c r="AQ50" s="33"/>
      <c r="AR50" s="36" t="str">
        <f t="shared" si="33"/>
        <v/>
      </c>
      <c r="AS50" s="33"/>
      <c r="AT50" s="36" t="str">
        <f t="shared" si="19"/>
        <v/>
      </c>
      <c r="AU50" s="33"/>
      <c r="AV50" s="36" t="str">
        <f t="shared" si="20"/>
        <v/>
      </c>
      <c r="AW50" s="33"/>
      <c r="AX50" s="36" t="str">
        <f t="shared" si="39"/>
        <v/>
      </c>
      <c r="AY50" s="33"/>
      <c r="AZ50" s="36" t="str">
        <f t="shared" si="40"/>
        <v/>
      </c>
      <c r="BA50" s="23" t="s">
        <v>415</v>
      </c>
    </row>
    <row r="51" spans="1:53" ht="20" customHeight="1" x14ac:dyDescent="0.2">
      <c r="A51" s="60"/>
      <c r="B51" s="83"/>
      <c r="C51" s="50" t="s">
        <v>85</v>
      </c>
      <c r="D51" s="49" t="s">
        <v>71</v>
      </c>
      <c r="E51" s="49" t="s">
        <v>70</v>
      </c>
      <c r="F51" s="50">
        <v>2004</v>
      </c>
      <c r="G51" s="50">
        <v>45</v>
      </c>
      <c r="H51" s="89">
        <v>15</v>
      </c>
      <c r="I51" s="85" t="s">
        <v>184</v>
      </c>
      <c r="J51" s="86" t="s">
        <v>192</v>
      </c>
      <c r="K51" s="33"/>
      <c r="L51" s="36" t="str">
        <f t="shared" si="24"/>
        <v/>
      </c>
      <c r="M51" s="33"/>
      <c r="N51" s="36" t="str">
        <f t="shared" si="25"/>
        <v/>
      </c>
      <c r="O51" s="33"/>
      <c r="P51" s="36" t="str">
        <f t="shared" si="26"/>
        <v/>
      </c>
      <c r="Q51" s="33"/>
      <c r="R51" s="36" t="str">
        <f t="shared" si="27"/>
        <v/>
      </c>
      <c r="S51" s="33"/>
      <c r="T51" s="36" t="str">
        <f t="shared" si="28"/>
        <v/>
      </c>
      <c r="U51" s="76"/>
      <c r="V51" s="36" t="str">
        <f t="shared" si="29"/>
        <v/>
      </c>
      <c r="W51" s="33"/>
      <c r="X51" s="36" t="str">
        <f>IF((ISERROR((W51/$H51)*100)), "", IF(AND(NOT(ISERROR((W51/$H51)*100)),((W51/$H51)*100) &lt;&gt; 0), (W51/$H51)*100, ""))</f>
        <v/>
      </c>
      <c r="Y51" s="33"/>
      <c r="Z51" s="36" t="str">
        <f>IF((ISERROR((Y51/$H51)*100)), "", IF(AND(NOT(ISERROR((Y51/$H51)*100)),((Y51/$H51)*100) &lt;&gt; 0), (Y51/$H51)*100, ""))</f>
        <v/>
      </c>
      <c r="AA51" s="33"/>
      <c r="AB51" s="36" t="str">
        <f>IF((ISERROR((AA51/$H51)*100)), "", IF(AND(NOT(ISERROR((AA51/$H51)*100)),((AA51/$H51)*100) &lt;&gt; 0), (AA51/$H51)*100, ""))</f>
        <v/>
      </c>
      <c r="AC51" s="33"/>
      <c r="AD51" s="36" t="str">
        <f>IF((ISERROR((AC51/$H51)*100)), "", IF(AND(NOT(ISERROR((AC51/$H51)*100)),((AC51/$H51)*100) &lt;&gt; 0), (AC51/$H51)*100, ""))</f>
        <v/>
      </c>
      <c r="AE51" s="76"/>
      <c r="AF51" s="36" t="str">
        <f t="shared" si="30"/>
        <v/>
      </c>
      <c r="AG51" s="33"/>
      <c r="AH51" s="36" t="str">
        <f>IF((ISERROR((AG51/$H51)*100)), "", IF(AND(NOT(ISERROR((AG51/$H51)*100)),((AG51/$H51)*100) &lt;&gt; 0), (AG51/$H51)*100, ""))</f>
        <v/>
      </c>
      <c r="AI51" s="33"/>
      <c r="AJ51" s="36" t="str">
        <f t="shared" si="31"/>
        <v/>
      </c>
      <c r="AK51" s="33"/>
      <c r="AL51" s="36" t="str">
        <f>IF((ISERROR((AK51/$H51)*100)), "", IF(AND(NOT(ISERROR((AK51/$H51)*100)),((AK51/$H51)*100) &lt;&gt; 0), (AK51/$H51)*100, ""))</f>
        <v/>
      </c>
      <c r="AM51" s="33"/>
      <c r="AN51" s="36" t="str">
        <f>IF((ISERROR((AM51/$H51)*100)), "", IF(AND(NOT(ISERROR((AM51/$H51)*100)),((AM51/$H51)*100) &lt;&gt; 0), (AM51/$H51)*100, ""))</f>
        <v/>
      </c>
      <c r="AO51" s="33"/>
      <c r="AP51" s="36" t="str">
        <f t="shared" si="32"/>
        <v/>
      </c>
      <c r="AQ51" s="33"/>
      <c r="AR51" s="36" t="str">
        <f t="shared" si="33"/>
        <v/>
      </c>
      <c r="AS51" s="33"/>
      <c r="AT51" s="36" t="str">
        <f t="shared" si="19"/>
        <v/>
      </c>
      <c r="AU51" s="33"/>
      <c r="AV51" s="36" t="str">
        <f t="shared" si="20"/>
        <v/>
      </c>
      <c r="AW51" s="33"/>
      <c r="AX51" s="36" t="str">
        <f t="shared" si="39"/>
        <v/>
      </c>
      <c r="AY51" s="33"/>
      <c r="AZ51" s="36" t="str">
        <f t="shared" si="40"/>
        <v/>
      </c>
      <c r="BA51" s="23" t="s">
        <v>416</v>
      </c>
    </row>
    <row r="52" spans="1:53" ht="20" customHeight="1" x14ac:dyDescent="0.2">
      <c r="A52" s="60"/>
      <c r="B52" s="82"/>
      <c r="D52" s="23" t="s">
        <v>279</v>
      </c>
      <c r="E52" s="23" t="s">
        <v>282</v>
      </c>
      <c r="F52" s="24">
        <v>2008</v>
      </c>
      <c r="H52" s="89"/>
      <c r="I52" s="85"/>
      <c r="J52" s="86" t="s">
        <v>353</v>
      </c>
      <c r="K52" s="33"/>
      <c r="L52" s="36" t="str">
        <f t="shared" si="24"/>
        <v/>
      </c>
      <c r="M52" s="33"/>
      <c r="N52" s="36" t="str">
        <f t="shared" si="25"/>
        <v/>
      </c>
      <c r="O52" s="33"/>
      <c r="P52" s="36" t="str">
        <f t="shared" si="26"/>
        <v/>
      </c>
      <c r="Q52" s="33"/>
      <c r="R52" s="36" t="str">
        <f t="shared" si="27"/>
        <v/>
      </c>
      <c r="S52" s="33">
        <v>2</v>
      </c>
      <c r="T52" s="36" t="str">
        <f t="shared" si="28"/>
        <v/>
      </c>
      <c r="U52" s="76"/>
      <c r="V52" s="36" t="str">
        <f t="shared" si="29"/>
        <v/>
      </c>
      <c r="W52" s="33"/>
      <c r="X52" s="36" t="str">
        <f t="shared" si="34"/>
        <v/>
      </c>
      <c r="Y52" s="33"/>
      <c r="Z52" s="36" t="str">
        <f t="shared" si="35"/>
        <v/>
      </c>
      <c r="AA52" s="33"/>
      <c r="AB52" s="36" t="str">
        <f t="shared" si="36"/>
        <v/>
      </c>
      <c r="AC52" s="33"/>
      <c r="AD52" s="36" t="str">
        <f t="shared" si="37"/>
        <v/>
      </c>
      <c r="AE52" s="76"/>
      <c r="AF52" s="36" t="str">
        <f t="shared" si="30"/>
        <v/>
      </c>
      <c r="AG52" s="33"/>
      <c r="AH52" s="36" t="str">
        <f t="shared" si="23"/>
        <v/>
      </c>
      <c r="AI52" s="33"/>
      <c r="AJ52" s="36" t="str">
        <f t="shared" si="31"/>
        <v/>
      </c>
      <c r="AK52" s="33"/>
      <c r="AL52" s="36" t="str">
        <f t="shared" si="38"/>
        <v/>
      </c>
      <c r="AM52" s="33"/>
      <c r="AN52" s="36" t="str">
        <f t="shared" si="19"/>
        <v/>
      </c>
      <c r="AO52" s="33"/>
      <c r="AP52" s="36" t="str">
        <f t="shared" si="32"/>
        <v/>
      </c>
      <c r="AQ52" s="33"/>
      <c r="AR52" s="36" t="str">
        <f t="shared" si="33"/>
        <v/>
      </c>
      <c r="AS52" s="33"/>
      <c r="AT52" s="36" t="str">
        <f t="shared" si="19"/>
        <v/>
      </c>
      <c r="AU52" s="33"/>
      <c r="AV52" s="36" t="str">
        <f t="shared" si="20"/>
        <v/>
      </c>
      <c r="AW52" s="33"/>
      <c r="AX52" s="36" t="str">
        <f t="shared" si="39"/>
        <v/>
      </c>
      <c r="AY52" s="33"/>
      <c r="AZ52" s="36" t="str">
        <f t="shared" si="40"/>
        <v/>
      </c>
    </row>
    <row r="53" spans="1:53" ht="20" customHeight="1" x14ac:dyDescent="0.2">
      <c r="A53" s="60"/>
      <c r="B53" s="83"/>
      <c r="C53" s="24" t="s">
        <v>85</v>
      </c>
      <c r="D53" s="23" t="s">
        <v>280</v>
      </c>
      <c r="E53" s="23" t="s">
        <v>281</v>
      </c>
      <c r="F53" s="24">
        <v>2013</v>
      </c>
      <c r="H53" s="89">
        <v>23</v>
      </c>
      <c r="I53" s="85"/>
      <c r="J53" s="86"/>
      <c r="K53" s="33"/>
      <c r="L53" s="36" t="str">
        <f t="shared" si="24"/>
        <v/>
      </c>
      <c r="M53" s="33"/>
      <c r="N53" s="36" t="str">
        <f t="shared" si="25"/>
        <v/>
      </c>
      <c r="O53" s="33"/>
      <c r="P53" s="36" t="str">
        <f t="shared" si="26"/>
        <v/>
      </c>
      <c r="Q53" s="33"/>
      <c r="R53" s="36" t="str">
        <f t="shared" si="27"/>
        <v/>
      </c>
      <c r="S53" s="33"/>
      <c r="T53" s="36" t="str">
        <f t="shared" si="28"/>
        <v/>
      </c>
      <c r="U53" s="76"/>
      <c r="V53" s="36" t="str">
        <f t="shared" si="29"/>
        <v/>
      </c>
      <c r="W53" s="33"/>
      <c r="X53" s="36" t="str">
        <f>IF((ISERROR((W53/$H53)*100)), "", IF(AND(NOT(ISERROR((W53/$H53)*100)),((W53/$H53)*100) &lt;&gt; 0), (W53/$H53)*100, ""))</f>
        <v/>
      </c>
      <c r="Y53" s="33"/>
      <c r="Z53" s="36" t="str">
        <f>IF((ISERROR((Y53/$H53)*100)), "", IF(AND(NOT(ISERROR((Y53/$H53)*100)),((Y53/$H53)*100) &lt;&gt; 0), (Y53/$H53)*100, ""))</f>
        <v/>
      </c>
      <c r="AA53" s="33"/>
      <c r="AB53" s="36" t="str">
        <f>IF((ISERROR((AA53/$H53)*100)), "", IF(AND(NOT(ISERROR((AA53/$H53)*100)),((AA53/$H53)*100) &lt;&gt; 0), (AA53/$H53)*100, ""))</f>
        <v/>
      </c>
      <c r="AC53" s="33"/>
      <c r="AD53" s="36" t="str">
        <f>IF((ISERROR((AC53/$H53)*100)), "", IF(AND(NOT(ISERROR((AC53/$H53)*100)),((AC53/$H53)*100) &lt;&gt; 0), (AC53/$H53)*100, ""))</f>
        <v/>
      </c>
      <c r="AE53" s="76"/>
      <c r="AF53" s="36" t="str">
        <f t="shared" si="30"/>
        <v/>
      </c>
      <c r="AG53" s="33"/>
      <c r="AH53" s="36" t="str">
        <f>IF((ISERROR((AG53/$H53)*100)), "", IF(AND(NOT(ISERROR((AG53/$H53)*100)),((AG53/$H53)*100) &lt;&gt; 0), (AG53/$H53)*100, ""))</f>
        <v/>
      </c>
      <c r="AI53" s="33"/>
      <c r="AJ53" s="36" t="str">
        <f t="shared" si="31"/>
        <v/>
      </c>
      <c r="AK53" s="33"/>
      <c r="AL53" s="36" t="str">
        <f>IF((ISERROR((AK53/$H53)*100)), "", IF(AND(NOT(ISERROR((AK53/$H53)*100)),((AK53/$H53)*100) &lt;&gt; 0), (AK53/$H53)*100, ""))</f>
        <v/>
      </c>
      <c r="AM53" s="33"/>
      <c r="AN53" s="36" t="str">
        <f>IF((ISERROR((AM53/$H53)*100)), "", IF(AND(NOT(ISERROR((AM53/$H53)*100)),((AM53/$H53)*100) &lt;&gt; 0), (AM53/$H53)*100, ""))</f>
        <v/>
      </c>
      <c r="AO53" s="33"/>
      <c r="AP53" s="36" t="str">
        <f t="shared" si="32"/>
        <v/>
      </c>
      <c r="AQ53" s="33"/>
      <c r="AR53" s="36" t="str">
        <f t="shared" si="33"/>
        <v/>
      </c>
      <c r="AS53" s="33"/>
      <c r="AT53" s="36" t="str">
        <f t="shared" si="19"/>
        <v/>
      </c>
      <c r="AU53" s="33"/>
      <c r="AV53" s="36" t="str">
        <f t="shared" si="20"/>
        <v/>
      </c>
      <c r="AW53" s="33"/>
      <c r="AX53" s="36" t="str">
        <f t="shared" si="39"/>
        <v/>
      </c>
      <c r="AY53" s="33"/>
      <c r="AZ53" s="36" t="str">
        <f t="shared" si="40"/>
        <v/>
      </c>
      <c r="BA53" s="23" t="s">
        <v>417</v>
      </c>
    </row>
    <row r="54" spans="1:53" ht="20" customHeight="1" x14ac:dyDescent="0.2">
      <c r="A54" s="61"/>
      <c r="B54" s="24"/>
      <c r="C54" s="50" t="s">
        <v>85</v>
      </c>
      <c r="D54" s="49" t="s">
        <v>354</v>
      </c>
      <c r="E54" s="49" t="s">
        <v>72</v>
      </c>
      <c r="F54" s="50">
        <v>2014</v>
      </c>
      <c r="G54" s="50">
        <v>23</v>
      </c>
      <c r="H54" s="89">
        <v>28</v>
      </c>
      <c r="I54" s="85" t="s">
        <v>185</v>
      </c>
      <c r="J54" s="86" t="s">
        <v>193</v>
      </c>
      <c r="K54" s="33"/>
      <c r="L54" s="36" t="str">
        <f t="shared" si="24"/>
        <v/>
      </c>
      <c r="M54" s="33"/>
      <c r="N54" s="36" t="str">
        <f t="shared" si="25"/>
        <v/>
      </c>
      <c r="O54" s="33"/>
      <c r="P54" s="36" t="str">
        <f t="shared" si="26"/>
        <v/>
      </c>
      <c r="Q54" s="33"/>
      <c r="R54" s="36" t="str">
        <f t="shared" si="27"/>
        <v/>
      </c>
      <c r="S54" s="33"/>
      <c r="T54" s="36" t="str">
        <f t="shared" si="28"/>
        <v/>
      </c>
      <c r="U54" s="76"/>
      <c r="V54" s="36" t="str">
        <f t="shared" si="29"/>
        <v/>
      </c>
      <c r="W54" s="33"/>
      <c r="X54" s="36" t="str">
        <f>IF((ISERROR((W54/$H54)*100)), "", IF(AND(NOT(ISERROR((W54/$H54)*100)),((W54/$H54)*100) &lt;&gt; 0), (W54/$H54)*100, ""))</f>
        <v/>
      </c>
      <c r="Y54" s="33"/>
      <c r="Z54" s="36" t="str">
        <f>IF((ISERROR((Y54/$H54)*100)), "", IF(AND(NOT(ISERROR((Y54/$H54)*100)),((Y54/$H54)*100) &lt;&gt; 0), (Y54/$H54)*100, ""))</f>
        <v/>
      </c>
      <c r="AA54" s="33"/>
      <c r="AB54" s="36" t="str">
        <f>IF((ISERROR((AA54/$H54)*100)), "", IF(AND(NOT(ISERROR((AA54/$H54)*100)),((AA54/$H54)*100) &lt;&gt; 0), (AA54/$H54)*100, ""))</f>
        <v/>
      </c>
      <c r="AC54" s="33"/>
      <c r="AD54" s="36" t="str">
        <f>IF((ISERROR((AC54/$H54)*100)), "", IF(AND(NOT(ISERROR((AC54/$H54)*100)),((AC54/$H54)*100) &lt;&gt; 0), (AC54/$H54)*100, ""))</f>
        <v/>
      </c>
      <c r="AE54" s="76"/>
      <c r="AF54" s="36" t="str">
        <f t="shared" si="30"/>
        <v/>
      </c>
      <c r="AG54" s="33"/>
      <c r="AH54" s="36" t="str">
        <f>IF((ISERROR((AG54/$H54)*100)), "", IF(AND(NOT(ISERROR((AG54/$H54)*100)),((AG54/$H54)*100) &lt;&gt; 0), (AG54/$H54)*100, ""))</f>
        <v/>
      </c>
      <c r="AI54" s="33"/>
      <c r="AJ54" s="36" t="str">
        <f t="shared" si="31"/>
        <v/>
      </c>
      <c r="AK54" s="33"/>
      <c r="AL54" s="36" t="str">
        <f>IF((ISERROR((AK54/$H54)*100)), "", IF(AND(NOT(ISERROR((AK54/$H54)*100)),((AK54/$H54)*100) &lt;&gt; 0), (AK54/$H54)*100, ""))</f>
        <v/>
      </c>
      <c r="AM54" s="33"/>
      <c r="AN54" s="36" t="str">
        <f>IF((ISERROR((AM54/$H54)*100)), "", IF(AND(NOT(ISERROR((AM54/$H54)*100)),((AM54/$H54)*100) &lt;&gt; 0), (AM54/$H54)*100, ""))</f>
        <v/>
      </c>
      <c r="AO54" s="33"/>
      <c r="AP54" s="36" t="str">
        <f t="shared" si="32"/>
        <v/>
      </c>
      <c r="AQ54" s="33"/>
      <c r="AR54" s="36" t="str">
        <f t="shared" si="33"/>
        <v/>
      </c>
      <c r="AS54" s="33"/>
      <c r="AT54" s="36" t="str">
        <f t="shared" si="19"/>
        <v/>
      </c>
      <c r="AU54" s="33"/>
      <c r="AV54" s="36" t="str">
        <f t="shared" si="20"/>
        <v/>
      </c>
      <c r="AW54" s="33"/>
      <c r="AX54" s="36" t="str">
        <f t="shared" si="39"/>
        <v/>
      </c>
      <c r="AY54" s="33"/>
      <c r="AZ54" s="36" t="str">
        <f t="shared" si="40"/>
        <v/>
      </c>
      <c r="BA54" s="23" t="s">
        <v>418</v>
      </c>
    </row>
    <row r="55" spans="1:53" ht="20" customHeight="1" x14ac:dyDescent="0.2">
      <c r="A55" s="60"/>
      <c r="B55" s="82"/>
      <c r="C55" s="24" t="s">
        <v>85</v>
      </c>
      <c r="D55" s="23" t="s">
        <v>283</v>
      </c>
      <c r="E55" s="23" t="s">
        <v>284</v>
      </c>
      <c r="F55" s="24">
        <v>2014</v>
      </c>
      <c r="H55" s="89">
        <v>28</v>
      </c>
      <c r="I55" s="85" t="s">
        <v>185</v>
      </c>
      <c r="J55" s="86" t="s">
        <v>193</v>
      </c>
      <c r="K55" s="33"/>
      <c r="L55" s="36" t="str">
        <f t="shared" si="24"/>
        <v/>
      </c>
      <c r="M55" s="33"/>
      <c r="N55" s="36" t="str">
        <f t="shared" si="25"/>
        <v/>
      </c>
      <c r="O55" s="33"/>
      <c r="P55" s="36" t="str">
        <f t="shared" si="26"/>
        <v/>
      </c>
      <c r="Q55" s="33"/>
      <c r="R55" s="36" t="str">
        <f t="shared" si="27"/>
        <v/>
      </c>
      <c r="S55" s="33"/>
      <c r="T55" s="36" t="str">
        <f t="shared" si="28"/>
        <v/>
      </c>
      <c r="U55" s="76">
        <v>3</v>
      </c>
      <c r="V55" s="36">
        <f t="shared" si="29"/>
        <v>10.714285714285714</v>
      </c>
      <c r="W55" s="33"/>
      <c r="X55" s="36" t="str">
        <f>IF((ISERROR((W55/$H55)*100)), "", IF(AND(NOT(ISERROR((W55/$H55)*100)),((W55/$H55)*100) &lt;&gt; 0), (W55/$H55)*100, ""))</f>
        <v/>
      </c>
      <c r="Y55" s="33"/>
      <c r="Z55" s="36" t="str">
        <f>IF((ISERROR((Y55/$H55)*100)), "", IF(AND(NOT(ISERROR((Y55/$H55)*100)),((Y55/$H55)*100) &lt;&gt; 0), (Y55/$H55)*100, ""))</f>
        <v/>
      </c>
      <c r="AA55" s="33"/>
      <c r="AB55" s="36" t="str">
        <f>IF((ISERROR((AA55/$H55)*100)), "", IF(AND(NOT(ISERROR((AA55/$H55)*100)),((AA55/$H55)*100) &lt;&gt; 0), (AA55/$H55)*100, ""))</f>
        <v/>
      </c>
      <c r="AC55" s="33"/>
      <c r="AD55" s="36" t="str">
        <f>IF((ISERROR((AC55/$H55)*100)), "", IF(AND(NOT(ISERROR((AC55/$H55)*100)),((AC55/$H55)*100) &lt;&gt; 0), (AC55/$H55)*100, ""))</f>
        <v/>
      </c>
      <c r="AE55" s="76">
        <v>5</v>
      </c>
      <c r="AF55" s="36">
        <f t="shared" si="30"/>
        <v>17.857142857142858</v>
      </c>
      <c r="AG55" s="33">
        <v>3</v>
      </c>
      <c r="AH55" s="36">
        <f>IF((ISERROR((AG55/$H55)*100)), "", IF(AND(NOT(ISERROR((AG55/$H55)*100)),((AG55/$H55)*100) &lt;&gt; 0), (AG55/$H55)*100, ""))</f>
        <v>10.714285714285714</v>
      </c>
      <c r="AI55" s="33"/>
      <c r="AJ55" s="36" t="str">
        <f t="shared" si="31"/>
        <v/>
      </c>
      <c r="AK55" s="33"/>
      <c r="AL55" s="36" t="str">
        <f>IF((ISERROR((AK55/$H55)*100)), "", IF(AND(NOT(ISERROR((AK55/$H55)*100)),((AK55/$H55)*100) &lt;&gt; 0), (AK55/$H55)*100, ""))</f>
        <v/>
      </c>
      <c r="AM55" s="33"/>
      <c r="AN55" s="36" t="str">
        <f>IF((ISERROR((AM55/$H55)*100)), "", IF(AND(NOT(ISERROR((AM55/$H55)*100)),((AM55/$H55)*100) &lt;&gt; 0), (AM55/$H55)*100, ""))</f>
        <v/>
      </c>
      <c r="AO55" s="33">
        <v>4</v>
      </c>
      <c r="AP55" s="36">
        <f t="shared" si="32"/>
        <v>14.285714285714285</v>
      </c>
      <c r="AQ55" s="33"/>
      <c r="AR55" s="36" t="str">
        <f t="shared" si="33"/>
        <v/>
      </c>
      <c r="AS55" s="33"/>
      <c r="AT55" s="36" t="str">
        <f t="shared" si="19"/>
        <v/>
      </c>
      <c r="AU55" s="33"/>
      <c r="AV55" s="36" t="str">
        <f t="shared" si="20"/>
        <v/>
      </c>
      <c r="AW55" s="33"/>
      <c r="AX55" s="36" t="str">
        <f t="shared" si="39"/>
        <v/>
      </c>
      <c r="AY55" s="33"/>
      <c r="AZ55" s="36" t="str">
        <f t="shared" si="40"/>
        <v/>
      </c>
      <c r="BA55" s="23" t="s">
        <v>355</v>
      </c>
    </row>
    <row r="56" spans="1:53" ht="20" customHeight="1" x14ac:dyDescent="0.2">
      <c r="A56" s="60"/>
      <c r="B56" s="24"/>
      <c r="C56" s="50" t="s">
        <v>35</v>
      </c>
      <c r="D56" s="49" t="s">
        <v>73</v>
      </c>
      <c r="E56" s="49" t="s">
        <v>74</v>
      </c>
      <c r="F56" s="50">
        <v>2015</v>
      </c>
      <c r="G56" s="50">
        <v>6</v>
      </c>
      <c r="H56" s="89"/>
      <c r="I56" s="85"/>
      <c r="J56" s="86"/>
      <c r="K56" s="33"/>
      <c r="L56" s="36" t="str">
        <f t="shared" si="24"/>
        <v/>
      </c>
      <c r="M56" s="33"/>
      <c r="N56" s="36" t="str">
        <f t="shared" si="25"/>
        <v/>
      </c>
      <c r="O56" s="33"/>
      <c r="P56" s="36" t="str">
        <f t="shared" si="26"/>
        <v/>
      </c>
      <c r="Q56" s="33"/>
      <c r="R56" s="36" t="str">
        <f t="shared" si="27"/>
        <v/>
      </c>
      <c r="S56" s="33"/>
      <c r="T56" s="36" t="str">
        <f t="shared" si="28"/>
        <v/>
      </c>
      <c r="U56" s="76"/>
      <c r="V56" s="36" t="str">
        <f t="shared" si="29"/>
        <v/>
      </c>
      <c r="W56" s="33"/>
      <c r="X56" s="36" t="str">
        <f t="shared" si="34"/>
        <v/>
      </c>
      <c r="Y56" s="33"/>
      <c r="Z56" s="36" t="str">
        <f t="shared" si="35"/>
        <v/>
      </c>
      <c r="AA56" s="33"/>
      <c r="AB56" s="36" t="str">
        <f t="shared" si="36"/>
        <v/>
      </c>
      <c r="AC56" s="33"/>
      <c r="AD56" s="36" t="str">
        <f t="shared" si="37"/>
        <v/>
      </c>
      <c r="AE56" s="76"/>
      <c r="AF56" s="36" t="str">
        <f t="shared" si="30"/>
        <v/>
      </c>
      <c r="AG56" s="33"/>
      <c r="AH56" s="36" t="str">
        <f t="shared" si="23"/>
        <v/>
      </c>
      <c r="AI56" s="33"/>
      <c r="AJ56" s="36" t="str">
        <f t="shared" si="31"/>
        <v/>
      </c>
      <c r="AK56" s="33"/>
      <c r="AL56" s="36" t="str">
        <f t="shared" si="38"/>
        <v/>
      </c>
      <c r="AM56" s="33"/>
      <c r="AN56" s="36" t="str">
        <f t="shared" si="19"/>
        <v/>
      </c>
      <c r="AO56" s="33"/>
      <c r="AP56" s="36" t="str">
        <f t="shared" si="32"/>
        <v/>
      </c>
      <c r="AQ56" s="33"/>
      <c r="AR56" s="36" t="str">
        <f t="shared" si="33"/>
        <v/>
      </c>
      <c r="AS56" s="33"/>
      <c r="AT56" s="36" t="str">
        <f t="shared" si="19"/>
        <v/>
      </c>
      <c r="AU56" s="33"/>
      <c r="AV56" s="36" t="str">
        <f t="shared" si="20"/>
        <v/>
      </c>
      <c r="AW56" s="33"/>
      <c r="AX56" s="36" t="str">
        <f t="shared" si="39"/>
        <v/>
      </c>
      <c r="AY56" s="33"/>
      <c r="AZ56" s="36" t="str">
        <f t="shared" si="40"/>
        <v/>
      </c>
    </row>
    <row r="57" spans="1:53" ht="20" customHeight="1" x14ac:dyDescent="0.2">
      <c r="A57" s="60"/>
      <c r="B57" s="24"/>
      <c r="C57" s="50" t="s">
        <v>30</v>
      </c>
      <c r="D57" s="49" t="s">
        <v>75</v>
      </c>
      <c r="E57" s="49" t="s">
        <v>76</v>
      </c>
      <c r="F57" s="50">
        <v>2002</v>
      </c>
      <c r="G57" s="50">
        <v>434</v>
      </c>
      <c r="H57" s="89"/>
      <c r="I57" s="85" t="s">
        <v>186</v>
      </c>
      <c r="J57" s="86"/>
      <c r="K57" s="33"/>
      <c r="L57" s="36" t="str">
        <f t="shared" si="24"/>
        <v/>
      </c>
      <c r="M57" s="33"/>
      <c r="N57" s="36" t="str">
        <f t="shared" si="25"/>
        <v/>
      </c>
      <c r="O57" s="33"/>
      <c r="P57" s="36" t="str">
        <f t="shared" si="26"/>
        <v/>
      </c>
      <c r="Q57" s="33"/>
      <c r="R57" s="36" t="str">
        <f t="shared" si="27"/>
        <v/>
      </c>
      <c r="S57" s="38"/>
      <c r="T57" s="39" t="str">
        <f t="shared" si="28"/>
        <v/>
      </c>
      <c r="U57" s="76"/>
      <c r="V57" s="36" t="str">
        <f t="shared" si="29"/>
        <v/>
      </c>
      <c r="W57" s="33"/>
      <c r="X57" s="36" t="str">
        <f t="shared" si="34"/>
        <v/>
      </c>
      <c r="Y57" s="33"/>
      <c r="Z57" s="36" t="str">
        <f t="shared" si="35"/>
        <v/>
      </c>
      <c r="AA57" s="33"/>
      <c r="AB57" s="36" t="str">
        <f t="shared" si="36"/>
        <v/>
      </c>
      <c r="AC57" s="33"/>
      <c r="AD57" s="36" t="str">
        <f t="shared" si="37"/>
        <v/>
      </c>
      <c r="AE57" s="76"/>
      <c r="AF57" s="36" t="str">
        <f t="shared" si="30"/>
        <v/>
      </c>
      <c r="AG57" s="33"/>
      <c r="AH57" s="36" t="str">
        <f t="shared" si="23"/>
        <v/>
      </c>
      <c r="AI57" s="33"/>
      <c r="AJ57" s="36" t="str">
        <f t="shared" si="31"/>
        <v/>
      </c>
      <c r="AK57" s="33"/>
      <c r="AL57" s="36" t="str">
        <f t="shared" si="38"/>
        <v/>
      </c>
      <c r="AM57" s="33"/>
      <c r="AN57" s="36" t="str">
        <f t="shared" si="19"/>
        <v/>
      </c>
      <c r="AO57" s="33"/>
      <c r="AP57" s="36" t="str">
        <f t="shared" si="32"/>
        <v/>
      </c>
      <c r="AQ57" s="33"/>
      <c r="AR57" s="36" t="str">
        <f t="shared" si="33"/>
        <v/>
      </c>
      <c r="AS57" s="33"/>
      <c r="AT57" s="36" t="str">
        <f t="shared" si="19"/>
        <v/>
      </c>
      <c r="AU57" s="33"/>
      <c r="AV57" s="36" t="str">
        <f t="shared" si="20"/>
        <v/>
      </c>
      <c r="AW57" s="33"/>
      <c r="AX57" s="36" t="str">
        <f t="shared" si="39"/>
        <v/>
      </c>
      <c r="AY57" s="33"/>
      <c r="AZ57" s="36" t="str">
        <f t="shared" si="40"/>
        <v/>
      </c>
      <c r="BA57" s="23" t="s">
        <v>187</v>
      </c>
    </row>
    <row r="58" spans="1:53" ht="20" customHeight="1" x14ac:dyDescent="0.2">
      <c r="A58" s="60"/>
      <c r="B58" s="82"/>
      <c r="C58" s="24" t="s">
        <v>484</v>
      </c>
      <c r="D58" s="23" t="s">
        <v>77</v>
      </c>
      <c r="E58" s="23" t="s">
        <v>78</v>
      </c>
      <c r="F58" s="24">
        <v>2009</v>
      </c>
      <c r="G58" s="24">
        <v>134</v>
      </c>
      <c r="H58" s="89">
        <v>94</v>
      </c>
      <c r="I58" s="85" t="s">
        <v>482</v>
      </c>
      <c r="J58" s="86" t="s">
        <v>483</v>
      </c>
      <c r="K58" s="33">
        <v>3</v>
      </c>
      <c r="L58" s="36">
        <f t="shared" si="24"/>
        <v>3.1914893617021276</v>
      </c>
      <c r="M58" s="33"/>
      <c r="N58" s="36" t="str">
        <f t="shared" si="25"/>
        <v/>
      </c>
      <c r="O58" s="33"/>
      <c r="P58" s="36" t="str">
        <f t="shared" si="26"/>
        <v/>
      </c>
      <c r="Q58" s="33"/>
      <c r="R58" s="36" t="str">
        <f t="shared" si="27"/>
        <v/>
      </c>
      <c r="S58" s="33">
        <v>2</v>
      </c>
      <c r="T58" s="36">
        <f t="shared" si="28"/>
        <v>2.1276595744680851</v>
      </c>
      <c r="U58" s="76">
        <v>8</v>
      </c>
      <c r="V58" s="36">
        <f t="shared" si="29"/>
        <v>8.5106382978723403</v>
      </c>
      <c r="W58" s="33">
        <v>1</v>
      </c>
      <c r="X58" s="36">
        <f t="shared" si="34"/>
        <v>1.0638297872340425</v>
      </c>
      <c r="Y58" s="33"/>
      <c r="Z58" s="36" t="str">
        <f t="shared" si="35"/>
        <v/>
      </c>
      <c r="AA58" s="33"/>
      <c r="AB58" s="36" t="str">
        <f t="shared" si="36"/>
        <v/>
      </c>
      <c r="AC58" s="33"/>
      <c r="AD58" s="36" t="str">
        <f t="shared" si="37"/>
        <v/>
      </c>
      <c r="AE58" s="76"/>
      <c r="AF58" s="36" t="str">
        <f t="shared" si="30"/>
        <v/>
      </c>
      <c r="AG58" s="33">
        <v>2</v>
      </c>
      <c r="AH58" s="36">
        <f t="shared" si="23"/>
        <v>2.1276595744680851</v>
      </c>
      <c r="AI58" s="33"/>
      <c r="AJ58" s="36" t="str">
        <f t="shared" si="31"/>
        <v/>
      </c>
      <c r="AK58" s="33">
        <v>3</v>
      </c>
      <c r="AL58" s="36">
        <f t="shared" si="38"/>
        <v>3.1914893617021276</v>
      </c>
      <c r="AM58" s="33"/>
      <c r="AN58" s="36" t="str">
        <f t="shared" si="19"/>
        <v/>
      </c>
      <c r="AO58" s="33">
        <v>4</v>
      </c>
      <c r="AP58" s="36">
        <f t="shared" si="32"/>
        <v>4.2553191489361701</v>
      </c>
      <c r="AQ58" s="33"/>
      <c r="AR58" s="36" t="str">
        <f t="shared" si="33"/>
        <v/>
      </c>
      <c r="AS58" s="33">
        <v>2</v>
      </c>
      <c r="AT58" s="36">
        <f t="shared" si="19"/>
        <v>2.1276595744680851</v>
      </c>
      <c r="AU58" s="33">
        <v>2</v>
      </c>
      <c r="AV58" s="36">
        <f t="shared" si="20"/>
        <v>2.1276595744680851</v>
      </c>
      <c r="AW58" s="33"/>
      <c r="AX58" s="36" t="str">
        <f t="shared" si="39"/>
        <v/>
      </c>
      <c r="AY58" s="33"/>
      <c r="AZ58" s="36" t="str">
        <f t="shared" si="40"/>
        <v/>
      </c>
      <c r="BA58" s="23" t="s">
        <v>485</v>
      </c>
    </row>
    <row r="59" spans="1:53" ht="20" customHeight="1" x14ac:dyDescent="0.2">
      <c r="A59" s="60"/>
      <c r="B59" s="83"/>
      <c r="C59" s="24" t="s">
        <v>85</v>
      </c>
      <c r="D59" s="23" t="s">
        <v>285</v>
      </c>
      <c r="E59" s="23" t="s">
        <v>286</v>
      </c>
      <c r="F59" s="24">
        <v>2011</v>
      </c>
      <c r="H59" s="89">
        <v>4</v>
      </c>
      <c r="I59" s="85"/>
      <c r="J59" s="86"/>
      <c r="K59" s="33"/>
      <c r="L59" s="36" t="str">
        <f t="shared" si="24"/>
        <v/>
      </c>
      <c r="M59" s="33"/>
      <c r="N59" s="36" t="str">
        <f t="shared" si="25"/>
        <v/>
      </c>
      <c r="O59" s="33"/>
      <c r="P59" s="36" t="str">
        <f t="shared" si="26"/>
        <v/>
      </c>
      <c r="Q59" s="33"/>
      <c r="R59" s="36" t="str">
        <f t="shared" si="27"/>
        <v/>
      </c>
      <c r="S59" s="33"/>
      <c r="T59" s="36" t="str">
        <f t="shared" si="28"/>
        <v/>
      </c>
      <c r="U59" s="76"/>
      <c r="V59" s="36" t="str">
        <f t="shared" si="29"/>
        <v/>
      </c>
      <c r="W59" s="33"/>
      <c r="X59" s="36" t="str">
        <f t="shared" si="34"/>
        <v/>
      </c>
      <c r="Y59" s="33"/>
      <c r="Z59" s="36" t="str">
        <f t="shared" si="35"/>
        <v/>
      </c>
      <c r="AA59" s="33"/>
      <c r="AB59" s="36" t="str">
        <f t="shared" si="36"/>
        <v/>
      </c>
      <c r="AC59" s="33"/>
      <c r="AD59" s="36" t="str">
        <f t="shared" si="37"/>
        <v/>
      </c>
      <c r="AE59" s="76"/>
      <c r="AF59" s="36" t="str">
        <f t="shared" si="30"/>
        <v/>
      </c>
      <c r="AG59" s="33"/>
      <c r="AH59" s="36" t="str">
        <f t="shared" si="23"/>
        <v/>
      </c>
      <c r="AI59" s="33"/>
      <c r="AJ59" s="36" t="str">
        <f t="shared" si="31"/>
        <v/>
      </c>
      <c r="AK59" s="33"/>
      <c r="AL59" s="36" t="str">
        <f t="shared" si="38"/>
        <v/>
      </c>
      <c r="AM59" s="33"/>
      <c r="AN59" s="36" t="str">
        <f t="shared" si="19"/>
        <v/>
      </c>
      <c r="AO59" s="33"/>
      <c r="AP59" s="36" t="str">
        <f t="shared" si="32"/>
        <v/>
      </c>
      <c r="AQ59" s="33"/>
      <c r="AR59" s="36" t="str">
        <f t="shared" si="33"/>
        <v/>
      </c>
      <c r="AS59" s="33"/>
      <c r="AT59" s="36" t="str">
        <f t="shared" si="19"/>
        <v/>
      </c>
      <c r="AU59" s="33"/>
      <c r="AV59" s="36" t="str">
        <f t="shared" si="20"/>
        <v/>
      </c>
      <c r="AW59" s="33"/>
      <c r="AX59" s="36" t="str">
        <f t="shared" si="39"/>
        <v/>
      </c>
      <c r="AY59" s="33"/>
      <c r="AZ59" s="36" t="str">
        <f t="shared" si="40"/>
        <v/>
      </c>
    </row>
    <row r="60" spans="1:53" ht="20" customHeight="1" x14ac:dyDescent="0.2">
      <c r="A60" s="60"/>
      <c r="B60" s="83"/>
      <c r="C60" s="24" t="s">
        <v>85</v>
      </c>
      <c r="D60" s="23" t="s">
        <v>287</v>
      </c>
      <c r="E60" s="23" t="s">
        <v>288</v>
      </c>
      <c r="F60" s="24">
        <v>2015</v>
      </c>
      <c r="H60" s="89">
        <v>10</v>
      </c>
      <c r="I60" s="85" t="s">
        <v>345</v>
      </c>
      <c r="J60" s="86" t="s">
        <v>356</v>
      </c>
      <c r="K60" s="33"/>
      <c r="L60" s="36" t="str">
        <f t="shared" si="24"/>
        <v/>
      </c>
      <c r="M60" s="33"/>
      <c r="N60" s="36" t="str">
        <f t="shared" si="25"/>
        <v/>
      </c>
      <c r="O60" s="33"/>
      <c r="P60" s="36" t="str">
        <f t="shared" si="26"/>
        <v/>
      </c>
      <c r="Q60" s="33"/>
      <c r="R60" s="36" t="str">
        <f t="shared" si="27"/>
        <v/>
      </c>
      <c r="S60" s="33"/>
      <c r="T60" s="36" t="str">
        <f t="shared" si="28"/>
        <v/>
      </c>
      <c r="U60" s="76"/>
      <c r="V60" s="36" t="str">
        <f t="shared" si="29"/>
        <v/>
      </c>
      <c r="W60" s="33"/>
      <c r="X60" s="36" t="str">
        <f>IF((ISERROR((W60/$H60)*100)), "", IF(AND(NOT(ISERROR((W60/$H60)*100)),((W60/$H60)*100) &lt;&gt; 0), (W60/$H60)*100, ""))</f>
        <v/>
      </c>
      <c r="Y60" s="33"/>
      <c r="Z60" s="36" t="str">
        <f>IF((ISERROR((Y60/$H60)*100)), "", IF(AND(NOT(ISERROR((Y60/$H60)*100)),((Y60/$H60)*100) &lt;&gt; 0), (Y60/$H60)*100, ""))</f>
        <v/>
      </c>
      <c r="AA60" s="33"/>
      <c r="AB60" s="36" t="str">
        <f>IF((ISERROR((AA60/$H60)*100)), "", IF(AND(NOT(ISERROR((AA60/$H60)*100)),((AA60/$H60)*100) &lt;&gt; 0), (AA60/$H60)*100, ""))</f>
        <v/>
      </c>
      <c r="AC60" s="33"/>
      <c r="AD60" s="36" t="str">
        <f>IF((ISERROR((AC60/$H60)*100)), "", IF(AND(NOT(ISERROR((AC60/$H60)*100)),((AC60/$H60)*100) &lt;&gt; 0), (AC60/$H60)*100, ""))</f>
        <v/>
      </c>
      <c r="AE60" s="76"/>
      <c r="AF60" s="36" t="str">
        <f t="shared" si="30"/>
        <v/>
      </c>
      <c r="AG60" s="33"/>
      <c r="AH60" s="36" t="str">
        <f>IF((ISERROR((AG60/$H60)*100)), "", IF(AND(NOT(ISERROR((AG60/$H60)*100)),((AG60/$H60)*100) &lt;&gt; 0), (AG60/$H60)*100, ""))</f>
        <v/>
      </c>
      <c r="AI60" s="33"/>
      <c r="AJ60" s="36" t="str">
        <f t="shared" si="31"/>
        <v/>
      </c>
      <c r="AK60" s="33"/>
      <c r="AL60" s="36" t="str">
        <f>IF((ISERROR((AK60/$H60)*100)), "", IF(AND(NOT(ISERROR((AK60/$H60)*100)),((AK60/$H60)*100) &lt;&gt; 0), (AK60/$H60)*100, ""))</f>
        <v/>
      </c>
      <c r="AM60" s="33"/>
      <c r="AN60" s="36" t="str">
        <f>IF((ISERROR((AM60/$H60)*100)), "", IF(AND(NOT(ISERROR((AM60/$H60)*100)),((AM60/$H60)*100) &lt;&gt; 0), (AM60/$H60)*100, ""))</f>
        <v/>
      </c>
      <c r="AO60" s="33"/>
      <c r="AP60" s="36" t="str">
        <f t="shared" si="32"/>
        <v/>
      </c>
      <c r="AQ60" s="33"/>
      <c r="AR60" s="36" t="str">
        <f t="shared" si="33"/>
        <v/>
      </c>
      <c r="AS60" s="33"/>
      <c r="AT60" s="36" t="str">
        <f t="shared" si="19"/>
        <v/>
      </c>
      <c r="AU60" s="33"/>
      <c r="AV60" s="36" t="str">
        <f t="shared" si="20"/>
        <v/>
      </c>
      <c r="AW60" s="33"/>
      <c r="AX60" s="36" t="str">
        <f t="shared" si="39"/>
        <v/>
      </c>
      <c r="AY60" s="33"/>
      <c r="AZ60" s="36" t="str">
        <f t="shared" si="40"/>
        <v/>
      </c>
    </row>
    <row r="61" spans="1:53" ht="20" customHeight="1" x14ac:dyDescent="0.2">
      <c r="A61" s="60"/>
      <c r="B61" s="82"/>
      <c r="C61" s="24" t="s">
        <v>85</v>
      </c>
      <c r="D61" s="23" t="s">
        <v>79</v>
      </c>
      <c r="E61" s="23" t="s">
        <v>80</v>
      </c>
      <c r="F61" s="24">
        <v>2015</v>
      </c>
      <c r="G61" s="24">
        <v>10</v>
      </c>
      <c r="H61" s="89">
        <v>11</v>
      </c>
      <c r="I61" s="85" t="s">
        <v>195</v>
      </c>
      <c r="J61" s="86" t="s">
        <v>169</v>
      </c>
      <c r="K61" s="33"/>
      <c r="L61" s="36" t="str">
        <f t="shared" si="24"/>
        <v/>
      </c>
      <c r="M61" s="33"/>
      <c r="N61" s="36" t="str">
        <f t="shared" si="25"/>
        <v/>
      </c>
      <c r="O61" s="33"/>
      <c r="P61" s="36" t="str">
        <f t="shared" si="26"/>
        <v/>
      </c>
      <c r="Q61" s="33"/>
      <c r="R61" s="36" t="str">
        <f t="shared" si="27"/>
        <v/>
      </c>
      <c r="S61" s="33"/>
      <c r="T61" s="36" t="str">
        <f t="shared" si="28"/>
        <v/>
      </c>
      <c r="U61" s="76"/>
      <c r="V61" s="36" t="str">
        <f t="shared" si="29"/>
        <v/>
      </c>
      <c r="W61" s="33"/>
      <c r="X61" s="36" t="str">
        <f>IF((ISERROR((W61/$H61)*100)), "", IF(AND(NOT(ISERROR((W61/$H61)*100)),((W61/$H61)*100) &lt;&gt; 0), (W61/$H61)*100, ""))</f>
        <v/>
      </c>
      <c r="Y61" s="33"/>
      <c r="Z61" s="36" t="str">
        <f>IF((ISERROR((Y61/$H61)*100)), "", IF(AND(NOT(ISERROR((Y61/$H61)*100)),((Y61/$H61)*100) &lt;&gt; 0), (Y61/$H61)*100, ""))</f>
        <v/>
      </c>
      <c r="AA61" s="33"/>
      <c r="AB61" s="36" t="str">
        <f>IF((ISERROR((AA61/$H61)*100)), "", IF(AND(NOT(ISERROR((AA61/$H61)*100)),((AA61/$H61)*100) &lt;&gt; 0), (AA61/$H61)*100, ""))</f>
        <v/>
      </c>
      <c r="AC61" s="33"/>
      <c r="AD61" s="36" t="str">
        <f>IF((ISERROR((AC61/$H61)*100)), "", IF(AND(NOT(ISERROR((AC61/$H61)*100)),((AC61/$H61)*100) &lt;&gt; 0), (AC61/$H61)*100, ""))</f>
        <v/>
      </c>
      <c r="AE61" s="76">
        <v>3</v>
      </c>
      <c r="AF61" s="36">
        <f t="shared" si="30"/>
        <v>27.27272727272727</v>
      </c>
      <c r="AG61" s="38">
        <v>1</v>
      </c>
      <c r="AH61" s="39">
        <f>IF((ISERROR((AG61/$H61)*100)), "", IF(AND(NOT(ISERROR((AG61/$H61)*100)),((AG61/$H61)*100) &lt;&gt; 0), (AG61/$H61)*100, ""))</f>
        <v>9.0909090909090917</v>
      </c>
      <c r="AI61" s="33"/>
      <c r="AJ61" s="36" t="str">
        <f t="shared" si="31"/>
        <v/>
      </c>
      <c r="AK61" s="33"/>
      <c r="AL61" s="36" t="str">
        <f>IF((ISERROR((AK61/$H61)*100)), "", IF(AND(NOT(ISERROR((AK61/$H61)*100)),((AK61/$H61)*100) &lt;&gt; 0), (AK61/$H61)*100, ""))</f>
        <v/>
      </c>
      <c r="AM61" s="33"/>
      <c r="AN61" s="36" t="str">
        <f>IF((ISERROR((AM61/$H61)*100)), "", IF(AND(NOT(ISERROR((AM61/$H61)*100)),((AM61/$H61)*100) &lt;&gt; 0), (AM61/$H61)*100, ""))</f>
        <v/>
      </c>
      <c r="AO61" s="33"/>
      <c r="AP61" s="36" t="str">
        <f t="shared" si="32"/>
        <v/>
      </c>
      <c r="AQ61" s="33"/>
      <c r="AR61" s="36" t="str">
        <f t="shared" si="33"/>
        <v/>
      </c>
      <c r="AS61" s="33"/>
      <c r="AT61" s="36" t="str">
        <f t="shared" si="19"/>
        <v/>
      </c>
      <c r="AU61" s="33"/>
      <c r="AV61" s="36" t="str">
        <f t="shared" si="20"/>
        <v/>
      </c>
      <c r="AW61" s="33"/>
      <c r="AX61" s="36" t="str">
        <f t="shared" si="39"/>
        <v/>
      </c>
      <c r="AY61" s="33"/>
      <c r="AZ61" s="36" t="str">
        <f t="shared" si="40"/>
        <v/>
      </c>
      <c r="BA61" s="23" t="s">
        <v>194</v>
      </c>
    </row>
    <row r="62" spans="1:53" ht="20" customHeight="1" x14ac:dyDescent="0.2">
      <c r="A62" s="61"/>
      <c r="B62" s="83"/>
      <c r="C62" s="24" t="s">
        <v>85</v>
      </c>
      <c r="D62" s="23" t="s">
        <v>81</v>
      </c>
      <c r="E62" s="23" t="s">
        <v>82</v>
      </c>
      <c r="F62" s="24">
        <v>1994</v>
      </c>
      <c r="G62" s="24">
        <v>292</v>
      </c>
      <c r="H62" s="89">
        <v>15</v>
      </c>
      <c r="I62" s="85" t="s">
        <v>196</v>
      </c>
      <c r="J62" s="86"/>
      <c r="K62" s="33"/>
      <c r="L62" s="36" t="str">
        <f t="shared" si="24"/>
        <v/>
      </c>
      <c r="M62" s="33"/>
      <c r="N62" s="36" t="str">
        <f t="shared" si="25"/>
        <v/>
      </c>
      <c r="O62" s="33"/>
      <c r="P62" s="36" t="str">
        <f t="shared" si="26"/>
        <v/>
      </c>
      <c r="Q62" s="33"/>
      <c r="R62" s="36" t="str">
        <f t="shared" si="27"/>
        <v/>
      </c>
      <c r="S62" s="33"/>
      <c r="T62" s="36" t="str">
        <f t="shared" si="28"/>
        <v/>
      </c>
      <c r="U62" s="76"/>
      <c r="V62" s="36" t="str">
        <f t="shared" si="29"/>
        <v/>
      </c>
      <c r="W62" s="33"/>
      <c r="X62" s="36" t="str">
        <f t="shared" si="34"/>
        <v/>
      </c>
      <c r="Y62" s="33"/>
      <c r="Z62" s="36" t="str">
        <f t="shared" si="35"/>
        <v/>
      </c>
      <c r="AA62" s="33"/>
      <c r="AB62" s="36" t="str">
        <f t="shared" si="36"/>
        <v/>
      </c>
      <c r="AC62" s="33"/>
      <c r="AD62" s="36" t="str">
        <f t="shared" si="37"/>
        <v/>
      </c>
      <c r="AE62" s="76"/>
      <c r="AF62" s="36" t="str">
        <f t="shared" si="30"/>
        <v/>
      </c>
      <c r="AG62" s="33"/>
      <c r="AH62" s="36" t="str">
        <f t="shared" si="23"/>
        <v/>
      </c>
      <c r="AI62" s="33"/>
      <c r="AJ62" s="36" t="str">
        <f t="shared" si="31"/>
        <v/>
      </c>
      <c r="AK62" s="33"/>
      <c r="AL62" s="36" t="str">
        <f t="shared" si="38"/>
        <v/>
      </c>
      <c r="AM62" s="33"/>
      <c r="AN62" s="36" t="str">
        <f t="shared" si="19"/>
        <v/>
      </c>
      <c r="AO62" s="33"/>
      <c r="AP62" s="36" t="str">
        <f t="shared" si="32"/>
        <v/>
      </c>
      <c r="AQ62" s="33"/>
      <c r="AR62" s="36" t="str">
        <f t="shared" si="33"/>
        <v/>
      </c>
      <c r="AS62" s="33"/>
      <c r="AT62" s="36" t="str">
        <f t="shared" si="19"/>
        <v/>
      </c>
      <c r="AU62" s="33"/>
      <c r="AV62" s="36" t="str">
        <f t="shared" si="20"/>
        <v/>
      </c>
      <c r="AW62" s="33"/>
      <c r="AX62" s="36" t="str">
        <f t="shared" si="39"/>
        <v/>
      </c>
      <c r="AY62" s="33"/>
      <c r="AZ62" s="36" t="str">
        <f t="shared" si="40"/>
        <v/>
      </c>
      <c r="BA62" s="23" t="s">
        <v>197</v>
      </c>
    </row>
    <row r="63" spans="1:53" ht="20" customHeight="1" x14ac:dyDescent="0.2">
      <c r="A63" s="60"/>
      <c r="B63" s="82"/>
      <c r="C63" s="24" t="s">
        <v>85</v>
      </c>
      <c r="D63" s="23" t="s">
        <v>83</v>
      </c>
      <c r="E63" s="23" t="s">
        <v>84</v>
      </c>
      <c r="F63" s="24">
        <v>2000</v>
      </c>
      <c r="G63" s="24">
        <v>146</v>
      </c>
      <c r="H63" s="89">
        <v>42</v>
      </c>
      <c r="I63" s="85" t="s">
        <v>357</v>
      </c>
      <c r="J63" s="86"/>
      <c r="K63" s="33"/>
      <c r="L63" s="36" t="str">
        <f t="shared" si="24"/>
        <v/>
      </c>
      <c r="M63" s="33"/>
      <c r="N63" s="36" t="str">
        <f t="shared" si="25"/>
        <v/>
      </c>
      <c r="O63" s="33"/>
      <c r="P63" s="36" t="str">
        <f t="shared" si="26"/>
        <v/>
      </c>
      <c r="Q63" s="33"/>
      <c r="R63" s="36" t="str">
        <f t="shared" si="27"/>
        <v/>
      </c>
      <c r="S63" s="33">
        <v>1</v>
      </c>
      <c r="T63" s="36">
        <f t="shared" si="28"/>
        <v>2.3809523809523809</v>
      </c>
      <c r="U63" s="76"/>
      <c r="V63" s="36" t="str">
        <f t="shared" si="29"/>
        <v/>
      </c>
      <c r="W63" s="33"/>
      <c r="X63" s="36" t="str">
        <f t="shared" si="34"/>
        <v/>
      </c>
      <c r="Y63" s="33"/>
      <c r="Z63" s="36" t="str">
        <f t="shared" si="35"/>
        <v/>
      </c>
      <c r="AA63" s="33"/>
      <c r="AB63" s="36" t="str">
        <f t="shared" si="36"/>
        <v/>
      </c>
      <c r="AC63" s="33"/>
      <c r="AD63" s="36" t="str">
        <f t="shared" si="37"/>
        <v/>
      </c>
      <c r="AE63" s="76"/>
      <c r="AF63" s="36" t="str">
        <f t="shared" si="30"/>
        <v/>
      </c>
      <c r="AG63" s="33"/>
      <c r="AH63" s="36" t="str">
        <f t="shared" si="23"/>
        <v/>
      </c>
      <c r="AI63" s="33"/>
      <c r="AJ63" s="36" t="str">
        <f t="shared" si="31"/>
        <v/>
      </c>
      <c r="AK63" s="33"/>
      <c r="AL63" s="36" t="str">
        <f t="shared" si="38"/>
        <v/>
      </c>
      <c r="AM63" s="33"/>
      <c r="AN63" s="36" t="str">
        <f t="shared" si="19"/>
        <v/>
      </c>
      <c r="AO63" s="33"/>
      <c r="AP63" s="36" t="str">
        <f t="shared" si="32"/>
        <v/>
      </c>
      <c r="AQ63" s="33"/>
      <c r="AR63" s="36" t="str">
        <f t="shared" si="33"/>
        <v/>
      </c>
      <c r="AS63" s="33"/>
      <c r="AT63" s="36" t="str">
        <f t="shared" si="19"/>
        <v/>
      </c>
      <c r="AU63" s="33"/>
      <c r="AV63" s="36" t="str">
        <f t="shared" si="20"/>
        <v/>
      </c>
      <c r="AW63" s="33"/>
      <c r="AX63" s="36" t="str">
        <f t="shared" si="39"/>
        <v/>
      </c>
      <c r="AY63" s="33"/>
      <c r="AZ63" s="36" t="str">
        <f t="shared" si="40"/>
        <v/>
      </c>
    </row>
    <row r="64" spans="1:53" ht="20" customHeight="1" x14ac:dyDescent="0.2">
      <c r="A64" s="61"/>
      <c r="B64" s="83"/>
      <c r="C64" s="50" t="s">
        <v>35</v>
      </c>
      <c r="D64" s="49" t="s">
        <v>87</v>
      </c>
      <c r="E64" s="49" t="s">
        <v>88</v>
      </c>
      <c r="F64" s="50">
        <v>1996</v>
      </c>
      <c r="G64" s="50">
        <v>187</v>
      </c>
      <c r="H64" s="89">
        <v>100</v>
      </c>
      <c r="I64" s="85" t="s">
        <v>198</v>
      </c>
      <c r="J64" s="86"/>
      <c r="K64" s="33"/>
      <c r="L64" s="36" t="str">
        <f t="shared" si="24"/>
        <v/>
      </c>
      <c r="M64" s="33"/>
      <c r="N64" s="36" t="str">
        <f t="shared" si="25"/>
        <v/>
      </c>
      <c r="O64" s="33"/>
      <c r="P64" s="36" t="str">
        <f t="shared" si="26"/>
        <v/>
      </c>
      <c r="Q64" s="33"/>
      <c r="R64" s="36" t="str">
        <f t="shared" si="27"/>
        <v/>
      </c>
      <c r="S64" s="33"/>
      <c r="T64" s="36" t="str">
        <f t="shared" si="28"/>
        <v/>
      </c>
      <c r="U64" s="76"/>
      <c r="V64" s="36" t="str">
        <f t="shared" si="29"/>
        <v/>
      </c>
      <c r="W64" s="33"/>
      <c r="X64" s="36" t="str">
        <f t="shared" si="34"/>
        <v/>
      </c>
      <c r="Y64" s="33"/>
      <c r="Z64" s="36" t="str">
        <f t="shared" si="35"/>
        <v/>
      </c>
      <c r="AA64" s="33"/>
      <c r="AB64" s="36" t="str">
        <f t="shared" si="36"/>
        <v/>
      </c>
      <c r="AC64" s="33"/>
      <c r="AD64" s="36" t="str">
        <f t="shared" si="37"/>
        <v/>
      </c>
      <c r="AE64" s="76"/>
      <c r="AF64" s="36" t="str">
        <f t="shared" si="30"/>
        <v/>
      </c>
      <c r="AG64" s="33"/>
      <c r="AH64" s="36" t="str">
        <f t="shared" si="23"/>
        <v/>
      </c>
      <c r="AI64" s="33"/>
      <c r="AJ64" s="36" t="str">
        <f t="shared" si="31"/>
        <v/>
      </c>
      <c r="AK64" s="33"/>
      <c r="AL64" s="36" t="str">
        <f t="shared" si="38"/>
        <v/>
      </c>
      <c r="AM64" s="33"/>
      <c r="AN64" s="36" t="str">
        <f t="shared" si="19"/>
        <v/>
      </c>
      <c r="AO64" s="33"/>
      <c r="AP64" s="36" t="str">
        <f t="shared" si="32"/>
        <v/>
      </c>
      <c r="AQ64" s="33"/>
      <c r="AR64" s="36" t="str">
        <f t="shared" si="33"/>
        <v/>
      </c>
      <c r="AS64" s="33"/>
      <c r="AT64" s="36" t="str">
        <f t="shared" si="19"/>
        <v/>
      </c>
      <c r="AU64" s="33"/>
      <c r="AV64" s="36" t="str">
        <f t="shared" si="20"/>
        <v/>
      </c>
      <c r="AW64" s="33"/>
      <c r="AX64" s="36" t="str">
        <f t="shared" si="39"/>
        <v/>
      </c>
      <c r="AY64" s="33"/>
      <c r="AZ64" s="36" t="str">
        <f t="shared" si="40"/>
        <v/>
      </c>
      <c r="BA64" s="23" t="s">
        <v>199</v>
      </c>
    </row>
    <row r="65" spans="1:53" ht="20" customHeight="1" x14ac:dyDescent="0.2">
      <c r="A65" s="61"/>
      <c r="B65" s="83"/>
      <c r="C65" s="24" t="s">
        <v>85</v>
      </c>
      <c r="D65" s="23" t="s">
        <v>89</v>
      </c>
      <c r="E65" s="23" t="s">
        <v>90</v>
      </c>
      <c r="F65" s="24">
        <v>2000</v>
      </c>
      <c r="G65" s="24">
        <v>79</v>
      </c>
      <c r="H65" s="89">
        <v>10</v>
      </c>
      <c r="I65" s="85" t="s">
        <v>168</v>
      </c>
      <c r="J65" s="86"/>
      <c r="K65" s="33"/>
      <c r="L65" s="36" t="str">
        <f t="shared" si="24"/>
        <v/>
      </c>
      <c r="M65" s="33"/>
      <c r="N65" s="36" t="str">
        <f t="shared" si="25"/>
        <v/>
      </c>
      <c r="O65" s="33"/>
      <c r="P65" s="36" t="str">
        <f t="shared" si="26"/>
        <v/>
      </c>
      <c r="Q65" s="33"/>
      <c r="R65" s="36" t="str">
        <f t="shared" si="27"/>
        <v/>
      </c>
      <c r="S65" s="33"/>
      <c r="T65" s="36" t="str">
        <f t="shared" si="28"/>
        <v/>
      </c>
      <c r="U65" s="76"/>
      <c r="V65" s="36" t="str">
        <f t="shared" si="29"/>
        <v/>
      </c>
      <c r="W65" s="33"/>
      <c r="X65" s="36" t="str">
        <f t="shared" si="34"/>
        <v/>
      </c>
      <c r="Y65" s="33"/>
      <c r="Z65" s="36" t="str">
        <f t="shared" si="35"/>
        <v/>
      </c>
      <c r="AA65" s="33"/>
      <c r="AB65" s="36" t="str">
        <f t="shared" si="36"/>
        <v/>
      </c>
      <c r="AC65" s="33"/>
      <c r="AD65" s="36" t="str">
        <f t="shared" si="37"/>
        <v/>
      </c>
      <c r="AE65" s="76"/>
      <c r="AF65" s="36" t="str">
        <f t="shared" si="30"/>
        <v/>
      </c>
      <c r="AG65" s="33"/>
      <c r="AH65" s="36" t="str">
        <f t="shared" si="23"/>
        <v/>
      </c>
      <c r="AI65" s="33"/>
      <c r="AJ65" s="36" t="str">
        <f t="shared" si="31"/>
        <v/>
      </c>
      <c r="AK65" s="33"/>
      <c r="AL65" s="36" t="str">
        <f t="shared" si="38"/>
        <v/>
      </c>
      <c r="AM65" s="33"/>
      <c r="AN65" s="36" t="str">
        <f t="shared" si="19"/>
        <v/>
      </c>
      <c r="AO65" s="33"/>
      <c r="AP65" s="36" t="str">
        <f t="shared" si="32"/>
        <v/>
      </c>
      <c r="AQ65" s="33"/>
      <c r="AR65" s="36" t="str">
        <f t="shared" si="33"/>
        <v/>
      </c>
      <c r="AS65" s="33"/>
      <c r="AT65" s="36" t="str">
        <f t="shared" si="19"/>
        <v/>
      </c>
      <c r="AU65" s="33"/>
      <c r="AV65" s="36" t="str">
        <f t="shared" si="20"/>
        <v/>
      </c>
      <c r="AW65" s="33"/>
      <c r="AX65" s="36" t="str">
        <f t="shared" si="39"/>
        <v/>
      </c>
      <c r="AY65" s="33"/>
      <c r="AZ65" s="36" t="str">
        <f t="shared" si="40"/>
        <v/>
      </c>
      <c r="BA65" s="23" t="s">
        <v>200</v>
      </c>
    </row>
    <row r="66" spans="1:53" ht="20" customHeight="1" x14ac:dyDescent="0.2">
      <c r="A66" s="60"/>
      <c r="B66" s="82"/>
      <c r="D66" s="23" t="s">
        <v>289</v>
      </c>
      <c r="E66" s="23" t="s">
        <v>290</v>
      </c>
      <c r="F66" s="24">
        <v>2005</v>
      </c>
      <c r="H66" s="89">
        <v>13</v>
      </c>
      <c r="I66" s="85" t="s">
        <v>358</v>
      </c>
      <c r="J66" s="86"/>
      <c r="K66" s="33"/>
      <c r="L66" s="36" t="str">
        <f t="shared" si="24"/>
        <v/>
      </c>
      <c r="M66" s="33">
        <v>3</v>
      </c>
      <c r="N66" s="36">
        <f t="shared" si="25"/>
        <v>23.076923076923077</v>
      </c>
      <c r="O66" s="33"/>
      <c r="P66" s="36" t="str">
        <f t="shared" si="26"/>
        <v/>
      </c>
      <c r="Q66" s="33"/>
      <c r="R66" s="36" t="str">
        <f t="shared" si="27"/>
        <v/>
      </c>
      <c r="S66" s="33"/>
      <c r="T66" s="36" t="str">
        <f t="shared" si="28"/>
        <v/>
      </c>
      <c r="U66" s="76">
        <v>1</v>
      </c>
      <c r="V66" s="36">
        <f t="shared" si="29"/>
        <v>7.6923076923076925</v>
      </c>
      <c r="W66" s="33"/>
      <c r="X66" s="36" t="str">
        <f t="shared" si="34"/>
        <v/>
      </c>
      <c r="Y66" s="33"/>
      <c r="Z66" s="36" t="str">
        <f t="shared" si="35"/>
        <v/>
      </c>
      <c r="AA66" s="33"/>
      <c r="AB66" s="36" t="str">
        <f t="shared" si="36"/>
        <v/>
      </c>
      <c r="AC66" s="33"/>
      <c r="AD66" s="36" t="str">
        <f t="shared" si="37"/>
        <v/>
      </c>
      <c r="AE66" s="76"/>
      <c r="AF66" s="36" t="str">
        <f t="shared" si="30"/>
        <v/>
      </c>
      <c r="AG66" s="33"/>
      <c r="AH66" s="36" t="str">
        <f t="shared" si="23"/>
        <v/>
      </c>
      <c r="AI66" s="33"/>
      <c r="AJ66" s="36" t="str">
        <f t="shared" si="31"/>
        <v/>
      </c>
      <c r="AK66" s="33"/>
      <c r="AL66" s="36" t="str">
        <f t="shared" si="38"/>
        <v/>
      </c>
      <c r="AM66" s="33"/>
      <c r="AN66" s="36" t="str">
        <f t="shared" si="19"/>
        <v/>
      </c>
      <c r="AO66" s="33"/>
      <c r="AP66" s="36" t="str">
        <f t="shared" si="32"/>
        <v/>
      </c>
      <c r="AQ66" s="33"/>
      <c r="AR66" s="36" t="str">
        <f t="shared" si="33"/>
        <v/>
      </c>
      <c r="AS66" s="33"/>
      <c r="AT66" s="36" t="str">
        <f t="shared" si="19"/>
        <v/>
      </c>
      <c r="AU66" s="33"/>
      <c r="AV66" s="36" t="str">
        <f t="shared" si="20"/>
        <v/>
      </c>
      <c r="AW66" s="33"/>
      <c r="AX66" s="36" t="str">
        <f t="shared" si="39"/>
        <v/>
      </c>
      <c r="AY66" s="33"/>
      <c r="AZ66" s="36" t="str">
        <f t="shared" si="40"/>
        <v/>
      </c>
      <c r="BA66" s="23" t="s">
        <v>359</v>
      </c>
    </row>
    <row r="67" spans="1:53" ht="20" customHeight="1" x14ac:dyDescent="0.2">
      <c r="A67" s="61"/>
      <c r="B67" s="83"/>
      <c r="C67" s="24" t="s">
        <v>85</v>
      </c>
      <c r="D67" s="23" t="s">
        <v>91</v>
      </c>
      <c r="E67" s="23" t="s">
        <v>92</v>
      </c>
      <c r="F67" s="24">
        <v>2001</v>
      </c>
      <c r="G67" s="24">
        <v>170</v>
      </c>
      <c r="H67" s="89">
        <v>22</v>
      </c>
      <c r="I67" s="85" t="s">
        <v>176</v>
      </c>
      <c r="J67" s="86" t="s">
        <v>169</v>
      </c>
      <c r="K67" s="33"/>
      <c r="L67" s="36" t="str">
        <f t="shared" si="24"/>
        <v/>
      </c>
      <c r="M67" s="33"/>
      <c r="N67" s="36" t="str">
        <f t="shared" si="25"/>
        <v/>
      </c>
      <c r="O67" s="33"/>
      <c r="P67" s="36" t="str">
        <f t="shared" si="26"/>
        <v/>
      </c>
      <c r="Q67" s="33"/>
      <c r="R67" s="36" t="str">
        <f t="shared" si="27"/>
        <v/>
      </c>
      <c r="S67" s="33"/>
      <c r="T67" s="36" t="str">
        <f t="shared" si="28"/>
        <v/>
      </c>
      <c r="U67" s="76"/>
      <c r="V67" s="36" t="str">
        <f t="shared" si="29"/>
        <v/>
      </c>
      <c r="W67" s="33"/>
      <c r="X67" s="36" t="str">
        <f>IF((ISERROR((W67/$H67)*100)), "", IF(AND(NOT(ISERROR((W67/$H67)*100)),((W67/$H67)*100) &lt;&gt; 0), (W67/$H67)*100, ""))</f>
        <v/>
      </c>
      <c r="Y67" s="33"/>
      <c r="Z67" s="36" t="str">
        <f>IF((ISERROR((Y67/$H67)*100)), "", IF(AND(NOT(ISERROR((Y67/$H67)*100)),((Y67/$H67)*100) &lt;&gt; 0), (Y67/$H67)*100, ""))</f>
        <v/>
      </c>
      <c r="AA67" s="33"/>
      <c r="AB67" s="36" t="str">
        <f>IF((ISERROR((AA67/$H67)*100)), "", IF(AND(NOT(ISERROR((AA67/$H67)*100)),((AA67/$H67)*100) &lt;&gt; 0), (AA67/$H67)*100, ""))</f>
        <v/>
      </c>
      <c r="AC67" s="33"/>
      <c r="AD67" s="36" t="str">
        <f>IF((ISERROR((AC67/$H67)*100)), "", IF(AND(NOT(ISERROR((AC67/$H67)*100)),((AC67/$H67)*100) &lt;&gt; 0), (AC67/$H67)*100, ""))</f>
        <v/>
      </c>
      <c r="AE67" s="76"/>
      <c r="AF67" s="36" t="str">
        <f t="shared" si="30"/>
        <v/>
      </c>
      <c r="AG67" s="33"/>
      <c r="AH67" s="36" t="str">
        <f>IF((ISERROR((AG67/$H67)*100)), "", IF(AND(NOT(ISERROR((AG67/$H67)*100)),((AG67/$H67)*100) &lt;&gt; 0), (AG67/$H67)*100, ""))</f>
        <v/>
      </c>
      <c r="AI67" s="33"/>
      <c r="AJ67" s="36" t="str">
        <f t="shared" si="31"/>
        <v/>
      </c>
      <c r="AK67" s="33"/>
      <c r="AL67" s="36" t="str">
        <f>IF((ISERROR((AK67/$H67)*100)), "", IF(AND(NOT(ISERROR((AK67/$H67)*100)),((AK67/$H67)*100) &lt;&gt; 0), (AK67/$H67)*100, ""))</f>
        <v/>
      </c>
      <c r="AM67" s="33"/>
      <c r="AN67" s="36" t="str">
        <f>IF((ISERROR((AM67/$H67)*100)), "", IF(AND(NOT(ISERROR((AM67/$H67)*100)),((AM67/$H67)*100) &lt;&gt; 0), (AM67/$H67)*100, ""))</f>
        <v/>
      </c>
      <c r="AO67" s="33"/>
      <c r="AP67" s="36" t="str">
        <f t="shared" si="32"/>
        <v/>
      </c>
      <c r="AQ67" s="33"/>
      <c r="AR67" s="36" t="str">
        <f t="shared" si="33"/>
        <v/>
      </c>
      <c r="AS67" s="33"/>
      <c r="AT67" s="36" t="str">
        <f t="shared" si="19"/>
        <v/>
      </c>
      <c r="AU67" s="33"/>
      <c r="AV67" s="36" t="str">
        <f t="shared" si="20"/>
        <v/>
      </c>
      <c r="AW67" s="33"/>
      <c r="AX67" s="36" t="str">
        <f t="shared" si="39"/>
        <v/>
      </c>
      <c r="AY67" s="33"/>
      <c r="AZ67" s="36" t="str">
        <f t="shared" si="40"/>
        <v/>
      </c>
      <c r="BA67" s="23" t="s">
        <v>181</v>
      </c>
    </row>
    <row r="68" spans="1:53" ht="20" customHeight="1" x14ac:dyDescent="0.2">
      <c r="A68" s="60"/>
      <c r="B68" s="83"/>
      <c r="C68" s="24" t="s">
        <v>85</v>
      </c>
      <c r="D68" s="23" t="s">
        <v>291</v>
      </c>
      <c r="E68" s="23" t="s">
        <v>292</v>
      </c>
      <c r="F68" s="24">
        <v>2009</v>
      </c>
      <c r="H68" s="89">
        <v>20</v>
      </c>
      <c r="I68" s="85" t="s">
        <v>214</v>
      </c>
      <c r="J68" s="86" t="s">
        <v>191</v>
      </c>
      <c r="K68" s="33"/>
      <c r="L68" s="36" t="str">
        <f t="shared" si="24"/>
        <v/>
      </c>
      <c r="M68" s="33"/>
      <c r="N68" s="36" t="str">
        <f t="shared" si="25"/>
        <v/>
      </c>
      <c r="O68" s="33"/>
      <c r="P68" s="36" t="str">
        <f t="shared" si="26"/>
        <v/>
      </c>
      <c r="Q68" s="33"/>
      <c r="R68" s="36" t="str">
        <f t="shared" si="27"/>
        <v/>
      </c>
      <c r="S68" s="33"/>
      <c r="T68" s="36" t="str">
        <f t="shared" si="28"/>
        <v/>
      </c>
      <c r="U68" s="76"/>
      <c r="V68" s="36" t="str">
        <f t="shared" si="29"/>
        <v/>
      </c>
      <c r="W68" s="33"/>
      <c r="X68" s="36" t="str">
        <f>IF((ISERROR((W68/$H68)*100)), "", IF(AND(NOT(ISERROR((W68/$H68)*100)),((W68/$H68)*100) &lt;&gt; 0), (W68/$H68)*100, ""))</f>
        <v/>
      </c>
      <c r="Y68" s="33"/>
      <c r="Z68" s="36" t="str">
        <f>IF((ISERROR((Y68/$H68)*100)), "", IF(AND(NOT(ISERROR((Y68/$H68)*100)),((Y68/$H68)*100) &lt;&gt; 0), (Y68/$H68)*100, ""))</f>
        <v/>
      </c>
      <c r="AA68" s="33"/>
      <c r="AB68" s="36" t="str">
        <f>IF((ISERROR((AA68/$H68)*100)), "", IF(AND(NOT(ISERROR((AA68/$H68)*100)),((AA68/$H68)*100) &lt;&gt; 0), (AA68/$H68)*100, ""))</f>
        <v/>
      </c>
      <c r="AC68" s="33"/>
      <c r="AD68" s="36" t="str">
        <f>IF((ISERROR((AC68/$H68)*100)), "", IF(AND(NOT(ISERROR((AC68/$H68)*100)),((AC68/$H68)*100) &lt;&gt; 0), (AC68/$H68)*100, ""))</f>
        <v/>
      </c>
      <c r="AE68" s="76"/>
      <c r="AF68" s="36" t="str">
        <f t="shared" si="30"/>
        <v/>
      </c>
      <c r="AG68" s="33"/>
      <c r="AH68" s="36" t="str">
        <f>IF((ISERROR((AG68/$H68)*100)), "", IF(AND(NOT(ISERROR((AG68/$H68)*100)),((AG68/$H68)*100) &lt;&gt; 0), (AG68/$H68)*100, ""))</f>
        <v/>
      </c>
      <c r="AI68" s="33"/>
      <c r="AJ68" s="36" t="str">
        <f t="shared" si="31"/>
        <v/>
      </c>
      <c r="AK68" s="33"/>
      <c r="AL68" s="36" t="str">
        <f>IF((ISERROR((AK68/$H68)*100)), "", IF(AND(NOT(ISERROR((AK68/$H68)*100)),((AK68/$H68)*100) &lt;&gt; 0), (AK68/$H68)*100, ""))</f>
        <v/>
      </c>
      <c r="AM68" s="33"/>
      <c r="AN68" s="36" t="str">
        <f>IF((ISERROR((AM68/$H68)*100)), "", IF(AND(NOT(ISERROR((AM68/$H68)*100)),((AM68/$H68)*100) &lt;&gt; 0), (AM68/$H68)*100, ""))</f>
        <v/>
      </c>
      <c r="AO68" s="33"/>
      <c r="AP68" s="36" t="str">
        <f t="shared" si="32"/>
        <v/>
      </c>
      <c r="AQ68" s="33"/>
      <c r="AR68" s="36" t="str">
        <f t="shared" si="33"/>
        <v/>
      </c>
      <c r="AS68" s="33"/>
      <c r="AT68" s="36" t="str">
        <f t="shared" si="19"/>
        <v/>
      </c>
      <c r="AU68" s="33"/>
      <c r="AV68" s="36" t="str">
        <f t="shared" si="20"/>
        <v/>
      </c>
      <c r="AW68" s="33"/>
      <c r="AX68" s="36" t="str">
        <f t="shared" si="39"/>
        <v/>
      </c>
      <c r="AY68" s="33"/>
      <c r="AZ68" s="36" t="str">
        <f t="shared" si="40"/>
        <v/>
      </c>
      <c r="BA68" s="23" t="s">
        <v>360</v>
      </c>
    </row>
    <row r="69" spans="1:53" ht="20" customHeight="1" x14ac:dyDescent="0.2">
      <c r="A69" s="60"/>
      <c r="B69" s="24"/>
      <c r="C69" s="24" t="s">
        <v>85</v>
      </c>
      <c r="D69" s="23" t="s">
        <v>293</v>
      </c>
      <c r="E69" s="23" t="s">
        <v>294</v>
      </c>
      <c r="F69" s="24">
        <v>2006</v>
      </c>
      <c r="H69" s="89">
        <v>10</v>
      </c>
      <c r="I69" s="85" t="s">
        <v>361</v>
      </c>
      <c r="J69" s="86" t="s">
        <v>169</v>
      </c>
      <c r="K69" s="33"/>
      <c r="L69" s="36" t="str">
        <f t="shared" si="24"/>
        <v/>
      </c>
      <c r="M69" s="33"/>
      <c r="N69" s="36" t="str">
        <f t="shared" si="25"/>
        <v/>
      </c>
      <c r="O69" s="33"/>
      <c r="P69" s="36" t="str">
        <f t="shared" si="26"/>
        <v/>
      </c>
      <c r="Q69" s="33"/>
      <c r="R69" s="36" t="str">
        <f t="shared" si="27"/>
        <v/>
      </c>
      <c r="S69" s="38"/>
      <c r="T69" s="39" t="str">
        <f t="shared" si="28"/>
        <v/>
      </c>
      <c r="U69" s="76"/>
      <c r="V69" s="36" t="str">
        <f t="shared" si="29"/>
        <v/>
      </c>
      <c r="W69" s="33"/>
      <c r="X69" s="36" t="str">
        <f>IF((ISERROR((W69/$H69)*100)), "", IF(AND(NOT(ISERROR((W69/$H69)*100)),((W69/$H69)*100) &lt;&gt; 0), (W69/$H69)*100, ""))</f>
        <v/>
      </c>
      <c r="Y69" s="33"/>
      <c r="Z69" s="36" t="str">
        <f>IF((ISERROR((Y69/$H69)*100)), "", IF(AND(NOT(ISERROR((Y69/$H69)*100)),((Y69/$H69)*100) &lt;&gt; 0), (Y69/$H69)*100, ""))</f>
        <v/>
      </c>
      <c r="AA69" s="33"/>
      <c r="AB69" s="36" t="str">
        <f>IF((ISERROR((AA69/$H69)*100)), "", IF(AND(NOT(ISERROR((AA69/$H69)*100)),((AA69/$H69)*100) &lt;&gt; 0), (AA69/$H69)*100, ""))</f>
        <v/>
      </c>
      <c r="AC69" s="33"/>
      <c r="AD69" s="36" t="str">
        <f>IF((ISERROR((AC69/$H69)*100)), "", IF(AND(NOT(ISERROR((AC69/$H69)*100)),((AC69/$H69)*100) &lt;&gt; 0), (AC69/$H69)*100, ""))</f>
        <v/>
      </c>
      <c r="AE69" s="76"/>
      <c r="AF69" s="36" t="str">
        <f t="shared" si="30"/>
        <v/>
      </c>
      <c r="AG69" s="33"/>
      <c r="AH69" s="36" t="str">
        <f>IF((ISERROR((AG69/$H69)*100)), "", IF(AND(NOT(ISERROR((AG69/$H69)*100)),((AG69/$H69)*100) &lt;&gt; 0), (AG69/$H69)*100, ""))</f>
        <v/>
      </c>
      <c r="AI69" s="33"/>
      <c r="AJ69" s="36" t="str">
        <f t="shared" si="31"/>
        <v/>
      </c>
      <c r="AK69" s="33"/>
      <c r="AL69" s="36" t="str">
        <f>IF((ISERROR((AK69/$H69)*100)), "", IF(AND(NOT(ISERROR((AK69/$H69)*100)),((AK69/$H69)*100) &lt;&gt; 0), (AK69/$H69)*100, ""))</f>
        <v/>
      </c>
      <c r="AM69" s="33"/>
      <c r="AN69" s="36" t="str">
        <f>IF((ISERROR((AM69/$H69)*100)), "", IF(AND(NOT(ISERROR((AM69/$H69)*100)),((AM69/$H69)*100) &lt;&gt; 0), (AM69/$H69)*100, ""))</f>
        <v/>
      </c>
      <c r="AO69" s="33"/>
      <c r="AP69" s="36" t="str">
        <f t="shared" si="32"/>
        <v/>
      </c>
      <c r="AQ69" s="33"/>
      <c r="AR69" s="36" t="str">
        <f t="shared" si="33"/>
        <v/>
      </c>
      <c r="AS69" s="33"/>
      <c r="AT69" s="36" t="str">
        <f t="shared" si="19"/>
        <v/>
      </c>
      <c r="AU69" s="33"/>
      <c r="AV69" s="36" t="str">
        <f t="shared" si="20"/>
        <v/>
      </c>
      <c r="AW69" s="33"/>
      <c r="AX69" s="36" t="str">
        <f t="shared" si="39"/>
        <v/>
      </c>
      <c r="AY69" s="33"/>
      <c r="AZ69" s="36" t="str">
        <f t="shared" si="40"/>
        <v/>
      </c>
      <c r="BA69" s="23" t="s">
        <v>362</v>
      </c>
    </row>
    <row r="70" spans="1:53" ht="20" customHeight="1" x14ac:dyDescent="0.2">
      <c r="A70" s="61"/>
      <c r="B70" s="24"/>
      <c r="C70" s="24" t="s">
        <v>85</v>
      </c>
      <c r="D70" s="23" t="s">
        <v>297</v>
      </c>
      <c r="E70" s="23" t="s">
        <v>298</v>
      </c>
      <c r="F70" s="24">
        <v>2016</v>
      </c>
      <c r="H70" s="89">
        <v>25</v>
      </c>
      <c r="I70" s="85" t="s">
        <v>214</v>
      </c>
      <c r="J70" s="86" t="s">
        <v>192</v>
      </c>
      <c r="K70" s="33"/>
      <c r="L70" s="36" t="str">
        <f t="shared" si="24"/>
        <v/>
      </c>
      <c r="M70" s="33"/>
      <c r="N70" s="36" t="str">
        <f t="shared" si="25"/>
        <v/>
      </c>
      <c r="O70" s="33"/>
      <c r="P70" s="36" t="str">
        <f t="shared" si="26"/>
        <v/>
      </c>
      <c r="Q70" s="33"/>
      <c r="R70" s="36" t="str">
        <f t="shared" si="27"/>
        <v/>
      </c>
      <c r="S70" s="33"/>
      <c r="T70" s="36" t="str">
        <f t="shared" si="28"/>
        <v/>
      </c>
      <c r="U70" s="76"/>
      <c r="V70" s="36" t="str">
        <f t="shared" si="29"/>
        <v/>
      </c>
      <c r="W70" s="33"/>
      <c r="X70" s="36" t="str">
        <f>IF((ISERROR((W70/$H70)*100)), "", IF(AND(NOT(ISERROR((W70/$H70)*100)),((W70/$H70)*100) &lt;&gt; 0), (W70/$H70)*100, ""))</f>
        <v/>
      </c>
      <c r="Y70" s="33"/>
      <c r="Z70" s="36" t="str">
        <f>IF((ISERROR((Y70/$H70)*100)), "", IF(AND(NOT(ISERROR((Y70/$H70)*100)),((Y70/$H70)*100) &lt;&gt; 0), (Y70/$H70)*100, ""))</f>
        <v/>
      </c>
      <c r="AA70" s="33"/>
      <c r="AB70" s="36" t="str">
        <f>IF((ISERROR((AA70/$H70)*100)), "", IF(AND(NOT(ISERROR((AA70/$H70)*100)),((AA70/$H70)*100) &lt;&gt; 0), (AA70/$H70)*100, ""))</f>
        <v/>
      </c>
      <c r="AC70" s="33"/>
      <c r="AD70" s="36" t="str">
        <f>IF((ISERROR((AC70/$H70)*100)), "", IF(AND(NOT(ISERROR((AC70/$H70)*100)),((AC70/$H70)*100) &lt;&gt; 0), (AC70/$H70)*100, ""))</f>
        <v/>
      </c>
      <c r="AE70" s="76"/>
      <c r="AF70" s="36" t="str">
        <f t="shared" si="30"/>
        <v/>
      </c>
      <c r="AG70" s="33"/>
      <c r="AH70" s="36" t="str">
        <f>IF((ISERROR((AG70/$H70)*100)), "", IF(AND(NOT(ISERROR((AG70/$H70)*100)),((AG70/$H70)*100) &lt;&gt; 0), (AG70/$H70)*100, ""))</f>
        <v/>
      </c>
      <c r="AI70" s="33"/>
      <c r="AJ70" s="36" t="str">
        <f t="shared" si="31"/>
        <v/>
      </c>
      <c r="AK70" s="33"/>
      <c r="AL70" s="36" t="str">
        <f>IF((ISERROR((AK70/$H70)*100)), "", IF(AND(NOT(ISERROR((AK70/$H70)*100)),((AK70/$H70)*100) &lt;&gt; 0), (AK70/$H70)*100, ""))</f>
        <v/>
      </c>
      <c r="AM70" s="33"/>
      <c r="AN70" s="36" t="str">
        <f>IF((ISERROR((AM70/$H70)*100)), "", IF(AND(NOT(ISERROR((AM70/$H70)*100)),((AM70/$H70)*100) &lt;&gt; 0), (AM70/$H70)*100, ""))</f>
        <v/>
      </c>
      <c r="AO70" s="33"/>
      <c r="AP70" s="36" t="str">
        <f t="shared" si="32"/>
        <v/>
      </c>
      <c r="AQ70" s="33"/>
      <c r="AR70" s="36" t="str">
        <f t="shared" si="33"/>
        <v/>
      </c>
      <c r="AS70" s="33"/>
      <c r="AT70" s="36" t="str">
        <f t="shared" si="19"/>
        <v/>
      </c>
      <c r="AU70" s="33"/>
      <c r="AV70" s="36" t="str">
        <f t="shared" si="20"/>
        <v/>
      </c>
      <c r="AW70" s="33"/>
      <c r="AX70" s="36" t="str">
        <f t="shared" si="39"/>
        <v/>
      </c>
      <c r="AY70" s="33"/>
      <c r="AZ70" s="36" t="str">
        <f t="shared" si="40"/>
        <v/>
      </c>
    </row>
    <row r="71" spans="1:53" ht="20" customHeight="1" x14ac:dyDescent="0.2">
      <c r="A71" s="60"/>
      <c r="B71" s="82"/>
      <c r="C71" s="24" t="s">
        <v>85</v>
      </c>
      <c r="D71" s="23" t="s">
        <v>295</v>
      </c>
      <c r="E71" s="23" t="s">
        <v>296</v>
      </c>
      <c r="F71" s="24">
        <v>2011</v>
      </c>
      <c r="H71" s="89">
        <v>244</v>
      </c>
      <c r="I71" s="85" t="s">
        <v>211</v>
      </c>
      <c r="J71" s="86" t="s">
        <v>190</v>
      </c>
      <c r="K71" s="33"/>
      <c r="L71" s="36" t="str">
        <f t="shared" si="24"/>
        <v/>
      </c>
      <c r="M71" s="33"/>
      <c r="N71" s="36" t="str">
        <f t="shared" si="25"/>
        <v/>
      </c>
      <c r="O71" s="33"/>
      <c r="P71" s="36" t="str">
        <f t="shared" si="26"/>
        <v/>
      </c>
      <c r="Q71" s="33"/>
      <c r="R71" s="36" t="str">
        <f t="shared" si="27"/>
        <v/>
      </c>
      <c r="S71" s="33"/>
      <c r="T71" s="36" t="str">
        <f t="shared" si="28"/>
        <v/>
      </c>
      <c r="U71" s="76"/>
      <c r="V71" s="36" t="str">
        <f t="shared" si="29"/>
        <v/>
      </c>
      <c r="W71" s="33"/>
      <c r="X71" s="36" t="str">
        <f t="shared" si="34"/>
        <v/>
      </c>
      <c r="Y71" s="33"/>
      <c r="Z71" s="36" t="str">
        <f t="shared" si="35"/>
        <v/>
      </c>
      <c r="AA71" s="33"/>
      <c r="AB71" s="36" t="str">
        <f t="shared" si="36"/>
        <v/>
      </c>
      <c r="AC71" s="33"/>
      <c r="AD71" s="36" t="str">
        <f t="shared" si="37"/>
        <v/>
      </c>
      <c r="AE71" s="76"/>
      <c r="AF71" s="36" t="str">
        <f t="shared" si="30"/>
        <v/>
      </c>
      <c r="AG71" s="33">
        <v>3</v>
      </c>
      <c r="AH71" s="36">
        <f t="shared" si="23"/>
        <v>1.2295081967213115</v>
      </c>
      <c r="AI71" s="33"/>
      <c r="AJ71" s="36" t="str">
        <f t="shared" si="31"/>
        <v/>
      </c>
      <c r="AK71" s="33"/>
      <c r="AL71" s="36" t="str">
        <f t="shared" si="38"/>
        <v/>
      </c>
      <c r="AM71" s="33"/>
      <c r="AN71" s="36" t="str">
        <f t="shared" si="19"/>
        <v/>
      </c>
      <c r="AO71" s="33">
        <v>4</v>
      </c>
      <c r="AP71" s="36">
        <f t="shared" si="32"/>
        <v>1.639344262295082</v>
      </c>
      <c r="AQ71" s="33"/>
      <c r="AR71" s="36" t="str">
        <f t="shared" si="33"/>
        <v/>
      </c>
      <c r="AS71" s="33"/>
      <c r="AT71" s="36" t="str">
        <f t="shared" si="19"/>
        <v/>
      </c>
      <c r="AU71" s="33"/>
      <c r="AV71" s="36" t="str">
        <f t="shared" si="20"/>
        <v/>
      </c>
      <c r="AW71" s="33"/>
      <c r="AX71" s="36" t="str">
        <f t="shared" si="39"/>
        <v/>
      </c>
      <c r="AY71" s="33"/>
      <c r="AZ71" s="36" t="str">
        <f t="shared" si="40"/>
        <v/>
      </c>
    </row>
    <row r="72" spans="1:53" ht="20" customHeight="1" x14ac:dyDescent="0.2">
      <c r="A72" s="61"/>
      <c r="B72" s="24"/>
      <c r="C72" s="50" t="s">
        <v>49</v>
      </c>
      <c r="D72" s="49" t="s">
        <v>93</v>
      </c>
      <c r="E72" s="49" t="s">
        <v>94</v>
      </c>
      <c r="F72" s="50">
        <v>2015</v>
      </c>
      <c r="G72" s="50">
        <v>22</v>
      </c>
      <c r="H72" s="89"/>
      <c r="I72" s="85"/>
      <c r="J72" s="86"/>
      <c r="K72" s="33"/>
      <c r="L72" s="36" t="str">
        <f t="shared" si="24"/>
        <v/>
      </c>
      <c r="M72" s="33"/>
      <c r="N72" s="36" t="str">
        <f t="shared" si="25"/>
        <v/>
      </c>
      <c r="O72" s="33"/>
      <c r="P72" s="36" t="str">
        <f t="shared" si="26"/>
        <v/>
      </c>
      <c r="Q72" s="33"/>
      <c r="R72" s="36" t="str">
        <f t="shared" si="27"/>
        <v/>
      </c>
      <c r="S72" s="33"/>
      <c r="T72" s="36" t="str">
        <f t="shared" si="28"/>
        <v/>
      </c>
      <c r="U72" s="76"/>
      <c r="V72" s="36" t="str">
        <f t="shared" si="29"/>
        <v/>
      </c>
      <c r="W72" s="33"/>
      <c r="X72" s="36" t="str">
        <f t="shared" si="34"/>
        <v/>
      </c>
      <c r="Y72" s="33"/>
      <c r="Z72" s="36" t="str">
        <f t="shared" si="35"/>
        <v/>
      </c>
      <c r="AA72" s="33"/>
      <c r="AB72" s="36" t="str">
        <f t="shared" si="36"/>
        <v/>
      </c>
      <c r="AC72" s="33"/>
      <c r="AD72" s="36" t="str">
        <f t="shared" si="37"/>
        <v/>
      </c>
      <c r="AE72" s="76"/>
      <c r="AF72" s="36" t="str">
        <f t="shared" si="30"/>
        <v/>
      </c>
      <c r="AG72" s="33"/>
      <c r="AH72" s="36" t="str">
        <f t="shared" si="23"/>
        <v/>
      </c>
      <c r="AI72" s="33"/>
      <c r="AJ72" s="36" t="str">
        <f t="shared" si="31"/>
        <v/>
      </c>
      <c r="AK72" s="33"/>
      <c r="AL72" s="36" t="str">
        <f t="shared" si="38"/>
        <v/>
      </c>
      <c r="AM72" s="33"/>
      <c r="AN72" s="36" t="str">
        <f t="shared" si="19"/>
        <v/>
      </c>
      <c r="AO72" s="33"/>
      <c r="AP72" s="36" t="str">
        <f t="shared" si="32"/>
        <v/>
      </c>
      <c r="AQ72" s="33"/>
      <c r="AR72" s="36" t="str">
        <f t="shared" si="33"/>
        <v/>
      </c>
      <c r="AS72" s="33"/>
      <c r="AT72" s="36" t="str">
        <f t="shared" si="19"/>
        <v/>
      </c>
      <c r="AU72" s="33"/>
      <c r="AV72" s="36" t="str">
        <f t="shared" si="20"/>
        <v/>
      </c>
      <c r="AW72" s="33"/>
      <c r="AX72" s="36" t="str">
        <f t="shared" si="39"/>
        <v/>
      </c>
      <c r="AY72" s="33"/>
      <c r="AZ72" s="36" t="str">
        <f t="shared" si="40"/>
        <v/>
      </c>
    </row>
    <row r="73" spans="1:53" ht="20" customHeight="1" x14ac:dyDescent="0.2">
      <c r="A73" s="61"/>
      <c r="B73" s="24"/>
      <c r="C73" s="50" t="s">
        <v>49</v>
      </c>
      <c r="D73" s="49" t="s">
        <v>95</v>
      </c>
      <c r="E73" s="49" t="s">
        <v>96</v>
      </c>
      <c r="F73" s="50">
        <v>1996</v>
      </c>
      <c r="G73" s="50">
        <v>71</v>
      </c>
      <c r="H73" s="89"/>
      <c r="I73" s="85"/>
      <c r="J73" s="86"/>
      <c r="K73" s="33"/>
      <c r="L73" s="36" t="str">
        <f t="shared" si="24"/>
        <v/>
      </c>
      <c r="M73" s="33"/>
      <c r="N73" s="36" t="str">
        <f t="shared" si="25"/>
        <v/>
      </c>
      <c r="O73" s="33"/>
      <c r="P73" s="36" t="str">
        <f t="shared" si="26"/>
        <v/>
      </c>
      <c r="Q73" s="33"/>
      <c r="R73" s="36" t="str">
        <f t="shared" si="27"/>
        <v/>
      </c>
      <c r="S73" s="33"/>
      <c r="T73" s="36" t="str">
        <f t="shared" si="28"/>
        <v/>
      </c>
      <c r="U73" s="76"/>
      <c r="V73" s="36" t="str">
        <f t="shared" si="29"/>
        <v/>
      </c>
      <c r="W73" s="33"/>
      <c r="X73" s="36" t="str">
        <f t="shared" si="34"/>
        <v/>
      </c>
      <c r="Y73" s="33"/>
      <c r="Z73" s="36" t="str">
        <f t="shared" si="35"/>
        <v/>
      </c>
      <c r="AA73" s="33"/>
      <c r="AB73" s="36" t="str">
        <f t="shared" si="36"/>
        <v/>
      </c>
      <c r="AC73" s="33"/>
      <c r="AD73" s="36" t="str">
        <f t="shared" si="37"/>
        <v/>
      </c>
      <c r="AE73" s="76"/>
      <c r="AF73" s="36" t="str">
        <f t="shared" si="30"/>
        <v/>
      </c>
      <c r="AG73" s="33"/>
      <c r="AH73" s="36" t="str">
        <f t="shared" si="23"/>
        <v/>
      </c>
      <c r="AI73" s="33"/>
      <c r="AJ73" s="36" t="str">
        <f t="shared" si="31"/>
        <v/>
      </c>
      <c r="AK73" s="33"/>
      <c r="AL73" s="36" t="str">
        <f t="shared" si="38"/>
        <v/>
      </c>
      <c r="AM73" s="33"/>
      <c r="AN73" s="36" t="str">
        <f t="shared" si="19"/>
        <v/>
      </c>
      <c r="AO73" s="33"/>
      <c r="AP73" s="36" t="str">
        <f t="shared" si="32"/>
        <v/>
      </c>
      <c r="AQ73" s="33"/>
      <c r="AR73" s="36" t="str">
        <f t="shared" si="33"/>
        <v/>
      </c>
      <c r="AS73" s="33"/>
      <c r="AT73" s="36" t="str">
        <f t="shared" si="19"/>
        <v/>
      </c>
      <c r="AU73" s="33"/>
      <c r="AV73" s="36" t="str">
        <f t="shared" si="20"/>
        <v/>
      </c>
      <c r="AW73" s="33"/>
      <c r="AX73" s="36" t="str">
        <f t="shared" si="39"/>
        <v/>
      </c>
      <c r="AY73" s="33"/>
      <c r="AZ73" s="36" t="str">
        <f t="shared" si="40"/>
        <v/>
      </c>
    </row>
    <row r="74" spans="1:53" ht="20" customHeight="1" x14ac:dyDescent="0.2">
      <c r="A74" s="60"/>
      <c r="B74" s="83"/>
      <c r="C74" s="50" t="s">
        <v>30</v>
      </c>
      <c r="D74" s="49" t="s">
        <v>97</v>
      </c>
      <c r="E74" s="49" t="s">
        <v>98</v>
      </c>
      <c r="F74" s="50">
        <v>2011</v>
      </c>
      <c r="G74" s="50">
        <v>74</v>
      </c>
      <c r="H74" s="89">
        <v>221</v>
      </c>
      <c r="I74" s="85"/>
      <c r="J74" s="86"/>
      <c r="K74" s="33"/>
      <c r="L74" s="36" t="str">
        <f t="shared" ref="L74:L100" si="41">IF((ISERROR((K74/$H74)*100)), "", IF(AND(NOT(ISERROR((K74/$H74)*100)),((K74/$H74)*100) &lt;&gt; 0), (K74/$H74)*100, ""))</f>
        <v/>
      </c>
      <c r="M74" s="33"/>
      <c r="N74" s="36" t="str">
        <f t="shared" ref="N74:N100" si="42">IF((ISERROR((M74/$H74)*100)), "", IF(AND(NOT(ISERROR((M74/$H74)*100)),((M74/$H74)*100) &lt;&gt; 0), (M74/$H74)*100, ""))</f>
        <v/>
      </c>
      <c r="O74" s="33"/>
      <c r="P74" s="36" t="str">
        <f t="shared" ref="P74:P100" si="43">IF((ISERROR((O74/$H74)*100)), "", IF(AND(NOT(ISERROR((O74/$H74)*100)),((O74/$H74)*100) &lt;&gt; 0), (O74/$H74)*100, ""))</f>
        <v/>
      </c>
      <c r="Q74" s="33"/>
      <c r="R74" s="36" t="str">
        <f t="shared" ref="R74:R100" si="44">IF((ISERROR((Q74/$H74)*100)), "", IF(AND(NOT(ISERROR((Q74/$H74)*100)),((Q74/$H74)*100) &lt;&gt; 0), (Q74/$H74)*100, ""))</f>
        <v/>
      </c>
      <c r="S74" s="33"/>
      <c r="T74" s="36" t="str">
        <f t="shared" ref="T74:T100" si="45">IF((ISERROR((S74/$H74)*100)), "", IF(AND(NOT(ISERROR((S74/$H74)*100)),((S74/$H74)*100) &lt;&gt; 0), (S74/$H74)*100, ""))</f>
        <v/>
      </c>
      <c r="U74" s="76"/>
      <c r="V74" s="36" t="str">
        <f t="shared" ref="V74:V79" si="46">IF((ISERROR((U74/$H74)*100)), "", IF(AND(NOT(ISERROR((U74/$H74)*100)),((U74/$H74)*100) &lt;&gt; 0), (U74/$H74)*100, ""))</f>
        <v/>
      </c>
      <c r="W74" s="33"/>
      <c r="X74" s="36" t="str">
        <f t="shared" si="34"/>
        <v/>
      </c>
      <c r="Y74" s="33"/>
      <c r="Z74" s="36" t="str">
        <f t="shared" si="35"/>
        <v/>
      </c>
      <c r="AA74" s="33"/>
      <c r="AB74" s="36" t="str">
        <f t="shared" si="36"/>
        <v/>
      </c>
      <c r="AC74" s="33"/>
      <c r="AD74" s="36" t="str">
        <f t="shared" si="37"/>
        <v/>
      </c>
      <c r="AE74" s="76"/>
      <c r="AF74" s="36" t="str">
        <f t="shared" ref="AF74:AF100" si="47">IF((ISERROR((AE74/$H74)*100)), "", IF(AND(NOT(ISERROR((AE74/$H74)*100)),((AE74/$H74)*100) &lt;&gt; 0), (AE74/$H74)*100, ""))</f>
        <v/>
      </c>
      <c r="AG74" s="33"/>
      <c r="AH74" s="36" t="str">
        <f t="shared" si="23"/>
        <v/>
      </c>
      <c r="AI74" s="33"/>
      <c r="AJ74" s="36" t="str">
        <f t="shared" ref="AJ74:AJ100" si="48">IF((ISERROR((AI74/$H74)*100)), "", IF(AND(NOT(ISERROR((AI74/$H74)*100)),((AI74/$H74)*100) &lt;&gt; 0), (AI74/$H74)*100, ""))</f>
        <v/>
      </c>
      <c r="AK74" s="33"/>
      <c r="AL74" s="36" t="str">
        <f t="shared" si="38"/>
        <v/>
      </c>
      <c r="AM74" s="33"/>
      <c r="AN74" s="36" t="str">
        <f t="shared" si="19"/>
        <v/>
      </c>
      <c r="AO74" s="33"/>
      <c r="AP74" s="36" t="str">
        <f t="shared" ref="AP74:AP100" si="49">IF((ISERROR((AO74/$H74)*100)), "", IF(AND(NOT(ISERROR((AO74/$H74)*100)),((AO74/$H74)*100) &lt;&gt; 0), (AO74/$H74)*100, ""))</f>
        <v/>
      </c>
      <c r="AQ74" s="33"/>
      <c r="AR74" s="36" t="str">
        <f t="shared" ref="AR74:AR100" si="50">IF((ISERROR((AQ74/$H74)*100)), "", IF(AND(NOT(ISERROR((AQ74/$H74)*100)),((AQ74/$H74)*100) &lt;&gt; 0), (AQ74/$H74)*100, ""))</f>
        <v/>
      </c>
      <c r="AS74" s="33"/>
      <c r="AT74" s="36" t="str">
        <f t="shared" si="19"/>
        <v/>
      </c>
      <c r="AU74" s="33"/>
      <c r="AV74" s="36" t="str">
        <f t="shared" si="20"/>
        <v/>
      </c>
      <c r="AW74" s="33"/>
      <c r="AX74" s="36" t="str">
        <f t="shared" si="39"/>
        <v/>
      </c>
      <c r="AY74" s="33"/>
      <c r="AZ74" s="36" t="str">
        <f t="shared" si="40"/>
        <v/>
      </c>
      <c r="BA74" s="23" t="s">
        <v>385</v>
      </c>
    </row>
    <row r="75" spans="1:53" ht="20" customHeight="1" x14ac:dyDescent="0.2">
      <c r="A75" s="60"/>
      <c r="B75" s="82"/>
      <c r="C75" s="24" t="s">
        <v>85</v>
      </c>
      <c r="D75" s="23" t="s">
        <v>99</v>
      </c>
      <c r="E75" s="23" t="s">
        <v>100</v>
      </c>
      <c r="F75" s="24">
        <v>2002</v>
      </c>
      <c r="G75" s="24">
        <v>103</v>
      </c>
      <c r="H75" s="89">
        <v>8</v>
      </c>
      <c r="I75" s="85"/>
      <c r="J75" s="86"/>
      <c r="K75" s="33"/>
      <c r="L75" s="36" t="str">
        <f t="shared" si="41"/>
        <v/>
      </c>
      <c r="M75" s="33"/>
      <c r="N75" s="36" t="str">
        <f t="shared" si="42"/>
        <v/>
      </c>
      <c r="O75" s="33"/>
      <c r="P75" s="36" t="str">
        <f t="shared" si="43"/>
        <v/>
      </c>
      <c r="Q75" s="33"/>
      <c r="R75" s="36" t="str">
        <f t="shared" si="44"/>
        <v/>
      </c>
      <c r="S75" s="33"/>
      <c r="T75" s="36" t="str">
        <f t="shared" si="45"/>
        <v/>
      </c>
      <c r="U75" s="76">
        <v>2</v>
      </c>
      <c r="V75" s="36">
        <f t="shared" si="46"/>
        <v>25</v>
      </c>
      <c r="W75" s="33"/>
      <c r="X75" s="36" t="str">
        <f>IF((ISERROR((W75/$H75)*100)), "", IF(AND(NOT(ISERROR((W75/$H75)*100)),((W75/$H75)*100) &lt;&gt; 0), (W75/$H75)*100, ""))</f>
        <v/>
      </c>
      <c r="Y75" s="33"/>
      <c r="Z75" s="36" t="str">
        <f>IF((ISERROR((Y75/$H75)*100)), "", IF(AND(NOT(ISERROR((Y75/$H75)*100)),((Y75/$H75)*100) &lt;&gt; 0), (Y75/$H75)*100, ""))</f>
        <v/>
      </c>
      <c r="AA75" s="33"/>
      <c r="AB75" s="36" t="str">
        <f>IF((ISERROR((AA75/$H75)*100)), "", IF(AND(NOT(ISERROR((AA75/$H75)*100)),((AA75/$H75)*100) &lt;&gt; 0), (AA75/$H75)*100, ""))</f>
        <v/>
      </c>
      <c r="AC75" s="33"/>
      <c r="AD75" s="36" t="str">
        <f>IF((ISERROR((AC75/$H75)*100)), "", IF(AND(NOT(ISERROR((AC75/$H75)*100)),((AC75/$H75)*100) &lt;&gt; 0), (AC75/$H75)*100, ""))</f>
        <v/>
      </c>
      <c r="AE75" s="76"/>
      <c r="AF75" s="36" t="str">
        <f t="shared" si="47"/>
        <v/>
      </c>
      <c r="AG75" s="33"/>
      <c r="AH75" s="36" t="str">
        <f>IF((ISERROR((AG75/$H75)*100)), "", IF(AND(NOT(ISERROR((AG75/$H75)*100)),((AG75/$H75)*100) &lt;&gt; 0), (AG75/$H75)*100, ""))</f>
        <v/>
      </c>
      <c r="AI75" s="33"/>
      <c r="AJ75" s="36" t="str">
        <f t="shared" si="48"/>
        <v/>
      </c>
      <c r="AK75" s="33"/>
      <c r="AL75" s="36" t="str">
        <f>IF((ISERROR((AK75/$H75)*100)), "", IF(AND(NOT(ISERROR((AK75/$H75)*100)),((AK75/$H75)*100) &lt;&gt; 0), (AK75/$H75)*100, ""))</f>
        <v/>
      </c>
      <c r="AM75" s="33"/>
      <c r="AN75" s="36" t="str">
        <f>IF((ISERROR((AM75/$H75)*100)), "", IF(AND(NOT(ISERROR((AM75/$H75)*100)),((AM75/$H75)*100) &lt;&gt; 0), (AM75/$H75)*100, ""))</f>
        <v/>
      </c>
      <c r="AO75" s="33"/>
      <c r="AP75" s="36" t="str">
        <f t="shared" si="49"/>
        <v/>
      </c>
      <c r="AQ75" s="33"/>
      <c r="AR75" s="36" t="str">
        <f t="shared" si="50"/>
        <v/>
      </c>
      <c r="AS75" s="33"/>
      <c r="AT75" s="36" t="str">
        <f t="shared" si="19"/>
        <v/>
      </c>
      <c r="AU75" s="33"/>
      <c r="AV75" s="36" t="str">
        <f t="shared" ref="AV75" si="51">IF((ISERROR((AU75/$H75)*100)), "", IF(AND(NOT(ISERROR((AU75/$H75)*100)),((AU75/$H75)*100) &lt;&gt; 0), (AU75/$H75)*100, ""))</f>
        <v/>
      </c>
      <c r="AW75" s="33"/>
      <c r="AX75" s="36" t="str">
        <f t="shared" si="39"/>
        <v/>
      </c>
      <c r="AY75" s="33"/>
      <c r="AZ75" s="36" t="str">
        <f t="shared" si="40"/>
        <v/>
      </c>
      <c r="BA75" s="23" t="s">
        <v>201</v>
      </c>
    </row>
    <row r="76" spans="1:53" ht="20" customHeight="1" x14ac:dyDescent="0.2">
      <c r="A76" s="60"/>
      <c r="B76" s="83"/>
      <c r="C76" s="50" t="s">
        <v>30</v>
      </c>
      <c r="D76" s="49" t="s">
        <v>101</v>
      </c>
      <c r="E76" s="49" t="s">
        <v>102</v>
      </c>
      <c r="F76" s="50">
        <v>2014</v>
      </c>
      <c r="G76" s="50">
        <v>30</v>
      </c>
      <c r="H76" s="89"/>
      <c r="I76" s="85"/>
      <c r="J76" s="86"/>
      <c r="K76" s="33"/>
      <c r="L76" s="36" t="str">
        <f t="shared" si="41"/>
        <v/>
      </c>
      <c r="M76" s="33"/>
      <c r="N76" s="36" t="str">
        <f t="shared" si="42"/>
        <v/>
      </c>
      <c r="O76" s="33"/>
      <c r="P76" s="36" t="str">
        <f t="shared" si="43"/>
        <v/>
      </c>
      <c r="Q76" s="33"/>
      <c r="R76" s="36" t="str">
        <f t="shared" si="44"/>
        <v/>
      </c>
      <c r="S76" s="33">
        <v>2</v>
      </c>
      <c r="T76" s="36" t="str">
        <f t="shared" si="45"/>
        <v/>
      </c>
      <c r="U76" s="76"/>
      <c r="V76" s="36" t="str">
        <f t="shared" si="46"/>
        <v/>
      </c>
      <c r="W76" s="33"/>
      <c r="X76" s="36" t="str">
        <f t="shared" ref="X76:X103" si="52">IF((ISERROR((W76/$H76)*100)), "", IF(AND(NOT(ISERROR((W76/$H76)*100)),((W76/$H76)*100) &lt;&gt; 0), (W76/$H76)*100, ""))</f>
        <v/>
      </c>
      <c r="Y76" s="33"/>
      <c r="Z76" s="36" t="str">
        <f t="shared" ref="Z76:Z103" si="53">IF((ISERROR((Y76/$H76)*100)), "", IF(AND(NOT(ISERROR((Y76/$H76)*100)),((Y76/$H76)*100) &lt;&gt; 0), (Y76/$H76)*100, ""))</f>
        <v/>
      </c>
      <c r="AA76" s="33"/>
      <c r="AB76" s="36" t="str">
        <f t="shared" ref="AB76:AB103" si="54">IF((ISERROR((AA76/$H76)*100)), "", IF(AND(NOT(ISERROR((AA76/$H76)*100)),((AA76/$H76)*100) &lt;&gt; 0), (AA76/$H76)*100, ""))</f>
        <v/>
      </c>
      <c r="AC76" s="33"/>
      <c r="AD76" s="36" t="str">
        <f t="shared" ref="AD76:AD103" si="55">IF((ISERROR((AC76/$H76)*100)), "", IF(AND(NOT(ISERROR((AC76/$H76)*100)),((AC76/$H76)*100) &lt;&gt; 0), (AC76/$H76)*100, ""))</f>
        <v/>
      </c>
      <c r="AE76" s="76"/>
      <c r="AF76" s="36" t="str">
        <f t="shared" si="47"/>
        <v/>
      </c>
      <c r="AG76" s="33">
        <v>2</v>
      </c>
      <c r="AH76" s="36" t="str">
        <f t="shared" si="23"/>
        <v/>
      </c>
      <c r="AI76" s="33"/>
      <c r="AJ76" s="36" t="str">
        <f t="shared" si="48"/>
        <v/>
      </c>
      <c r="AK76" s="33"/>
      <c r="AL76" s="36" t="str">
        <f t="shared" ref="AL76:AL103" si="56">IF((ISERROR((AK76/$H76)*100)), "", IF(AND(NOT(ISERROR((AK76/$H76)*100)),((AK76/$H76)*100) &lt;&gt; 0), (AK76/$H76)*100, ""))</f>
        <v/>
      </c>
      <c r="AM76" s="33"/>
      <c r="AN76" s="36" t="str">
        <f t="shared" si="19"/>
        <v/>
      </c>
      <c r="AO76" s="38"/>
      <c r="AP76" s="39" t="str">
        <f t="shared" si="49"/>
        <v/>
      </c>
      <c r="AQ76" s="33">
        <v>1</v>
      </c>
      <c r="AR76" s="36" t="str">
        <f t="shared" si="50"/>
        <v/>
      </c>
      <c r="AS76" s="33"/>
      <c r="AT76" s="36" t="str">
        <f t="shared" si="19"/>
        <v/>
      </c>
      <c r="AU76" s="33"/>
      <c r="AV76" s="36" t="str">
        <f t="shared" ref="AV76:AV113" si="57">IF((ISERROR((AU76/$H76)*100)), "", IF(AND(NOT(ISERROR((AU76/$H76)*100)),((AU76/$H76)*100) &lt;&gt; 0), (AU76/$H76)*100, ""))</f>
        <v/>
      </c>
      <c r="AW76" s="33"/>
      <c r="AX76" s="36" t="str">
        <f t="shared" ref="AX76:AX106" si="58">IF((ISERROR((AW76/$H76)*100)), "", IF(AND(NOT(ISERROR((AW76/$H76)*100)),((AW76/$H76)*100) &lt;&gt; 0), (AW76/$H76)*100, ""))</f>
        <v/>
      </c>
      <c r="AY76" s="38"/>
      <c r="AZ76" s="39" t="str">
        <f t="shared" ref="AZ76:AZ106" si="59">IF((ISERROR((AY76/$H76)*100)), "", IF(AND(NOT(ISERROR((AY76/$H76)*100)),((AY76/$H76)*100) &lt;&gt; 0), (AY76/$H76)*100, ""))</f>
        <v/>
      </c>
      <c r="BA76" s="23" t="s">
        <v>386</v>
      </c>
    </row>
    <row r="77" spans="1:53" ht="20" customHeight="1" x14ac:dyDescent="0.2">
      <c r="A77" s="60"/>
      <c r="B77" s="83"/>
      <c r="D77" s="23" t="s">
        <v>299</v>
      </c>
      <c r="E77" s="23" t="s">
        <v>300</v>
      </c>
      <c r="F77" s="24">
        <v>2013</v>
      </c>
      <c r="H77" s="89">
        <v>18</v>
      </c>
      <c r="I77" s="85"/>
      <c r="J77" s="86"/>
      <c r="K77" s="33"/>
      <c r="L77" s="36" t="str">
        <f t="shared" si="41"/>
        <v/>
      </c>
      <c r="M77" s="33"/>
      <c r="N77" s="36" t="str">
        <f t="shared" si="42"/>
        <v/>
      </c>
      <c r="O77" s="33"/>
      <c r="P77" s="36" t="str">
        <f t="shared" si="43"/>
        <v/>
      </c>
      <c r="Q77" s="33"/>
      <c r="R77" s="36" t="str">
        <f t="shared" si="44"/>
        <v/>
      </c>
      <c r="S77" s="33"/>
      <c r="T77" s="36" t="str">
        <f t="shared" si="45"/>
        <v/>
      </c>
      <c r="U77" s="76"/>
      <c r="V77" s="36" t="str">
        <f t="shared" si="46"/>
        <v/>
      </c>
      <c r="W77" s="33"/>
      <c r="X77" s="36" t="str">
        <f t="shared" si="52"/>
        <v/>
      </c>
      <c r="Y77" s="33"/>
      <c r="Z77" s="36" t="str">
        <f t="shared" si="53"/>
        <v/>
      </c>
      <c r="AA77" s="33"/>
      <c r="AB77" s="36" t="str">
        <f t="shared" si="54"/>
        <v/>
      </c>
      <c r="AC77" s="33"/>
      <c r="AD77" s="36" t="str">
        <f t="shared" si="55"/>
        <v/>
      </c>
      <c r="AE77" s="76"/>
      <c r="AF77" s="36" t="str">
        <f t="shared" si="47"/>
        <v/>
      </c>
      <c r="AG77" s="33"/>
      <c r="AH77" s="36" t="str">
        <f t="shared" ref="AH77:AH111" si="60">IF((ISERROR((AG77/$H77)*100)), "", IF(AND(NOT(ISERROR((AG77/$H77)*100)),((AG77/$H77)*100) &lt;&gt; 0), (AG77/$H77)*100, ""))</f>
        <v/>
      </c>
      <c r="AI77" s="33"/>
      <c r="AJ77" s="36" t="str">
        <f t="shared" si="48"/>
        <v/>
      </c>
      <c r="AK77" s="33"/>
      <c r="AL77" s="36" t="str">
        <f t="shared" si="56"/>
        <v/>
      </c>
      <c r="AM77" s="33"/>
      <c r="AN77" s="36" t="str">
        <f t="shared" si="19"/>
        <v/>
      </c>
      <c r="AO77" s="33"/>
      <c r="AP77" s="36" t="str">
        <f t="shared" si="49"/>
        <v/>
      </c>
      <c r="AQ77" s="33"/>
      <c r="AR77" s="36" t="str">
        <f t="shared" si="50"/>
        <v/>
      </c>
      <c r="AS77" s="33"/>
      <c r="AT77" s="36" t="str">
        <f t="shared" si="19"/>
        <v/>
      </c>
      <c r="AU77" s="33"/>
      <c r="AV77" s="36" t="str">
        <f t="shared" si="57"/>
        <v/>
      </c>
      <c r="AW77" s="33"/>
      <c r="AX77" s="36" t="str">
        <f t="shared" si="58"/>
        <v/>
      </c>
      <c r="AY77" s="33"/>
      <c r="AZ77" s="36" t="str">
        <f t="shared" si="59"/>
        <v/>
      </c>
      <c r="BA77" s="23" t="s">
        <v>363</v>
      </c>
    </row>
    <row r="78" spans="1:53" ht="20" customHeight="1" x14ac:dyDescent="0.2">
      <c r="A78" s="60"/>
      <c r="B78" s="83"/>
      <c r="C78" s="24" t="s">
        <v>85</v>
      </c>
      <c r="D78" s="23" t="s">
        <v>301</v>
      </c>
      <c r="E78" s="23" t="s">
        <v>302</v>
      </c>
      <c r="F78" s="24">
        <v>2015</v>
      </c>
      <c r="H78" s="89">
        <v>41</v>
      </c>
      <c r="I78" s="85" t="s">
        <v>185</v>
      </c>
      <c r="J78" s="86"/>
      <c r="K78" s="33"/>
      <c r="L78" s="36" t="str">
        <f t="shared" si="41"/>
        <v/>
      </c>
      <c r="M78" s="33"/>
      <c r="N78" s="36" t="str">
        <f t="shared" si="42"/>
        <v/>
      </c>
      <c r="O78" s="33"/>
      <c r="P78" s="36" t="str">
        <f t="shared" si="43"/>
        <v/>
      </c>
      <c r="Q78" s="33"/>
      <c r="R78" s="36" t="str">
        <f t="shared" si="44"/>
        <v/>
      </c>
      <c r="S78" s="33"/>
      <c r="T78" s="36" t="str">
        <f t="shared" si="45"/>
        <v/>
      </c>
      <c r="U78" s="76"/>
      <c r="V78" s="36" t="str">
        <f t="shared" si="46"/>
        <v/>
      </c>
      <c r="W78" s="33"/>
      <c r="X78" s="36" t="str">
        <f>IF((ISERROR((W78/$H78)*100)), "", IF(AND(NOT(ISERROR((W78/$H78)*100)),((W78/$H78)*100) &lt;&gt; 0), (W78/$H78)*100, ""))</f>
        <v/>
      </c>
      <c r="Y78" s="33"/>
      <c r="Z78" s="36" t="str">
        <f>IF((ISERROR((Y78/$H78)*100)), "", IF(AND(NOT(ISERROR((Y78/$H78)*100)),((Y78/$H78)*100) &lt;&gt; 0), (Y78/$H78)*100, ""))</f>
        <v/>
      </c>
      <c r="AA78" s="33"/>
      <c r="AB78" s="36" t="str">
        <f>IF((ISERROR((AA78/$H78)*100)), "", IF(AND(NOT(ISERROR((AA78/$H78)*100)),((AA78/$H78)*100) &lt;&gt; 0), (AA78/$H78)*100, ""))</f>
        <v/>
      </c>
      <c r="AC78" s="33"/>
      <c r="AD78" s="36" t="str">
        <f>IF((ISERROR((AC78/$H78)*100)), "", IF(AND(NOT(ISERROR((AC78/$H78)*100)),((AC78/$H78)*100) &lt;&gt; 0), (AC78/$H78)*100, ""))</f>
        <v/>
      </c>
      <c r="AE78" s="76"/>
      <c r="AF78" s="36" t="str">
        <f t="shared" si="47"/>
        <v/>
      </c>
      <c r="AG78" s="33"/>
      <c r="AH78" s="36" t="str">
        <f>IF((ISERROR((AG78/$H78)*100)), "", IF(AND(NOT(ISERROR((AG78/$H78)*100)),((AG78/$H78)*100) &lt;&gt; 0), (AG78/$H78)*100, ""))</f>
        <v/>
      </c>
      <c r="AI78" s="33"/>
      <c r="AJ78" s="36" t="str">
        <f t="shared" si="48"/>
        <v/>
      </c>
      <c r="AK78" s="33"/>
      <c r="AL78" s="36" t="str">
        <f>IF((ISERROR((AK78/$H78)*100)), "", IF(AND(NOT(ISERROR((AK78/$H78)*100)),((AK78/$H78)*100) &lt;&gt; 0), (AK78/$H78)*100, ""))</f>
        <v/>
      </c>
      <c r="AM78" s="33"/>
      <c r="AN78" s="36" t="str">
        <f>IF((ISERROR((AM78/$H78)*100)), "", IF(AND(NOT(ISERROR((AM78/$H78)*100)),((AM78/$H78)*100) &lt;&gt; 0), (AM78/$H78)*100, ""))</f>
        <v/>
      </c>
      <c r="AO78" s="33"/>
      <c r="AP78" s="36" t="str">
        <f t="shared" si="49"/>
        <v/>
      </c>
      <c r="AQ78" s="33"/>
      <c r="AR78" s="36" t="str">
        <f t="shared" si="50"/>
        <v/>
      </c>
      <c r="AS78" s="33"/>
      <c r="AT78" s="36" t="str">
        <f t="shared" si="19"/>
        <v/>
      </c>
      <c r="AU78" s="33"/>
      <c r="AV78" s="36" t="str">
        <f t="shared" si="57"/>
        <v/>
      </c>
      <c r="AW78" s="33"/>
      <c r="AX78" s="36" t="str">
        <f t="shared" si="58"/>
        <v/>
      </c>
      <c r="AY78" s="33"/>
      <c r="AZ78" s="36" t="str">
        <f t="shared" si="59"/>
        <v/>
      </c>
      <c r="BA78" s="23" t="s">
        <v>364</v>
      </c>
    </row>
    <row r="79" spans="1:53" ht="20" customHeight="1" x14ac:dyDescent="0.2">
      <c r="A79" s="60"/>
      <c r="B79" s="82"/>
      <c r="C79" s="24" t="s">
        <v>85</v>
      </c>
      <c r="D79" s="23" t="s">
        <v>103</v>
      </c>
      <c r="E79" s="23" t="s">
        <v>104</v>
      </c>
      <c r="F79" s="24">
        <v>1996</v>
      </c>
      <c r="G79" s="24">
        <v>12</v>
      </c>
      <c r="H79" s="89">
        <v>97</v>
      </c>
      <c r="I79" s="85" t="s">
        <v>203</v>
      </c>
      <c r="J79" s="86" t="s">
        <v>204</v>
      </c>
      <c r="K79" s="33"/>
      <c r="L79" s="36" t="str">
        <f t="shared" si="41"/>
        <v/>
      </c>
      <c r="M79" s="33"/>
      <c r="N79" s="36" t="str">
        <f t="shared" si="42"/>
        <v/>
      </c>
      <c r="O79" s="33"/>
      <c r="P79" s="36" t="str">
        <f t="shared" si="43"/>
        <v/>
      </c>
      <c r="Q79" s="33"/>
      <c r="R79" s="36" t="str">
        <f t="shared" si="44"/>
        <v/>
      </c>
      <c r="S79" s="33"/>
      <c r="T79" s="36" t="str">
        <f t="shared" si="45"/>
        <v/>
      </c>
      <c r="U79" s="76">
        <v>16</v>
      </c>
      <c r="V79" s="36">
        <f t="shared" si="46"/>
        <v>16.494845360824741</v>
      </c>
      <c r="W79" s="33"/>
      <c r="X79" s="36" t="str">
        <f t="shared" si="52"/>
        <v/>
      </c>
      <c r="Y79" s="33"/>
      <c r="Z79" s="36" t="str">
        <f t="shared" si="53"/>
        <v/>
      </c>
      <c r="AA79" s="33"/>
      <c r="AB79" s="36" t="str">
        <f t="shared" si="54"/>
        <v/>
      </c>
      <c r="AC79" s="33"/>
      <c r="AD79" s="36" t="str">
        <f t="shared" si="55"/>
        <v/>
      </c>
      <c r="AE79" s="76"/>
      <c r="AF79" s="36" t="str">
        <f t="shared" si="47"/>
        <v/>
      </c>
      <c r="AG79" s="33">
        <v>3</v>
      </c>
      <c r="AH79" s="36">
        <f t="shared" si="60"/>
        <v>3.0927835051546393</v>
      </c>
      <c r="AI79" s="33"/>
      <c r="AJ79" s="36" t="str">
        <f t="shared" si="48"/>
        <v/>
      </c>
      <c r="AK79" s="33"/>
      <c r="AL79" s="36" t="str">
        <f t="shared" si="56"/>
        <v/>
      </c>
      <c r="AM79" s="33">
        <v>6</v>
      </c>
      <c r="AN79" s="36">
        <f t="shared" si="19"/>
        <v>6.1855670103092786</v>
      </c>
      <c r="AO79" s="33">
        <v>4</v>
      </c>
      <c r="AP79" s="36">
        <f t="shared" si="49"/>
        <v>4.1237113402061851</v>
      </c>
      <c r="AQ79" s="33"/>
      <c r="AR79" s="36" t="str">
        <f t="shared" si="50"/>
        <v/>
      </c>
      <c r="AS79" s="33"/>
      <c r="AT79" s="36" t="str">
        <f t="shared" si="19"/>
        <v/>
      </c>
      <c r="AU79" s="33">
        <v>1</v>
      </c>
      <c r="AV79" s="36">
        <f t="shared" si="57"/>
        <v>1.0309278350515463</v>
      </c>
      <c r="AW79" s="33">
        <v>1</v>
      </c>
      <c r="AX79" s="36">
        <f t="shared" si="58"/>
        <v>1.0309278350515463</v>
      </c>
      <c r="AY79" s="33"/>
      <c r="AZ79" s="36" t="str">
        <f t="shared" si="59"/>
        <v/>
      </c>
      <c r="BA79" s="23" t="s">
        <v>387</v>
      </c>
    </row>
    <row r="80" spans="1:53" ht="20" customHeight="1" x14ac:dyDescent="0.2">
      <c r="A80" s="60"/>
      <c r="B80" s="83"/>
      <c r="C80" s="24" t="s">
        <v>85</v>
      </c>
      <c r="D80" s="23" t="s">
        <v>303</v>
      </c>
      <c r="E80" s="23" t="s">
        <v>304</v>
      </c>
      <c r="F80" s="24">
        <v>2009</v>
      </c>
      <c r="H80" s="89">
        <v>68</v>
      </c>
      <c r="I80" s="85" t="s">
        <v>214</v>
      </c>
      <c r="J80" s="86" t="s">
        <v>365</v>
      </c>
      <c r="K80" s="33"/>
      <c r="L80" s="36" t="str">
        <f t="shared" si="41"/>
        <v/>
      </c>
      <c r="M80" s="33"/>
      <c r="N80" s="36" t="str">
        <f t="shared" si="42"/>
        <v/>
      </c>
      <c r="O80" s="33"/>
      <c r="P80" s="36" t="str">
        <f t="shared" si="43"/>
        <v/>
      </c>
      <c r="Q80" s="33"/>
      <c r="R80" s="36" t="str">
        <f t="shared" si="44"/>
        <v/>
      </c>
      <c r="S80" s="33"/>
      <c r="T80" s="36" t="str">
        <f t="shared" si="45"/>
        <v/>
      </c>
      <c r="U80" s="76"/>
      <c r="V80" s="36"/>
      <c r="W80" s="33"/>
      <c r="X80" s="36" t="str">
        <f>IF((ISERROR((W80/$H80)*100)), "", IF(AND(NOT(ISERROR((W80/$H80)*100)),((W80/$H80)*100) &lt;&gt; 0), (W80/$H80)*100, ""))</f>
        <v/>
      </c>
      <c r="Y80" s="33"/>
      <c r="Z80" s="36" t="str">
        <f>IF((ISERROR((Y80/$H80)*100)), "", IF(AND(NOT(ISERROR((Y80/$H80)*100)),((Y80/$H80)*100) &lt;&gt; 0), (Y80/$H80)*100, ""))</f>
        <v/>
      </c>
      <c r="AA80" s="33"/>
      <c r="AB80" s="36" t="str">
        <f>IF((ISERROR((AA80/$H80)*100)), "", IF(AND(NOT(ISERROR((AA80/$H80)*100)),((AA80/$H80)*100) &lt;&gt; 0), (AA80/$H80)*100, ""))</f>
        <v/>
      </c>
      <c r="AC80" s="33"/>
      <c r="AD80" s="36" t="str">
        <f>IF((ISERROR((AC80/$H80)*100)), "", IF(AND(NOT(ISERROR((AC80/$H80)*100)),((AC80/$H80)*100) &lt;&gt; 0), (AC80/$H80)*100, ""))</f>
        <v/>
      </c>
      <c r="AE80" s="76"/>
      <c r="AF80" s="36" t="str">
        <f t="shared" si="47"/>
        <v/>
      </c>
      <c r="AG80" s="33"/>
      <c r="AH80" s="36" t="str">
        <f>IF((ISERROR((AG80/$H80)*100)), "", IF(AND(NOT(ISERROR((AG80/$H80)*100)),((AG80/$H80)*100) &lt;&gt; 0), (AG80/$H80)*100, ""))</f>
        <v/>
      </c>
      <c r="AI80" s="33"/>
      <c r="AJ80" s="36" t="str">
        <f t="shared" si="48"/>
        <v/>
      </c>
      <c r="AK80" s="33"/>
      <c r="AL80" s="36" t="str">
        <f>IF((ISERROR((AK80/$H80)*100)), "", IF(AND(NOT(ISERROR((AK80/$H80)*100)),((AK80/$H80)*100) &lt;&gt; 0), (AK80/$H80)*100, ""))</f>
        <v/>
      </c>
      <c r="AM80" s="33"/>
      <c r="AN80" s="36" t="str">
        <f>IF((ISERROR((AM80/$H80)*100)), "", IF(AND(NOT(ISERROR((AM80/$H80)*100)),((AM80/$H80)*100) &lt;&gt; 0), (AM80/$H80)*100, ""))</f>
        <v/>
      </c>
      <c r="AO80" s="33"/>
      <c r="AP80" s="36" t="str">
        <f t="shared" si="49"/>
        <v/>
      </c>
      <c r="AQ80" s="33"/>
      <c r="AR80" s="36" t="str">
        <f t="shared" si="50"/>
        <v/>
      </c>
      <c r="AS80" s="33"/>
      <c r="AT80" s="36" t="str">
        <f t="shared" si="19"/>
        <v/>
      </c>
      <c r="AU80" s="33"/>
      <c r="AV80" s="36" t="str">
        <f t="shared" si="57"/>
        <v/>
      </c>
      <c r="AW80" s="33"/>
      <c r="AX80" s="36" t="str">
        <f t="shared" si="58"/>
        <v/>
      </c>
      <c r="AY80" s="33"/>
      <c r="AZ80" s="36" t="str">
        <f t="shared" si="59"/>
        <v/>
      </c>
      <c r="BA80" s="23" t="s">
        <v>419</v>
      </c>
    </row>
    <row r="81" spans="1:53" ht="20" customHeight="1" x14ac:dyDescent="0.2">
      <c r="A81" s="61"/>
      <c r="B81" s="24"/>
      <c r="C81" s="24" t="s">
        <v>85</v>
      </c>
      <c r="D81" s="23" t="s">
        <v>105</v>
      </c>
      <c r="E81" s="23" t="s">
        <v>106</v>
      </c>
      <c r="F81" s="24">
        <v>1989</v>
      </c>
      <c r="G81" s="24">
        <v>27</v>
      </c>
      <c r="H81" s="89"/>
      <c r="I81" s="85" t="s">
        <v>209</v>
      </c>
      <c r="J81" s="86" t="s">
        <v>178</v>
      </c>
      <c r="K81" s="33"/>
      <c r="L81" s="36" t="str">
        <f t="shared" si="41"/>
        <v/>
      </c>
      <c r="M81" s="33"/>
      <c r="N81" s="36" t="str">
        <f t="shared" si="42"/>
        <v/>
      </c>
      <c r="O81" s="33"/>
      <c r="P81" s="36" t="str">
        <f t="shared" si="43"/>
        <v/>
      </c>
      <c r="Q81" s="33"/>
      <c r="R81" s="36" t="str">
        <f t="shared" si="44"/>
        <v/>
      </c>
      <c r="S81" s="33"/>
      <c r="T81" s="36" t="str">
        <f t="shared" si="45"/>
        <v/>
      </c>
      <c r="U81" s="76"/>
      <c r="V81" s="36" t="str">
        <f t="shared" ref="V81:V100" si="61">IF((ISERROR((U81/$H81)*100)), "", IF(AND(NOT(ISERROR((U81/$H81)*100)),((U81/$H81)*100) &lt;&gt; 0), (U81/$H81)*100, ""))</f>
        <v/>
      </c>
      <c r="W81" s="38"/>
      <c r="X81" s="39" t="str">
        <f>IF((ISERROR((W81/$H81)*100)), "", IF(AND(NOT(ISERROR((W81/$H81)*100)),((W81/$H81)*100) &lt;&gt; 0), (W81/$H81)*100, ""))</f>
        <v/>
      </c>
      <c r="Y81" s="33"/>
      <c r="Z81" s="36" t="str">
        <f>IF((ISERROR((Y81/$H81)*100)), "", IF(AND(NOT(ISERROR((Y81/$H81)*100)),((Y81/$H81)*100) &lt;&gt; 0), (Y81/$H81)*100, ""))</f>
        <v/>
      </c>
      <c r="AA81" s="33"/>
      <c r="AB81" s="36" t="str">
        <f>IF((ISERROR((AA81/$H81)*100)), "", IF(AND(NOT(ISERROR((AA81/$H81)*100)),((AA81/$H81)*100) &lt;&gt; 0), (AA81/$H81)*100, ""))</f>
        <v/>
      </c>
      <c r="AC81" s="33"/>
      <c r="AD81" s="36" t="str">
        <f>IF((ISERROR((AC81/$H81)*100)), "", IF(AND(NOT(ISERROR((AC81/$H81)*100)),((AC81/$H81)*100) &lt;&gt; 0), (AC81/$H81)*100, ""))</f>
        <v/>
      </c>
      <c r="AE81" s="76"/>
      <c r="AF81" s="36" t="str">
        <f t="shared" si="47"/>
        <v/>
      </c>
      <c r="AG81" s="33"/>
      <c r="AH81" s="36" t="str">
        <f>IF((ISERROR((AG81/$H81)*100)), "", IF(AND(NOT(ISERROR((AG81/$H81)*100)),((AG81/$H81)*100) &lt;&gt; 0), (AG81/$H81)*100, ""))</f>
        <v/>
      </c>
      <c r="AI81" s="33"/>
      <c r="AJ81" s="36" t="str">
        <f t="shared" si="48"/>
        <v/>
      </c>
      <c r="AK81" s="33"/>
      <c r="AL81" s="36" t="str">
        <f>IF((ISERROR((AK81/$H81)*100)), "", IF(AND(NOT(ISERROR((AK81/$H81)*100)),((AK81/$H81)*100) &lt;&gt; 0), (AK81/$H81)*100, ""))</f>
        <v/>
      </c>
      <c r="AM81" s="33"/>
      <c r="AN81" s="36" t="str">
        <f>IF((ISERROR((AM81/$H81)*100)), "", IF(AND(NOT(ISERROR((AM81/$H81)*100)),((AM81/$H81)*100) &lt;&gt; 0), (AM81/$H81)*100, ""))</f>
        <v/>
      </c>
      <c r="AO81" s="33"/>
      <c r="AP81" s="36" t="str">
        <f t="shared" si="49"/>
        <v/>
      </c>
      <c r="AQ81" s="33"/>
      <c r="AR81" s="36" t="str">
        <f t="shared" si="50"/>
        <v/>
      </c>
      <c r="AS81" s="33"/>
      <c r="AT81" s="36" t="str">
        <f t="shared" si="19"/>
        <v/>
      </c>
      <c r="AU81" s="33"/>
      <c r="AV81" s="36" t="str">
        <f t="shared" si="57"/>
        <v/>
      </c>
      <c r="AW81" s="33"/>
      <c r="AX81" s="36" t="str">
        <f t="shared" si="58"/>
        <v/>
      </c>
      <c r="AY81" s="33"/>
      <c r="AZ81" s="36" t="str">
        <f t="shared" si="59"/>
        <v/>
      </c>
    </row>
    <row r="82" spans="1:53" ht="20" customHeight="1" x14ac:dyDescent="0.2">
      <c r="A82" s="61"/>
      <c r="B82" s="83"/>
      <c r="C82" s="24" t="s">
        <v>85</v>
      </c>
      <c r="D82" s="23" t="s">
        <v>305</v>
      </c>
      <c r="E82" s="23" t="s">
        <v>306</v>
      </c>
      <c r="F82" s="24">
        <v>2011</v>
      </c>
      <c r="H82" s="89"/>
      <c r="I82" s="85"/>
      <c r="J82" s="86"/>
      <c r="K82" s="33"/>
      <c r="L82" s="36" t="str">
        <f t="shared" si="41"/>
        <v/>
      </c>
      <c r="M82" s="33"/>
      <c r="N82" s="36" t="str">
        <f t="shared" si="42"/>
        <v/>
      </c>
      <c r="O82" s="33"/>
      <c r="P82" s="36" t="str">
        <f t="shared" si="43"/>
        <v/>
      </c>
      <c r="Q82" s="33"/>
      <c r="R82" s="36" t="str">
        <f t="shared" si="44"/>
        <v/>
      </c>
      <c r="S82" s="33"/>
      <c r="T82" s="36" t="str">
        <f t="shared" si="45"/>
        <v/>
      </c>
      <c r="U82" s="76"/>
      <c r="V82" s="36" t="str">
        <f t="shared" si="61"/>
        <v/>
      </c>
      <c r="W82" s="33"/>
      <c r="X82" s="36" t="str">
        <f>IF((ISERROR((W82/$H82)*100)), "", IF(AND(NOT(ISERROR((W82/$H82)*100)),((W82/$H82)*100) &lt;&gt; 0), (W82/$H82)*100, ""))</f>
        <v/>
      </c>
      <c r="Y82" s="33"/>
      <c r="Z82" s="36" t="str">
        <f>IF((ISERROR((Y82/$H82)*100)), "", IF(AND(NOT(ISERROR((Y82/$H82)*100)),((Y82/$H82)*100) &lt;&gt; 0), (Y82/$H82)*100, ""))</f>
        <v/>
      </c>
      <c r="AA82" s="33"/>
      <c r="AB82" s="36" t="str">
        <f>IF((ISERROR((AA82/$H82)*100)), "", IF(AND(NOT(ISERROR((AA82/$H82)*100)),((AA82/$H82)*100) &lt;&gt; 0), (AA82/$H82)*100, ""))</f>
        <v/>
      </c>
      <c r="AC82" s="33"/>
      <c r="AD82" s="36" t="str">
        <f>IF((ISERROR((AC82/$H82)*100)), "", IF(AND(NOT(ISERROR((AC82/$H82)*100)),((AC82/$H82)*100) &lt;&gt; 0), (AC82/$H82)*100, ""))</f>
        <v/>
      </c>
      <c r="AE82" s="76"/>
      <c r="AF82" s="36" t="str">
        <f t="shared" si="47"/>
        <v/>
      </c>
      <c r="AG82" s="33"/>
      <c r="AH82" s="36" t="str">
        <f>IF((ISERROR((AG82/$H82)*100)), "", IF(AND(NOT(ISERROR((AG82/$H82)*100)),((AG82/$H82)*100) &lt;&gt; 0), (AG82/$H82)*100, ""))</f>
        <v/>
      </c>
      <c r="AI82" s="33"/>
      <c r="AJ82" s="36" t="str">
        <f t="shared" si="48"/>
        <v/>
      </c>
      <c r="AK82" s="33"/>
      <c r="AL82" s="36" t="str">
        <f>IF((ISERROR((AK82/$H82)*100)), "", IF(AND(NOT(ISERROR((AK82/$H82)*100)),((AK82/$H82)*100) &lt;&gt; 0), (AK82/$H82)*100, ""))</f>
        <v/>
      </c>
      <c r="AM82" s="33"/>
      <c r="AN82" s="36" t="str">
        <f>IF((ISERROR((AM82/$H82)*100)), "", IF(AND(NOT(ISERROR((AM82/$H82)*100)),((AM82/$H82)*100) &lt;&gt; 0), (AM82/$H82)*100, ""))</f>
        <v/>
      </c>
      <c r="AO82" s="33"/>
      <c r="AP82" s="36" t="str">
        <f t="shared" si="49"/>
        <v/>
      </c>
      <c r="AQ82" s="33"/>
      <c r="AR82" s="36" t="str">
        <f t="shared" si="50"/>
        <v/>
      </c>
      <c r="AS82" s="33"/>
      <c r="AT82" s="36" t="str">
        <f t="shared" si="19"/>
        <v/>
      </c>
      <c r="AU82" s="33"/>
      <c r="AV82" s="36" t="str">
        <f t="shared" si="57"/>
        <v/>
      </c>
      <c r="AW82" s="33"/>
      <c r="AX82" s="36" t="str">
        <f t="shared" si="58"/>
        <v/>
      </c>
      <c r="AY82" s="33"/>
      <c r="AZ82" s="36" t="str">
        <f t="shared" si="59"/>
        <v/>
      </c>
      <c r="BA82" s="23" t="s">
        <v>366</v>
      </c>
    </row>
    <row r="83" spans="1:53" ht="20" customHeight="1" x14ac:dyDescent="0.2">
      <c r="A83" s="61"/>
      <c r="B83" s="82"/>
      <c r="C83" s="24" t="s">
        <v>85</v>
      </c>
      <c r="D83" s="23" t="s">
        <v>307</v>
      </c>
      <c r="E83" s="23" t="s">
        <v>308</v>
      </c>
      <c r="F83" s="24">
        <v>1977</v>
      </c>
      <c r="H83" s="89">
        <v>5</v>
      </c>
      <c r="I83" s="85" t="s">
        <v>367</v>
      </c>
      <c r="J83" s="86"/>
      <c r="K83" s="33"/>
      <c r="L83" s="36" t="str">
        <f t="shared" si="41"/>
        <v/>
      </c>
      <c r="M83" s="33"/>
      <c r="N83" s="36" t="str">
        <f t="shared" si="42"/>
        <v/>
      </c>
      <c r="O83" s="33"/>
      <c r="P83" s="36" t="str">
        <f t="shared" si="43"/>
        <v/>
      </c>
      <c r="Q83" s="33"/>
      <c r="R83" s="36" t="str">
        <f t="shared" si="44"/>
        <v/>
      </c>
      <c r="S83" s="33">
        <v>5</v>
      </c>
      <c r="T83" s="36">
        <f t="shared" si="45"/>
        <v>100</v>
      </c>
      <c r="U83" s="76"/>
      <c r="V83" s="36" t="str">
        <f t="shared" si="61"/>
        <v/>
      </c>
      <c r="W83" s="33"/>
      <c r="X83" s="36" t="str">
        <f t="shared" si="52"/>
        <v/>
      </c>
      <c r="Y83" s="33"/>
      <c r="Z83" s="36" t="str">
        <f t="shared" si="53"/>
        <v/>
      </c>
      <c r="AA83" s="33"/>
      <c r="AB83" s="36" t="str">
        <f t="shared" si="54"/>
        <v/>
      </c>
      <c r="AC83" s="33"/>
      <c r="AD83" s="36" t="str">
        <f t="shared" si="55"/>
        <v/>
      </c>
      <c r="AE83" s="76"/>
      <c r="AF83" s="36" t="str">
        <f t="shared" si="47"/>
        <v/>
      </c>
      <c r="AG83" s="33"/>
      <c r="AH83" s="36" t="str">
        <f t="shared" si="60"/>
        <v/>
      </c>
      <c r="AI83" s="33"/>
      <c r="AJ83" s="36" t="str">
        <f t="shared" si="48"/>
        <v/>
      </c>
      <c r="AK83" s="33"/>
      <c r="AL83" s="36" t="str">
        <f t="shared" si="56"/>
        <v/>
      </c>
      <c r="AM83" s="33"/>
      <c r="AN83" s="36" t="str">
        <f t="shared" si="19"/>
        <v/>
      </c>
      <c r="AO83" s="33"/>
      <c r="AP83" s="36" t="str">
        <f t="shared" si="49"/>
        <v/>
      </c>
      <c r="AQ83" s="33"/>
      <c r="AR83" s="36" t="str">
        <f t="shared" si="50"/>
        <v/>
      </c>
      <c r="AS83" s="33"/>
      <c r="AT83" s="36" t="str">
        <f t="shared" si="19"/>
        <v/>
      </c>
      <c r="AU83" s="33"/>
      <c r="AV83" s="36" t="str">
        <f t="shared" si="57"/>
        <v/>
      </c>
      <c r="AW83" s="33"/>
      <c r="AX83" s="36" t="str">
        <f t="shared" si="58"/>
        <v/>
      </c>
      <c r="AY83" s="33"/>
      <c r="AZ83" s="36" t="str">
        <f t="shared" si="59"/>
        <v/>
      </c>
      <c r="BA83" s="23" t="s">
        <v>368</v>
      </c>
    </row>
    <row r="84" spans="1:53" ht="20" customHeight="1" x14ac:dyDescent="0.2">
      <c r="A84" s="60"/>
      <c r="B84" s="82"/>
      <c r="C84" s="24" t="s">
        <v>85</v>
      </c>
      <c r="D84" s="23" t="s">
        <v>107</v>
      </c>
      <c r="E84" s="23" t="s">
        <v>108</v>
      </c>
      <c r="F84" s="24">
        <v>2008</v>
      </c>
      <c r="G84" s="24">
        <v>54</v>
      </c>
      <c r="H84" s="89">
        <v>12</v>
      </c>
      <c r="I84" s="85" t="s">
        <v>168</v>
      </c>
      <c r="J84" s="86" t="s">
        <v>210</v>
      </c>
      <c r="K84" s="33"/>
      <c r="L84" s="36" t="str">
        <f t="shared" si="41"/>
        <v/>
      </c>
      <c r="M84" s="33"/>
      <c r="N84" s="36" t="str">
        <f t="shared" si="42"/>
        <v/>
      </c>
      <c r="O84" s="33"/>
      <c r="P84" s="36" t="str">
        <f t="shared" si="43"/>
        <v/>
      </c>
      <c r="Q84" s="33"/>
      <c r="R84" s="36" t="str">
        <f t="shared" si="44"/>
        <v/>
      </c>
      <c r="S84" s="33"/>
      <c r="T84" s="36" t="str">
        <f t="shared" si="45"/>
        <v/>
      </c>
      <c r="U84" s="76"/>
      <c r="V84" s="36" t="str">
        <f t="shared" si="61"/>
        <v/>
      </c>
      <c r="W84" s="33"/>
      <c r="X84" s="36" t="str">
        <f>IF((ISERROR((W84/$H84)*100)), "", IF(AND(NOT(ISERROR((W84/$H84)*100)),((W84/$H84)*100) &lt;&gt; 0), (W84/$H84)*100, ""))</f>
        <v/>
      </c>
      <c r="Y84" s="33"/>
      <c r="Z84" s="36" t="str">
        <f>IF((ISERROR((Y84/$H84)*100)), "", IF(AND(NOT(ISERROR((Y84/$H84)*100)),((Y84/$H84)*100) &lt;&gt; 0), (Y84/$H84)*100, ""))</f>
        <v/>
      </c>
      <c r="AA84" s="33"/>
      <c r="AB84" s="36" t="str">
        <f>IF((ISERROR((AA84/$H84)*100)), "", IF(AND(NOT(ISERROR((AA84/$H84)*100)),((AA84/$H84)*100) &lt;&gt; 0), (AA84/$H84)*100, ""))</f>
        <v/>
      </c>
      <c r="AC84" s="33"/>
      <c r="AD84" s="36" t="str">
        <f>IF((ISERROR((AC84/$H84)*100)), "", IF(AND(NOT(ISERROR((AC84/$H84)*100)),((AC84/$H84)*100) &lt;&gt; 0), (AC84/$H84)*100, ""))</f>
        <v/>
      </c>
      <c r="AE84" s="76"/>
      <c r="AF84" s="36" t="str">
        <f t="shared" si="47"/>
        <v/>
      </c>
      <c r="AG84" s="33">
        <v>1</v>
      </c>
      <c r="AH84" s="36">
        <f>IF((ISERROR((AG84/$H84)*100)), "", IF(AND(NOT(ISERROR((AG84/$H84)*100)),((AG84/$H84)*100) &lt;&gt; 0), (AG84/$H84)*100, ""))</f>
        <v>8.3333333333333321</v>
      </c>
      <c r="AI84" s="33">
        <v>1</v>
      </c>
      <c r="AJ84" s="36">
        <f t="shared" si="48"/>
        <v>8.3333333333333321</v>
      </c>
      <c r="AK84" s="33"/>
      <c r="AL84" s="36" t="str">
        <f>IF((ISERROR((AK84/$H84)*100)), "", IF(AND(NOT(ISERROR((AK84/$H84)*100)),((AK84/$H84)*100) &lt;&gt; 0), (AK84/$H84)*100, ""))</f>
        <v/>
      </c>
      <c r="AM84" s="33"/>
      <c r="AN84" s="36" t="str">
        <f>IF((ISERROR((AM84/$H84)*100)), "", IF(AND(NOT(ISERROR((AM84/$H84)*100)),((AM84/$H84)*100) &lt;&gt; 0), (AM84/$H84)*100, ""))</f>
        <v/>
      </c>
      <c r="AO84" s="33"/>
      <c r="AP84" s="36" t="str">
        <f t="shared" si="49"/>
        <v/>
      </c>
      <c r="AQ84" s="33"/>
      <c r="AR84" s="36" t="str">
        <f t="shared" si="50"/>
        <v/>
      </c>
      <c r="AS84" s="33"/>
      <c r="AT84" s="36" t="str">
        <f t="shared" si="19"/>
        <v/>
      </c>
      <c r="AU84" s="33"/>
      <c r="AV84" s="36" t="str">
        <f t="shared" si="57"/>
        <v/>
      </c>
      <c r="AW84" s="33"/>
      <c r="AX84" s="36" t="str">
        <f t="shared" si="58"/>
        <v/>
      </c>
      <c r="AY84" s="33"/>
      <c r="AZ84" s="36" t="str">
        <f t="shared" si="59"/>
        <v/>
      </c>
      <c r="BA84" s="23" t="s">
        <v>420</v>
      </c>
    </row>
    <row r="85" spans="1:53" ht="20" customHeight="1" x14ac:dyDescent="0.2">
      <c r="A85" s="60"/>
      <c r="B85" s="83"/>
      <c r="C85" s="24" t="s">
        <v>85</v>
      </c>
      <c r="D85" s="23" t="s">
        <v>109</v>
      </c>
      <c r="E85" s="23" t="s">
        <v>110</v>
      </c>
      <c r="F85" s="24">
        <v>1999</v>
      </c>
      <c r="G85" s="24">
        <v>76</v>
      </c>
      <c r="H85" s="89">
        <v>7</v>
      </c>
      <c r="I85" s="85" t="s">
        <v>176</v>
      </c>
      <c r="J85" s="86" t="s">
        <v>192</v>
      </c>
      <c r="K85" s="33"/>
      <c r="L85" s="36" t="str">
        <f t="shared" si="41"/>
        <v/>
      </c>
      <c r="M85" s="33"/>
      <c r="N85" s="36" t="str">
        <f t="shared" si="42"/>
        <v/>
      </c>
      <c r="O85" s="33"/>
      <c r="P85" s="36" t="str">
        <f t="shared" si="43"/>
        <v/>
      </c>
      <c r="Q85" s="33"/>
      <c r="R85" s="36" t="str">
        <f t="shared" si="44"/>
        <v/>
      </c>
      <c r="S85" s="33"/>
      <c r="T85" s="36" t="str">
        <f t="shared" si="45"/>
        <v/>
      </c>
      <c r="U85" s="76"/>
      <c r="V85" s="36" t="str">
        <f t="shared" si="61"/>
        <v/>
      </c>
      <c r="W85" s="33"/>
      <c r="X85" s="36" t="str">
        <f>IF((ISERROR((W85/$H85)*100)), "", IF(AND(NOT(ISERROR((W85/$H85)*100)),((W85/$H85)*100) &lt;&gt; 0), (W85/$H85)*100, ""))</f>
        <v/>
      </c>
      <c r="Y85" s="33"/>
      <c r="Z85" s="36" t="str">
        <f>IF((ISERROR((Y85/$H85)*100)), "", IF(AND(NOT(ISERROR((Y85/$H85)*100)),((Y85/$H85)*100) &lt;&gt; 0), (Y85/$H85)*100, ""))</f>
        <v/>
      </c>
      <c r="AA85" s="33"/>
      <c r="AB85" s="36" t="str">
        <f>IF((ISERROR((AA85/$H85)*100)), "", IF(AND(NOT(ISERROR((AA85/$H85)*100)),((AA85/$H85)*100) &lt;&gt; 0), (AA85/$H85)*100, ""))</f>
        <v/>
      </c>
      <c r="AC85" s="33"/>
      <c r="AD85" s="36" t="str">
        <f>IF((ISERROR((AC85/$H85)*100)), "", IF(AND(NOT(ISERROR((AC85/$H85)*100)),((AC85/$H85)*100) &lt;&gt; 0), (AC85/$H85)*100, ""))</f>
        <v/>
      </c>
      <c r="AE85" s="76"/>
      <c r="AF85" s="36" t="str">
        <f t="shared" si="47"/>
        <v/>
      </c>
      <c r="AG85" s="33"/>
      <c r="AH85" s="36" t="str">
        <f>IF((ISERROR((AG85/$H85)*100)), "", IF(AND(NOT(ISERROR((AG85/$H85)*100)),((AG85/$H85)*100) &lt;&gt; 0), (AG85/$H85)*100, ""))</f>
        <v/>
      </c>
      <c r="AI85" s="33"/>
      <c r="AJ85" s="36" t="str">
        <f t="shared" si="48"/>
        <v/>
      </c>
      <c r="AK85" s="33"/>
      <c r="AL85" s="36" t="str">
        <f>IF((ISERROR((AK85/$H85)*100)), "", IF(AND(NOT(ISERROR((AK85/$H85)*100)),((AK85/$H85)*100) &lt;&gt; 0), (AK85/$H85)*100, ""))</f>
        <v/>
      </c>
      <c r="AM85" s="33"/>
      <c r="AN85" s="36" t="str">
        <f>IF((ISERROR((AM85/$H85)*100)), "", IF(AND(NOT(ISERROR((AM85/$H85)*100)),((AM85/$H85)*100) &lt;&gt; 0), (AM85/$H85)*100, ""))</f>
        <v/>
      </c>
      <c r="AO85" s="33"/>
      <c r="AP85" s="36" t="str">
        <f t="shared" si="49"/>
        <v/>
      </c>
      <c r="AQ85" s="33"/>
      <c r="AR85" s="36" t="str">
        <f t="shared" si="50"/>
        <v/>
      </c>
      <c r="AS85" s="33"/>
      <c r="AT85" s="36" t="str">
        <f t="shared" si="19"/>
        <v/>
      </c>
      <c r="AU85" s="33"/>
      <c r="AV85" s="36" t="str">
        <f t="shared" si="57"/>
        <v/>
      </c>
      <c r="AW85" s="33"/>
      <c r="AX85" s="36" t="str">
        <f t="shared" si="58"/>
        <v/>
      </c>
      <c r="AY85" s="33"/>
      <c r="AZ85" s="36" t="str">
        <f t="shared" si="59"/>
        <v/>
      </c>
      <c r="BA85" s="23" t="s">
        <v>181</v>
      </c>
    </row>
    <row r="86" spans="1:53" ht="20" customHeight="1" x14ac:dyDescent="0.2">
      <c r="A86" s="61"/>
      <c r="B86" s="83"/>
      <c r="C86" s="24" t="s">
        <v>85</v>
      </c>
      <c r="D86" s="23" t="s">
        <v>111</v>
      </c>
      <c r="E86" s="23" t="s">
        <v>112</v>
      </c>
      <c r="F86" s="24">
        <v>2008</v>
      </c>
      <c r="G86" s="24">
        <v>101</v>
      </c>
      <c r="H86" s="89">
        <v>16</v>
      </c>
      <c r="I86" s="85" t="s">
        <v>211</v>
      </c>
      <c r="J86" s="86"/>
      <c r="K86" s="33"/>
      <c r="L86" s="36" t="str">
        <f t="shared" si="41"/>
        <v/>
      </c>
      <c r="M86" s="33"/>
      <c r="N86" s="36" t="str">
        <f t="shared" si="42"/>
        <v/>
      </c>
      <c r="O86" s="33"/>
      <c r="P86" s="36" t="str">
        <f t="shared" si="43"/>
        <v/>
      </c>
      <c r="Q86" s="33"/>
      <c r="R86" s="36" t="str">
        <f t="shared" si="44"/>
        <v/>
      </c>
      <c r="S86" s="33"/>
      <c r="T86" s="36" t="str">
        <f t="shared" si="45"/>
        <v/>
      </c>
      <c r="U86" s="76"/>
      <c r="V86" s="36" t="str">
        <f t="shared" si="61"/>
        <v/>
      </c>
      <c r="W86" s="33"/>
      <c r="X86" s="36" t="str">
        <f>IF((ISERROR((W86/$H86)*100)), "", IF(AND(NOT(ISERROR((W86/$H86)*100)),((W86/$H86)*100) &lt;&gt; 0), (W86/$H86)*100, ""))</f>
        <v/>
      </c>
      <c r="Y86" s="33"/>
      <c r="Z86" s="36" t="str">
        <f>IF((ISERROR((Y86/$H86)*100)), "", IF(AND(NOT(ISERROR((Y86/$H86)*100)),((Y86/$H86)*100) &lt;&gt; 0), (Y86/$H86)*100, ""))</f>
        <v/>
      </c>
      <c r="AA86" s="33"/>
      <c r="AB86" s="36" t="str">
        <f>IF((ISERROR((AA86/$H86)*100)), "", IF(AND(NOT(ISERROR((AA86/$H86)*100)),((AA86/$H86)*100) &lt;&gt; 0), (AA86/$H86)*100, ""))</f>
        <v/>
      </c>
      <c r="AC86" s="33"/>
      <c r="AD86" s="36" t="str">
        <f>IF((ISERROR((AC86/$H86)*100)), "", IF(AND(NOT(ISERROR((AC86/$H86)*100)),((AC86/$H86)*100) &lt;&gt; 0), (AC86/$H86)*100, ""))</f>
        <v/>
      </c>
      <c r="AE86" s="76"/>
      <c r="AF86" s="36" t="str">
        <f t="shared" si="47"/>
        <v/>
      </c>
      <c r="AG86" s="33"/>
      <c r="AH86" s="36" t="str">
        <f>IF((ISERROR((AG86/$H86)*100)), "", IF(AND(NOT(ISERROR((AG86/$H86)*100)),((AG86/$H86)*100) &lt;&gt; 0), (AG86/$H86)*100, ""))</f>
        <v/>
      </c>
      <c r="AI86" s="33"/>
      <c r="AJ86" s="36" t="str">
        <f t="shared" si="48"/>
        <v/>
      </c>
      <c r="AK86" s="33"/>
      <c r="AL86" s="36" t="str">
        <f>IF((ISERROR((AK86/$H86)*100)), "", IF(AND(NOT(ISERROR((AK86/$H86)*100)),((AK86/$H86)*100) &lt;&gt; 0), (AK86/$H86)*100, ""))</f>
        <v/>
      </c>
      <c r="AM86" s="33"/>
      <c r="AN86" s="36" t="str">
        <f>IF((ISERROR((AM86/$H86)*100)), "", IF(AND(NOT(ISERROR((AM86/$H86)*100)),((AM86/$H86)*100) &lt;&gt; 0), (AM86/$H86)*100, ""))</f>
        <v/>
      </c>
      <c r="AO86" s="33"/>
      <c r="AP86" s="36" t="str">
        <f t="shared" si="49"/>
        <v/>
      </c>
      <c r="AQ86" s="33"/>
      <c r="AR86" s="36" t="str">
        <f t="shared" si="50"/>
        <v/>
      </c>
      <c r="AS86" s="33"/>
      <c r="AT86" s="36" t="str">
        <f t="shared" si="19"/>
        <v/>
      </c>
      <c r="AU86" s="33"/>
      <c r="AV86" s="36" t="str">
        <f t="shared" si="57"/>
        <v/>
      </c>
      <c r="AW86" s="33"/>
      <c r="AX86" s="36" t="str">
        <f t="shared" si="58"/>
        <v/>
      </c>
      <c r="AY86" s="33"/>
      <c r="AZ86" s="36" t="str">
        <f t="shared" si="59"/>
        <v/>
      </c>
      <c r="BA86" s="23" t="s">
        <v>388</v>
      </c>
    </row>
    <row r="87" spans="1:53" ht="20" customHeight="1" x14ac:dyDescent="0.2">
      <c r="A87" s="60"/>
      <c r="B87" s="82"/>
      <c r="C87" s="24" t="s">
        <v>85</v>
      </c>
      <c r="D87" s="23" t="s">
        <v>113</v>
      </c>
      <c r="E87" s="23" t="s">
        <v>114</v>
      </c>
      <c r="F87" s="24">
        <v>1997</v>
      </c>
      <c r="G87" s="24">
        <v>127</v>
      </c>
      <c r="H87" s="89">
        <v>8</v>
      </c>
      <c r="I87" s="85" t="s">
        <v>212</v>
      </c>
      <c r="J87" s="86" t="s">
        <v>213</v>
      </c>
      <c r="K87" s="33"/>
      <c r="L87" s="36" t="str">
        <f t="shared" si="41"/>
        <v/>
      </c>
      <c r="M87" s="33"/>
      <c r="N87" s="36" t="str">
        <f t="shared" si="42"/>
        <v/>
      </c>
      <c r="O87" s="33"/>
      <c r="P87" s="36" t="str">
        <f t="shared" si="43"/>
        <v/>
      </c>
      <c r="Q87" s="33"/>
      <c r="R87" s="36" t="str">
        <f t="shared" si="44"/>
        <v/>
      </c>
      <c r="S87" s="33"/>
      <c r="T87" s="36" t="str">
        <f t="shared" si="45"/>
        <v/>
      </c>
      <c r="U87" s="76">
        <v>1</v>
      </c>
      <c r="V87" s="36">
        <f t="shared" si="61"/>
        <v>12.5</v>
      </c>
      <c r="W87" s="33"/>
      <c r="X87" s="36" t="str">
        <f t="shared" si="52"/>
        <v/>
      </c>
      <c r="Y87" s="33"/>
      <c r="Z87" s="36" t="str">
        <f t="shared" si="53"/>
        <v/>
      </c>
      <c r="AA87" s="33"/>
      <c r="AB87" s="36" t="str">
        <f t="shared" si="54"/>
        <v/>
      </c>
      <c r="AC87" s="33">
        <v>1</v>
      </c>
      <c r="AD87" s="36">
        <f t="shared" si="55"/>
        <v>12.5</v>
      </c>
      <c r="AE87" s="76"/>
      <c r="AF87" s="36" t="str">
        <f t="shared" si="47"/>
        <v/>
      </c>
      <c r="AG87" s="33"/>
      <c r="AH87" s="36" t="str">
        <f t="shared" si="60"/>
        <v/>
      </c>
      <c r="AI87" s="33"/>
      <c r="AJ87" s="36" t="str">
        <f t="shared" si="48"/>
        <v/>
      </c>
      <c r="AK87" s="33"/>
      <c r="AL87" s="36" t="str">
        <f t="shared" si="56"/>
        <v/>
      </c>
      <c r="AM87" s="33"/>
      <c r="AN87" s="36" t="str">
        <f t="shared" si="19"/>
        <v/>
      </c>
      <c r="AO87" s="33"/>
      <c r="AP87" s="36" t="str">
        <f t="shared" si="49"/>
        <v/>
      </c>
      <c r="AQ87" s="33"/>
      <c r="AR87" s="36" t="str">
        <f t="shared" si="50"/>
        <v/>
      </c>
      <c r="AS87" s="33"/>
      <c r="AT87" s="36" t="str">
        <f t="shared" si="19"/>
        <v/>
      </c>
      <c r="AU87" s="33"/>
      <c r="AV87" s="36" t="str">
        <f t="shared" si="57"/>
        <v/>
      </c>
      <c r="AW87" s="33"/>
      <c r="AX87" s="36" t="str">
        <f t="shared" si="58"/>
        <v/>
      </c>
      <c r="AY87" s="33"/>
      <c r="AZ87" s="36" t="str">
        <f t="shared" si="59"/>
        <v/>
      </c>
      <c r="BA87" s="23" t="s">
        <v>389</v>
      </c>
    </row>
    <row r="88" spans="1:53" ht="20" customHeight="1" x14ac:dyDescent="0.2">
      <c r="A88" s="60"/>
      <c r="B88" s="24"/>
      <c r="C88" s="24" t="s">
        <v>85</v>
      </c>
      <c r="D88" s="23" t="s">
        <v>115</v>
      </c>
      <c r="E88" s="23" t="s">
        <v>116</v>
      </c>
      <c r="F88" s="24">
        <v>2001</v>
      </c>
      <c r="G88" s="24">
        <v>143</v>
      </c>
      <c r="H88" s="89">
        <v>6</v>
      </c>
      <c r="I88" s="85" t="s">
        <v>214</v>
      </c>
      <c r="J88" s="86" t="s">
        <v>193</v>
      </c>
      <c r="K88" s="33"/>
      <c r="L88" s="36" t="str">
        <f t="shared" si="41"/>
        <v/>
      </c>
      <c r="M88" s="33"/>
      <c r="N88" s="36" t="str">
        <f t="shared" si="42"/>
        <v/>
      </c>
      <c r="O88" s="33"/>
      <c r="P88" s="36" t="str">
        <f t="shared" si="43"/>
        <v/>
      </c>
      <c r="Q88" s="33"/>
      <c r="R88" s="36" t="str">
        <f t="shared" si="44"/>
        <v/>
      </c>
      <c r="S88" s="33"/>
      <c r="T88" s="36" t="str">
        <f t="shared" si="45"/>
        <v/>
      </c>
      <c r="U88" s="76"/>
      <c r="V88" s="36" t="str">
        <f t="shared" si="61"/>
        <v/>
      </c>
      <c r="W88" s="33"/>
      <c r="X88" s="36" t="str">
        <f t="shared" si="52"/>
        <v/>
      </c>
      <c r="Y88" s="33"/>
      <c r="Z88" s="36" t="str">
        <f t="shared" si="53"/>
        <v/>
      </c>
      <c r="AA88" s="33"/>
      <c r="AB88" s="36" t="str">
        <f t="shared" si="54"/>
        <v/>
      </c>
      <c r="AC88" s="33"/>
      <c r="AD88" s="36" t="str">
        <f t="shared" si="55"/>
        <v/>
      </c>
      <c r="AE88" s="76"/>
      <c r="AF88" s="36" t="str">
        <f t="shared" si="47"/>
        <v/>
      </c>
      <c r="AG88" s="33"/>
      <c r="AH88" s="36" t="str">
        <f t="shared" si="60"/>
        <v/>
      </c>
      <c r="AI88" s="33"/>
      <c r="AJ88" s="36" t="str">
        <f t="shared" si="48"/>
        <v/>
      </c>
      <c r="AK88" s="33"/>
      <c r="AL88" s="36" t="str">
        <f t="shared" si="56"/>
        <v/>
      </c>
      <c r="AM88" s="33"/>
      <c r="AN88" s="36" t="str">
        <f t="shared" si="19"/>
        <v/>
      </c>
      <c r="AO88" s="33"/>
      <c r="AP88" s="36" t="str">
        <f t="shared" si="49"/>
        <v/>
      </c>
      <c r="AQ88" s="33"/>
      <c r="AR88" s="36" t="str">
        <f t="shared" si="50"/>
        <v/>
      </c>
      <c r="AS88" s="33"/>
      <c r="AT88" s="36" t="str">
        <f t="shared" si="19"/>
        <v/>
      </c>
      <c r="AU88" s="33"/>
      <c r="AV88" s="36" t="str">
        <f t="shared" si="57"/>
        <v/>
      </c>
      <c r="AW88" s="33"/>
      <c r="AX88" s="36" t="str">
        <f t="shared" si="58"/>
        <v/>
      </c>
      <c r="AY88" s="33"/>
      <c r="AZ88" s="36" t="str">
        <f t="shared" si="59"/>
        <v/>
      </c>
      <c r="BA88" s="23" t="s">
        <v>215</v>
      </c>
    </row>
    <row r="89" spans="1:53" ht="20" customHeight="1" x14ac:dyDescent="0.2">
      <c r="A89" s="60"/>
      <c r="B89" s="24"/>
      <c r="C89" s="50" t="s">
        <v>30</v>
      </c>
      <c r="D89" s="49" t="s">
        <v>117</v>
      </c>
      <c r="E89" s="49" t="s">
        <v>118</v>
      </c>
      <c r="F89" s="50">
        <v>2004</v>
      </c>
      <c r="G89" s="50">
        <v>100</v>
      </c>
      <c r="H89" s="89" t="s">
        <v>216</v>
      </c>
      <c r="I89" s="85" t="s">
        <v>217</v>
      </c>
      <c r="J89" s="86"/>
      <c r="K89" s="33"/>
      <c r="L89" s="36" t="str">
        <f t="shared" si="41"/>
        <v/>
      </c>
      <c r="M89" s="33"/>
      <c r="N89" s="36" t="str">
        <f t="shared" si="42"/>
        <v/>
      </c>
      <c r="O89" s="33"/>
      <c r="P89" s="36" t="str">
        <f t="shared" si="43"/>
        <v/>
      </c>
      <c r="Q89" s="33"/>
      <c r="R89" s="36" t="str">
        <f t="shared" si="44"/>
        <v/>
      </c>
      <c r="S89" s="33"/>
      <c r="T89" s="36" t="str">
        <f t="shared" si="45"/>
        <v/>
      </c>
      <c r="U89" s="76">
        <v>1</v>
      </c>
      <c r="V89" s="36" t="str">
        <f t="shared" si="61"/>
        <v/>
      </c>
      <c r="W89" s="33"/>
      <c r="X89" s="36" t="str">
        <f t="shared" si="52"/>
        <v/>
      </c>
      <c r="Y89" s="33"/>
      <c r="Z89" s="36" t="str">
        <f t="shared" si="53"/>
        <v/>
      </c>
      <c r="AA89" s="33"/>
      <c r="AB89" s="36" t="str">
        <f t="shared" si="54"/>
        <v/>
      </c>
      <c r="AC89" s="33"/>
      <c r="AD89" s="36" t="str">
        <f t="shared" si="55"/>
        <v/>
      </c>
      <c r="AE89" s="76"/>
      <c r="AF89" s="36" t="str">
        <f t="shared" si="47"/>
        <v/>
      </c>
      <c r="AG89" s="33"/>
      <c r="AH89" s="36" t="str">
        <f t="shared" si="60"/>
        <v/>
      </c>
      <c r="AI89" s="33"/>
      <c r="AJ89" s="36" t="str">
        <f t="shared" si="48"/>
        <v/>
      </c>
      <c r="AK89" s="33"/>
      <c r="AL89" s="36" t="str">
        <f t="shared" si="56"/>
        <v/>
      </c>
      <c r="AM89" s="33"/>
      <c r="AN89" s="36" t="str">
        <f t="shared" si="19"/>
        <v/>
      </c>
      <c r="AO89" s="33"/>
      <c r="AP89" s="36" t="str">
        <f t="shared" si="49"/>
        <v/>
      </c>
      <c r="AQ89" s="33"/>
      <c r="AR89" s="36" t="str">
        <f t="shared" si="50"/>
        <v/>
      </c>
      <c r="AS89" s="33"/>
      <c r="AT89" s="36" t="str">
        <f t="shared" si="19"/>
        <v/>
      </c>
      <c r="AU89" s="33"/>
      <c r="AV89" s="36" t="str">
        <f t="shared" si="57"/>
        <v/>
      </c>
      <c r="AW89" s="33"/>
      <c r="AX89" s="36" t="str">
        <f t="shared" si="58"/>
        <v/>
      </c>
      <c r="AY89" s="33"/>
      <c r="AZ89" s="36" t="str">
        <f t="shared" si="59"/>
        <v/>
      </c>
      <c r="BA89" s="23" t="s">
        <v>390</v>
      </c>
    </row>
    <row r="90" spans="1:53" ht="20" customHeight="1" x14ac:dyDescent="0.2">
      <c r="A90" s="60"/>
      <c r="B90" s="82"/>
      <c r="C90" s="24" t="s">
        <v>85</v>
      </c>
      <c r="D90" s="23" t="s">
        <v>119</v>
      </c>
      <c r="E90" s="23" t="s">
        <v>120</v>
      </c>
      <c r="F90" s="24">
        <v>2003</v>
      </c>
      <c r="G90" s="24">
        <v>45</v>
      </c>
      <c r="H90" s="89">
        <v>16</v>
      </c>
      <c r="I90" s="85" t="s">
        <v>176</v>
      </c>
      <c r="J90" s="86" t="s">
        <v>421</v>
      </c>
      <c r="K90" s="33"/>
      <c r="L90" s="36" t="str">
        <f t="shared" si="41"/>
        <v/>
      </c>
      <c r="M90" s="33"/>
      <c r="N90" s="36" t="str">
        <f t="shared" si="42"/>
        <v/>
      </c>
      <c r="O90" s="33"/>
      <c r="P90" s="36" t="str">
        <f t="shared" si="43"/>
        <v/>
      </c>
      <c r="Q90" s="33"/>
      <c r="R90" s="36" t="str">
        <f t="shared" si="44"/>
        <v/>
      </c>
      <c r="S90" s="38"/>
      <c r="T90" s="39" t="str">
        <f t="shared" si="45"/>
        <v/>
      </c>
      <c r="U90" s="38"/>
      <c r="V90" s="39" t="str">
        <f t="shared" si="61"/>
        <v/>
      </c>
      <c r="W90" s="33"/>
      <c r="X90" s="36" t="str">
        <f>IF((ISERROR((W90/$H90)*100)), "", IF(AND(NOT(ISERROR((W90/$H90)*100)),((W90/$H90)*100) &lt;&gt; 0), (W90/$H90)*100, ""))</f>
        <v/>
      </c>
      <c r="Y90" s="33"/>
      <c r="Z90" s="36" t="str">
        <f>IF((ISERROR((Y90/$H90)*100)), "", IF(AND(NOT(ISERROR((Y90/$H90)*100)),((Y90/$H90)*100) &lt;&gt; 0), (Y90/$H90)*100, ""))</f>
        <v/>
      </c>
      <c r="AA90" s="33"/>
      <c r="AB90" s="36" t="str">
        <f>IF((ISERROR((AA90/$H90)*100)), "", IF(AND(NOT(ISERROR((AA90/$H90)*100)),((AA90/$H90)*100) &lt;&gt; 0), (AA90/$H90)*100, ""))</f>
        <v/>
      </c>
      <c r="AC90" s="33"/>
      <c r="AD90" s="36" t="str">
        <f>IF((ISERROR((AC90/$H90)*100)), "", IF(AND(NOT(ISERROR((AC90/$H90)*100)),((AC90/$H90)*100) &lt;&gt; 0), (AC90/$H90)*100, ""))</f>
        <v/>
      </c>
      <c r="AE90" s="76"/>
      <c r="AF90" s="36" t="str">
        <f t="shared" si="47"/>
        <v/>
      </c>
      <c r="AG90" s="33"/>
      <c r="AH90" s="36" t="str">
        <f>IF((ISERROR((AG90/$H90)*100)), "", IF(AND(NOT(ISERROR((AG90/$H90)*100)),((AG90/$H90)*100) &lt;&gt; 0), (AG90/$H90)*100, ""))</f>
        <v/>
      </c>
      <c r="AI90" s="33"/>
      <c r="AJ90" s="36" t="str">
        <f t="shared" si="48"/>
        <v/>
      </c>
      <c r="AK90" s="33"/>
      <c r="AL90" s="36" t="str">
        <f>IF((ISERROR((AK90/$H90)*100)), "", IF(AND(NOT(ISERROR((AK90/$H90)*100)),((AK90/$H90)*100) &lt;&gt; 0), (AK90/$H90)*100, ""))</f>
        <v/>
      </c>
      <c r="AM90" s="33"/>
      <c r="AN90" s="36" t="str">
        <f>IF((ISERROR((AM90/$H90)*100)), "", IF(AND(NOT(ISERROR((AM90/$H90)*100)),((AM90/$H90)*100) &lt;&gt; 0), (AM90/$H90)*100, ""))</f>
        <v/>
      </c>
      <c r="AO90" s="33"/>
      <c r="AP90" s="36" t="str">
        <f t="shared" si="49"/>
        <v/>
      </c>
      <c r="AQ90" s="33"/>
      <c r="AR90" s="36" t="str">
        <f t="shared" si="50"/>
        <v/>
      </c>
      <c r="AS90" s="33"/>
      <c r="AT90" s="36" t="str">
        <f t="shared" si="19"/>
        <v/>
      </c>
      <c r="AU90" s="33"/>
      <c r="AV90" s="36" t="str">
        <f t="shared" si="57"/>
        <v/>
      </c>
      <c r="AW90" s="33"/>
      <c r="AX90" s="36" t="str">
        <f t="shared" si="58"/>
        <v/>
      </c>
      <c r="AY90" s="33"/>
      <c r="AZ90" s="36" t="str">
        <f t="shared" si="59"/>
        <v/>
      </c>
      <c r="BA90" s="23" t="s">
        <v>409</v>
      </c>
    </row>
    <row r="91" spans="1:53" ht="20" customHeight="1" x14ac:dyDescent="0.2">
      <c r="A91" s="60"/>
      <c r="B91" s="83"/>
      <c r="C91" s="24" t="s">
        <v>85</v>
      </c>
      <c r="D91" s="23" t="s">
        <v>121</v>
      </c>
      <c r="E91" s="23" t="s">
        <v>122</v>
      </c>
      <c r="F91" s="24">
        <v>2002</v>
      </c>
      <c r="G91" s="24">
        <v>73</v>
      </c>
      <c r="H91" s="89">
        <v>49</v>
      </c>
      <c r="I91" s="85" t="s">
        <v>198</v>
      </c>
      <c r="J91" s="86"/>
      <c r="K91" s="33"/>
      <c r="L91" s="36" t="str">
        <f t="shared" si="41"/>
        <v/>
      </c>
      <c r="M91" s="33"/>
      <c r="N91" s="36" t="str">
        <f t="shared" si="42"/>
        <v/>
      </c>
      <c r="O91" s="33"/>
      <c r="P91" s="36" t="str">
        <f t="shared" si="43"/>
        <v/>
      </c>
      <c r="Q91" s="33"/>
      <c r="R91" s="36" t="str">
        <f t="shared" si="44"/>
        <v/>
      </c>
      <c r="S91" s="33"/>
      <c r="T91" s="36" t="str">
        <f t="shared" si="45"/>
        <v/>
      </c>
      <c r="U91" s="76"/>
      <c r="V91" s="36" t="str">
        <f t="shared" si="61"/>
        <v/>
      </c>
      <c r="W91" s="33"/>
      <c r="X91" s="36" t="str">
        <f t="shared" si="52"/>
        <v/>
      </c>
      <c r="Y91" s="33"/>
      <c r="Z91" s="36" t="str">
        <f t="shared" si="53"/>
        <v/>
      </c>
      <c r="AA91" s="33"/>
      <c r="AB91" s="36" t="str">
        <f t="shared" si="54"/>
        <v/>
      </c>
      <c r="AC91" s="33"/>
      <c r="AD91" s="36" t="str">
        <f t="shared" si="55"/>
        <v/>
      </c>
      <c r="AE91" s="76"/>
      <c r="AF91" s="36" t="str">
        <f t="shared" si="47"/>
        <v/>
      </c>
      <c r="AG91" s="33"/>
      <c r="AH91" s="36" t="str">
        <f t="shared" si="60"/>
        <v/>
      </c>
      <c r="AI91" s="33"/>
      <c r="AJ91" s="36" t="str">
        <f t="shared" si="48"/>
        <v/>
      </c>
      <c r="AK91" s="33"/>
      <c r="AL91" s="36" t="str">
        <f t="shared" si="56"/>
        <v/>
      </c>
      <c r="AM91" s="33"/>
      <c r="AN91" s="36" t="str">
        <f t="shared" si="19"/>
        <v/>
      </c>
      <c r="AO91" s="33"/>
      <c r="AP91" s="36" t="str">
        <f t="shared" si="49"/>
        <v/>
      </c>
      <c r="AQ91" s="33"/>
      <c r="AR91" s="36" t="str">
        <f t="shared" si="50"/>
        <v/>
      </c>
      <c r="AS91" s="33"/>
      <c r="AT91" s="36" t="str">
        <f t="shared" si="19"/>
        <v/>
      </c>
      <c r="AU91" s="33"/>
      <c r="AV91" s="36" t="str">
        <f t="shared" si="57"/>
        <v/>
      </c>
      <c r="AW91" s="33"/>
      <c r="AX91" s="36" t="str">
        <f t="shared" si="58"/>
        <v/>
      </c>
      <c r="AY91" s="33"/>
      <c r="AZ91" s="36" t="str">
        <f t="shared" si="59"/>
        <v/>
      </c>
      <c r="BA91" s="23" t="s">
        <v>181</v>
      </c>
    </row>
    <row r="92" spans="1:53" ht="20" customHeight="1" x14ac:dyDescent="0.2">
      <c r="A92" s="60"/>
      <c r="B92" s="82"/>
      <c r="C92" s="24" t="s">
        <v>85</v>
      </c>
      <c r="D92" s="23" t="s">
        <v>309</v>
      </c>
      <c r="E92" s="23" t="s">
        <v>310</v>
      </c>
      <c r="F92" s="24">
        <v>2015</v>
      </c>
      <c r="H92" s="89">
        <v>5</v>
      </c>
      <c r="I92" s="85" t="s">
        <v>211</v>
      </c>
      <c r="J92" s="86" t="s">
        <v>188</v>
      </c>
      <c r="K92" s="33"/>
      <c r="L92" s="36" t="str">
        <f t="shared" si="41"/>
        <v/>
      </c>
      <c r="M92" s="33"/>
      <c r="N92" s="36" t="str">
        <f t="shared" si="42"/>
        <v/>
      </c>
      <c r="O92" s="33"/>
      <c r="P92" s="36" t="str">
        <f t="shared" si="43"/>
        <v/>
      </c>
      <c r="Q92" s="33"/>
      <c r="R92" s="36" t="str">
        <f t="shared" si="44"/>
        <v/>
      </c>
      <c r="S92" s="33"/>
      <c r="T92" s="36" t="str">
        <f t="shared" si="45"/>
        <v/>
      </c>
      <c r="U92" s="76"/>
      <c r="V92" s="36" t="str">
        <f t="shared" si="61"/>
        <v/>
      </c>
      <c r="W92" s="33"/>
      <c r="X92" s="36" t="str">
        <f>IF((ISERROR((W92/$H92)*100)), "", IF(AND(NOT(ISERROR((W92/$H92)*100)),((W92/$H92)*100) &lt;&gt; 0), (W92/$H92)*100, ""))</f>
        <v/>
      </c>
      <c r="Y92" s="33"/>
      <c r="Z92" s="36" t="str">
        <f>IF((ISERROR((Y92/$H92)*100)), "", IF(AND(NOT(ISERROR((Y92/$H92)*100)),((Y92/$H92)*100) &lt;&gt; 0), (Y92/$H92)*100, ""))</f>
        <v/>
      </c>
      <c r="AA92" s="33"/>
      <c r="AB92" s="36" t="str">
        <f>IF((ISERROR((AA92/$H92)*100)), "", IF(AND(NOT(ISERROR((AA92/$H92)*100)),((AA92/$H92)*100) &lt;&gt; 0), (AA92/$H92)*100, ""))</f>
        <v/>
      </c>
      <c r="AC92" s="33"/>
      <c r="AD92" s="36" t="str">
        <f>IF((ISERROR((AC92/$H92)*100)), "", IF(AND(NOT(ISERROR((AC92/$H92)*100)),((AC92/$H92)*100) &lt;&gt; 0), (AC92/$H92)*100, ""))</f>
        <v/>
      </c>
      <c r="AE92" s="76">
        <v>1</v>
      </c>
      <c r="AF92" s="36">
        <f t="shared" si="47"/>
        <v>20</v>
      </c>
      <c r="AG92" s="33"/>
      <c r="AH92" s="36" t="str">
        <f>IF((ISERROR((AG92/$H92)*100)), "", IF(AND(NOT(ISERROR((AG92/$H92)*100)),((AG92/$H92)*100) &lt;&gt; 0), (AG92/$H92)*100, ""))</f>
        <v/>
      </c>
      <c r="AI92" s="33"/>
      <c r="AJ92" s="36" t="str">
        <f t="shared" si="48"/>
        <v/>
      </c>
      <c r="AK92" s="33"/>
      <c r="AL92" s="36" t="str">
        <f>IF((ISERROR((AK92/$H92)*100)), "", IF(AND(NOT(ISERROR((AK92/$H92)*100)),((AK92/$H92)*100) &lt;&gt; 0), (AK92/$H92)*100, ""))</f>
        <v/>
      </c>
      <c r="AM92" s="33"/>
      <c r="AN92" s="36" t="str">
        <f>IF((ISERROR((AM92/$H92)*100)), "", IF(AND(NOT(ISERROR((AM92/$H92)*100)),((AM92/$H92)*100) &lt;&gt; 0), (AM92/$H92)*100, ""))</f>
        <v/>
      </c>
      <c r="AO92" s="33"/>
      <c r="AP92" s="36" t="str">
        <f t="shared" si="49"/>
        <v/>
      </c>
      <c r="AQ92" s="33"/>
      <c r="AR92" s="36" t="str">
        <f t="shared" si="50"/>
        <v/>
      </c>
      <c r="AS92" s="33"/>
      <c r="AT92" s="36" t="str">
        <f t="shared" si="19"/>
        <v/>
      </c>
      <c r="AU92" s="33"/>
      <c r="AV92" s="36" t="str">
        <f t="shared" si="57"/>
        <v/>
      </c>
      <c r="AW92" s="33"/>
      <c r="AX92" s="36" t="str">
        <f t="shared" si="58"/>
        <v/>
      </c>
      <c r="AY92" s="33"/>
      <c r="AZ92" s="36" t="str">
        <f t="shared" si="59"/>
        <v/>
      </c>
      <c r="BA92" s="23" t="s">
        <v>422</v>
      </c>
    </row>
    <row r="93" spans="1:53" ht="20" customHeight="1" x14ac:dyDescent="0.2">
      <c r="A93" s="60"/>
      <c r="B93" s="83"/>
      <c r="C93" s="24" t="s">
        <v>85</v>
      </c>
      <c r="D93" s="23" t="s">
        <v>311</v>
      </c>
      <c r="E93" s="23" t="s">
        <v>312</v>
      </c>
      <c r="F93" s="24">
        <v>2008</v>
      </c>
      <c r="H93" s="89">
        <v>86</v>
      </c>
      <c r="I93" s="85" t="s">
        <v>176</v>
      </c>
      <c r="J93" s="86"/>
      <c r="K93" s="33"/>
      <c r="L93" s="36" t="str">
        <f t="shared" si="41"/>
        <v/>
      </c>
      <c r="M93" s="33"/>
      <c r="N93" s="36" t="str">
        <f t="shared" si="42"/>
        <v/>
      </c>
      <c r="O93" s="33"/>
      <c r="P93" s="36" t="str">
        <f t="shared" si="43"/>
        <v/>
      </c>
      <c r="Q93" s="33"/>
      <c r="R93" s="36" t="str">
        <f t="shared" si="44"/>
        <v/>
      </c>
      <c r="S93" s="33"/>
      <c r="T93" s="36" t="str">
        <f t="shared" si="45"/>
        <v/>
      </c>
      <c r="U93" s="76"/>
      <c r="V93" s="36" t="str">
        <f t="shared" si="61"/>
        <v/>
      </c>
      <c r="W93" s="33"/>
      <c r="X93" s="36" t="str">
        <f>IF((ISERROR((W93/$H93)*100)), "", IF(AND(NOT(ISERROR((W93/$H93)*100)),((W93/$H93)*100) &lt;&gt; 0), (W93/$H93)*100, ""))</f>
        <v/>
      </c>
      <c r="Y93" s="33"/>
      <c r="Z93" s="36" t="str">
        <f>IF((ISERROR((Y93/$H93)*100)), "", IF(AND(NOT(ISERROR((Y93/$H93)*100)),((Y93/$H93)*100) &lt;&gt; 0), (Y93/$H93)*100, ""))</f>
        <v/>
      </c>
      <c r="AA93" s="33"/>
      <c r="AB93" s="36" t="str">
        <f>IF((ISERROR((AA93/$H93)*100)), "", IF(AND(NOT(ISERROR((AA93/$H93)*100)),((AA93/$H93)*100) &lt;&gt; 0), (AA93/$H93)*100, ""))</f>
        <v/>
      </c>
      <c r="AC93" s="33"/>
      <c r="AD93" s="36" t="str">
        <f>IF((ISERROR((AC93/$H93)*100)), "", IF(AND(NOT(ISERROR((AC93/$H93)*100)),((AC93/$H93)*100) &lt;&gt; 0), (AC93/$H93)*100, ""))</f>
        <v/>
      </c>
      <c r="AE93" s="76"/>
      <c r="AF93" s="36" t="str">
        <f t="shared" si="47"/>
        <v/>
      </c>
      <c r="AG93" s="33"/>
      <c r="AH93" s="36" t="str">
        <f>IF((ISERROR((AG93/$H93)*100)), "", IF(AND(NOT(ISERROR((AG93/$H93)*100)),((AG93/$H93)*100) &lt;&gt; 0), (AG93/$H93)*100, ""))</f>
        <v/>
      </c>
      <c r="AI93" s="33"/>
      <c r="AJ93" s="36" t="str">
        <f t="shared" si="48"/>
        <v/>
      </c>
      <c r="AK93" s="33"/>
      <c r="AL93" s="36" t="str">
        <f>IF((ISERROR((AK93/$H93)*100)), "", IF(AND(NOT(ISERROR((AK93/$H93)*100)),((AK93/$H93)*100) &lt;&gt; 0), (AK93/$H93)*100, ""))</f>
        <v/>
      </c>
      <c r="AM93" s="33"/>
      <c r="AN93" s="36" t="str">
        <f>IF((ISERROR((AM93/$H93)*100)), "", IF(AND(NOT(ISERROR((AM93/$H93)*100)),((AM93/$H93)*100) &lt;&gt; 0), (AM93/$H93)*100, ""))</f>
        <v/>
      </c>
      <c r="AO93" s="33"/>
      <c r="AP93" s="36" t="str">
        <f t="shared" si="49"/>
        <v/>
      </c>
      <c r="AQ93" s="33"/>
      <c r="AR93" s="36" t="str">
        <f t="shared" si="50"/>
        <v/>
      </c>
      <c r="AS93" s="33"/>
      <c r="AT93" s="36" t="str">
        <f t="shared" si="19"/>
        <v/>
      </c>
      <c r="AU93" s="33"/>
      <c r="AV93" s="36" t="str">
        <f t="shared" si="57"/>
        <v/>
      </c>
      <c r="AW93" s="33"/>
      <c r="AX93" s="36" t="str">
        <f t="shared" si="58"/>
        <v/>
      </c>
      <c r="AY93" s="33"/>
      <c r="AZ93" s="36" t="str">
        <f t="shared" si="59"/>
        <v/>
      </c>
      <c r="BA93" s="23" t="s">
        <v>369</v>
      </c>
    </row>
    <row r="94" spans="1:53" ht="20" customHeight="1" x14ac:dyDescent="0.2">
      <c r="A94" s="60"/>
      <c r="B94" s="83"/>
      <c r="C94" s="24" t="s">
        <v>85</v>
      </c>
      <c r="D94" s="23" t="s">
        <v>313</v>
      </c>
      <c r="E94" s="23" t="s">
        <v>314</v>
      </c>
      <c r="F94" s="24">
        <v>2012</v>
      </c>
      <c r="H94" s="89"/>
      <c r="I94" s="85" t="s">
        <v>370</v>
      </c>
      <c r="J94" s="86" t="s">
        <v>210</v>
      </c>
      <c r="K94" s="33"/>
      <c r="L94" s="36" t="str">
        <f t="shared" si="41"/>
        <v/>
      </c>
      <c r="M94" s="33"/>
      <c r="N94" s="36" t="str">
        <f t="shared" si="42"/>
        <v/>
      </c>
      <c r="O94" s="33"/>
      <c r="P94" s="36" t="str">
        <f t="shared" si="43"/>
        <v/>
      </c>
      <c r="Q94" s="33"/>
      <c r="R94" s="36" t="str">
        <f t="shared" si="44"/>
        <v/>
      </c>
      <c r="S94" s="33"/>
      <c r="T94" s="36" t="str">
        <f t="shared" si="45"/>
        <v/>
      </c>
      <c r="U94" s="76"/>
      <c r="V94" s="36" t="str">
        <f t="shared" si="61"/>
        <v/>
      </c>
      <c r="W94" s="33"/>
      <c r="X94" s="36" t="str">
        <f>IF((ISERROR((W94/$H94)*100)), "", IF(AND(NOT(ISERROR((W94/$H94)*100)),((W94/$H94)*100) &lt;&gt; 0), (W94/$H94)*100, ""))</f>
        <v/>
      </c>
      <c r="Y94" s="33"/>
      <c r="Z94" s="36" t="str">
        <f>IF((ISERROR((Y94/$H94)*100)), "", IF(AND(NOT(ISERROR((Y94/$H94)*100)),((Y94/$H94)*100) &lt;&gt; 0), (Y94/$H94)*100, ""))</f>
        <v/>
      </c>
      <c r="AA94" s="33"/>
      <c r="AB94" s="36" t="str">
        <f>IF((ISERROR((AA94/$H94)*100)), "", IF(AND(NOT(ISERROR((AA94/$H94)*100)),((AA94/$H94)*100) &lt;&gt; 0), (AA94/$H94)*100, ""))</f>
        <v/>
      </c>
      <c r="AC94" s="33"/>
      <c r="AD94" s="36" t="str">
        <f>IF((ISERROR((AC94/$H94)*100)), "", IF(AND(NOT(ISERROR((AC94/$H94)*100)),((AC94/$H94)*100) &lt;&gt; 0), (AC94/$H94)*100, ""))</f>
        <v/>
      </c>
      <c r="AE94" s="76"/>
      <c r="AF94" s="36" t="str">
        <f t="shared" si="47"/>
        <v/>
      </c>
      <c r="AG94" s="33"/>
      <c r="AH94" s="36" t="str">
        <f>IF((ISERROR((AG94/$H94)*100)), "", IF(AND(NOT(ISERROR((AG94/$H94)*100)),((AG94/$H94)*100) &lt;&gt; 0), (AG94/$H94)*100, ""))</f>
        <v/>
      </c>
      <c r="AI94" s="33"/>
      <c r="AJ94" s="36" t="str">
        <f t="shared" si="48"/>
        <v/>
      </c>
      <c r="AK94" s="33"/>
      <c r="AL94" s="36" t="str">
        <f>IF((ISERROR((AK94/$H94)*100)), "", IF(AND(NOT(ISERROR((AK94/$H94)*100)),((AK94/$H94)*100) &lt;&gt; 0), (AK94/$H94)*100, ""))</f>
        <v/>
      </c>
      <c r="AM94" s="33"/>
      <c r="AN94" s="36" t="str">
        <f>IF((ISERROR((AM94/$H94)*100)), "", IF(AND(NOT(ISERROR((AM94/$H94)*100)),((AM94/$H94)*100) &lt;&gt; 0), (AM94/$H94)*100, ""))</f>
        <v/>
      </c>
      <c r="AO94" s="33"/>
      <c r="AP94" s="36" t="str">
        <f t="shared" si="49"/>
        <v/>
      </c>
      <c r="AQ94" s="33"/>
      <c r="AR94" s="36" t="str">
        <f t="shared" si="50"/>
        <v/>
      </c>
      <c r="AS94" s="33"/>
      <c r="AT94" s="36" t="str">
        <f t="shared" si="19"/>
        <v/>
      </c>
      <c r="AU94" s="33"/>
      <c r="AV94" s="36" t="str">
        <f t="shared" si="57"/>
        <v/>
      </c>
      <c r="AW94" s="33"/>
      <c r="AX94" s="36" t="str">
        <f t="shared" si="58"/>
        <v/>
      </c>
      <c r="AY94" s="33"/>
      <c r="AZ94" s="36" t="str">
        <f t="shared" si="59"/>
        <v/>
      </c>
    </row>
    <row r="95" spans="1:53" ht="20" customHeight="1" x14ac:dyDescent="0.2">
      <c r="A95" s="61"/>
      <c r="B95" s="24"/>
      <c r="C95" s="50" t="s">
        <v>35</v>
      </c>
      <c r="D95" s="49" t="s">
        <v>123</v>
      </c>
      <c r="E95" s="49" t="s">
        <v>124</v>
      </c>
      <c r="F95" s="50">
        <v>2007</v>
      </c>
      <c r="G95" s="50">
        <v>60</v>
      </c>
      <c r="H95" s="89"/>
      <c r="I95" s="85"/>
      <c r="J95" s="86"/>
      <c r="K95" s="33"/>
      <c r="L95" s="36" t="str">
        <f t="shared" si="41"/>
        <v/>
      </c>
      <c r="M95" s="33"/>
      <c r="N95" s="36" t="str">
        <f t="shared" si="42"/>
        <v/>
      </c>
      <c r="O95" s="33"/>
      <c r="P95" s="36" t="str">
        <f t="shared" si="43"/>
        <v/>
      </c>
      <c r="Q95" s="33"/>
      <c r="R95" s="36" t="str">
        <f t="shared" si="44"/>
        <v/>
      </c>
      <c r="S95" s="33"/>
      <c r="T95" s="36" t="str">
        <f t="shared" si="45"/>
        <v/>
      </c>
      <c r="U95" s="76"/>
      <c r="V95" s="36" t="str">
        <f t="shared" si="61"/>
        <v/>
      </c>
      <c r="W95" s="33"/>
      <c r="X95" s="36" t="str">
        <f t="shared" si="52"/>
        <v/>
      </c>
      <c r="Y95" s="33"/>
      <c r="Z95" s="36" t="str">
        <f t="shared" si="53"/>
        <v/>
      </c>
      <c r="AA95" s="33"/>
      <c r="AB95" s="36" t="str">
        <f t="shared" si="54"/>
        <v/>
      </c>
      <c r="AC95" s="33"/>
      <c r="AD95" s="36" t="str">
        <f t="shared" si="55"/>
        <v/>
      </c>
      <c r="AE95" s="76"/>
      <c r="AF95" s="36" t="str">
        <f t="shared" si="47"/>
        <v/>
      </c>
      <c r="AG95" s="33"/>
      <c r="AH95" s="36" t="str">
        <f t="shared" si="60"/>
        <v/>
      </c>
      <c r="AI95" s="33"/>
      <c r="AJ95" s="36" t="str">
        <f t="shared" si="48"/>
        <v/>
      </c>
      <c r="AK95" s="33"/>
      <c r="AL95" s="36" t="str">
        <f t="shared" si="56"/>
        <v/>
      </c>
      <c r="AM95" s="33"/>
      <c r="AN95" s="36" t="str">
        <f t="shared" si="19"/>
        <v/>
      </c>
      <c r="AO95" s="33"/>
      <c r="AP95" s="36" t="str">
        <f t="shared" si="49"/>
        <v/>
      </c>
      <c r="AQ95" s="33"/>
      <c r="AR95" s="36" t="str">
        <f t="shared" si="50"/>
        <v/>
      </c>
      <c r="AS95" s="33"/>
      <c r="AT95" s="36" t="str">
        <f t="shared" si="19"/>
        <v/>
      </c>
      <c r="AU95" s="33"/>
      <c r="AV95" s="36" t="str">
        <f t="shared" si="57"/>
        <v/>
      </c>
      <c r="AW95" s="33"/>
      <c r="AX95" s="36" t="str">
        <f t="shared" si="58"/>
        <v/>
      </c>
      <c r="AY95" s="33"/>
      <c r="AZ95" s="36" t="str">
        <f t="shared" si="59"/>
        <v/>
      </c>
      <c r="BA95" s="23" t="s">
        <v>391</v>
      </c>
    </row>
    <row r="96" spans="1:53" ht="20" customHeight="1" x14ac:dyDescent="0.2">
      <c r="A96" s="61"/>
      <c r="B96" s="24"/>
      <c r="C96" s="50" t="s">
        <v>30</v>
      </c>
      <c r="D96" s="49" t="s">
        <v>125</v>
      </c>
      <c r="E96" s="49" t="s">
        <v>126</v>
      </c>
      <c r="F96" s="50">
        <v>2014</v>
      </c>
      <c r="G96" s="50"/>
      <c r="H96" s="89"/>
      <c r="I96" s="85"/>
      <c r="J96" s="86"/>
      <c r="K96" s="33"/>
      <c r="L96" s="36" t="str">
        <f t="shared" si="41"/>
        <v/>
      </c>
      <c r="M96" s="33"/>
      <c r="N96" s="36" t="str">
        <f t="shared" si="42"/>
        <v/>
      </c>
      <c r="O96" s="33"/>
      <c r="P96" s="36" t="str">
        <f t="shared" si="43"/>
        <v/>
      </c>
      <c r="Q96" s="33"/>
      <c r="R96" s="36" t="str">
        <f t="shared" si="44"/>
        <v/>
      </c>
      <c r="S96" s="33"/>
      <c r="T96" s="36" t="str">
        <f t="shared" si="45"/>
        <v/>
      </c>
      <c r="U96" s="76"/>
      <c r="V96" s="36" t="str">
        <f t="shared" si="61"/>
        <v/>
      </c>
      <c r="W96" s="33"/>
      <c r="X96" s="36" t="str">
        <f t="shared" si="52"/>
        <v/>
      </c>
      <c r="Y96" s="33"/>
      <c r="Z96" s="36" t="str">
        <f t="shared" si="53"/>
        <v/>
      </c>
      <c r="AA96" s="33"/>
      <c r="AB96" s="36" t="str">
        <f t="shared" si="54"/>
        <v/>
      </c>
      <c r="AC96" s="33"/>
      <c r="AD96" s="36" t="str">
        <f t="shared" si="55"/>
        <v/>
      </c>
      <c r="AE96" s="76"/>
      <c r="AF96" s="36" t="str">
        <f t="shared" si="47"/>
        <v/>
      </c>
      <c r="AG96" s="33"/>
      <c r="AH96" s="36" t="str">
        <f t="shared" si="60"/>
        <v/>
      </c>
      <c r="AI96" s="33"/>
      <c r="AJ96" s="36" t="str">
        <f t="shared" si="48"/>
        <v/>
      </c>
      <c r="AK96" s="33"/>
      <c r="AL96" s="36" t="str">
        <f t="shared" si="56"/>
        <v/>
      </c>
      <c r="AM96" s="33"/>
      <c r="AN96" s="36" t="str">
        <f t="shared" si="19"/>
        <v/>
      </c>
      <c r="AO96" s="33"/>
      <c r="AP96" s="36" t="str">
        <f t="shared" si="49"/>
        <v/>
      </c>
      <c r="AQ96" s="33"/>
      <c r="AR96" s="36" t="str">
        <f t="shared" si="50"/>
        <v/>
      </c>
      <c r="AS96" s="33"/>
      <c r="AT96" s="36" t="str">
        <f t="shared" si="19"/>
        <v/>
      </c>
      <c r="AU96" s="33"/>
      <c r="AV96" s="36" t="str">
        <f t="shared" si="57"/>
        <v/>
      </c>
      <c r="AW96" s="33"/>
      <c r="AX96" s="36" t="str">
        <f t="shared" si="58"/>
        <v/>
      </c>
      <c r="AY96" s="33"/>
      <c r="AZ96" s="36" t="str">
        <f t="shared" si="59"/>
        <v/>
      </c>
    </row>
    <row r="97" spans="1:53" ht="20" customHeight="1" x14ac:dyDescent="0.2">
      <c r="A97" s="61"/>
      <c r="B97" s="24"/>
      <c r="C97" s="24" t="s">
        <v>85</v>
      </c>
      <c r="D97" s="23" t="s">
        <v>127</v>
      </c>
      <c r="E97" s="23" t="s">
        <v>128</v>
      </c>
      <c r="F97" s="24">
        <v>2000</v>
      </c>
      <c r="G97" s="24">
        <v>252</v>
      </c>
      <c r="H97" s="89">
        <v>30</v>
      </c>
      <c r="I97" s="85" t="s">
        <v>218</v>
      </c>
      <c r="J97" s="86" t="s">
        <v>169</v>
      </c>
      <c r="K97" s="33"/>
      <c r="L97" s="36" t="str">
        <f t="shared" si="41"/>
        <v/>
      </c>
      <c r="M97" s="33"/>
      <c r="N97" s="36" t="str">
        <f t="shared" si="42"/>
        <v/>
      </c>
      <c r="O97" s="33"/>
      <c r="P97" s="36" t="str">
        <f t="shared" si="43"/>
        <v/>
      </c>
      <c r="Q97" s="33"/>
      <c r="R97" s="36" t="str">
        <f t="shared" si="44"/>
        <v/>
      </c>
      <c r="S97" s="33"/>
      <c r="T97" s="36" t="str">
        <f t="shared" si="45"/>
        <v/>
      </c>
      <c r="U97" s="76"/>
      <c r="V97" s="36" t="str">
        <f t="shared" si="61"/>
        <v/>
      </c>
      <c r="W97" s="33"/>
      <c r="X97" s="36" t="str">
        <f>IF((ISERROR((W97/$H97)*100)), "", IF(AND(NOT(ISERROR((W97/$H97)*100)),((W97/$H97)*100) &lt;&gt; 0), (W97/$H97)*100, ""))</f>
        <v/>
      </c>
      <c r="Y97" s="33"/>
      <c r="Z97" s="36" t="str">
        <f>IF((ISERROR((Y97/$H97)*100)), "", IF(AND(NOT(ISERROR((Y97/$H97)*100)),((Y97/$H97)*100) &lt;&gt; 0), (Y97/$H97)*100, ""))</f>
        <v/>
      </c>
      <c r="AA97" s="33"/>
      <c r="AB97" s="36" t="str">
        <f>IF((ISERROR((AA97/$H97)*100)), "", IF(AND(NOT(ISERROR((AA97/$H97)*100)),((AA97/$H97)*100) &lt;&gt; 0), (AA97/$H97)*100, ""))</f>
        <v/>
      </c>
      <c r="AC97" s="33"/>
      <c r="AD97" s="36" t="str">
        <f>IF((ISERROR((AC97/$H97)*100)), "", IF(AND(NOT(ISERROR((AC97/$H97)*100)),((AC97/$H97)*100) &lt;&gt; 0), (AC97/$H97)*100, ""))</f>
        <v/>
      </c>
      <c r="AE97" s="76"/>
      <c r="AF97" s="36" t="str">
        <f t="shared" si="47"/>
        <v/>
      </c>
      <c r="AG97" s="33"/>
      <c r="AH97" s="36" t="str">
        <f>IF((ISERROR((AG97/$H97)*100)), "", IF(AND(NOT(ISERROR((AG97/$H97)*100)),((AG97/$H97)*100) &lt;&gt; 0), (AG97/$H97)*100, ""))</f>
        <v/>
      </c>
      <c r="AI97" s="33"/>
      <c r="AJ97" s="36" t="str">
        <f t="shared" si="48"/>
        <v/>
      </c>
      <c r="AK97" s="33"/>
      <c r="AL97" s="36" t="str">
        <f>IF((ISERROR((AK97/$H97)*100)), "", IF(AND(NOT(ISERROR((AK97/$H97)*100)),((AK97/$H97)*100) &lt;&gt; 0), (AK97/$H97)*100, ""))</f>
        <v/>
      </c>
      <c r="AM97" s="33"/>
      <c r="AN97" s="36" t="str">
        <f>IF((ISERROR((AM97/$H97)*100)), "", IF(AND(NOT(ISERROR((AM97/$H97)*100)),((AM97/$H97)*100) &lt;&gt; 0), (AM97/$H97)*100, ""))</f>
        <v/>
      </c>
      <c r="AO97" s="33"/>
      <c r="AP97" s="36" t="str">
        <f t="shared" si="49"/>
        <v/>
      </c>
      <c r="AQ97" s="33"/>
      <c r="AR97" s="36" t="str">
        <f t="shared" si="50"/>
        <v/>
      </c>
      <c r="AS97" s="33"/>
      <c r="AT97" s="36" t="str">
        <f t="shared" si="19"/>
        <v/>
      </c>
      <c r="AU97" s="33"/>
      <c r="AV97" s="36" t="str">
        <f t="shared" si="57"/>
        <v/>
      </c>
      <c r="AW97" s="33"/>
      <c r="AX97" s="36" t="str">
        <f t="shared" si="58"/>
        <v/>
      </c>
      <c r="AY97" s="33"/>
      <c r="AZ97" s="36" t="str">
        <f t="shared" si="59"/>
        <v/>
      </c>
      <c r="BA97" s="23" t="s">
        <v>423</v>
      </c>
    </row>
    <row r="98" spans="1:53" ht="20" customHeight="1" x14ac:dyDescent="0.2">
      <c r="A98" s="60"/>
      <c r="B98" s="24"/>
      <c r="C98" s="50" t="s">
        <v>30</v>
      </c>
      <c r="D98" s="49" t="s">
        <v>129</v>
      </c>
      <c r="E98" s="49" t="s">
        <v>130</v>
      </c>
      <c r="F98" s="50">
        <v>2009</v>
      </c>
      <c r="G98" s="50">
        <v>13</v>
      </c>
      <c r="H98" s="89"/>
      <c r="I98" s="85"/>
      <c r="J98" s="86"/>
      <c r="K98" s="33"/>
      <c r="L98" s="36" t="str">
        <f t="shared" si="41"/>
        <v/>
      </c>
      <c r="M98" s="33"/>
      <c r="N98" s="36" t="str">
        <f t="shared" si="42"/>
        <v/>
      </c>
      <c r="O98" s="33"/>
      <c r="P98" s="36" t="str">
        <f t="shared" si="43"/>
        <v/>
      </c>
      <c r="Q98" s="33"/>
      <c r="R98" s="36" t="str">
        <f t="shared" si="44"/>
        <v/>
      </c>
      <c r="S98" s="33"/>
      <c r="T98" s="36" t="str">
        <f t="shared" si="45"/>
        <v/>
      </c>
      <c r="U98" s="76"/>
      <c r="V98" s="36" t="str">
        <f t="shared" si="61"/>
        <v/>
      </c>
      <c r="W98" s="33"/>
      <c r="X98" s="36" t="str">
        <f t="shared" si="52"/>
        <v/>
      </c>
      <c r="Y98" s="33"/>
      <c r="Z98" s="36" t="str">
        <f t="shared" si="53"/>
        <v/>
      </c>
      <c r="AA98" s="33"/>
      <c r="AB98" s="36" t="str">
        <f t="shared" si="54"/>
        <v/>
      </c>
      <c r="AC98" s="33"/>
      <c r="AD98" s="36" t="str">
        <f t="shared" si="55"/>
        <v/>
      </c>
      <c r="AE98" s="76"/>
      <c r="AF98" s="36" t="str">
        <f t="shared" si="47"/>
        <v/>
      </c>
      <c r="AG98" s="33"/>
      <c r="AH98" s="36" t="str">
        <f t="shared" si="60"/>
        <v/>
      </c>
      <c r="AI98" s="33"/>
      <c r="AJ98" s="36" t="str">
        <f t="shared" si="48"/>
        <v/>
      </c>
      <c r="AK98" s="33"/>
      <c r="AL98" s="36" t="str">
        <f t="shared" si="56"/>
        <v/>
      </c>
      <c r="AM98" s="33"/>
      <c r="AN98" s="36" t="str">
        <f t="shared" si="19"/>
        <v/>
      </c>
      <c r="AO98" s="33"/>
      <c r="AP98" s="36" t="str">
        <f t="shared" si="49"/>
        <v/>
      </c>
      <c r="AQ98" s="33"/>
      <c r="AR98" s="36" t="str">
        <f t="shared" si="50"/>
        <v/>
      </c>
      <c r="AS98" s="33"/>
      <c r="AT98" s="36" t="str">
        <f t="shared" si="19"/>
        <v/>
      </c>
      <c r="AU98" s="33"/>
      <c r="AV98" s="36" t="str">
        <f t="shared" si="57"/>
        <v/>
      </c>
      <c r="AW98" s="33"/>
      <c r="AX98" s="36" t="str">
        <f t="shared" si="58"/>
        <v/>
      </c>
      <c r="AY98" s="33"/>
      <c r="AZ98" s="36" t="str">
        <f t="shared" si="59"/>
        <v/>
      </c>
    </row>
    <row r="99" spans="1:53" ht="20" customHeight="1" x14ac:dyDescent="0.2">
      <c r="A99" s="60"/>
      <c r="B99" s="82"/>
      <c r="C99" s="24" t="s">
        <v>85</v>
      </c>
      <c r="D99" s="23" t="s">
        <v>131</v>
      </c>
      <c r="E99" s="23" t="s">
        <v>132</v>
      </c>
      <c r="F99" s="24">
        <v>1998</v>
      </c>
      <c r="G99" s="24">
        <v>213</v>
      </c>
      <c r="H99" s="89">
        <v>6</v>
      </c>
      <c r="I99" s="85" t="s">
        <v>176</v>
      </c>
      <c r="J99" s="86"/>
      <c r="K99" s="33"/>
      <c r="L99" s="36" t="str">
        <f t="shared" si="41"/>
        <v/>
      </c>
      <c r="M99" s="38">
        <v>4</v>
      </c>
      <c r="N99" s="39">
        <f t="shared" si="42"/>
        <v>66.666666666666657</v>
      </c>
      <c r="O99" s="33"/>
      <c r="P99" s="36" t="str">
        <f t="shared" si="43"/>
        <v/>
      </c>
      <c r="Q99" s="33"/>
      <c r="R99" s="36" t="str">
        <f t="shared" si="44"/>
        <v/>
      </c>
      <c r="S99" s="33"/>
      <c r="T99" s="36" t="str">
        <f t="shared" si="45"/>
        <v/>
      </c>
      <c r="U99" s="76"/>
      <c r="V99" s="36" t="str">
        <f t="shared" si="61"/>
        <v/>
      </c>
      <c r="W99" s="33"/>
      <c r="X99" s="36" t="str">
        <f t="shared" si="52"/>
        <v/>
      </c>
      <c r="Y99" s="33"/>
      <c r="Z99" s="36" t="str">
        <f t="shared" si="53"/>
        <v/>
      </c>
      <c r="AA99" s="33"/>
      <c r="AB99" s="36" t="str">
        <f t="shared" si="54"/>
        <v/>
      </c>
      <c r="AC99" s="33"/>
      <c r="AD99" s="36" t="str">
        <f t="shared" si="55"/>
        <v/>
      </c>
      <c r="AE99" s="76"/>
      <c r="AF99" s="36" t="str">
        <f t="shared" si="47"/>
        <v/>
      </c>
      <c r="AG99" s="33"/>
      <c r="AH99" s="36" t="str">
        <f t="shared" si="60"/>
        <v/>
      </c>
      <c r="AI99" s="33"/>
      <c r="AJ99" s="36" t="str">
        <f t="shared" si="48"/>
        <v/>
      </c>
      <c r="AK99" s="33"/>
      <c r="AL99" s="36" t="str">
        <f t="shared" si="56"/>
        <v/>
      </c>
      <c r="AM99" s="33"/>
      <c r="AN99" s="36" t="str">
        <f t="shared" si="19"/>
        <v/>
      </c>
      <c r="AO99" s="33"/>
      <c r="AP99" s="36" t="str">
        <f t="shared" si="49"/>
        <v/>
      </c>
      <c r="AQ99" s="33"/>
      <c r="AR99" s="36" t="str">
        <f t="shared" si="50"/>
        <v/>
      </c>
      <c r="AS99" s="33"/>
      <c r="AT99" s="36" t="str">
        <f t="shared" si="19"/>
        <v/>
      </c>
      <c r="AU99" s="33"/>
      <c r="AV99" s="36" t="str">
        <f t="shared" si="57"/>
        <v/>
      </c>
      <c r="AW99" s="33"/>
      <c r="AX99" s="36" t="str">
        <f t="shared" si="58"/>
        <v/>
      </c>
      <c r="AY99" s="33"/>
      <c r="AZ99" s="36" t="str">
        <f t="shared" si="59"/>
        <v/>
      </c>
      <c r="BA99" s="23" t="s">
        <v>219</v>
      </c>
    </row>
    <row r="100" spans="1:53" ht="20" customHeight="1" x14ac:dyDescent="0.2">
      <c r="A100" s="61"/>
      <c r="B100" s="82"/>
      <c r="C100" s="24" t="s">
        <v>85</v>
      </c>
      <c r="D100" s="23" t="s">
        <v>133</v>
      </c>
      <c r="E100" s="23" t="s">
        <v>134</v>
      </c>
      <c r="F100" s="24">
        <v>2001</v>
      </c>
      <c r="G100" s="24">
        <v>192</v>
      </c>
      <c r="H100" s="89"/>
      <c r="I100" s="85" t="s">
        <v>176</v>
      </c>
      <c r="J100" s="86" t="s">
        <v>169</v>
      </c>
      <c r="K100" s="33"/>
      <c r="L100" s="36" t="str">
        <f t="shared" si="41"/>
        <v/>
      </c>
      <c r="M100" s="38">
        <v>1</v>
      </c>
      <c r="N100" s="39" t="str">
        <f t="shared" si="42"/>
        <v/>
      </c>
      <c r="O100" s="33"/>
      <c r="P100" s="36" t="str">
        <f t="shared" si="43"/>
        <v/>
      </c>
      <c r="Q100" s="33"/>
      <c r="R100" s="36" t="str">
        <f t="shared" si="44"/>
        <v/>
      </c>
      <c r="S100" s="33"/>
      <c r="T100" s="36" t="str">
        <f t="shared" si="45"/>
        <v/>
      </c>
      <c r="U100" s="76"/>
      <c r="V100" s="36" t="str">
        <f t="shared" si="61"/>
        <v/>
      </c>
      <c r="W100" s="33"/>
      <c r="X100" s="36" t="str">
        <f>IF((ISERROR((W100/$H100)*100)), "", IF(AND(NOT(ISERROR((W100/$H100)*100)),((W100/$H100)*100) &lt;&gt; 0), (W100/$H100)*100, ""))</f>
        <v/>
      </c>
      <c r="Y100" s="33"/>
      <c r="Z100" s="36" t="str">
        <f>IF((ISERROR((Y100/$H100)*100)), "", IF(AND(NOT(ISERROR((Y100/$H100)*100)),((Y100/$H100)*100) &lt;&gt; 0), (Y100/$H100)*100, ""))</f>
        <v/>
      </c>
      <c r="AA100" s="33"/>
      <c r="AB100" s="36" t="str">
        <f>IF((ISERROR((AA100/$H100)*100)), "", IF(AND(NOT(ISERROR((AA100/$H100)*100)),((AA100/$H100)*100) &lt;&gt; 0), (AA100/$H100)*100, ""))</f>
        <v/>
      </c>
      <c r="AC100" s="33"/>
      <c r="AD100" s="36" t="str">
        <f>IF((ISERROR((AC100/$H100)*100)), "", IF(AND(NOT(ISERROR((AC100/$H100)*100)),((AC100/$H100)*100) &lt;&gt; 0), (AC100/$H100)*100, ""))</f>
        <v/>
      </c>
      <c r="AE100" s="76"/>
      <c r="AF100" s="36" t="str">
        <f t="shared" si="47"/>
        <v/>
      </c>
      <c r="AG100" s="33">
        <v>2</v>
      </c>
      <c r="AH100" s="36" t="str">
        <f>IF((ISERROR((AG100/$H100)*100)), "", IF(AND(NOT(ISERROR((AG100/$H100)*100)),((AG100/$H100)*100) &lt;&gt; 0), (AG100/$H100)*100, ""))</f>
        <v/>
      </c>
      <c r="AI100" s="33"/>
      <c r="AJ100" s="36" t="str">
        <f t="shared" si="48"/>
        <v/>
      </c>
      <c r="AK100" s="33"/>
      <c r="AL100" s="36" t="str">
        <f>IF((ISERROR((AK100/$H100)*100)), "", IF(AND(NOT(ISERROR((AK100/$H100)*100)),((AK100/$H100)*100) &lt;&gt; 0), (AK100/$H100)*100, ""))</f>
        <v/>
      </c>
      <c r="AM100" s="33"/>
      <c r="AN100" s="36" t="str">
        <f>IF((ISERROR((AM100/$H100)*100)), "", IF(AND(NOT(ISERROR((AM100/$H100)*100)),((AM100/$H100)*100) &lt;&gt; 0), (AM100/$H100)*100, ""))</f>
        <v/>
      </c>
      <c r="AO100" s="33"/>
      <c r="AP100" s="36" t="str">
        <f t="shared" si="49"/>
        <v/>
      </c>
      <c r="AQ100" s="33"/>
      <c r="AR100" s="36" t="str">
        <f t="shared" si="50"/>
        <v/>
      </c>
      <c r="AS100" s="33"/>
      <c r="AT100" s="36" t="str">
        <f t="shared" si="19"/>
        <v/>
      </c>
      <c r="AU100" s="33"/>
      <c r="AV100" s="36" t="str">
        <f t="shared" si="57"/>
        <v/>
      </c>
      <c r="AW100" s="33"/>
      <c r="AX100" s="36" t="str">
        <f t="shared" si="58"/>
        <v/>
      </c>
      <c r="AY100" s="33"/>
      <c r="AZ100" s="36" t="str">
        <f t="shared" si="59"/>
        <v/>
      </c>
      <c r="BA100" s="23" t="s">
        <v>392</v>
      </c>
    </row>
    <row r="101" spans="1:53" ht="20" customHeight="1" x14ac:dyDescent="0.2">
      <c r="A101" s="61"/>
      <c r="B101" s="82"/>
      <c r="D101" s="23" t="s">
        <v>151</v>
      </c>
      <c r="E101" s="23" t="s">
        <v>424</v>
      </c>
      <c r="F101" s="24">
        <v>1999</v>
      </c>
      <c r="H101" s="89">
        <v>30</v>
      </c>
      <c r="I101" s="85" t="s">
        <v>425</v>
      </c>
      <c r="J101" s="86" t="s">
        <v>220</v>
      </c>
      <c r="K101" s="33"/>
      <c r="L101" s="36"/>
      <c r="M101" s="33"/>
      <c r="N101" s="36"/>
      <c r="O101" s="33"/>
      <c r="P101" s="36"/>
      <c r="Q101" s="33"/>
      <c r="R101" s="36"/>
      <c r="S101" s="33"/>
      <c r="T101" s="36"/>
      <c r="U101" s="76"/>
      <c r="V101" s="36"/>
      <c r="W101" s="33"/>
      <c r="X101" s="36"/>
      <c r="Y101" s="33"/>
      <c r="Z101" s="36"/>
      <c r="AA101" s="33"/>
      <c r="AB101" s="36"/>
      <c r="AC101" s="33"/>
      <c r="AD101" s="36"/>
      <c r="AE101" s="76"/>
      <c r="AF101" s="36"/>
      <c r="AG101" s="33"/>
      <c r="AH101" s="36"/>
      <c r="AI101" s="33"/>
      <c r="AJ101" s="36"/>
      <c r="AK101" s="33"/>
      <c r="AL101" s="36"/>
      <c r="AM101" s="33"/>
      <c r="AN101" s="36"/>
      <c r="AO101" s="33"/>
      <c r="AP101" s="36"/>
      <c r="AQ101" s="33"/>
      <c r="AR101" s="36"/>
      <c r="AS101" s="33"/>
      <c r="AT101" s="36"/>
      <c r="AU101" s="33"/>
      <c r="AV101" s="36"/>
      <c r="AW101" s="33"/>
      <c r="AX101" s="36"/>
      <c r="AY101" s="33"/>
      <c r="AZ101" s="36"/>
      <c r="BA101" s="23" t="s">
        <v>393</v>
      </c>
    </row>
    <row r="102" spans="1:53" ht="20" customHeight="1" x14ac:dyDescent="0.2">
      <c r="A102" s="61"/>
      <c r="B102" s="24"/>
      <c r="C102" s="24" t="s">
        <v>85</v>
      </c>
      <c r="D102" s="23" t="s">
        <v>135</v>
      </c>
      <c r="E102" s="23" t="s">
        <v>136</v>
      </c>
      <c r="F102" s="24">
        <v>2007</v>
      </c>
      <c r="G102" s="24">
        <v>240</v>
      </c>
      <c r="H102" s="89"/>
      <c r="I102" s="85" t="s">
        <v>221</v>
      </c>
      <c r="J102" s="86" t="s">
        <v>169</v>
      </c>
      <c r="K102" s="33"/>
      <c r="L102" s="36" t="str">
        <f t="shared" ref="L102:L113" si="62">IF((ISERROR((K102/$H102)*100)), "", IF(AND(NOT(ISERROR((K102/$H102)*100)),((K102/$H102)*100) &lt;&gt; 0), (K102/$H102)*100, ""))</f>
        <v/>
      </c>
      <c r="M102" s="33"/>
      <c r="N102" s="36" t="str">
        <f t="shared" ref="N102:N113" si="63">IF((ISERROR((M102/$H102)*100)), "", IF(AND(NOT(ISERROR((M102/$H102)*100)),((M102/$H102)*100) &lt;&gt; 0), (M102/$H102)*100, ""))</f>
        <v/>
      </c>
      <c r="O102" s="33"/>
      <c r="P102" s="36" t="str">
        <f t="shared" ref="P102:P113" si="64">IF((ISERROR((O102/$H102)*100)), "", IF(AND(NOT(ISERROR((O102/$H102)*100)),((O102/$H102)*100) &lt;&gt; 0), (O102/$H102)*100, ""))</f>
        <v/>
      </c>
      <c r="Q102" s="33"/>
      <c r="R102" s="36" t="str">
        <f t="shared" ref="R102:R113" si="65">IF((ISERROR((Q102/$H102)*100)), "", IF(AND(NOT(ISERROR((Q102/$H102)*100)),((Q102/$H102)*100) &lt;&gt; 0), (Q102/$H102)*100, ""))</f>
        <v/>
      </c>
      <c r="S102" s="33"/>
      <c r="T102" s="36" t="str">
        <f t="shared" ref="T102:T113" si="66">IF((ISERROR((S102/$H102)*100)), "", IF(AND(NOT(ISERROR((S102/$H102)*100)),((S102/$H102)*100) &lt;&gt; 0), (S102/$H102)*100, ""))</f>
        <v/>
      </c>
      <c r="U102" s="76"/>
      <c r="V102" s="36" t="str">
        <f t="shared" ref="V102:V113" si="67">IF((ISERROR((U102/$H102)*100)), "", IF(AND(NOT(ISERROR((U102/$H102)*100)),((U102/$H102)*100) &lt;&gt; 0), (U102/$H102)*100, ""))</f>
        <v/>
      </c>
      <c r="W102" s="33"/>
      <c r="X102" s="36" t="str">
        <f>IF((ISERROR((W102/$H102)*100)), "", IF(AND(NOT(ISERROR((W102/$H102)*100)),((W102/$H102)*100) &lt;&gt; 0), (W102/$H102)*100, ""))</f>
        <v/>
      </c>
      <c r="Y102" s="33"/>
      <c r="Z102" s="36" t="str">
        <f>IF((ISERROR((Y102/$H102)*100)), "", IF(AND(NOT(ISERROR((Y102/$H102)*100)),((Y102/$H102)*100) &lt;&gt; 0), (Y102/$H102)*100, ""))</f>
        <v/>
      </c>
      <c r="AA102" s="33"/>
      <c r="AB102" s="36" t="str">
        <f>IF((ISERROR((AA102/$H102)*100)), "", IF(AND(NOT(ISERROR((AA102/$H102)*100)),((AA102/$H102)*100) &lt;&gt; 0), (AA102/$H102)*100, ""))</f>
        <v/>
      </c>
      <c r="AC102" s="33"/>
      <c r="AD102" s="36" t="str">
        <f>IF((ISERROR((AC102/$H102)*100)), "", IF(AND(NOT(ISERROR((AC102/$H102)*100)),((AC102/$H102)*100) &lt;&gt; 0), (AC102/$H102)*100, ""))</f>
        <v/>
      </c>
      <c r="AE102" s="76"/>
      <c r="AF102" s="36" t="str">
        <f t="shared" ref="AF102:AF113" si="68">IF((ISERROR((AE102/$H102)*100)), "", IF(AND(NOT(ISERROR((AE102/$H102)*100)),((AE102/$H102)*100) &lt;&gt; 0), (AE102/$H102)*100, ""))</f>
        <v/>
      </c>
      <c r="AG102" s="33"/>
      <c r="AH102" s="36" t="str">
        <f>IF((ISERROR((AG102/$H102)*100)), "", IF(AND(NOT(ISERROR((AG102/$H102)*100)),((AG102/$H102)*100) &lt;&gt; 0), (AG102/$H102)*100, ""))</f>
        <v/>
      </c>
      <c r="AI102" s="33"/>
      <c r="AJ102" s="36" t="str">
        <f t="shared" ref="AJ102:AJ113" si="69">IF((ISERROR((AI102/$H102)*100)), "", IF(AND(NOT(ISERROR((AI102/$H102)*100)),((AI102/$H102)*100) &lt;&gt; 0), (AI102/$H102)*100, ""))</f>
        <v/>
      </c>
      <c r="AK102" s="33"/>
      <c r="AL102" s="36" t="str">
        <f>IF((ISERROR((AK102/$H102)*100)), "", IF(AND(NOT(ISERROR((AK102/$H102)*100)),((AK102/$H102)*100) &lt;&gt; 0), (AK102/$H102)*100, ""))</f>
        <v/>
      </c>
      <c r="AM102" s="33"/>
      <c r="AN102" s="36" t="str">
        <f>IF((ISERROR((AM102/$H102)*100)), "", IF(AND(NOT(ISERROR((AM102/$H102)*100)),((AM102/$H102)*100) &lt;&gt; 0), (AM102/$H102)*100, ""))</f>
        <v/>
      </c>
      <c r="AO102" s="33"/>
      <c r="AP102" s="36" t="str">
        <f t="shared" ref="AP102:AP113" si="70">IF((ISERROR((AO102/$H102)*100)), "", IF(AND(NOT(ISERROR((AO102/$H102)*100)),((AO102/$H102)*100) &lt;&gt; 0), (AO102/$H102)*100, ""))</f>
        <v/>
      </c>
      <c r="AQ102" s="33"/>
      <c r="AR102" s="36" t="str">
        <f t="shared" ref="AR102:AR113" si="71">IF((ISERROR((AQ102/$H102)*100)), "", IF(AND(NOT(ISERROR((AQ102/$H102)*100)),((AQ102/$H102)*100) &lt;&gt; 0), (AQ102/$H102)*100, ""))</f>
        <v/>
      </c>
      <c r="AS102" s="33"/>
      <c r="AT102" s="36" t="str">
        <f t="shared" si="19"/>
        <v/>
      </c>
      <c r="AU102" s="33"/>
      <c r="AV102" s="36" t="str">
        <f t="shared" si="57"/>
        <v/>
      </c>
      <c r="AW102" s="33"/>
      <c r="AX102" s="36" t="str">
        <f t="shared" si="58"/>
        <v/>
      </c>
      <c r="AY102" s="33"/>
      <c r="AZ102" s="36" t="str">
        <f t="shared" si="59"/>
        <v/>
      </c>
      <c r="BA102" s="23" t="s">
        <v>222</v>
      </c>
    </row>
    <row r="103" spans="1:53" ht="20" customHeight="1" x14ac:dyDescent="0.2">
      <c r="A103" s="60"/>
      <c r="B103" s="82"/>
      <c r="C103" s="24" t="s">
        <v>85</v>
      </c>
      <c r="D103" s="23" t="s">
        <v>137</v>
      </c>
      <c r="E103" s="23" t="s">
        <v>138</v>
      </c>
      <c r="F103" s="24">
        <v>2011</v>
      </c>
      <c r="G103" s="24">
        <v>42</v>
      </c>
      <c r="H103" s="89">
        <v>51</v>
      </c>
      <c r="I103" s="85" t="s">
        <v>223</v>
      </c>
      <c r="J103" s="86" t="s">
        <v>224</v>
      </c>
      <c r="K103" s="33"/>
      <c r="L103" s="36" t="str">
        <f t="shared" si="62"/>
        <v/>
      </c>
      <c r="M103" s="33"/>
      <c r="N103" s="36" t="str">
        <f t="shared" si="63"/>
        <v/>
      </c>
      <c r="O103" s="33"/>
      <c r="P103" s="36" t="str">
        <f t="shared" si="64"/>
        <v/>
      </c>
      <c r="Q103" s="33"/>
      <c r="R103" s="36" t="str">
        <f t="shared" si="65"/>
        <v/>
      </c>
      <c r="S103" s="33"/>
      <c r="T103" s="36" t="str">
        <f t="shared" si="66"/>
        <v/>
      </c>
      <c r="U103" s="40">
        <v>4</v>
      </c>
      <c r="V103" s="39">
        <f t="shared" si="67"/>
        <v>7.8431372549019605</v>
      </c>
      <c r="W103" s="33"/>
      <c r="X103" s="36" t="str">
        <f t="shared" si="52"/>
        <v/>
      </c>
      <c r="Y103" s="33"/>
      <c r="Z103" s="36" t="str">
        <f t="shared" si="53"/>
        <v/>
      </c>
      <c r="AA103" s="33"/>
      <c r="AB103" s="36" t="str">
        <f t="shared" si="54"/>
        <v/>
      </c>
      <c r="AC103" s="38" t="s">
        <v>225</v>
      </c>
      <c r="AD103" s="39" t="str">
        <f t="shared" si="55"/>
        <v/>
      </c>
      <c r="AE103" s="76"/>
      <c r="AF103" s="36" t="str">
        <f t="shared" si="68"/>
        <v/>
      </c>
      <c r="AG103" s="38">
        <v>21</v>
      </c>
      <c r="AH103" s="39">
        <f t="shared" si="60"/>
        <v>41.17647058823529</v>
      </c>
      <c r="AI103" s="33"/>
      <c r="AJ103" s="36" t="str">
        <f t="shared" si="69"/>
        <v/>
      </c>
      <c r="AK103" s="33"/>
      <c r="AL103" s="36" t="str">
        <f t="shared" si="56"/>
        <v/>
      </c>
      <c r="AM103" s="33"/>
      <c r="AN103" s="36" t="str">
        <f t="shared" si="19"/>
        <v/>
      </c>
      <c r="AO103" s="33"/>
      <c r="AP103" s="36" t="str">
        <f t="shared" si="70"/>
        <v/>
      </c>
      <c r="AQ103" s="33"/>
      <c r="AR103" s="36" t="str">
        <f t="shared" si="71"/>
        <v/>
      </c>
      <c r="AS103" s="38">
        <v>1</v>
      </c>
      <c r="AT103" s="39">
        <f t="shared" si="19"/>
        <v>1.9607843137254901</v>
      </c>
      <c r="AU103" s="33"/>
      <c r="AV103" s="36" t="str">
        <f t="shared" si="57"/>
        <v/>
      </c>
      <c r="AW103" s="33"/>
      <c r="AX103" s="36" t="str">
        <f t="shared" si="58"/>
        <v/>
      </c>
      <c r="AY103" s="33"/>
      <c r="AZ103" s="36" t="str">
        <f t="shared" si="59"/>
        <v/>
      </c>
      <c r="BA103" s="23" t="s">
        <v>394</v>
      </c>
    </row>
    <row r="104" spans="1:53" ht="20" customHeight="1" x14ac:dyDescent="0.2">
      <c r="A104" s="60"/>
      <c r="B104" s="82"/>
      <c r="C104" s="24" t="s">
        <v>85</v>
      </c>
      <c r="D104" s="23" t="s">
        <v>315</v>
      </c>
      <c r="E104" s="23" t="s">
        <v>316</v>
      </c>
      <c r="F104" s="24">
        <v>2010</v>
      </c>
      <c r="H104" s="89">
        <v>53</v>
      </c>
      <c r="I104" s="111" t="s">
        <v>371</v>
      </c>
      <c r="J104" s="86" t="s">
        <v>410</v>
      </c>
      <c r="K104" s="33"/>
      <c r="L104" s="36" t="str">
        <f t="shared" si="62"/>
        <v/>
      </c>
      <c r="M104" s="33"/>
      <c r="N104" s="36" t="str">
        <f t="shared" si="63"/>
        <v/>
      </c>
      <c r="O104" s="33"/>
      <c r="P104" s="36" t="str">
        <f t="shared" si="64"/>
        <v/>
      </c>
      <c r="Q104" s="33"/>
      <c r="R104" s="36" t="str">
        <f t="shared" si="65"/>
        <v/>
      </c>
      <c r="S104" s="33">
        <v>15</v>
      </c>
      <c r="T104" s="36">
        <f t="shared" si="66"/>
        <v>28.30188679245283</v>
      </c>
      <c r="U104" s="76">
        <v>15</v>
      </c>
      <c r="V104" s="36">
        <f t="shared" si="67"/>
        <v>28.30188679245283</v>
      </c>
      <c r="W104" s="33"/>
      <c r="X104" s="36" t="str">
        <f>IF((ISERROR((W104/$H104)*100)), "", IF(AND(NOT(ISERROR((W104/$H104)*100)),((W104/$H104)*100) &lt;&gt; 0), (W104/$H104)*100, ""))</f>
        <v/>
      </c>
      <c r="Y104" s="33"/>
      <c r="Z104" s="36" t="str">
        <f>IF((ISERROR((Y104/$H104)*100)), "", IF(AND(NOT(ISERROR((Y104/$H104)*100)),((Y104/$H104)*100) &lt;&gt; 0), (Y104/$H104)*100, ""))</f>
        <v/>
      </c>
      <c r="AA104" s="33"/>
      <c r="AB104" s="36" t="str">
        <f>IF((ISERROR((AA104/$H104)*100)), "", IF(AND(NOT(ISERROR((AA104/$H104)*100)),((AA104/$H104)*100) &lt;&gt; 0), (AA104/$H104)*100, ""))</f>
        <v/>
      </c>
      <c r="AC104" s="33"/>
      <c r="AD104" s="36" t="str">
        <f>IF((ISERROR((AC104/$H104)*100)), "", IF(AND(NOT(ISERROR((AC104/$H104)*100)),((AC104/$H104)*100) &lt;&gt; 0), (AC104/$H104)*100, ""))</f>
        <v/>
      </c>
      <c r="AE104" s="76"/>
      <c r="AF104" s="36" t="str">
        <f t="shared" si="68"/>
        <v/>
      </c>
      <c r="AG104" s="33">
        <v>2</v>
      </c>
      <c r="AH104" s="36">
        <f>IF((ISERROR((AG104/$H104)*100)), "", IF(AND(NOT(ISERROR((AG104/$H104)*100)),((AG104/$H104)*100) &lt;&gt; 0), (AG104/$H104)*100, ""))</f>
        <v>3.7735849056603774</v>
      </c>
      <c r="AI104" s="33"/>
      <c r="AJ104" s="36" t="str">
        <f t="shared" si="69"/>
        <v/>
      </c>
      <c r="AK104" s="33">
        <v>3</v>
      </c>
      <c r="AL104" s="36">
        <f>IF((ISERROR((AK104/$H104)*100)), "", IF(AND(NOT(ISERROR((AK104/$H104)*100)),((AK104/$H104)*100) &lt;&gt; 0), (AK104/$H104)*100, ""))</f>
        <v>5.6603773584905666</v>
      </c>
      <c r="AM104" s="33"/>
      <c r="AN104" s="36" t="str">
        <f>IF((ISERROR((AM104/$H104)*100)), "", IF(AND(NOT(ISERROR((AM104/$H104)*100)),((AM104/$H104)*100) &lt;&gt; 0), (AM104/$H104)*100, ""))</f>
        <v/>
      </c>
      <c r="AO104" s="33">
        <v>9</v>
      </c>
      <c r="AP104" s="36">
        <f t="shared" si="70"/>
        <v>16.981132075471699</v>
      </c>
      <c r="AQ104" s="33"/>
      <c r="AR104" s="36" t="str">
        <f t="shared" si="71"/>
        <v/>
      </c>
      <c r="AS104" s="33">
        <v>2</v>
      </c>
      <c r="AT104" s="36">
        <f t="shared" si="19"/>
        <v>3.7735849056603774</v>
      </c>
      <c r="AU104" s="33"/>
      <c r="AV104" s="36" t="str">
        <f t="shared" si="57"/>
        <v/>
      </c>
      <c r="AW104" s="33"/>
      <c r="AX104" s="36" t="str">
        <f t="shared" si="58"/>
        <v/>
      </c>
      <c r="AY104" s="33"/>
      <c r="AZ104" s="36" t="str">
        <f t="shared" si="59"/>
        <v/>
      </c>
      <c r="BA104" s="23" t="s">
        <v>372</v>
      </c>
    </row>
    <row r="105" spans="1:53" ht="20" customHeight="1" x14ac:dyDescent="0.2">
      <c r="A105" s="60"/>
      <c r="B105" s="82"/>
      <c r="C105" s="24" t="s">
        <v>85</v>
      </c>
      <c r="D105" s="23" t="s">
        <v>317</v>
      </c>
      <c r="E105" s="23" t="s">
        <v>318</v>
      </c>
      <c r="F105" s="24">
        <v>2014</v>
      </c>
      <c r="H105" s="89">
        <v>39</v>
      </c>
      <c r="I105" s="85" t="s">
        <v>211</v>
      </c>
      <c r="J105" s="86" t="s">
        <v>373</v>
      </c>
      <c r="K105" s="33"/>
      <c r="L105" s="36" t="str">
        <f t="shared" si="62"/>
        <v/>
      </c>
      <c r="M105" s="33"/>
      <c r="N105" s="36" t="str">
        <f t="shared" si="63"/>
        <v/>
      </c>
      <c r="O105" s="33"/>
      <c r="P105" s="36" t="str">
        <f t="shared" si="64"/>
        <v/>
      </c>
      <c r="Q105" s="33"/>
      <c r="R105" s="36" t="str">
        <f t="shared" si="65"/>
        <v/>
      </c>
      <c r="S105" s="33">
        <v>1</v>
      </c>
      <c r="T105" s="36">
        <f t="shared" si="66"/>
        <v>2.5641025641025639</v>
      </c>
      <c r="U105" s="76">
        <v>6</v>
      </c>
      <c r="V105" s="36">
        <f t="shared" si="67"/>
        <v>15.384615384615385</v>
      </c>
      <c r="W105" s="33">
        <v>2</v>
      </c>
      <c r="X105" s="36">
        <f>IF((ISERROR((W105/$H105)*100)), "", IF(AND(NOT(ISERROR((W105/$H105)*100)),((W105/$H105)*100) &lt;&gt; 0), (W105/$H105)*100, ""))</f>
        <v>5.1282051282051277</v>
      </c>
      <c r="Y105" s="33"/>
      <c r="Z105" s="36" t="str">
        <f>IF((ISERROR((Y105/$H105)*100)), "", IF(AND(NOT(ISERROR((Y105/$H105)*100)),((Y105/$H105)*100) &lt;&gt; 0), (Y105/$H105)*100, ""))</f>
        <v/>
      </c>
      <c r="AA105" s="33"/>
      <c r="AB105" s="36"/>
      <c r="AC105" s="33"/>
      <c r="AD105" s="36" t="str">
        <f>IF((ISERROR((AC105/$H105)*100)), "", IF(AND(NOT(ISERROR((AC105/$H105)*100)),((AC105/$H105)*100) &lt;&gt; 0), (AC105/$H105)*100, ""))</f>
        <v/>
      </c>
      <c r="AE105" s="76"/>
      <c r="AF105" s="36" t="str">
        <f t="shared" si="68"/>
        <v/>
      </c>
      <c r="AG105" s="33"/>
      <c r="AH105" s="36" t="str">
        <f>IF((ISERROR((AG105/$H105)*100)), "", IF(AND(NOT(ISERROR((AG105/$H105)*100)),((AG105/$H105)*100) &lt;&gt; 0), (AG105/$H105)*100, ""))</f>
        <v/>
      </c>
      <c r="AI105" s="33"/>
      <c r="AJ105" s="36" t="str">
        <f t="shared" si="69"/>
        <v/>
      </c>
      <c r="AK105" s="33"/>
      <c r="AL105" s="36" t="str">
        <f>IF((ISERROR((AK105/$H105)*100)), "", IF(AND(NOT(ISERROR((AK105/$H105)*100)),((AK105/$H105)*100) &lt;&gt; 0), (AK105/$H105)*100, ""))</f>
        <v/>
      </c>
      <c r="AM105" s="33"/>
      <c r="AN105" s="36" t="str">
        <f>IF((ISERROR((AM105/$H105)*100)), "", IF(AND(NOT(ISERROR((AM105/$H105)*100)),((AM105/$H105)*100) &lt;&gt; 0), (AM105/$H105)*100, ""))</f>
        <v/>
      </c>
      <c r="AO105" s="33"/>
      <c r="AP105" s="36" t="str">
        <f t="shared" si="70"/>
        <v/>
      </c>
      <c r="AQ105" s="33">
        <v>1</v>
      </c>
      <c r="AR105" s="36">
        <f t="shared" si="71"/>
        <v>2.5641025641025639</v>
      </c>
      <c r="AS105" s="33"/>
      <c r="AT105" s="36" t="str">
        <f t="shared" si="19"/>
        <v/>
      </c>
      <c r="AU105" s="33"/>
      <c r="AV105" s="36" t="str">
        <f t="shared" si="57"/>
        <v/>
      </c>
      <c r="AW105" s="33"/>
      <c r="AX105" s="36" t="str">
        <f t="shared" si="58"/>
        <v/>
      </c>
      <c r="AY105" s="33"/>
      <c r="AZ105" s="36" t="str">
        <f t="shared" si="59"/>
        <v/>
      </c>
      <c r="BA105" s="23" t="s">
        <v>411</v>
      </c>
    </row>
    <row r="106" spans="1:53" ht="20" customHeight="1" x14ac:dyDescent="0.2">
      <c r="A106" s="60"/>
      <c r="B106" s="82"/>
      <c r="C106" s="24" t="s">
        <v>85</v>
      </c>
      <c r="D106" s="23" t="s">
        <v>319</v>
      </c>
      <c r="E106" s="23" t="s">
        <v>320</v>
      </c>
      <c r="F106" s="24">
        <v>2010</v>
      </c>
      <c r="H106" s="89">
        <v>789</v>
      </c>
      <c r="I106" s="85" t="s">
        <v>211</v>
      </c>
      <c r="J106" s="86" t="s">
        <v>375</v>
      </c>
      <c r="K106" s="33"/>
      <c r="L106" s="36" t="str">
        <f t="shared" si="62"/>
        <v/>
      </c>
      <c r="M106" s="33"/>
      <c r="N106" s="36" t="str">
        <f t="shared" si="63"/>
        <v/>
      </c>
      <c r="O106" s="33"/>
      <c r="P106" s="36" t="str">
        <f t="shared" si="64"/>
        <v/>
      </c>
      <c r="Q106" s="33"/>
      <c r="R106" s="36" t="str">
        <f t="shared" si="65"/>
        <v/>
      </c>
      <c r="S106" s="33"/>
      <c r="T106" s="36" t="str">
        <f t="shared" si="66"/>
        <v/>
      </c>
      <c r="U106" s="76"/>
      <c r="V106" s="36" t="str">
        <f t="shared" si="67"/>
        <v/>
      </c>
      <c r="W106" s="33"/>
      <c r="X106" s="36" t="str">
        <f>IF((ISERROR((W106/$H106)*100)), "", IF(AND(NOT(ISERROR((W106/$H106)*100)),((W106/$H106)*100) &lt;&gt; 0), (W106/$H106)*100, ""))</f>
        <v/>
      </c>
      <c r="Y106" s="33"/>
      <c r="Z106" s="36" t="str">
        <f>IF((ISERROR((Y106/$H106)*100)), "", IF(AND(NOT(ISERROR((Y106/$H106)*100)),((Y106/$H106)*100) &lt;&gt; 0), (Y106/$H106)*100, ""))</f>
        <v/>
      </c>
      <c r="AA106" s="33"/>
      <c r="AB106" s="36" t="str">
        <f>IF((ISERROR((AA106/$H106)*100)), "", IF(AND(NOT(ISERROR((AA106/$H106)*100)),((AA106/$H106)*100) &lt;&gt; 0), (AA106/$H106)*100, ""))</f>
        <v/>
      </c>
      <c r="AC106" s="33"/>
      <c r="AD106" s="36" t="str">
        <f>IF((ISERROR((AC106/$H106)*100)), "", IF(AND(NOT(ISERROR((AC106/$H106)*100)),((AC106/$H106)*100) &lt;&gt; 0), (AC106/$H106)*100, ""))</f>
        <v/>
      </c>
      <c r="AE106" s="76">
        <v>43</v>
      </c>
      <c r="AF106" s="36">
        <f t="shared" si="68"/>
        <v>5.4499366286438535</v>
      </c>
      <c r="AG106" s="33"/>
      <c r="AH106" s="36" t="str">
        <f>IF((ISERROR((AG106/$H106)*100)), "", IF(AND(NOT(ISERROR((AG106/$H106)*100)),((AG106/$H106)*100) &lt;&gt; 0), (AG106/$H106)*100, ""))</f>
        <v/>
      </c>
      <c r="AI106" s="33"/>
      <c r="AJ106" s="36" t="str">
        <f t="shared" si="69"/>
        <v/>
      </c>
      <c r="AK106" s="33"/>
      <c r="AL106" s="36" t="str">
        <f>IF((ISERROR((AK106/$H106)*100)), "", IF(AND(NOT(ISERROR((AK106/$H106)*100)),((AK106/$H106)*100) &lt;&gt; 0), (AK106/$H106)*100, ""))</f>
        <v/>
      </c>
      <c r="AM106" s="33"/>
      <c r="AN106" s="36" t="str">
        <f>IF((ISERROR((AM106/$H106)*100)), "", IF(AND(NOT(ISERROR((AM106/$H106)*100)),((AM106/$H106)*100) &lt;&gt; 0), (AM106/$H106)*100, ""))</f>
        <v/>
      </c>
      <c r="AO106" s="33"/>
      <c r="AP106" s="36" t="str">
        <f t="shared" si="70"/>
        <v/>
      </c>
      <c r="AQ106" s="33"/>
      <c r="AR106" s="36" t="str">
        <f t="shared" si="71"/>
        <v/>
      </c>
      <c r="AS106" s="33"/>
      <c r="AT106" s="36" t="str">
        <f t="shared" si="19"/>
        <v/>
      </c>
      <c r="AU106" s="33"/>
      <c r="AV106" s="36" t="str">
        <f t="shared" si="57"/>
        <v/>
      </c>
      <c r="AW106" s="33"/>
      <c r="AX106" s="36" t="str">
        <f t="shared" si="58"/>
        <v/>
      </c>
      <c r="AY106" s="33"/>
      <c r="AZ106" s="36" t="str">
        <f t="shared" si="59"/>
        <v/>
      </c>
      <c r="BA106" s="23" t="s">
        <v>374</v>
      </c>
    </row>
    <row r="107" spans="1:53" ht="20" customHeight="1" x14ac:dyDescent="0.2">
      <c r="A107" s="60"/>
      <c r="B107" s="83"/>
      <c r="C107" s="80" t="s">
        <v>379</v>
      </c>
      <c r="D107" s="23" t="s">
        <v>321</v>
      </c>
      <c r="E107" s="23" t="s">
        <v>322</v>
      </c>
      <c r="F107" s="24">
        <v>2016</v>
      </c>
      <c r="H107" s="89">
        <v>16</v>
      </c>
      <c r="I107" s="85" t="s">
        <v>377</v>
      </c>
      <c r="J107" s="112" t="s">
        <v>378</v>
      </c>
      <c r="K107" s="33"/>
      <c r="L107" s="36" t="str">
        <f t="shared" si="62"/>
        <v/>
      </c>
      <c r="M107" s="33"/>
      <c r="N107" s="36" t="str">
        <f t="shared" si="63"/>
        <v/>
      </c>
      <c r="O107" s="33"/>
      <c r="P107" s="36" t="str">
        <f t="shared" si="64"/>
        <v/>
      </c>
      <c r="Q107" s="33"/>
      <c r="R107" s="36" t="str">
        <f t="shared" si="65"/>
        <v/>
      </c>
      <c r="S107" s="33"/>
      <c r="T107" s="36" t="str">
        <f t="shared" si="66"/>
        <v/>
      </c>
      <c r="U107" s="76"/>
      <c r="V107" s="36" t="str">
        <f t="shared" si="67"/>
        <v/>
      </c>
      <c r="W107" s="33"/>
      <c r="X107" s="36" t="str">
        <f t="shared" ref="X107:X111" si="72">IF((ISERROR((W107/$H107)*100)), "", IF(AND(NOT(ISERROR((W107/$H107)*100)),((W107/$H107)*100) &lt;&gt; 0), (W107/$H107)*100, ""))</f>
        <v/>
      </c>
      <c r="Y107" s="33"/>
      <c r="Z107" s="36" t="str">
        <f t="shared" ref="Z107:Z111" si="73">IF((ISERROR((Y107/$H107)*100)), "", IF(AND(NOT(ISERROR((Y107/$H107)*100)),((Y107/$H107)*100) &lt;&gt; 0), (Y107/$H107)*100, ""))</f>
        <v/>
      </c>
      <c r="AA107" s="33"/>
      <c r="AB107" s="36" t="str">
        <f t="shared" ref="AB107:AB111" si="74">IF((ISERROR((AA107/$H107)*100)), "", IF(AND(NOT(ISERROR((AA107/$H107)*100)),((AA107/$H107)*100) &lt;&gt; 0), (AA107/$H107)*100, ""))</f>
        <v/>
      </c>
      <c r="AC107" s="33"/>
      <c r="AD107" s="36" t="str">
        <f t="shared" ref="AD107:AD111" si="75">IF((ISERROR((AC107/$H107)*100)), "", IF(AND(NOT(ISERROR((AC107/$H107)*100)),((AC107/$H107)*100) &lt;&gt; 0), (AC107/$H107)*100, ""))</f>
        <v/>
      </c>
      <c r="AE107" s="76"/>
      <c r="AF107" s="36" t="str">
        <f t="shared" si="68"/>
        <v/>
      </c>
      <c r="AG107" s="33"/>
      <c r="AH107" s="36" t="str">
        <f t="shared" si="60"/>
        <v/>
      </c>
      <c r="AI107" s="33"/>
      <c r="AJ107" s="36" t="str">
        <f t="shared" si="69"/>
        <v/>
      </c>
      <c r="AK107" s="33"/>
      <c r="AL107" s="36" t="str">
        <f t="shared" ref="AL107:AL111" si="76">IF((ISERROR((AK107/$H107)*100)), "", IF(AND(NOT(ISERROR((AK107/$H107)*100)),((AK107/$H107)*100) &lt;&gt; 0), (AK107/$H107)*100, ""))</f>
        <v/>
      </c>
      <c r="AM107" s="33"/>
      <c r="AN107" s="36" t="str">
        <f t="shared" si="19"/>
        <v/>
      </c>
      <c r="AO107" s="33"/>
      <c r="AP107" s="36" t="str">
        <f t="shared" si="70"/>
        <v/>
      </c>
      <c r="AQ107" s="33"/>
      <c r="AR107" s="36" t="str">
        <f t="shared" si="71"/>
        <v/>
      </c>
      <c r="AS107" s="33"/>
      <c r="AT107" s="36" t="str">
        <f t="shared" si="19"/>
        <v/>
      </c>
      <c r="AU107" s="33"/>
      <c r="AV107" s="36" t="str">
        <f t="shared" si="57"/>
        <v/>
      </c>
      <c r="AW107" s="33"/>
      <c r="AX107" s="36" t="str">
        <f t="shared" ref="AX107:AX113" si="77">IF((ISERROR((AW107/$H107)*100)), "", IF(AND(NOT(ISERROR((AW107/$H107)*100)),((AW107/$H107)*100) &lt;&gt; 0), (AW107/$H107)*100, ""))</f>
        <v/>
      </c>
      <c r="AY107" s="33"/>
      <c r="AZ107" s="36" t="str">
        <f t="shared" ref="AZ107:AZ113" si="78">IF((ISERROR((AY107/$H107)*100)), "", IF(AND(NOT(ISERROR((AY107/$H107)*100)),((AY107/$H107)*100) &lt;&gt; 0), (AY107/$H107)*100, ""))</f>
        <v/>
      </c>
      <c r="BA107" s="23" t="s">
        <v>380</v>
      </c>
    </row>
    <row r="108" spans="1:53" ht="20" customHeight="1" x14ac:dyDescent="0.2">
      <c r="A108" s="60"/>
      <c r="B108" s="82"/>
      <c r="C108" s="81" t="s">
        <v>381</v>
      </c>
      <c r="D108" s="49" t="s">
        <v>139</v>
      </c>
      <c r="E108" s="49" t="s">
        <v>140</v>
      </c>
      <c r="F108" s="50">
        <v>2005</v>
      </c>
      <c r="G108" s="50">
        <v>21</v>
      </c>
      <c r="H108" s="89"/>
      <c r="I108" s="85" t="s">
        <v>226</v>
      </c>
      <c r="J108" s="86"/>
      <c r="K108" s="33"/>
      <c r="L108" s="36" t="str">
        <f t="shared" si="62"/>
        <v/>
      </c>
      <c r="M108" s="38">
        <v>5</v>
      </c>
      <c r="N108" s="39" t="str">
        <f t="shared" si="63"/>
        <v/>
      </c>
      <c r="O108" s="33"/>
      <c r="P108" s="36" t="str">
        <f t="shared" si="64"/>
        <v/>
      </c>
      <c r="Q108" s="33"/>
      <c r="R108" s="36" t="str">
        <f t="shared" si="65"/>
        <v/>
      </c>
      <c r="S108" s="33"/>
      <c r="T108" s="36" t="str">
        <f t="shared" si="66"/>
        <v/>
      </c>
      <c r="U108" s="40">
        <v>16</v>
      </c>
      <c r="V108" s="39" t="str">
        <f t="shared" si="67"/>
        <v/>
      </c>
      <c r="W108" s="33"/>
      <c r="X108" s="36" t="str">
        <f t="shared" si="72"/>
        <v/>
      </c>
      <c r="Y108" s="33"/>
      <c r="Z108" s="36" t="str">
        <f t="shared" si="73"/>
        <v/>
      </c>
      <c r="AA108" s="33"/>
      <c r="AB108" s="36" t="str">
        <f t="shared" si="74"/>
        <v/>
      </c>
      <c r="AC108" s="33"/>
      <c r="AD108" s="36" t="str">
        <f t="shared" si="75"/>
        <v/>
      </c>
      <c r="AE108" s="76"/>
      <c r="AF108" s="36" t="str">
        <f t="shared" si="68"/>
        <v/>
      </c>
      <c r="AG108" s="33"/>
      <c r="AH108" s="36" t="str">
        <f t="shared" si="60"/>
        <v/>
      </c>
      <c r="AI108" s="33"/>
      <c r="AJ108" s="36" t="str">
        <f t="shared" si="69"/>
        <v/>
      </c>
      <c r="AK108" s="33"/>
      <c r="AL108" s="36" t="str">
        <f t="shared" si="76"/>
        <v/>
      </c>
      <c r="AM108" s="33"/>
      <c r="AN108" s="36" t="str">
        <f t="shared" si="19"/>
        <v/>
      </c>
      <c r="AO108" s="33"/>
      <c r="AP108" s="36" t="str">
        <f t="shared" si="70"/>
        <v/>
      </c>
      <c r="AQ108" s="33"/>
      <c r="AR108" s="36" t="str">
        <f t="shared" si="71"/>
        <v/>
      </c>
      <c r="AS108" s="33"/>
      <c r="AT108" s="36" t="str">
        <f t="shared" si="19"/>
        <v/>
      </c>
      <c r="AU108" s="33"/>
      <c r="AV108" s="36" t="str">
        <f t="shared" si="57"/>
        <v/>
      </c>
      <c r="AW108" s="38">
        <v>5</v>
      </c>
      <c r="AX108" s="39" t="str">
        <f t="shared" si="77"/>
        <v/>
      </c>
      <c r="AY108" s="33"/>
      <c r="AZ108" s="36" t="str">
        <f t="shared" si="78"/>
        <v/>
      </c>
      <c r="BA108" s="23" t="s">
        <v>227</v>
      </c>
    </row>
    <row r="109" spans="1:53" ht="20" customHeight="1" x14ac:dyDescent="0.2">
      <c r="A109" s="61"/>
      <c r="B109" s="24"/>
      <c r="C109" s="24" t="s">
        <v>35</v>
      </c>
      <c r="D109" s="23" t="s">
        <v>141</v>
      </c>
      <c r="E109" s="23" t="s">
        <v>142</v>
      </c>
      <c r="F109" s="24">
        <v>2015</v>
      </c>
      <c r="G109" s="24">
        <v>1</v>
      </c>
      <c r="H109" s="89">
        <v>119</v>
      </c>
      <c r="I109" s="85"/>
      <c r="J109" s="86"/>
      <c r="K109" s="33"/>
      <c r="L109" s="36" t="str">
        <f t="shared" si="62"/>
        <v/>
      </c>
      <c r="M109" s="33"/>
      <c r="N109" s="36" t="str">
        <f t="shared" si="63"/>
        <v/>
      </c>
      <c r="O109" s="33"/>
      <c r="P109" s="36" t="str">
        <f t="shared" si="64"/>
        <v/>
      </c>
      <c r="Q109" s="33"/>
      <c r="R109" s="36" t="str">
        <f t="shared" si="65"/>
        <v/>
      </c>
      <c r="S109" s="33"/>
      <c r="T109" s="36" t="str">
        <f t="shared" si="66"/>
        <v/>
      </c>
      <c r="U109" s="76"/>
      <c r="V109" s="36" t="str">
        <f t="shared" si="67"/>
        <v/>
      </c>
      <c r="W109" s="33"/>
      <c r="X109" s="36" t="str">
        <f t="shared" si="72"/>
        <v/>
      </c>
      <c r="Y109" s="33"/>
      <c r="Z109" s="36" t="str">
        <f t="shared" si="73"/>
        <v/>
      </c>
      <c r="AA109" s="33"/>
      <c r="AB109" s="36" t="str">
        <f t="shared" si="74"/>
        <v/>
      </c>
      <c r="AC109" s="33"/>
      <c r="AD109" s="36" t="str">
        <f t="shared" si="75"/>
        <v/>
      </c>
      <c r="AE109" s="76"/>
      <c r="AF109" s="36" t="str">
        <f t="shared" si="68"/>
        <v/>
      </c>
      <c r="AG109" s="33"/>
      <c r="AH109" s="36" t="str">
        <f t="shared" si="60"/>
        <v/>
      </c>
      <c r="AI109" s="33"/>
      <c r="AJ109" s="36" t="str">
        <f t="shared" si="69"/>
        <v/>
      </c>
      <c r="AK109" s="33"/>
      <c r="AL109" s="36" t="str">
        <f t="shared" si="76"/>
        <v/>
      </c>
      <c r="AM109" s="33"/>
      <c r="AN109" s="36" t="str">
        <f t="shared" si="19"/>
        <v/>
      </c>
      <c r="AO109" s="33"/>
      <c r="AP109" s="36" t="str">
        <f t="shared" si="70"/>
        <v/>
      </c>
      <c r="AQ109" s="33"/>
      <c r="AR109" s="36" t="str">
        <f t="shared" si="71"/>
        <v/>
      </c>
      <c r="AS109" s="33"/>
      <c r="AT109" s="36" t="str">
        <f t="shared" si="19"/>
        <v/>
      </c>
      <c r="AU109" s="33"/>
      <c r="AV109" s="36" t="str">
        <f t="shared" si="57"/>
        <v/>
      </c>
      <c r="AW109" s="33"/>
      <c r="AX109" s="36" t="str">
        <f t="shared" si="77"/>
        <v/>
      </c>
      <c r="AY109" s="33"/>
      <c r="AZ109" s="36" t="str">
        <f t="shared" si="78"/>
        <v/>
      </c>
      <c r="BA109" s="23" t="s">
        <v>228</v>
      </c>
    </row>
    <row r="110" spans="1:53" ht="20" customHeight="1" x14ac:dyDescent="0.2">
      <c r="A110" s="61"/>
      <c r="B110" s="24"/>
      <c r="C110" s="24" t="s">
        <v>85</v>
      </c>
      <c r="D110" s="23" t="s">
        <v>143</v>
      </c>
      <c r="E110" s="23" t="s">
        <v>144</v>
      </c>
      <c r="F110" s="24">
        <v>2008</v>
      </c>
      <c r="G110" s="24">
        <v>156</v>
      </c>
      <c r="H110" s="89">
        <v>50</v>
      </c>
      <c r="I110" s="85" t="s">
        <v>176</v>
      </c>
      <c r="J110" s="86"/>
      <c r="K110" s="33"/>
      <c r="L110" s="36" t="str">
        <f t="shared" si="62"/>
        <v/>
      </c>
      <c r="M110" s="33"/>
      <c r="N110" s="36" t="str">
        <f t="shared" si="63"/>
        <v/>
      </c>
      <c r="O110" s="33"/>
      <c r="P110" s="36" t="str">
        <f t="shared" si="64"/>
        <v/>
      </c>
      <c r="Q110" s="33"/>
      <c r="R110" s="36" t="str">
        <f t="shared" si="65"/>
        <v/>
      </c>
      <c r="S110" s="33"/>
      <c r="T110" s="36" t="str">
        <f t="shared" si="66"/>
        <v/>
      </c>
      <c r="U110" s="76"/>
      <c r="V110" s="36" t="str">
        <f t="shared" si="67"/>
        <v/>
      </c>
      <c r="W110" s="33"/>
      <c r="X110" s="36" t="str">
        <f>IF((ISERROR((W110/$H110)*100)), "", IF(AND(NOT(ISERROR((W110/$H110)*100)),((W110/$H110)*100) &lt;&gt; 0), (W110/$H110)*100, ""))</f>
        <v/>
      </c>
      <c r="Y110" s="33"/>
      <c r="Z110" s="36" t="str">
        <f>IF((ISERROR((Y110/$H110)*100)), "", IF(AND(NOT(ISERROR((Y110/$H110)*100)),((Y110/$H110)*100) &lt;&gt; 0), (Y110/$H110)*100, ""))</f>
        <v/>
      </c>
      <c r="AA110" s="33"/>
      <c r="AB110" s="36" t="str">
        <f>IF((ISERROR((AA110/$H110)*100)), "", IF(AND(NOT(ISERROR((AA110/$H110)*100)),((AA110/$H110)*100) &lt;&gt; 0), (AA110/$H110)*100, ""))</f>
        <v/>
      </c>
      <c r="AC110" s="33"/>
      <c r="AD110" s="36" t="str">
        <f>IF((ISERROR((AC110/$H110)*100)), "", IF(AND(NOT(ISERROR((AC110/$H110)*100)),((AC110/$H110)*100) &lt;&gt; 0), (AC110/$H110)*100, ""))</f>
        <v/>
      </c>
      <c r="AE110" s="76"/>
      <c r="AF110" s="36" t="str">
        <f t="shared" si="68"/>
        <v/>
      </c>
      <c r="AG110" s="33"/>
      <c r="AH110" s="36" t="str">
        <f>IF((ISERROR((AG110/$H110)*100)), "", IF(AND(NOT(ISERROR((AG110/$H110)*100)),((AG110/$H110)*100) &lt;&gt; 0), (AG110/$H110)*100, ""))</f>
        <v/>
      </c>
      <c r="AI110" s="33"/>
      <c r="AJ110" s="36" t="str">
        <f t="shared" si="69"/>
        <v/>
      </c>
      <c r="AK110" s="33"/>
      <c r="AL110" s="36" t="str">
        <f>IF((ISERROR((AK110/$H110)*100)), "", IF(AND(NOT(ISERROR((AK110/$H110)*100)),((AK110/$H110)*100) &lt;&gt; 0), (AK110/$H110)*100, ""))</f>
        <v/>
      </c>
      <c r="AM110" s="33"/>
      <c r="AN110" s="36" t="str">
        <f>IF((ISERROR((AM110/$H110)*100)), "", IF(AND(NOT(ISERROR((AM110/$H110)*100)),((AM110/$H110)*100) &lt;&gt; 0), (AM110/$H110)*100, ""))</f>
        <v/>
      </c>
      <c r="AO110" s="33"/>
      <c r="AP110" s="36" t="str">
        <f t="shared" si="70"/>
        <v/>
      </c>
      <c r="AQ110" s="33"/>
      <c r="AR110" s="36" t="str">
        <f t="shared" si="71"/>
        <v/>
      </c>
      <c r="AS110" s="33"/>
      <c r="AT110" s="36" t="str">
        <f t="shared" ref="AT110" si="79">IF((ISERROR((AS110/$H110)*100)), "", IF(AND(NOT(ISERROR((AS110/$H110)*100)),((AS110/$H110)*100) &lt;&gt; 0), (AS110/$H110)*100, ""))</f>
        <v/>
      </c>
      <c r="AU110" s="33"/>
      <c r="AV110" s="36" t="str">
        <f t="shared" si="57"/>
        <v/>
      </c>
      <c r="AW110" s="33"/>
      <c r="AX110" s="36" t="str">
        <f t="shared" si="77"/>
        <v/>
      </c>
      <c r="AY110" s="33"/>
      <c r="AZ110" s="36" t="str">
        <f t="shared" si="78"/>
        <v/>
      </c>
      <c r="BA110" s="23" t="s">
        <v>229</v>
      </c>
    </row>
    <row r="111" spans="1:53" ht="20" customHeight="1" x14ac:dyDescent="0.2">
      <c r="A111" s="61"/>
      <c r="B111" s="24"/>
      <c r="C111" s="50" t="s">
        <v>49</v>
      </c>
      <c r="D111" s="49" t="s">
        <v>145</v>
      </c>
      <c r="E111" s="49" t="s">
        <v>146</v>
      </c>
      <c r="F111" s="50">
        <v>1997</v>
      </c>
      <c r="G111" s="50">
        <v>47</v>
      </c>
      <c r="H111" s="89"/>
      <c r="I111" s="85"/>
      <c r="J111" s="86"/>
      <c r="K111" s="33"/>
      <c r="L111" s="36" t="str">
        <f t="shared" si="62"/>
        <v/>
      </c>
      <c r="M111" s="33"/>
      <c r="N111" s="36" t="str">
        <f t="shared" si="63"/>
        <v/>
      </c>
      <c r="O111" s="33"/>
      <c r="P111" s="36" t="str">
        <f t="shared" si="64"/>
        <v/>
      </c>
      <c r="Q111" s="33"/>
      <c r="R111" s="36" t="str">
        <f t="shared" si="65"/>
        <v/>
      </c>
      <c r="S111" s="33"/>
      <c r="T111" s="36" t="str">
        <f t="shared" si="66"/>
        <v/>
      </c>
      <c r="U111" s="76"/>
      <c r="V111" s="36" t="str">
        <f t="shared" si="67"/>
        <v/>
      </c>
      <c r="W111" s="33"/>
      <c r="X111" s="36" t="str">
        <f t="shared" si="72"/>
        <v/>
      </c>
      <c r="Y111" s="33"/>
      <c r="Z111" s="36" t="str">
        <f t="shared" si="73"/>
        <v/>
      </c>
      <c r="AA111" s="33"/>
      <c r="AB111" s="36" t="str">
        <f t="shared" si="74"/>
        <v/>
      </c>
      <c r="AC111" s="33"/>
      <c r="AD111" s="36" t="str">
        <f t="shared" si="75"/>
        <v/>
      </c>
      <c r="AE111" s="76"/>
      <c r="AF111" s="36" t="str">
        <f t="shared" si="68"/>
        <v/>
      </c>
      <c r="AG111" s="33"/>
      <c r="AH111" s="36" t="str">
        <f t="shared" si="60"/>
        <v/>
      </c>
      <c r="AI111" s="33"/>
      <c r="AJ111" s="36" t="str">
        <f t="shared" si="69"/>
        <v/>
      </c>
      <c r="AK111" s="33"/>
      <c r="AL111" s="36" t="str">
        <f t="shared" si="76"/>
        <v/>
      </c>
      <c r="AM111" s="33"/>
      <c r="AN111" s="36" t="str">
        <f t="shared" si="19"/>
        <v/>
      </c>
      <c r="AO111" s="33"/>
      <c r="AP111" s="36" t="str">
        <f t="shared" si="70"/>
        <v/>
      </c>
      <c r="AQ111" s="33"/>
      <c r="AR111" s="36" t="str">
        <f t="shared" si="71"/>
        <v/>
      </c>
      <c r="AS111" s="33"/>
      <c r="AT111" s="36" t="str">
        <f t="shared" si="19"/>
        <v/>
      </c>
      <c r="AU111" s="33"/>
      <c r="AV111" s="36" t="str">
        <f t="shared" si="57"/>
        <v/>
      </c>
      <c r="AW111" s="33"/>
      <c r="AX111" s="36" t="str">
        <f t="shared" si="77"/>
        <v/>
      </c>
      <c r="AY111" s="33"/>
      <c r="AZ111" s="36" t="str">
        <f t="shared" si="78"/>
        <v/>
      </c>
      <c r="BA111" s="23" t="s">
        <v>230</v>
      </c>
    </row>
    <row r="112" spans="1:53" ht="20" customHeight="1" x14ac:dyDescent="0.2">
      <c r="A112" s="60"/>
      <c r="B112" s="83"/>
      <c r="C112" s="24" t="s">
        <v>85</v>
      </c>
      <c r="D112" s="23" t="s">
        <v>323</v>
      </c>
      <c r="E112" s="23" t="s">
        <v>324</v>
      </c>
      <c r="F112" s="24">
        <v>2009</v>
      </c>
      <c r="H112" s="89">
        <v>12</v>
      </c>
      <c r="I112" s="85" t="s">
        <v>214</v>
      </c>
      <c r="J112" s="86" t="s">
        <v>192</v>
      </c>
      <c r="K112" s="73"/>
      <c r="L112" s="74" t="str">
        <f t="shared" si="62"/>
        <v/>
      </c>
      <c r="M112" s="73"/>
      <c r="N112" s="74" t="str">
        <f t="shared" si="63"/>
        <v/>
      </c>
      <c r="O112" s="73"/>
      <c r="P112" s="74" t="str">
        <f t="shared" si="64"/>
        <v/>
      </c>
      <c r="Q112" s="73"/>
      <c r="R112" s="74" t="str">
        <f t="shared" si="65"/>
        <v/>
      </c>
      <c r="S112" s="73"/>
      <c r="T112" s="74" t="str">
        <f t="shared" si="66"/>
        <v/>
      </c>
      <c r="U112" s="75"/>
      <c r="V112" s="74" t="str">
        <f t="shared" si="67"/>
        <v/>
      </c>
      <c r="W112" s="73"/>
      <c r="X112" s="74" t="str">
        <f>IF((ISERROR((W112/$H112)*100)), "", IF(AND(NOT(ISERROR((W112/$H112)*100)),((W112/$H112)*100) &lt;&gt; 0), (W112/$H112)*100, ""))</f>
        <v/>
      </c>
      <c r="Y112" s="73"/>
      <c r="Z112" s="74" t="str">
        <f>IF((ISERROR((Y112/$H112)*100)), "", IF(AND(NOT(ISERROR((Y112/$H112)*100)),((Y112/$H112)*100) &lt;&gt; 0), (Y112/$H112)*100, ""))</f>
        <v/>
      </c>
      <c r="AA112" s="73"/>
      <c r="AB112" s="74" t="str">
        <f>IF((ISERROR((AA112/$H112)*100)), "", IF(AND(NOT(ISERROR((AA112/$H112)*100)),((AA112/$H112)*100) &lt;&gt; 0), (AA112/$H112)*100, ""))</f>
        <v/>
      </c>
      <c r="AC112" s="73"/>
      <c r="AD112" s="74" t="str">
        <f>IF((ISERROR((AC112/$H112)*100)), "", IF(AND(NOT(ISERROR((AC112/$H112)*100)),((AC112/$H112)*100) &lt;&gt; 0), (AC112/$H112)*100, ""))</f>
        <v/>
      </c>
      <c r="AE112" s="75"/>
      <c r="AF112" s="74" t="str">
        <f t="shared" si="68"/>
        <v/>
      </c>
      <c r="AG112" s="73"/>
      <c r="AH112" s="74" t="str">
        <f>IF((ISERROR((AG112/$H112)*100)), "", IF(AND(NOT(ISERROR((AG112/$H112)*100)),((AG112/$H112)*100) &lt;&gt; 0), (AG112/$H112)*100, ""))</f>
        <v/>
      </c>
      <c r="AI112" s="73"/>
      <c r="AJ112" s="74" t="str">
        <f t="shared" si="69"/>
        <v/>
      </c>
      <c r="AK112" s="73"/>
      <c r="AL112" s="74" t="str">
        <f>IF((ISERROR((AK112/$H112)*100)), "", IF(AND(NOT(ISERROR((AK112/$H112)*100)),((AK112/$H112)*100) &lt;&gt; 0), (AK112/$H112)*100, ""))</f>
        <v/>
      </c>
      <c r="AM112" s="73"/>
      <c r="AN112" s="74" t="str">
        <f>IF((ISERROR((AM112/$H112)*100)), "", IF(AND(NOT(ISERROR((AM112/$H112)*100)),((AM112/$H112)*100) &lt;&gt; 0), (AM112/$H112)*100, ""))</f>
        <v/>
      </c>
      <c r="AO112" s="73"/>
      <c r="AP112" s="74" t="str">
        <f t="shared" si="70"/>
        <v/>
      </c>
      <c r="AQ112" s="73"/>
      <c r="AR112" s="74" t="str">
        <f t="shared" si="71"/>
        <v/>
      </c>
      <c r="AS112" s="73"/>
      <c r="AT112" s="74" t="str">
        <f t="shared" ref="AT112:AT113" si="80">IF((ISERROR((AS112/$H112)*100)), "", IF(AND(NOT(ISERROR((AS112/$H112)*100)),((AS112/$H112)*100) &lt;&gt; 0), (AS112/$H112)*100, ""))</f>
        <v/>
      </c>
      <c r="AU112" s="73"/>
      <c r="AV112" s="74" t="str">
        <f t="shared" si="57"/>
        <v/>
      </c>
      <c r="AW112" s="73"/>
      <c r="AX112" s="74" t="str">
        <f t="shared" si="77"/>
        <v/>
      </c>
      <c r="AY112" s="73"/>
      <c r="AZ112" s="74" t="str">
        <f t="shared" si="78"/>
        <v/>
      </c>
      <c r="BA112" s="23" t="s">
        <v>180</v>
      </c>
    </row>
    <row r="113" spans="1:53" ht="20" customHeight="1" thickBot="1" x14ac:dyDescent="0.25">
      <c r="A113" s="61"/>
      <c r="B113" s="24"/>
      <c r="C113" s="24" t="s">
        <v>85</v>
      </c>
      <c r="D113" s="23" t="s">
        <v>147</v>
      </c>
      <c r="E113" s="23" t="s">
        <v>148</v>
      </c>
      <c r="F113" s="24">
        <v>2011</v>
      </c>
      <c r="G113" s="24">
        <v>112</v>
      </c>
      <c r="H113" s="90">
        <v>22</v>
      </c>
      <c r="I113" s="87" t="s">
        <v>218</v>
      </c>
      <c r="J113" s="88" t="s">
        <v>193</v>
      </c>
      <c r="K113" s="34"/>
      <c r="L113" s="37" t="str">
        <f t="shared" si="62"/>
        <v/>
      </c>
      <c r="M113" s="34"/>
      <c r="N113" s="37" t="str">
        <f t="shared" si="63"/>
        <v/>
      </c>
      <c r="O113" s="34"/>
      <c r="P113" s="37" t="str">
        <f t="shared" si="64"/>
        <v/>
      </c>
      <c r="Q113" s="34"/>
      <c r="R113" s="37" t="str">
        <f t="shared" si="65"/>
        <v/>
      </c>
      <c r="S113" s="34"/>
      <c r="T113" s="37" t="str">
        <f t="shared" si="66"/>
        <v/>
      </c>
      <c r="U113" s="35"/>
      <c r="V113" s="37" t="str">
        <f t="shared" si="67"/>
        <v/>
      </c>
      <c r="W113" s="34"/>
      <c r="X113" s="37" t="str">
        <f>IF((ISERROR((W113/$H113)*100)), "", IF(AND(NOT(ISERROR((W113/$H113)*100)),((W113/$H113)*100) &lt;&gt; 0), (W113/$H113)*100, ""))</f>
        <v/>
      </c>
      <c r="Y113" s="34"/>
      <c r="Z113" s="37" t="str">
        <f>IF((ISERROR((Y113/$H113)*100)), "", IF(AND(NOT(ISERROR((Y113/$H113)*100)),((Y113/$H113)*100) &lt;&gt; 0), (Y113/$H113)*100, ""))</f>
        <v/>
      </c>
      <c r="AA113" s="34"/>
      <c r="AB113" s="37" t="str">
        <f>IF((ISERROR((AA113/$H113)*100)), "", IF(AND(NOT(ISERROR((AA113/$H113)*100)),((AA113/$H113)*100) &lt;&gt; 0), (AA113/$H113)*100, ""))</f>
        <v/>
      </c>
      <c r="AC113" s="34"/>
      <c r="AD113" s="37" t="str">
        <f>IF((ISERROR((AC113/$H113)*100)), "", IF(AND(NOT(ISERROR((AC113/$H113)*100)),((AC113/$H113)*100) &lt;&gt; 0), (AC113/$H113)*100, ""))</f>
        <v/>
      </c>
      <c r="AE113" s="35"/>
      <c r="AF113" s="37" t="str">
        <f t="shared" si="68"/>
        <v/>
      </c>
      <c r="AG113" s="34"/>
      <c r="AH113" s="37" t="str">
        <f>IF((ISERROR((AG113/$H113)*100)), "", IF(AND(NOT(ISERROR((AG113/$H113)*100)),((AG113/$H113)*100) &lt;&gt; 0), (AG113/$H113)*100, ""))</f>
        <v/>
      </c>
      <c r="AI113" s="34"/>
      <c r="AJ113" s="37" t="str">
        <f t="shared" si="69"/>
        <v/>
      </c>
      <c r="AK113" s="34"/>
      <c r="AL113" s="37" t="str">
        <f>IF((ISERROR((AK113/$H113)*100)), "", IF(AND(NOT(ISERROR((AK113/$H113)*100)),((AK113/$H113)*100) &lt;&gt; 0), (AK113/$H113)*100, ""))</f>
        <v/>
      </c>
      <c r="AM113" s="34"/>
      <c r="AN113" s="37" t="str">
        <f>IF((ISERROR((AM113/$H113)*100)), "", IF(AND(NOT(ISERROR((AM113/$H113)*100)),((AM113/$H113)*100) &lt;&gt; 0), (AM113/$H113)*100, ""))</f>
        <v/>
      </c>
      <c r="AO113" s="34"/>
      <c r="AP113" s="37" t="str">
        <f t="shared" si="70"/>
        <v/>
      </c>
      <c r="AQ113" s="34"/>
      <c r="AR113" s="37" t="str">
        <f t="shared" si="71"/>
        <v/>
      </c>
      <c r="AS113" s="34"/>
      <c r="AT113" s="37" t="str">
        <f t="shared" si="80"/>
        <v/>
      </c>
      <c r="AU113" s="34"/>
      <c r="AV113" s="37" t="str">
        <f t="shared" si="57"/>
        <v/>
      </c>
      <c r="AW113" s="34"/>
      <c r="AX113" s="37" t="str">
        <f t="shared" si="77"/>
        <v/>
      </c>
      <c r="AY113" s="34"/>
      <c r="AZ113" s="37" t="str">
        <f t="shared" si="78"/>
        <v/>
      </c>
      <c r="BA113" s="23" t="s">
        <v>231</v>
      </c>
    </row>
    <row r="115" spans="1:53" ht="17" thickBot="1" x14ac:dyDescent="0.25"/>
    <row r="116" spans="1:53" s="22" customFormat="1" x14ac:dyDescent="0.2">
      <c r="C116" s="41"/>
      <c r="F116" s="24"/>
      <c r="G116" s="43" t="s">
        <v>243</v>
      </c>
      <c r="H116" s="44">
        <f>SUM(H11:H113)</f>
        <v>3466</v>
      </c>
      <c r="I116" s="45" t="s">
        <v>452</v>
      </c>
      <c r="J116" s="46" t="s">
        <v>458</v>
      </c>
      <c r="K116" s="51">
        <f>IF((SUM(K11:K113)&lt;&gt;0), SUMIF($H11:$H113, "&gt;0", K11:K113), "")</f>
        <v>28</v>
      </c>
      <c r="L116" s="52">
        <f>IF(ISERROR((K116/$H116)*100), "", IF(((K116/$H116)*100) &lt;&gt; 0, (K116/$H116)*100, ""))</f>
        <v>0.80784766301211763</v>
      </c>
      <c r="M116" s="51">
        <f>IF((SUM(M11:M113)&lt;&gt;0), SUMIF($H11:$H113, "&gt;0", M11:M113), "")</f>
        <v>7</v>
      </c>
      <c r="N116" s="52">
        <f>IF(ISERROR((M116/$H116)*100), "", IF(((M116/$H116)*100) &lt;&gt; 0, (M116/$H116)*100, ""))</f>
        <v>0.20196191575302941</v>
      </c>
      <c r="O116" s="51">
        <f>IF((SUM(O11:O113)&lt;&gt;0), SUMIF($H11:$H113, "&gt;0", O11:O113), "")</f>
        <v>6</v>
      </c>
      <c r="P116" s="52">
        <f>IF(ISERROR((O116/$H116)*100), "", IF(((O116/$H116)*100) &lt;&gt; 0, (O116/$H116)*100, ""))</f>
        <v>0.17311021350259664</v>
      </c>
      <c r="Q116" s="51">
        <f>IF((SUM(Q11:Q113)&lt;&gt;0), SUMIF($H11:$H113, "&gt;0", Q11:Q113), "")</f>
        <v>2</v>
      </c>
      <c r="R116" s="52">
        <f>IF(ISERROR((Q116/$H116)*100), "", IF(((Q116/$H116)*100) &lt;&gt; 0, (Q116/$H116)*100, ""))</f>
        <v>5.770340450086555E-2</v>
      </c>
      <c r="S116" s="51">
        <f>IF((SUM(S11:S113)&lt;&gt;0), SUMIF($H11:$H113, "&gt;0", S11:S113), "")</f>
        <v>61</v>
      </c>
      <c r="T116" s="52">
        <f>IF(ISERROR((S116/$H116)*100), "", IF(((S116/$H116)*100) &lt;&gt; 0, (S116/$H116)*100, ""))</f>
        <v>1.7599538372763994</v>
      </c>
      <c r="U116" s="51">
        <f>IF((SUM(U11:U113)&lt;&gt;0), SUMIF($H11:$H113, "&gt;0", U11:U113), "")</f>
        <v>108</v>
      </c>
      <c r="V116" s="52">
        <f>IF(ISERROR((U116/$H116)*100), "", IF(((U116/$H116)*100) &lt;&gt; 0, (U116/$H116)*100, ""))</f>
        <v>3.1159838430467395</v>
      </c>
      <c r="W116" s="51">
        <f>IF((SUM(W11:W113)&lt;&gt;0), SUMIF($H11:$H113, "&gt;0", W11:W113), "")</f>
        <v>35</v>
      </c>
      <c r="X116" s="52">
        <f>IF(ISERROR((W116/$H116)*100), "", IF(((W116/$H116)*100) &lt;&gt; 0, (W116/$H116)*100, ""))</f>
        <v>1.0098095787651471</v>
      </c>
      <c r="Y116" s="51">
        <f>IF((SUM(Y11:Y113)&lt;&gt;0), SUMIF($H11:$H113, "&gt;0", Y11:Y113), "")</f>
        <v>1</v>
      </c>
      <c r="Z116" s="52">
        <f>IF(ISERROR((Y116/$H116)*100), "", IF(((Y116/$H116)*100) &lt;&gt; 0, (Y116/$H116)*100, ""))</f>
        <v>2.8851702250432775E-2</v>
      </c>
      <c r="AA116" s="51">
        <f>IF((SUM(AA11:AA113)&lt;&gt;0), SUMIF($H11:$H113, "&gt;0", AA11:AA113), "")</f>
        <v>6</v>
      </c>
      <c r="AB116" s="52">
        <f>IF(ISERROR((AA116/$H116)*100), "", IF(((AA116/$H116)*100) &lt;&gt; 0, (AA116/$H116)*100, ""))</f>
        <v>0.17311021350259664</v>
      </c>
      <c r="AC116" s="51">
        <f>IF((SUM(AC11:AC113)&lt;&gt;0), SUMIF($H11:$H113, "&gt;0", AC11:AC113), "")</f>
        <v>1</v>
      </c>
      <c r="AD116" s="52">
        <f>IF(ISERROR((AC116/$H116)*100), "", IF(((AC116/$H116)*100) &lt;&gt; 0, (AC116/$H116)*100, ""))</f>
        <v>2.8851702250432775E-2</v>
      </c>
      <c r="AE116" s="51">
        <f>IF((SUM(AE11:AE113)&lt;&gt;0), SUMIF($H11:$H113, "&gt;0", AE11:AE113), "")</f>
        <v>90</v>
      </c>
      <c r="AF116" s="52">
        <f>IF(ISERROR((AE116/$H116)*100), "", IF(((AE116/$H116)*100) &lt;&gt; 0, (AE116/$H116)*100, ""))</f>
        <v>2.5966532025389495</v>
      </c>
      <c r="AG116" s="51">
        <f>IF((SUM(AG11:AG113)&lt;&gt;0), SUMIF($H11:$H113, "&gt;0", AG11:AG113), "")</f>
        <v>57</v>
      </c>
      <c r="AH116" s="52">
        <f>IF(ISERROR((AG116/$H116)*100), "", IF(((AG116/$H116)*100) &lt;&gt; 0, (AG116/$H116)*100, ""))</f>
        <v>1.6445470282746681</v>
      </c>
      <c r="AI116" s="51">
        <f>IF((SUM(AI11:AI113)&lt;&gt;0), SUMIF($H11:$H113, "&gt;0", AI11:AI113), "")</f>
        <v>2</v>
      </c>
      <c r="AJ116" s="52">
        <f>IF(ISERROR((AI116/$H116)*100), "", IF(((AI116/$H116)*100) &lt;&gt; 0, (AI116/$H116)*100, ""))</f>
        <v>5.770340450086555E-2</v>
      </c>
      <c r="AK116" s="51">
        <f>IF((SUM(AK11:AK113)&lt;&gt;0), SUMIF($H11:$H113, "&gt;0", AK11:AK113), "")</f>
        <v>7</v>
      </c>
      <c r="AL116" s="52">
        <f>IF(ISERROR((AK116/$H116)*100), "", IF(((AK116/$H116)*100) &lt;&gt; 0, (AK116/$H116)*100, ""))</f>
        <v>0.20196191575302941</v>
      </c>
      <c r="AM116" s="51">
        <f>IF((SUM(AM11:AM113)&lt;&gt;0), SUMIF($H11:$H113, "&gt;0", AM11:AM113), "")</f>
        <v>6</v>
      </c>
      <c r="AN116" s="52">
        <f>IF(ISERROR((AM116/$H116)*100), "", IF(((AM116/$H116)*100) &lt;&gt; 0, (AM116/$H116)*100, ""))</f>
        <v>0.17311021350259664</v>
      </c>
      <c r="AO116" s="51">
        <f>IF((SUM(AO11:AO113)&lt;&gt;0), SUMIF($H11:$H113, "&gt;0", AO11:AO113), "")</f>
        <v>34</v>
      </c>
      <c r="AP116" s="52">
        <f>IF(ISERROR((AO116/$H116)*100), "", IF(((AO116/$H116)*100) &lt;&gt; 0, (AO116/$H116)*100, ""))</f>
        <v>0.98095787651471433</v>
      </c>
      <c r="AQ116" s="51">
        <f>IF((SUM(AQ11:AQ113)&lt;&gt;0), SUMIF($H11:$H113, "&gt;0", AQ11:AQ113), "")</f>
        <v>3</v>
      </c>
      <c r="AR116" s="52">
        <f>IF(ISERROR((AQ116/$H116)*100), "", IF(((AQ116/$H116)*100) &lt;&gt; 0, (AQ116/$H116)*100, ""))</f>
        <v>8.6555106751298322E-2</v>
      </c>
      <c r="AS116" s="51">
        <f>IF((SUM(AS11:AS113)&lt;&gt;0), SUMIF($H11:$H113, "&gt;0", AS11:AS113), "")</f>
        <v>11</v>
      </c>
      <c r="AT116" s="52">
        <f>IF(ISERROR((AS116/$H116)*100), "", IF(((AS116/$H116)*100) &lt;&gt; 0, (AS116/$H116)*100, ""))</f>
        <v>0.31736872475476052</v>
      </c>
      <c r="AU116" s="51">
        <f>IF((SUM(AU11:AU113)&lt;&gt;0), SUMIF($H11:$H113, "&gt;0", AU11:AU113), "")</f>
        <v>3</v>
      </c>
      <c r="AV116" s="52">
        <f>IF(ISERROR((AU116/$H116)*100), "", IF(((AU116/$H116)*100) &lt;&gt; 0, (AU116/$H116)*100, ""))</f>
        <v>8.6555106751298322E-2</v>
      </c>
      <c r="AW116" s="51">
        <f>IF((SUM(AW11:AW113)&lt;&gt;0), SUMIF($H11:$H113, "&gt;0", AW11:AW113), "")</f>
        <v>1</v>
      </c>
      <c r="AX116" s="52">
        <f>IF(ISERROR((AW116/$H116)*100), "", IF(((AW116/$H116)*100) &lt;&gt; 0, (AW116/$H116)*100, ""))</f>
        <v>2.8851702250432775E-2</v>
      </c>
      <c r="AY116" s="51" t="str">
        <f>IF((SUM(AY11:AY113)&lt;&gt;0), SUMIF($H11:$H113, "&gt;0", AY11:AY113), "")</f>
        <v/>
      </c>
      <c r="AZ116" s="52" t="str">
        <f>IF(ISERROR((AY116/$H116)*100), "", IF(((AY116/$H116)*100) &lt;&gt; 0, (AY116/$H116)*100, ""))</f>
        <v/>
      </c>
    </row>
    <row r="117" spans="1:53" s="22" customFormat="1" ht="18" customHeight="1" x14ac:dyDescent="0.2">
      <c r="C117" s="41"/>
      <c r="F117" s="24"/>
      <c r="G117" s="43" t="s">
        <v>244</v>
      </c>
      <c r="H117" s="42" t="s">
        <v>242</v>
      </c>
      <c r="I117" s="47" t="s">
        <v>459</v>
      </c>
      <c r="J117" s="48" t="s">
        <v>460</v>
      </c>
      <c r="K117" s="53">
        <f>IF(SUMIF(K11:K113, "&gt; 0", $H11:$H113) &gt; 0, SUMIF(K11:K113, "&gt; 0", $H11:$H113), "")</f>
        <v>156</v>
      </c>
      <c r="L117" s="54">
        <f>IF(AND(NOT(ISERROR((K116/K117)*100)), K116/K117 &lt;&gt; 0), (K116/K117)*100, "")</f>
        <v>17.948717948717949</v>
      </c>
      <c r="M117" s="53">
        <f>IF(SUMIF(M11:M113, "&gt; 0", $H11:$H113) &gt; 0, SUMIF(M11:M113, "&gt; 0", $H11:$H113), "")</f>
        <v>19</v>
      </c>
      <c r="N117" s="54">
        <f>IF(AND(NOT(ISERROR((M116/M117)*100)), M116/M117 &lt;&gt; 0), (M116/M117)*100, "")</f>
        <v>36.84210526315789</v>
      </c>
      <c r="O117" s="53">
        <f>IF(SUMIF(O11:O113, "&gt; 0", $H11:$H113) &gt; 0, SUMIF(O11:O113, "&gt; 0", $H11:$H113), "")</f>
        <v>17</v>
      </c>
      <c r="P117" s="54">
        <f>IF(AND(NOT(ISERROR((O116/O117)*100)), O116/O117 &lt;&gt; 0), (O116/O117)*100, "")</f>
        <v>35.294117647058826</v>
      </c>
      <c r="Q117" s="53">
        <f>IF(SUMIF(Q11:Q113, "&gt; 0", $H11:$H113) &gt; 0, SUMIF(Q11:Q113, "&gt; 0", $H11:$H113), "")</f>
        <v>8</v>
      </c>
      <c r="R117" s="54">
        <f>IF(AND(NOT(ISERROR((Q116/Q117)*100)), Q116/Q117 &lt;&gt; 0), (Q116/Q117)*100, "")</f>
        <v>25</v>
      </c>
      <c r="S117" s="53">
        <f>IF(SUMIF(S11:S113, "&gt; 0", $H11:$H113) &gt; 0, SUMIF(S11:S113, "&gt; 0", $H11:$H113), "")</f>
        <v>381</v>
      </c>
      <c r="T117" s="54">
        <f>IF(AND(NOT(ISERROR((S116/S117)*100)), S116/S117 &lt;&gt; 0), (S116/S117)*100, "")</f>
        <v>16.010498687664043</v>
      </c>
      <c r="U117" s="53">
        <f>IF(SUMIF(U11:U113, "&gt; 0", $H11:$H113) &gt; 0, SUMIF(U11:U113, "&gt; 0", $H11:$H113), "")</f>
        <v>537</v>
      </c>
      <c r="V117" s="54">
        <f>IF(AND(NOT(ISERROR((U116/U117)*100)), U116/U117 &lt;&gt; 0), (U116/U117)*100, "")</f>
        <v>20.11173184357542</v>
      </c>
      <c r="W117" s="53">
        <f>IF(SUMIF(W11:W113, "&gt; 0", $H11:$H113) &gt; 0, SUMIF(W11:W113, "&gt; 0", $H11:$H113), "")</f>
        <v>250</v>
      </c>
      <c r="X117" s="54">
        <f>IF(AND(NOT(ISERROR((W116/W117)*100)), W116/W117 &lt;&gt; 0), (W116/W117)*100, "")</f>
        <v>14.000000000000002</v>
      </c>
      <c r="Y117" s="53">
        <f>IF(SUMIF(Y11:Y113, "&gt; 0", $H11:$H113) &gt; 0, SUMIF(Y11:Y113, "&gt; 0", $H11:$H113), "")</f>
        <v>8</v>
      </c>
      <c r="Z117" s="54">
        <f>IF(AND(NOT(ISERROR((Y116/Y117)*100)), Y116/Y117 &lt;&gt; 0), (Y116/Y117)*100, "")</f>
        <v>12.5</v>
      </c>
      <c r="AA117" s="53">
        <f>IF(SUMIF(AA11:AA113, "&gt; 0", $H11:$H113) &gt; 0, SUMIF(AA11:AA113, "&gt; 0", $H11:$H113), "")</f>
        <v>37</v>
      </c>
      <c r="AB117" s="54">
        <f>IF(AND(NOT(ISERROR((AA116/AA117)*100)), AA116/AA117 &lt;&gt; 0), (AA116/AA117)*100, "")</f>
        <v>16.216216216216218</v>
      </c>
      <c r="AC117" s="53">
        <f>IF(SUMIF(AC11:AC113, "&gt; 0", $H11:$H113) &gt; 0, SUMIF(AC11:AC113, "&gt; 0", $H11:$H113), "")</f>
        <v>8</v>
      </c>
      <c r="AD117" s="54">
        <f>IF(AND(NOT(ISERROR((AC116/AC117)*100)), AC116/AC117 &lt;&gt; 0), (AC116/AC117)*100, "")</f>
        <v>12.5</v>
      </c>
      <c r="AE117" s="53">
        <f>IF(SUMIF(AE11:AE113, "&gt; 0", $H11:$H113) &gt; 0, SUMIF(AE11:AE113, "&gt; 0", $H11:$H113), "")</f>
        <v>941</v>
      </c>
      <c r="AF117" s="54">
        <f>IF(AND(NOT(ISERROR((AE116/AE117)*100)), AE116/AE117 &lt;&gt; 0), (AE116/AE117)*100, "")</f>
        <v>9.5642933049946866</v>
      </c>
      <c r="AG117" s="53">
        <f>IF(SUMIF(AG11:AG113, "&gt; 0", $H11:$H113) &gt; 0, SUMIF(AG11:AG113, "&gt; 0", $H11:$H113), "")</f>
        <v>714</v>
      </c>
      <c r="AH117" s="54">
        <f>IF(AND(NOT(ISERROR((AG116/AG117)*100)), AG116/AG117 &lt;&gt; 0), (AG116/AG117)*100, "")</f>
        <v>7.9831932773109235</v>
      </c>
      <c r="AI117" s="53">
        <f>IF(SUMIF(AI11:AI113, "&gt; 0", $H11:$H113) &gt; 0, SUMIF(AI11:AI113, "&gt; 0", $H11:$H113), "")</f>
        <v>27</v>
      </c>
      <c r="AJ117" s="54">
        <f>IF(AND(NOT(ISERROR((AI116/AI117)*100)), AI116/AI117 &lt;&gt; 0), (AI116/AI117)*100, "")</f>
        <v>7.4074074074074066</v>
      </c>
      <c r="AK117" s="53">
        <f>IF(SUMIF(AK11:AK113, "&gt; 0", $H11:$H113) &gt; 0, SUMIF(AK11:AK113, "&gt; 0", $H11:$H113), "")</f>
        <v>155</v>
      </c>
      <c r="AL117" s="54">
        <f>IF(AND(NOT(ISERROR((AK116/AK117)*100)), AK116/AK117 &lt;&gt; 0), (AK116/AK117)*100, "")</f>
        <v>4.5161290322580641</v>
      </c>
      <c r="AM117" s="53">
        <f>IF(SUMIF(AM11:AM113, "&gt; 0", $H11:$H113) &gt; 0, SUMIF(AM11:AM113, "&gt; 0", $H11:$H113), "")</f>
        <v>97</v>
      </c>
      <c r="AN117" s="54">
        <f>IF(AND(NOT(ISERROR((AM116/AM117)*100)), AM116/AM117 &lt;&gt; 0), (AM116/AM117)*100, "")</f>
        <v>6.1855670103092786</v>
      </c>
      <c r="AO117" s="53">
        <f>IF(SUMIF(AO11:AO113, "&gt; 0", $H11:$H113) &gt; 0, SUMIF(AO11:AO113, "&gt; 0", $H11:$H113), "")</f>
        <v>625</v>
      </c>
      <c r="AP117" s="54">
        <f>IF(AND(NOT(ISERROR((AO116/AO117)*100)), AO116/AO117 &lt;&gt; 0), (AO116/AO117)*100, "")</f>
        <v>5.4399999999999995</v>
      </c>
      <c r="AQ117" s="53">
        <f>IF(SUMIF(AQ11:AQ113, "&gt; 0", $H11:$H113) &gt; 0, SUMIF(AQ11:AQ113, "&gt; 0", $H11:$H113), "")</f>
        <v>61</v>
      </c>
      <c r="AR117" s="54">
        <f>IF(AND(NOT(ISERROR((AQ116/AQ117)*100)), AQ116/AQ117 &lt;&gt; 0), (AQ116/AQ117)*100, "")</f>
        <v>4.918032786885246</v>
      </c>
      <c r="AS117" s="53">
        <f>IF(SUMIF(AS11:AS113, "&gt; 0", $H11:$H113) &gt; 0, SUMIF(AS11:AS113, "&gt; 0", $H11:$H113), "")</f>
        <v>307</v>
      </c>
      <c r="AT117" s="54">
        <f>IF(AND(NOT(ISERROR((AS116/AS117)*100)), AS116/AS117 &lt;&gt; 0), (AS116/AS117)*100, "")</f>
        <v>3.5830618892508146</v>
      </c>
      <c r="AU117" s="53">
        <f>IF(SUMIF(AU11:AU113, "&gt; 0", $H11:$H113) &gt; 0, SUMIF(AU11:AU113, "&gt; 0", $H11:$H113), "")</f>
        <v>191</v>
      </c>
      <c r="AV117" s="54">
        <f>IF(AND(NOT(ISERROR((AU116/AU117)*100)), AU116/AU117 &lt;&gt; 0), (AU116/AU117)*100, "")</f>
        <v>1.5706806282722512</v>
      </c>
      <c r="AW117" s="53">
        <f>IF(SUMIF(AW11:AW113, "&gt; 0", $H11:$H113) &gt; 0, SUMIF(AW11:AW113, "&gt; 0", $H11:$H113), "")</f>
        <v>97</v>
      </c>
      <c r="AX117" s="54">
        <f>IF(AND(NOT(ISERROR((AW116/AW117)*100)), AW116/AW117 &lt;&gt; 0), (AW116/AW117)*100, "")</f>
        <v>1.0309278350515463</v>
      </c>
      <c r="AY117" s="53" t="str">
        <f>IF(SUMIF(AY11:AY113, "&gt; 0", $H11:$H113) &gt; 0, SUMIF(AY11:AY113, "&gt; 0", $H11:$H113), "")</f>
        <v/>
      </c>
      <c r="AZ117" s="54"/>
    </row>
    <row r="118" spans="1:53" ht="18" customHeight="1" thickBot="1" x14ac:dyDescent="0.25">
      <c r="H118" s="372" t="s">
        <v>453</v>
      </c>
      <c r="I118" s="375"/>
      <c r="J118" s="376"/>
      <c r="K118" s="351" t="s">
        <v>240</v>
      </c>
      <c r="L118" s="353" t="s">
        <v>241</v>
      </c>
      <c r="M118" s="351" t="s">
        <v>240</v>
      </c>
      <c r="N118" s="353" t="s">
        <v>241</v>
      </c>
      <c r="O118" s="351" t="s">
        <v>240</v>
      </c>
      <c r="P118" s="353" t="s">
        <v>241</v>
      </c>
      <c r="Q118" s="351" t="s">
        <v>240</v>
      </c>
      <c r="R118" s="353" t="s">
        <v>241</v>
      </c>
      <c r="S118" s="351" t="s">
        <v>240</v>
      </c>
      <c r="T118" s="353" t="s">
        <v>241</v>
      </c>
      <c r="U118" s="351" t="s">
        <v>240</v>
      </c>
      <c r="V118" s="353" t="s">
        <v>241</v>
      </c>
      <c r="W118" s="351" t="s">
        <v>240</v>
      </c>
      <c r="X118" s="353" t="s">
        <v>241</v>
      </c>
      <c r="Y118" s="351" t="s">
        <v>240</v>
      </c>
      <c r="Z118" s="353" t="s">
        <v>241</v>
      </c>
      <c r="AA118" s="351" t="s">
        <v>240</v>
      </c>
      <c r="AB118" s="353" t="s">
        <v>241</v>
      </c>
      <c r="AC118" s="351" t="s">
        <v>240</v>
      </c>
      <c r="AD118" s="353" t="s">
        <v>241</v>
      </c>
      <c r="AE118" s="351" t="s">
        <v>240</v>
      </c>
      <c r="AF118" s="353" t="s">
        <v>241</v>
      </c>
      <c r="AG118" s="355" t="s">
        <v>240</v>
      </c>
      <c r="AH118" s="354" t="s">
        <v>241</v>
      </c>
      <c r="AI118" s="351" t="s">
        <v>240</v>
      </c>
      <c r="AJ118" s="353" t="s">
        <v>241</v>
      </c>
      <c r="AK118" s="351" t="s">
        <v>240</v>
      </c>
      <c r="AL118" s="353" t="s">
        <v>241</v>
      </c>
      <c r="AM118" s="351" t="s">
        <v>240</v>
      </c>
      <c r="AN118" s="353" t="s">
        <v>241</v>
      </c>
      <c r="AO118" s="351" t="s">
        <v>240</v>
      </c>
      <c r="AP118" s="353" t="s">
        <v>241</v>
      </c>
      <c r="AQ118" s="351" t="s">
        <v>240</v>
      </c>
      <c r="AR118" s="353" t="s">
        <v>241</v>
      </c>
      <c r="AS118" s="351" t="s">
        <v>240</v>
      </c>
      <c r="AT118" s="353" t="s">
        <v>241</v>
      </c>
      <c r="AU118" s="351" t="s">
        <v>240</v>
      </c>
      <c r="AV118" s="353" t="s">
        <v>241</v>
      </c>
      <c r="AW118" s="351" t="s">
        <v>240</v>
      </c>
      <c r="AX118" s="353" t="s">
        <v>241</v>
      </c>
      <c r="AY118" s="351" t="s">
        <v>240</v>
      </c>
      <c r="AZ118" s="353" t="s">
        <v>241</v>
      </c>
    </row>
    <row r="119" spans="1:53" ht="18" customHeight="1" x14ac:dyDescent="0.2">
      <c r="E119" s="55" t="s">
        <v>246</v>
      </c>
      <c r="F119" s="58">
        <v>1</v>
      </c>
      <c r="H119" s="373"/>
      <c r="I119" s="377"/>
      <c r="J119" s="378"/>
      <c r="K119" s="351"/>
      <c r="L119" s="354"/>
      <c r="M119" s="351"/>
      <c r="N119" s="354"/>
      <c r="O119" s="351"/>
      <c r="P119" s="354"/>
      <c r="Q119" s="351"/>
      <c r="R119" s="354"/>
      <c r="S119" s="351"/>
      <c r="T119" s="354"/>
      <c r="U119" s="351"/>
      <c r="V119" s="354"/>
      <c r="W119" s="351"/>
      <c r="X119" s="354"/>
      <c r="Y119" s="351"/>
      <c r="Z119" s="354"/>
      <c r="AA119" s="351"/>
      <c r="AB119" s="354"/>
      <c r="AC119" s="351"/>
      <c r="AD119" s="354"/>
      <c r="AE119" s="351"/>
      <c r="AF119" s="354"/>
      <c r="AG119" s="351"/>
      <c r="AH119" s="354"/>
      <c r="AI119" s="351"/>
      <c r="AJ119" s="354"/>
      <c r="AK119" s="351"/>
      <c r="AL119" s="354"/>
      <c r="AM119" s="351"/>
      <c r="AN119" s="354"/>
      <c r="AO119" s="351"/>
      <c r="AP119" s="354"/>
      <c r="AQ119" s="351"/>
      <c r="AR119" s="354"/>
      <c r="AS119" s="351"/>
      <c r="AT119" s="354"/>
      <c r="AU119" s="351"/>
      <c r="AV119" s="354"/>
      <c r="AW119" s="351"/>
      <c r="AX119" s="354"/>
      <c r="AY119" s="351"/>
      <c r="AZ119" s="354"/>
    </row>
    <row r="120" spans="1:53" ht="18" customHeight="1" x14ac:dyDescent="0.2">
      <c r="E120" s="56"/>
      <c r="F120" s="57"/>
      <c r="H120" s="373"/>
      <c r="I120" s="377"/>
      <c r="J120" s="378"/>
      <c r="K120" s="351"/>
      <c r="L120" s="354"/>
      <c r="M120" s="351"/>
      <c r="N120" s="354"/>
      <c r="O120" s="351"/>
      <c r="P120" s="354"/>
      <c r="Q120" s="351"/>
      <c r="R120" s="354"/>
      <c r="S120" s="351"/>
      <c r="T120" s="354"/>
      <c r="U120" s="351"/>
      <c r="V120" s="354"/>
      <c r="W120" s="351"/>
      <c r="X120" s="354"/>
      <c r="Y120" s="351"/>
      <c r="Z120" s="354"/>
      <c r="AA120" s="351"/>
      <c r="AB120" s="354"/>
      <c r="AC120" s="351"/>
      <c r="AD120" s="354"/>
      <c r="AE120" s="351"/>
      <c r="AF120" s="354"/>
      <c r="AG120" s="351"/>
      <c r="AH120" s="354"/>
      <c r="AI120" s="351"/>
      <c r="AJ120" s="354"/>
      <c r="AK120" s="351"/>
      <c r="AL120" s="354"/>
      <c r="AM120" s="351"/>
      <c r="AN120" s="354"/>
      <c r="AO120" s="351"/>
      <c r="AP120" s="354"/>
      <c r="AQ120" s="351"/>
      <c r="AR120" s="354"/>
      <c r="AS120" s="351"/>
      <c r="AT120" s="354"/>
      <c r="AU120" s="351"/>
      <c r="AV120" s="354"/>
      <c r="AW120" s="351"/>
      <c r="AX120" s="354"/>
      <c r="AY120" s="351"/>
      <c r="AZ120" s="354"/>
    </row>
    <row r="121" spans="1:53" ht="18" customHeight="1" x14ac:dyDescent="0.2">
      <c r="E121" s="386" t="s">
        <v>247</v>
      </c>
      <c r="F121" s="387"/>
      <c r="H121" s="373"/>
      <c r="I121" s="377"/>
      <c r="J121" s="378"/>
      <c r="K121" s="351"/>
      <c r="L121" s="354"/>
      <c r="M121" s="351"/>
      <c r="N121" s="354"/>
      <c r="O121" s="351"/>
      <c r="P121" s="354"/>
      <c r="Q121" s="351"/>
      <c r="R121" s="354"/>
      <c r="S121" s="351"/>
      <c r="T121" s="354"/>
      <c r="U121" s="351"/>
      <c r="V121" s="354"/>
      <c r="W121" s="351"/>
      <c r="X121" s="354"/>
      <c r="Y121" s="351"/>
      <c r="Z121" s="354"/>
      <c r="AA121" s="351"/>
      <c r="AB121" s="354"/>
      <c r="AC121" s="351"/>
      <c r="AD121" s="354"/>
      <c r="AE121" s="351"/>
      <c r="AF121" s="354"/>
      <c r="AG121" s="351"/>
      <c r="AH121" s="354"/>
      <c r="AI121" s="351"/>
      <c r="AJ121" s="354"/>
      <c r="AK121" s="351"/>
      <c r="AL121" s="354"/>
      <c r="AM121" s="351"/>
      <c r="AN121" s="354"/>
      <c r="AO121" s="351"/>
      <c r="AP121" s="354"/>
      <c r="AQ121" s="351"/>
      <c r="AR121" s="354"/>
      <c r="AS121" s="351"/>
      <c r="AT121" s="354"/>
      <c r="AU121" s="351"/>
      <c r="AV121" s="354"/>
      <c r="AW121" s="351"/>
      <c r="AX121" s="354"/>
      <c r="AY121" s="351"/>
      <c r="AZ121" s="354"/>
    </row>
    <row r="122" spans="1:53" ht="18" customHeight="1" x14ac:dyDescent="0.2">
      <c r="E122" s="386"/>
      <c r="F122" s="387"/>
      <c r="H122" s="373"/>
      <c r="I122" s="377"/>
      <c r="J122" s="378"/>
      <c r="K122" s="352"/>
      <c r="L122" s="354"/>
      <c r="M122" s="352"/>
      <c r="N122" s="354"/>
      <c r="O122" s="352"/>
      <c r="P122" s="354"/>
      <c r="Q122" s="352"/>
      <c r="R122" s="354"/>
      <c r="S122" s="352"/>
      <c r="T122" s="354"/>
      <c r="U122" s="352"/>
      <c r="V122" s="354"/>
      <c r="W122" s="352"/>
      <c r="X122" s="354"/>
      <c r="Y122" s="352"/>
      <c r="Z122" s="354"/>
      <c r="AA122" s="352"/>
      <c r="AB122" s="354"/>
      <c r="AC122" s="352"/>
      <c r="AD122" s="354"/>
      <c r="AE122" s="352"/>
      <c r="AF122" s="354"/>
      <c r="AG122" s="352"/>
      <c r="AH122" s="354"/>
      <c r="AI122" s="352"/>
      <c r="AJ122" s="354"/>
      <c r="AK122" s="352"/>
      <c r="AL122" s="354"/>
      <c r="AM122" s="352"/>
      <c r="AN122" s="354"/>
      <c r="AO122" s="352"/>
      <c r="AP122" s="354"/>
      <c r="AQ122" s="352"/>
      <c r="AR122" s="354"/>
      <c r="AS122" s="352"/>
      <c r="AT122" s="354"/>
      <c r="AU122" s="352"/>
      <c r="AV122" s="354"/>
      <c r="AW122" s="352"/>
      <c r="AX122" s="354"/>
      <c r="AY122" s="352"/>
      <c r="AZ122" s="354"/>
    </row>
    <row r="123" spans="1:53" ht="18" customHeight="1" x14ac:dyDescent="0.2">
      <c r="E123" s="386"/>
      <c r="F123" s="387"/>
      <c r="H123" s="373"/>
      <c r="I123" s="377"/>
      <c r="J123" s="378"/>
      <c r="K123" s="385" t="s">
        <v>237</v>
      </c>
      <c r="L123" s="382"/>
      <c r="M123" s="381" t="s">
        <v>160</v>
      </c>
      <c r="N123" s="382"/>
      <c r="O123" s="385" t="s">
        <v>239</v>
      </c>
      <c r="P123" s="382"/>
      <c r="Q123" s="381" t="s">
        <v>172</v>
      </c>
      <c r="R123" s="382"/>
      <c r="S123" s="381" t="s">
        <v>164</v>
      </c>
      <c r="T123" s="382"/>
      <c r="U123" s="401" t="s">
        <v>208</v>
      </c>
      <c r="V123" s="382"/>
      <c r="W123" s="381" t="s">
        <v>173</v>
      </c>
      <c r="X123" s="382"/>
      <c r="Y123" s="381" t="s">
        <v>171</v>
      </c>
      <c r="Z123" s="382"/>
      <c r="AA123" s="381" t="s">
        <v>174</v>
      </c>
      <c r="AB123" s="382"/>
      <c r="AC123" s="381" t="s">
        <v>161</v>
      </c>
      <c r="AD123" s="382"/>
      <c r="AE123" s="401" t="s">
        <v>376</v>
      </c>
      <c r="AF123" s="382"/>
      <c r="AG123" s="381" t="s">
        <v>157</v>
      </c>
      <c r="AH123" s="382"/>
      <c r="AI123" s="385" t="s">
        <v>236</v>
      </c>
      <c r="AJ123" s="382"/>
      <c r="AK123" s="381" t="s">
        <v>163</v>
      </c>
      <c r="AL123" s="382"/>
      <c r="AM123" s="381" t="s">
        <v>207</v>
      </c>
      <c r="AN123" s="382"/>
      <c r="AO123" s="381" t="s">
        <v>158</v>
      </c>
      <c r="AP123" s="382"/>
      <c r="AQ123" s="385" t="s">
        <v>238</v>
      </c>
      <c r="AR123" s="382"/>
      <c r="AS123" s="381" t="s">
        <v>159</v>
      </c>
      <c r="AT123" s="382"/>
      <c r="AU123" s="381" t="s">
        <v>206</v>
      </c>
      <c r="AV123" s="382"/>
      <c r="AW123" s="381" t="s">
        <v>205</v>
      </c>
      <c r="AX123" s="382"/>
      <c r="AY123" s="381" t="s">
        <v>202</v>
      </c>
      <c r="AZ123" s="382"/>
    </row>
    <row r="124" spans="1:53" ht="18" customHeight="1" x14ac:dyDescent="0.2">
      <c r="E124" s="386"/>
      <c r="F124" s="387"/>
      <c r="H124" s="373"/>
      <c r="I124" s="377"/>
      <c r="J124" s="378"/>
      <c r="K124" s="358"/>
      <c r="L124" s="359"/>
      <c r="M124" s="358"/>
      <c r="N124" s="359"/>
      <c r="O124" s="358"/>
      <c r="P124" s="359"/>
      <c r="Q124" s="358"/>
      <c r="R124" s="359"/>
      <c r="S124" s="358"/>
      <c r="T124" s="359"/>
      <c r="U124" s="402"/>
      <c r="V124" s="359"/>
      <c r="W124" s="358"/>
      <c r="X124" s="359"/>
      <c r="Y124" s="358"/>
      <c r="Z124" s="359"/>
      <c r="AA124" s="358"/>
      <c r="AB124" s="359"/>
      <c r="AC124" s="358"/>
      <c r="AD124" s="359"/>
      <c r="AE124" s="402"/>
      <c r="AF124" s="359"/>
      <c r="AG124" s="358"/>
      <c r="AH124" s="359"/>
      <c r="AI124" s="358"/>
      <c r="AJ124" s="359"/>
      <c r="AK124" s="358"/>
      <c r="AL124" s="359"/>
      <c r="AM124" s="358"/>
      <c r="AN124" s="359"/>
      <c r="AO124" s="358"/>
      <c r="AP124" s="359"/>
      <c r="AQ124" s="358"/>
      <c r="AR124" s="359"/>
      <c r="AS124" s="358"/>
      <c r="AT124" s="359"/>
      <c r="AU124" s="358"/>
      <c r="AV124" s="359"/>
      <c r="AW124" s="358"/>
      <c r="AX124" s="359"/>
      <c r="AY124" s="358"/>
      <c r="AZ124" s="359"/>
    </row>
    <row r="125" spans="1:53" ht="18" customHeight="1" thickBot="1" x14ac:dyDescent="0.25">
      <c r="E125" s="386"/>
      <c r="F125" s="387"/>
      <c r="H125" s="373"/>
      <c r="I125" s="377"/>
      <c r="J125" s="378"/>
      <c r="K125" s="383"/>
      <c r="L125" s="384"/>
      <c r="M125" s="383"/>
      <c r="N125" s="384"/>
      <c r="O125" s="383"/>
      <c r="P125" s="384"/>
      <c r="Q125" s="383"/>
      <c r="R125" s="384"/>
      <c r="S125" s="383"/>
      <c r="T125" s="384"/>
      <c r="U125" s="403"/>
      <c r="V125" s="384"/>
      <c r="W125" s="383"/>
      <c r="X125" s="384"/>
      <c r="Y125" s="383"/>
      <c r="Z125" s="384"/>
      <c r="AA125" s="383"/>
      <c r="AB125" s="384"/>
      <c r="AC125" s="383"/>
      <c r="AD125" s="384"/>
      <c r="AE125" s="403"/>
      <c r="AF125" s="384"/>
      <c r="AG125" s="383"/>
      <c r="AH125" s="384"/>
      <c r="AI125" s="383"/>
      <c r="AJ125" s="384"/>
      <c r="AK125" s="383"/>
      <c r="AL125" s="384"/>
      <c r="AM125" s="383"/>
      <c r="AN125" s="384"/>
      <c r="AO125" s="383"/>
      <c r="AP125" s="384"/>
      <c r="AQ125" s="383"/>
      <c r="AR125" s="384"/>
      <c r="AS125" s="383"/>
      <c r="AT125" s="384"/>
      <c r="AU125" s="383"/>
      <c r="AV125" s="384"/>
      <c r="AW125" s="383"/>
      <c r="AX125" s="384"/>
      <c r="AY125" s="383"/>
      <c r="AZ125" s="384"/>
    </row>
    <row r="126" spans="1:53" ht="20" customHeight="1" thickBot="1" x14ac:dyDescent="0.3">
      <c r="E126" s="388"/>
      <c r="F126" s="389"/>
      <c r="H126" s="374"/>
      <c r="I126" s="379"/>
      <c r="J126" s="380"/>
      <c r="K126" s="393" t="s">
        <v>162</v>
      </c>
      <c r="L126" s="394"/>
      <c r="M126" s="394"/>
      <c r="N126" s="394"/>
      <c r="O126" s="394"/>
      <c r="P126" s="394"/>
      <c r="Q126" s="394"/>
      <c r="R126" s="394"/>
      <c r="S126" s="394"/>
      <c r="T126" s="394"/>
      <c r="U126" s="394"/>
      <c r="V126" s="394"/>
      <c r="W126" s="394"/>
      <c r="X126" s="394"/>
      <c r="Y126" s="394"/>
      <c r="Z126" s="394"/>
      <c r="AA126" s="394"/>
      <c r="AB126" s="394"/>
      <c r="AC126" s="394"/>
      <c r="AD126" s="394"/>
      <c r="AE126" s="394"/>
      <c r="AF126" s="394"/>
      <c r="AG126" s="394"/>
      <c r="AH126" s="394"/>
      <c r="AI126" s="394"/>
      <c r="AJ126" s="394"/>
      <c r="AK126" s="394"/>
      <c r="AL126" s="394"/>
      <c r="AM126" s="394"/>
      <c r="AN126" s="394"/>
      <c r="AO126" s="394"/>
      <c r="AP126" s="394"/>
      <c r="AQ126" s="394"/>
      <c r="AR126" s="394"/>
      <c r="AS126" s="394"/>
      <c r="AT126" s="394"/>
      <c r="AU126" s="394"/>
      <c r="AV126" s="394"/>
      <c r="AW126" s="394"/>
      <c r="AX126" s="394"/>
      <c r="AY126" s="394"/>
      <c r="AZ126" s="395"/>
    </row>
    <row r="127" spans="1:53" x14ac:dyDescent="0.2">
      <c r="H127" s="155" t="s">
        <v>461</v>
      </c>
    </row>
    <row r="128" spans="1:53" x14ac:dyDescent="0.2">
      <c r="H128" s="156"/>
    </row>
  </sheetData>
  <mergeCells count="139">
    <mergeCell ref="K2:AZ2"/>
    <mergeCell ref="D3:D4"/>
    <mergeCell ref="AG3:AH5"/>
    <mergeCell ref="AM3:AN5"/>
    <mergeCell ref="AS3:AT5"/>
    <mergeCell ref="AO3:AP5"/>
    <mergeCell ref="AY3:AZ5"/>
    <mergeCell ref="S3:T5"/>
    <mergeCell ref="K3:L5"/>
    <mergeCell ref="W3:X5"/>
    <mergeCell ref="AY6:AY10"/>
    <mergeCell ref="AZ6:AZ10"/>
    <mergeCell ref="AE3:AF5"/>
    <mergeCell ref="D5:D7"/>
    <mergeCell ref="G6:G10"/>
    <mergeCell ref="H6:H10"/>
    <mergeCell ref="I6:I10"/>
    <mergeCell ref="J6:J10"/>
    <mergeCell ref="AG6:AG10"/>
    <mergeCell ref="AH6:AH10"/>
    <mergeCell ref="AM6:AM10"/>
    <mergeCell ref="AN6:AN10"/>
    <mergeCell ref="AI3:AJ5"/>
    <mergeCell ref="AA3:AB5"/>
    <mergeCell ref="Q3:R5"/>
    <mergeCell ref="M3:N5"/>
    <mergeCell ref="AC3:AD5"/>
    <mergeCell ref="U3:V5"/>
    <mergeCell ref="AQ3:AR5"/>
    <mergeCell ref="AU3:AV5"/>
    <mergeCell ref="O3:P5"/>
    <mergeCell ref="Y3:Z5"/>
    <mergeCell ref="AW3:AX5"/>
    <mergeCell ref="AK3:AL5"/>
    <mergeCell ref="K6:K10"/>
    <mergeCell ref="L6:L10"/>
    <mergeCell ref="W6:W10"/>
    <mergeCell ref="X6:X10"/>
    <mergeCell ref="AS6:AS10"/>
    <mergeCell ref="AO6:AO10"/>
    <mergeCell ref="AP6:AP10"/>
    <mergeCell ref="Y6:Y10"/>
    <mergeCell ref="Z6:Z10"/>
    <mergeCell ref="AX6:AX10"/>
    <mergeCell ref="AK6:AK10"/>
    <mergeCell ref="AL6:AL10"/>
    <mergeCell ref="AQ6:AQ10"/>
    <mergeCell ref="AR6:AR10"/>
    <mergeCell ref="AU6:AU10"/>
    <mergeCell ref="AV6:AV10"/>
    <mergeCell ref="AT6:AT10"/>
    <mergeCell ref="O6:O10"/>
    <mergeCell ref="P6:P10"/>
    <mergeCell ref="S6:S10"/>
    <mergeCell ref="T6:T10"/>
    <mergeCell ref="AZ118:AZ122"/>
    <mergeCell ref="AE6:AE10"/>
    <mergeCell ref="AF6:AF10"/>
    <mergeCell ref="A7:A10"/>
    <mergeCell ref="B7:B10"/>
    <mergeCell ref="H118:H126"/>
    <mergeCell ref="I118:J126"/>
    <mergeCell ref="AG118:AG122"/>
    <mergeCell ref="AH118:AH122"/>
    <mergeCell ref="AM118:AM122"/>
    <mergeCell ref="AN118:AN122"/>
    <mergeCell ref="M6:M10"/>
    <mergeCell ref="N6:N10"/>
    <mergeCell ref="AC6:AC10"/>
    <mergeCell ref="AD6:AD10"/>
    <mergeCell ref="U6:U10"/>
    <mergeCell ref="V6:V10"/>
    <mergeCell ref="AI6:AI10"/>
    <mergeCell ref="AJ6:AJ10"/>
    <mergeCell ref="AA6:AA10"/>
    <mergeCell ref="AB6:AB10"/>
    <mergeCell ref="Q6:Q10"/>
    <mergeCell ref="R6:R10"/>
    <mergeCell ref="AW6:AW10"/>
    <mergeCell ref="K118:K122"/>
    <mergeCell ref="L118:L122"/>
    <mergeCell ref="W118:W122"/>
    <mergeCell ref="X118:X122"/>
    <mergeCell ref="AS118:AS122"/>
    <mergeCell ref="AT118:AT122"/>
    <mergeCell ref="AO118:AO122"/>
    <mergeCell ref="AP118:AP122"/>
    <mergeCell ref="AY118:AY122"/>
    <mergeCell ref="AW118:AW122"/>
    <mergeCell ref="AX118:AX122"/>
    <mergeCell ref="AK118:AK122"/>
    <mergeCell ref="AL118:AL122"/>
    <mergeCell ref="AQ118:AQ122"/>
    <mergeCell ref="AR118:AR122"/>
    <mergeCell ref="AU118:AU122"/>
    <mergeCell ref="AV118:AV122"/>
    <mergeCell ref="O118:O122"/>
    <mergeCell ref="P118:P122"/>
    <mergeCell ref="AE118:AE122"/>
    <mergeCell ref="AF118:AF122"/>
    <mergeCell ref="S118:S122"/>
    <mergeCell ref="T118:T122"/>
    <mergeCell ref="E121:F126"/>
    <mergeCell ref="AG123:AH125"/>
    <mergeCell ref="AM123:AN125"/>
    <mergeCell ref="AS123:AT125"/>
    <mergeCell ref="AO123:AP125"/>
    <mergeCell ref="AY123:AZ125"/>
    <mergeCell ref="S123:T125"/>
    <mergeCell ref="K123:L125"/>
    <mergeCell ref="M118:M122"/>
    <mergeCell ref="N118:N122"/>
    <mergeCell ref="AC118:AC122"/>
    <mergeCell ref="AD118:AD122"/>
    <mergeCell ref="U118:U122"/>
    <mergeCell ref="V118:V122"/>
    <mergeCell ref="AI118:AI122"/>
    <mergeCell ref="AJ118:AJ122"/>
    <mergeCell ref="AA118:AA122"/>
    <mergeCell ref="AB118:AB122"/>
    <mergeCell ref="Q118:Q122"/>
    <mergeCell ref="R118:R122"/>
    <mergeCell ref="Y118:Y122"/>
    <mergeCell ref="Z118:Z122"/>
    <mergeCell ref="U123:V125"/>
    <mergeCell ref="AE123:AF125"/>
    <mergeCell ref="K126:AZ126"/>
    <mergeCell ref="AK123:AL125"/>
    <mergeCell ref="AI123:AJ125"/>
    <mergeCell ref="AA123:AB125"/>
    <mergeCell ref="Q123:R125"/>
    <mergeCell ref="M123:N125"/>
    <mergeCell ref="AC123:AD125"/>
    <mergeCell ref="W123:X125"/>
    <mergeCell ref="AQ123:AR125"/>
    <mergeCell ref="AU123:AV125"/>
    <mergeCell ref="O123:P125"/>
    <mergeCell ref="Y123:Z125"/>
    <mergeCell ref="AW123:AX125"/>
  </mergeCells>
  <pageMargins left="0.7" right="0.7" top="0.75" bottom="0.75" header="0.3" footer="0.3"/>
  <ignoredErrors>
    <ignoredError sqref="I14:I19 I20:I25 I41:I57 I40:J40 I59:I113 I26:I39" numberStoredAsText="1"/>
    <ignoredError sqref="L116:AZ117"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221"/>
  <sheetViews>
    <sheetView showRuler="0"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6.83203125" style="23" customWidth="1"/>
    <col min="54" max="16384" width="10.83203125" style="23"/>
  </cols>
  <sheetData>
    <row r="1" spans="1:53" ht="17" thickBot="1" x14ac:dyDescent="0.25"/>
    <row r="2" spans="1:53" ht="20" thickBot="1" x14ac:dyDescent="0.3">
      <c r="A2" s="103"/>
      <c r="K2" s="390" t="s">
        <v>395</v>
      </c>
      <c r="L2" s="391"/>
      <c r="M2" s="391"/>
      <c r="N2" s="391"/>
      <c r="O2" s="391"/>
      <c r="P2" s="391"/>
      <c r="Q2" s="391"/>
      <c r="R2" s="391"/>
      <c r="S2" s="391"/>
      <c r="T2" s="391"/>
      <c r="U2" s="391"/>
      <c r="V2" s="391"/>
      <c r="W2" s="391"/>
      <c r="X2" s="391"/>
      <c r="Y2" s="391"/>
      <c r="Z2" s="391"/>
      <c r="AA2" s="391"/>
      <c r="AB2" s="391"/>
      <c r="AC2" s="391"/>
      <c r="AD2" s="392"/>
      <c r="AE2" s="23"/>
      <c r="AF2" s="23"/>
      <c r="AG2" s="23"/>
      <c r="AH2" s="23"/>
      <c r="AI2" s="23"/>
      <c r="AJ2" s="23"/>
      <c r="AK2" s="23"/>
      <c r="AL2" s="23"/>
      <c r="AM2" s="23"/>
      <c r="AN2" s="23"/>
      <c r="AO2" s="23"/>
      <c r="AP2" s="23"/>
      <c r="AQ2" s="23"/>
      <c r="AR2" s="23"/>
      <c r="AS2" s="23"/>
      <c r="AT2" s="23"/>
      <c r="AU2" s="23"/>
      <c r="AV2" s="23"/>
      <c r="AW2" s="23"/>
      <c r="AX2" s="23"/>
      <c r="AY2" s="23"/>
      <c r="AZ2" s="23"/>
    </row>
    <row r="3" spans="1:53" ht="16" customHeight="1" x14ac:dyDescent="0.2">
      <c r="D3" s="334" t="s">
        <v>396</v>
      </c>
      <c r="K3" s="362" t="s">
        <v>237</v>
      </c>
      <c r="L3" s="357"/>
      <c r="M3" s="356" t="s">
        <v>160</v>
      </c>
      <c r="N3" s="357"/>
      <c r="O3" s="362" t="s">
        <v>239</v>
      </c>
      <c r="P3" s="357"/>
      <c r="Q3" s="356" t="s">
        <v>172</v>
      </c>
      <c r="R3" s="357"/>
      <c r="S3" s="356" t="s">
        <v>164</v>
      </c>
      <c r="T3" s="357"/>
      <c r="U3" s="404" t="s">
        <v>208</v>
      </c>
      <c r="V3" s="357"/>
      <c r="W3" s="356" t="s">
        <v>173</v>
      </c>
      <c r="X3" s="357"/>
      <c r="Y3" s="356" t="s">
        <v>171</v>
      </c>
      <c r="Z3" s="357"/>
      <c r="AA3" s="356" t="s">
        <v>174</v>
      </c>
      <c r="AB3" s="357"/>
      <c r="AC3" s="356" t="s">
        <v>161</v>
      </c>
      <c r="AD3" s="357"/>
      <c r="AE3" s="23"/>
      <c r="AF3" s="23"/>
      <c r="AG3" s="23"/>
      <c r="AH3" s="23"/>
      <c r="AI3" s="23"/>
      <c r="AJ3" s="23"/>
      <c r="AK3" s="23"/>
      <c r="AL3" s="23"/>
      <c r="AM3" s="23"/>
      <c r="AN3" s="23"/>
      <c r="AO3" s="23"/>
      <c r="AP3" s="23"/>
      <c r="AQ3" s="23"/>
      <c r="AR3" s="23"/>
      <c r="AS3" s="23"/>
      <c r="AT3" s="23"/>
      <c r="AU3" s="23"/>
      <c r="AV3" s="23"/>
      <c r="AW3" s="23"/>
      <c r="AX3" s="23"/>
      <c r="AY3" s="23"/>
      <c r="AZ3" s="23"/>
    </row>
    <row r="4" spans="1:53" ht="20" customHeight="1" x14ac:dyDescent="0.2">
      <c r="B4" s="84"/>
      <c r="D4" s="335"/>
      <c r="K4" s="358"/>
      <c r="L4" s="359"/>
      <c r="M4" s="358"/>
      <c r="N4" s="359"/>
      <c r="O4" s="358"/>
      <c r="P4" s="359"/>
      <c r="Q4" s="358"/>
      <c r="R4" s="359"/>
      <c r="S4" s="358"/>
      <c r="T4" s="359"/>
      <c r="U4" s="402"/>
      <c r="V4" s="359"/>
      <c r="W4" s="358"/>
      <c r="X4" s="359"/>
      <c r="Y4" s="358"/>
      <c r="Z4" s="359"/>
      <c r="AA4" s="358"/>
      <c r="AB4" s="359"/>
      <c r="AC4" s="358"/>
      <c r="AD4" s="359"/>
      <c r="AE4" s="23"/>
      <c r="AF4" s="23"/>
      <c r="AG4" s="23"/>
      <c r="AH4" s="23"/>
      <c r="AI4" s="23"/>
      <c r="AJ4" s="23"/>
      <c r="AK4" s="23"/>
      <c r="AL4" s="23"/>
      <c r="AM4" s="23"/>
      <c r="AN4" s="23"/>
      <c r="AO4" s="23"/>
      <c r="AP4" s="23"/>
      <c r="AQ4" s="23"/>
      <c r="AR4" s="23"/>
      <c r="AS4" s="23"/>
      <c r="AT4" s="23"/>
      <c r="AU4" s="23"/>
      <c r="AV4" s="23"/>
      <c r="AW4" s="23"/>
      <c r="AX4" s="23"/>
      <c r="AY4" s="23"/>
      <c r="AZ4" s="23"/>
    </row>
    <row r="5" spans="1:53" ht="20" customHeight="1" thickBot="1" x14ac:dyDescent="0.25">
      <c r="A5" s="61"/>
      <c r="B5" s="83"/>
      <c r="D5" s="332" t="s">
        <v>245</v>
      </c>
      <c r="I5" s="24"/>
      <c r="J5" s="24"/>
      <c r="K5" s="360"/>
      <c r="L5" s="361"/>
      <c r="M5" s="360"/>
      <c r="N5" s="361"/>
      <c r="O5" s="360"/>
      <c r="P5" s="361"/>
      <c r="Q5" s="360"/>
      <c r="R5" s="361"/>
      <c r="S5" s="360"/>
      <c r="T5" s="361"/>
      <c r="U5" s="405"/>
      <c r="V5" s="361"/>
      <c r="W5" s="360"/>
      <c r="X5" s="361"/>
      <c r="Y5" s="360"/>
      <c r="Z5" s="361"/>
      <c r="AA5" s="360"/>
      <c r="AB5" s="361"/>
      <c r="AC5" s="360"/>
      <c r="AD5" s="361"/>
      <c r="AE5" s="23"/>
      <c r="AF5" s="23"/>
      <c r="AG5" s="23"/>
      <c r="AH5" s="23"/>
      <c r="AI5" s="23"/>
      <c r="AJ5" s="23"/>
      <c r="AK5" s="23"/>
      <c r="AL5" s="23"/>
      <c r="AM5" s="23"/>
      <c r="AN5" s="23"/>
      <c r="AO5" s="23"/>
      <c r="AP5" s="23"/>
      <c r="AQ5" s="23"/>
      <c r="AR5" s="23"/>
      <c r="AS5" s="23"/>
      <c r="AT5" s="23"/>
      <c r="AU5" s="23"/>
      <c r="AV5" s="23"/>
      <c r="AW5" s="23"/>
      <c r="AX5" s="23"/>
      <c r="AY5" s="23"/>
      <c r="AZ5" s="23"/>
    </row>
    <row r="6" spans="1:53" ht="20" customHeight="1" x14ac:dyDescent="0.2">
      <c r="A6" s="60"/>
      <c r="B6" s="82"/>
      <c r="D6" s="332"/>
      <c r="G6" s="328" t="s">
        <v>24</v>
      </c>
      <c r="H6" s="339" t="s">
        <v>327</v>
      </c>
      <c r="I6" s="342" t="s">
        <v>325</v>
      </c>
      <c r="J6" s="345" t="s">
        <v>326</v>
      </c>
      <c r="K6" s="363" t="s">
        <v>240</v>
      </c>
      <c r="L6" s="364" t="s">
        <v>241</v>
      </c>
      <c r="M6" s="336" t="s">
        <v>240</v>
      </c>
      <c r="N6" s="364" t="s">
        <v>241</v>
      </c>
      <c r="O6" s="336" t="s">
        <v>240</v>
      </c>
      <c r="P6" s="364" t="s">
        <v>241</v>
      </c>
      <c r="Q6" s="336" t="s">
        <v>240</v>
      </c>
      <c r="R6" s="364" t="s">
        <v>241</v>
      </c>
      <c r="S6" s="336" t="s">
        <v>240</v>
      </c>
      <c r="T6" s="364" t="s">
        <v>241</v>
      </c>
      <c r="U6" s="366" t="s">
        <v>240</v>
      </c>
      <c r="V6" s="364" t="s">
        <v>241</v>
      </c>
      <c r="W6" s="369" t="s">
        <v>240</v>
      </c>
      <c r="X6" s="406" t="s">
        <v>241</v>
      </c>
      <c r="Y6" s="336" t="s">
        <v>240</v>
      </c>
      <c r="Z6" s="364" t="s">
        <v>241</v>
      </c>
      <c r="AA6" s="336" t="s">
        <v>240</v>
      </c>
      <c r="AB6" s="364" t="s">
        <v>241</v>
      </c>
      <c r="AC6" s="348" t="s">
        <v>240</v>
      </c>
      <c r="AD6" s="364" t="s">
        <v>241</v>
      </c>
      <c r="AE6" s="23"/>
      <c r="AF6" s="23"/>
      <c r="AG6" s="23"/>
      <c r="AH6" s="23"/>
      <c r="AI6" s="23"/>
      <c r="AJ6" s="23"/>
      <c r="AK6" s="23"/>
      <c r="AL6" s="23"/>
      <c r="AM6" s="23"/>
      <c r="AN6" s="23"/>
      <c r="AO6" s="23"/>
      <c r="AP6" s="23"/>
      <c r="AQ6" s="23"/>
      <c r="AR6" s="23"/>
      <c r="AS6" s="23"/>
      <c r="AT6" s="23"/>
      <c r="AU6" s="23"/>
      <c r="AV6" s="23"/>
      <c r="AW6" s="23"/>
      <c r="AX6" s="23"/>
      <c r="AY6" s="23"/>
      <c r="AZ6" s="23"/>
    </row>
    <row r="7" spans="1:53" ht="23" customHeight="1" thickBot="1" x14ac:dyDescent="0.25">
      <c r="A7" s="328" t="s">
        <v>248</v>
      </c>
      <c r="B7" s="330" t="s">
        <v>487</v>
      </c>
      <c r="D7" s="333"/>
      <c r="G7" s="328"/>
      <c r="H7" s="340"/>
      <c r="I7" s="343"/>
      <c r="J7" s="346"/>
      <c r="K7" s="363"/>
      <c r="L7" s="364"/>
      <c r="M7" s="336"/>
      <c r="N7" s="364"/>
      <c r="O7" s="336"/>
      <c r="P7" s="364"/>
      <c r="Q7" s="336"/>
      <c r="R7" s="364"/>
      <c r="S7" s="336"/>
      <c r="T7" s="364"/>
      <c r="U7" s="366"/>
      <c r="V7" s="364"/>
      <c r="W7" s="370"/>
      <c r="X7" s="407"/>
      <c r="Y7" s="336"/>
      <c r="Z7" s="364"/>
      <c r="AA7" s="336"/>
      <c r="AB7" s="364"/>
      <c r="AC7" s="349"/>
      <c r="AD7" s="364"/>
      <c r="AE7" s="23"/>
      <c r="AF7" s="23"/>
      <c r="AG7" s="23"/>
      <c r="AH7" s="23"/>
      <c r="AI7" s="23"/>
      <c r="AJ7" s="23"/>
      <c r="AK7" s="23"/>
      <c r="AL7" s="23"/>
      <c r="AM7" s="23"/>
      <c r="AN7" s="23"/>
      <c r="AO7" s="23"/>
      <c r="AP7" s="23"/>
      <c r="AQ7" s="23"/>
      <c r="AR7" s="23"/>
      <c r="AS7" s="23"/>
      <c r="AT7" s="23"/>
      <c r="AU7" s="23"/>
      <c r="AV7" s="23"/>
      <c r="AW7" s="23"/>
      <c r="AX7" s="23"/>
      <c r="AY7" s="23"/>
      <c r="AZ7" s="23"/>
    </row>
    <row r="8" spans="1:53" ht="23" customHeight="1" x14ac:dyDescent="0.2">
      <c r="A8" s="328"/>
      <c r="B8" s="330"/>
      <c r="G8" s="328"/>
      <c r="H8" s="340"/>
      <c r="I8" s="343"/>
      <c r="J8" s="346"/>
      <c r="K8" s="363"/>
      <c r="L8" s="364"/>
      <c r="M8" s="336"/>
      <c r="N8" s="364"/>
      <c r="O8" s="336"/>
      <c r="P8" s="364"/>
      <c r="Q8" s="336"/>
      <c r="R8" s="364"/>
      <c r="S8" s="336"/>
      <c r="T8" s="364"/>
      <c r="U8" s="366"/>
      <c r="V8" s="364"/>
      <c r="W8" s="370"/>
      <c r="X8" s="407"/>
      <c r="Y8" s="336"/>
      <c r="Z8" s="364"/>
      <c r="AA8" s="336"/>
      <c r="AB8" s="364"/>
      <c r="AC8" s="349"/>
      <c r="AD8" s="364"/>
      <c r="AE8" s="23"/>
      <c r="AF8" s="23"/>
      <c r="AG8" s="23"/>
      <c r="AH8" s="23"/>
      <c r="AI8" s="23"/>
      <c r="AJ8" s="23"/>
      <c r="AK8" s="23"/>
      <c r="AL8" s="23"/>
      <c r="AM8" s="23"/>
      <c r="AN8" s="23"/>
      <c r="AO8" s="23"/>
      <c r="AP8" s="23"/>
      <c r="AQ8" s="23"/>
      <c r="AR8" s="23"/>
      <c r="AS8" s="23"/>
      <c r="AT8" s="23"/>
      <c r="AU8" s="23"/>
      <c r="AV8" s="23"/>
      <c r="AW8" s="23"/>
      <c r="AX8" s="23"/>
      <c r="AY8" s="23"/>
      <c r="AZ8" s="23"/>
    </row>
    <row r="9" spans="1:53" ht="23" customHeight="1" x14ac:dyDescent="0.2">
      <c r="A9" s="328"/>
      <c r="B9" s="330"/>
      <c r="G9" s="328"/>
      <c r="H9" s="340"/>
      <c r="I9" s="343"/>
      <c r="J9" s="346"/>
      <c r="K9" s="363"/>
      <c r="L9" s="364"/>
      <c r="M9" s="336"/>
      <c r="N9" s="364"/>
      <c r="O9" s="336"/>
      <c r="P9" s="364"/>
      <c r="Q9" s="336"/>
      <c r="R9" s="364"/>
      <c r="S9" s="336"/>
      <c r="T9" s="364"/>
      <c r="U9" s="366"/>
      <c r="V9" s="364"/>
      <c r="W9" s="370"/>
      <c r="X9" s="407"/>
      <c r="Y9" s="336"/>
      <c r="Z9" s="364"/>
      <c r="AA9" s="336"/>
      <c r="AB9" s="364"/>
      <c r="AC9" s="349"/>
      <c r="AD9" s="364"/>
      <c r="AE9" s="23"/>
      <c r="AF9" s="23"/>
      <c r="AG9" s="23"/>
      <c r="AH9" s="23"/>
      <c r="AI9" s="23"/>
      <c r="AJ9" s="23"/>
      <c r="AK9" s="23"/>
      <c r="AL9" s="23"/>
      <c r="AM9" s="23"/>
      <c r="AN9" s="23"/>
      <c r="AO9" s="23"/>
      <c r="AP9" s="23"/>
      <c r="AQ9" s="23"/>
      <c r="AR9" s="23"/>
      <c r="AS9" s="23"/>
      <c r="AT9" s="23"/>
      <c r="AU9" s="23"/>
      <c r="AV9" s="23"/>
      <c r="AW9" s="23"/>
      <c r="AX9" s="23"/>
      <c r="AY9" s="23"/>
      <c r="AZ9" s="23"/>
    </row>
    <row r="10" spans="1:53" s="22" customFormat="1" ht="23" customHeight="1" thickBot="1" x14ac:dyDescent="0.25">
      <c r="A10" s="329"/>
      <c r="B10" s="331"/>
      <c r="C10" s="21" t="s">
        <v>20</v>
      </c>
      <c r="D10" s="20" t="s">
        <v>21</v>
      </c>
      <c r="E10" s="20" t="s">
        <v>22</v>
      </c>
      <c r="F10" s="21" t="s">
        <v>23</v>
      </c>
      <c r="G10" s="338"/>
      <c r="H10" s="341"/>
      <c r="I10" s="344"/>
      <c r="J10" s="347"/>
      <c r="K10" s="368"/>
      <c r="L10" s="365"/>
      <c r="M10" s="337"/>
      <c r="N10" s="365"/>
      <c r="O10" s="337"/>
      <c r="P10" s="365"/>
      <c r="Q10" s="337"/>
      <c r="R10" s="365"/>
      <c r="S10" s="337"/>
      <c r="T10" s="365"/>
      <c r="U10" s="367"/>
      <c r="V10" s="365"/>
      <c r="W10" s="371"/>
      <c r="X10" s="408"/>
      <c r="Y10" s="337"/>
      <c r="Z10" s="365"/>
      <c r="AA10" s="337"/>
      <c r="AB10" s="365"/>
      <c r="AC10" s="350"/>
      <c r="AD10" s="365"/>
      <c r="AE10" s="91" t="s">
        <v>25</v>
      </c>
      <c r="AF10" s="92"/>
      <c r="AG10" s="92"/>
      <c r="AH10" s="92"/>
      <c r="AI10" s="92"/>
      <c r="AJ10" s="92"/>
      <c r="AK10" s="92"/>
      <c r="AL10" s="92"/>
      <c r="AM10" s="92"/>
      <c r="AN10" s="92"/>
      <c r="AO10" s="92"/>
      <c r="AP10" s="92"/>
      <c r="AQ10" s="92"/>
      <c r="AR10" s="92"/>
      <c r="AS10" s="92"/>
      <c r="AT10" s="92"/>
      <c r="AU10" s="92"/>
      <c r="AV10" s="92"/>
      <c r="AW10" s="92"/>
      <c r="AX10" s="92"/>
      <c r="AY10" s="92"/>
      <c r="AZ10" s="92"/>
      <c r="BA10" s="92"/>
    </row>
    <row r="11" spans="1:53" s="22" customFormat="1" ht="20" customHeight="1" x14ac:dyDescent="0.2">
      <c r="A11" s="60"/>
      <c r="B11" s="84"/>
      <c r="C11" s="63" t="s">
        <v>85</v>
      </c>
      <c r="D11" s="62" t="s">
        <v>249</v>
      </c>
      <c r="E11" s="62" t="s">
        <v>250</v>
      </c>
      <c r="F11" s="63">
        <v>2015</v>
      </c>
      <c r="G11" s="63"/>
      <c r="H11" s="114">
        <v>40</v>
      </c>
      <c r="I11" s="109" t="s">
        <v>328</v>
      </c>
      <c r="J11" s="110" t="s">
        <v>329</v>
      </c>
      <c r="K11" s="71"/>
      <c r="L11" s="77" t="str">
        <f t="shared" ref="L11:L41" si="0">IF((ISERROR((K11/$H11)*100)), "", IF(AND(NOT(ISERROR((K11/$H11)*100)),((K11/$H11)*100) &lt;&gt; 0), (K11/$H11)*100, ""))</f>
        <v/>
      </c>
      <c r="M11" s="70"/>
      <c r="N11" s="77" t="str">
        <f t="shared" ref="N11:N41" si="1">IF((ISERROR((M11/$H11)*100)), "", IF(AND(NOT(ISERROR((M11/$H11)*100)),((M11/$H11)*100) &lt;&gt; 0), (M11/$H11)*100, ""))</f>
        <v/>
      </c>
      <c r="O11" s="70"/>
      <c r="P11" s="77" t="str">
        <f t="shared" ref="P11:P41" si="2">IF((ISERROR((O11/$H11)*100)), "", IF(AND(NOT(ISERROR((O11/$H11)*100)),((O11/$H11)*100) &lt;&gt; 0), (O11/$H11)*100, ""))</f>
        <v/>
      </c>
      <c r="Q11" s="70"/>
      <c r="R11" s="77" t="str">
        <f t="shared" ref="R11:R41" si="3">IF((ISERROR((Q11/$H11)*100)), "", IF(AND(NOT(ISERROR((Q11/$H11)*100)),((Q11/$H11)*100) &lt;&gt; 0), (Q11/$H11)*100, ""))</f>
        <v/>
      </c>
      <c r="S11" s="70"/>
      <c r="T11" s="77" t="str">
        <f t="shared" ref="T11:T41" si="4">IF((ISERROR((S11/$H11)*100)), "", IF(AND(NOT(ISERROR((S11/$H11)*100)),((S11/$H11)*100) &lt;&gt; 0), (S11/$H11)*100, ""))</f>
        <v/>
      </c>
      <c r="U11" s="72"/>
      <c r="V11" s="78" t="str">
        <f t="shared" ref="V11:V41" si="5">IF((ISERROR((U11/$H11)*100)), "", IF(AND(NOT(ISERROR((U11/$H11)*100)),((U11/$H11)*100) &lt;&gt; 0), (U11/$H11)*100, ""))</f>
        <v/>
      </c>
      <c r="W11" s="71"/>
      <c r="X11" s="77" t="str">
        <f>IF((ISERROR((W11/$H11)*100)), "", IF(AND(NOT(ISERROR((W11/$H11)*100)),((W11/$H11)*100) &lt;&gt; 0), (W11/$H11)*100, ""))</f>
        <v/>
      </c>
      <c r="Y11" s="70"/>
      <c r="Z11" s="77" t="str">
        <f>IF((ISERROR((Y11/$H11)*100)), "", IF(AND(NOT(ISERROR((Y11/$H11)*100)),((Y11/$H11)*100) &lt;&gt; 0), (Y11/$H11)*100, ""))</f>
        <v/>
      </c>
      <c r="AA11" s="70"/>
      <c r="AB11" s="77" t="str">
        <f>IF((ISERROR((AA11/$H11)*100)), "", IF(AND(NOT(ISERROR((AA11/$H11)*100)),((AA11/$H11)*100) &lt;&gt; 0), (AA11/$H11)*100, ""))</f>
        <v/>
      </c>
      <c r="AC11" s="70"/>
      <c r="AD11" s="77" t="str">
        <f>IF((ISERROR((AC11/$H11)*100)), "", IF(AND(NOT(ISERROR((AC11/$H11)*100)),((AC11/$H11)*100) &lt;&gt; 0), (AC11/$H11)*100, ""))</f>
        <v/>
      </c>
      <c r="AE11" s="62" t="s">
        <v>330</v>
      </c>
    </row>
    <row r="12" spans="1:53" ht="20" customHeight="1" x14ac:dyDescent="0.2">
      <c r="A12" s="61"/>
      <c r="B12" s="82"/>
      <c r="C12" s="24" t="s">
        <v>85</v>
      </c>
      <c r="D12" s="23" t="s">
        <v>26</v>
      </c>
      <c r="E12" s="23" t="s">
        <v>27</v>
      </c>
      <c r="F12" s="24">
        <v>2008</v>
      </c>
      <c r="G12" s="24">
        <v>165</v>
      </c>
      <c r="H12" s="114">
        <v>107</v>
      </c>
      <c r="I12" s="109" t="s">
        <v>166</v>
      </c>
      <c r="J12" s="110"/>
      <c r="K12" s="65"/>
      <c r="L12" s="66" t="str">
        <f t="shared" si="0"/>
        <v/>
      </c>
      <c r="M12" s="67"/>
      <c r="N12" s="68" t="str">
        <f t="shared" si="1"/>
        <v/>
      </c>
      <c r="O12" s="67"/>
      <c r="P12" s="68" t="str">
        <f t="shared" si="2"/>
        <v/>
      </c>
      <c r="Q12" s="67"/>
      <c r="R12" s="68" t="str">
        <f t="shared" si="3"/>
        <v/>
      </c>
      <c r="S12" s="65"/>
      <c r="T12" s="66" t="str">
        <f t="shared" si="4"/>
        <v/>
      </c>
      <c r="U12" s="69"/>
      <c r="V12" s="36" t="str">
        <f t="shared" si="5"/>
        <v/>
      </c>
      <c r="W12" s="65"/>
      <c r="X12" s="66" t="str">
        <f t="shared" ref="X12" si="6">IF((ISERROR((W12/$H12)*100)), "", IF(AND(NOT(ISERROR((W12/$H12)*100)),((W12/$H12)*100) &lt;&gt; 0), (W12/$H12)*100, ""))</f>
        <v/>
      </c>
      <c r="Y12" s="67"/>
      <c r="Z12" s="68" t="str">
        <f t="shared" ref="Z12" si="7">IF((ISERROR((Y12/$H12)*100)), "", IF(AND(NOT(ISERROR((Y12/$H12)*100)),((Y12/$H12)*100) &lt;&gt; 0), (Y12/$H12)*100, ""))</f>
        <v/>
      </c>
      <c r="AA12" s="67"/>
      <c r="AB12" s="68" t="str">
        <f t="shared" ref="AB12" si="8">IF((ISERROR((AA12/$H12)*100)), "", IF(AND(NOT(ISERROR((AA12/$H12)*100)),((AA12/$H12)*100) &lt;&gt; 0), (AA12/$H12)*100, ""))</f>
        <v/>
      </c>
      <c r="AC12" s="67"/>
      <c r="AD12" s="68" t="str">
        <f t="shared" ref="AD12" si="9">IF((ISERROR((AC12/$H12)*100)), "", IF(AND(NOT(ISERROR((AC12/$H12)*100)),((AC12/$H12)*100) &lt;&gt; 0), (AC12/$H12)*100, ""))</f>
        <v/>
      </c>
      <c r="AE12" s="23" t="s">
        <v>165</v>
      </c>
      <c r="AF12" s="23"/>
      <c r="AG12" s="23"/>
      <c r="AH12" s="23"/>
      <c r="AI12" s="23"/>
      <c r="AJ12" s="23"/>
      <c r="AK12" s="23"/>
      <c r="AL12" s="23"/>
      <c r="AM12" s="23"/>
      <c r="AN12" s="23"/>
      <c r="AO12" s="23"/>
      <c r="AP12" s="23"/>
      <c r="AQ12" s="23"/>
      <c r="AR12" s="23"/>
      <c r="AS12" s="23"/>
      <c r="AT12" s="23"/>
      <c r="AU12" s="23"/>
      <c r="AV12" s="23"/>
      <c r="AW12" s="23"/>
      <c r="AX12" s="23"/>
      <c r="AY12" s="23"/>
      <c r="AZ12" s="23"/>
    </row>
    <row r="13" spans="1:53" customFormat="1" ht="20" customHeight="1" x14ac:dyDescent="0.2">
      <c r="A13" s="61"/>
      <c r="B13" s="83"/>
      <c r="C13" s="24" t="s">
        <v>85</v>
      </c>
      <c r="D13" s="23" t="s">
        <v>251</v>
      </c>
      <c r="E13" s="23" t="s">
        <v>252</v>
      </c>
      <c r="F13" s="24">
        <v>2016</v>
      </c>
      <c r="H13" s="89">
        <v>12</v>
      </c>
      <c r="I13" s="85" t="s">
        <v>332</v>
      </c>
      <c r="J13" s="86"/>
      <c r="K13" s="33"/>
      <c r="L13" s="36" t="str">
        <f t="shared" si="0"/>
        <v/>
      </c>
      <c r="M13" s="33"/>
      <c r="N13" s="36" t="str">
        <f t="shared" si="1"/>
        <v/>
      </c>
      <c r="O13" s="33"/>
      <c r="P13" s="36" t="str">
        <f t="shared" si="2"/>
        <v/>
      </c>
      <c r="Q13" s="33"/>
      <c r="R13" s="36" t="str">
        <f t="shared" si="3"/>
        <v/>
      </c>
      <c r="S13" s="33"/>
      <c r="T13" s="36" t="str">
        <f t="shared" si="4"/>
        <v/>
      </c>
      <c r="U13" s="76"/>
      <c r="V13" s="36" t="str">
        <f t="shared" si="5"/>
        <v/>
      </c>
      <c r="W13" s="33"/>
      <c r="X13" s="36" t="str">
        <f>IF((ISERROR((W13/$H13)*100)), "", IF(AND(NOT(ISERROR((W13/$H13)*100)),((W13/$H13)*100) &lt;&gt; 0), (W13/$H13)*100, ""))</f>
        <v/>
      </c>
      <c r="Y13" s="33"/>
      <c r="Z13" s="36" t="str">
        <f>IF((ISERROR((Y13/$H13)*100)), "", IF(AND(NOT(ISERROR((Y13/$H13)*100)),((Y13/$H13)*100) &lt;&gt; 0), (Y13/$H13)*100, ""))</f>
        <v/>
      </c>
      <c r="AA13" s="33"/>
      <c r="AB13" s="36" t="str">
        <f>IF((ISERROR((AA13/$H13)*100)), "", IF(AND(NOT(ISERROR((AA13/$H13)*100)),((AA13/$H13)*100) &lt;&gt; 0), (AA13/$H13)*100, ""))</f>
        <v/>
      </c>
      <c r="AC13" s="33"/>
      <c r="AD13" s="36" t="str">
        <f>IF((ISERROR((AC13/$H13)*100)), "", IF(AND(NOT(ISERROR((AC13/$H13)*100)),((AC13/$H13)*100) &lt;&gt; 0), (AC13/$H13)*100, ""))</f>
        <v/>
      </c>
      <c r="AE13" s="23" t="s">
        <v>333</v>
      </c>
    </row>
    <row r="14" spans="1:53" ht="20" customHeight="1" x14ac:dyDescent="0.2">
      <c r="A14" s="61"/>
      <c r="B14" s="82"/>
      <c r="C14" s="24" t="s">
        <v>85</v>
      </c>
      <c r="D14" s="23" t="s">
        <v>33</v>
      </c>
      <c r="E14" s="23" t="s">
        <v>34</v>
      </c>
      <c r="F14" s="24">
        <v>2003</v>
      </c>
      <c r="G14" s="24">
        <v>291</v>
      </c>
      <c r="H14" s="89">
        <v>14</v>
      </c>
      <c r="I14" s="85" t="s">
        <v>167</v>
      </c>
      <c r="J14" s="86"/>
      <c r="K14" s="33"/>
      <c r="L14" s="36" t="str">
        <f t="shared" si="0"/>
        <v/>
      </c>
      <c r="M14" s="33"/>
      <c r="N14" s="36" t="str">
        <f t="shared" si="1"/>
        <v/>
      </c>
      <c r="O14" s="33"/>
      <c r="P14" s="36" t="str">
        <f t="shared" si="2"/>
        <v/>
      </c>
      <c r="Q14" s="33"/>
      <c r="R14" s="36" t="str">
        <f t="shared" si="3"/>
        <v/>
      </c>
      <c r="S14" s="33">
        <v>2</v>
      </c>
      <c r="T14" s="36">
        <f t="shared" si="4"/>
        <v>14.285714285714285</v>
      </c>
      <c r="U14" s="76"/>
      <c r="V14" s="36" t="str">
        <f t="shared" si="5"/>
        <v/>
      </c>
      <c r="W14" s="33"/>
      <c r="X14" s="36" t="str">
        <f t="shared" ref="X14" si="10">IF((ISERROR((W14/$H14)*100)), "", IF(AND(NOT(ISERROR((W14/$H14)*100)),((W14/$H14)*100) &lt;&gt; 0), (W14/$H14)*100, ""))</f>
        <v/>
      </c>
      <c r="Y14" s="33"/>
      <c r="Z14" s="36" t="str">
        <f t="shared" ref="Z14" si="11">IF((ISERROR((Y14/$H14)*100)), "", IF(AND(NOT(ISERROR((Y14/$H14)*100)),((Y14/$H14)*100) &lt;&gt; 0), (Y14/$H14)*100, ""))</f>
        <v/>
      </c>
      <c r="AA14" s="33"/>
      <c r="AB14" s="36" t="str">
        <f t="shared" ref="AB14" si="12">IF((ISERROR((AA14/$H14)*100)), "", IF(AND(NOT(ISERROR((AA14/$H14)*100)),((AA14/$H14)*100) &lt;&gt; 0), (AA14/$H14)*100, ""))</f>
        <v/>
      </c>
      <c r="AC14" s="33"/>
      <c r="AD14" s="36" t="str">
        <f t="shared" ref="AD14" si="13">IF((ISERROR((AC14/$H14)*100)), "", IF(AND(NOT(ISERROR((AC14/$H14)*100)),((AC14/$H14)*100) &lt;&gt; 0), (AC14/$H14)*100, ""))</f>
        <v/>
      </c>
      <c r="AE14" s="23" t="s">
        <v>334</v>
      </c>
      <c r="AF14" s="23"/>
      <c r="AG14" s="23"/>
      <c r="AH14" s="23"/>
      <c r="AI14" s="23"/>
      <c r="AJ14" s="23"/>
      <c r="AK14" s="23"/>
      <c r="AL14" s="23"/>
      <c r="AM14" s="23"/>
      <c r="AN14" s="23"/>
      <c r="AO14" s="23"/>
      <c r="AP14" s="23"/>
      <c r="AQ14" s="23"/>
      <c r="AR14" s="23"/>
      <c r="AS14" s="23"/>
      <c r="AT14" s="23"/>
      <c r="AU14" s="23"/>
      <c r="AV14" s="23"/>
      <c r="AW14" s="23"/>
      <c r="AX14" s="23"/>
      <c r="AY14" s="23"/>
      <c r="AZ14" s="23"/>
    </row>
    <row r="15" spans="1:53" ht="20" customHeight="1" x14ac:dyDescent="0.2">
      <c r="A15" s="60"/>
      <c r="B15" s="82"/>
      <c r="C15" s="24" t="s">
        <v>85</v>
      </c>
      <c r="D15" s="23" t="s">
        <v>253</v>
      </c>
      <c r="E15" s="23" t="s">
        <v>254</v>
      </c>
      <c r="F15" s="24">
        <v>2008</v>
      </c>
      <c r="H15" s="89">
        <v>13</v>
      </c>
      <c r="I15" s="85" t="s">
        <v>218</v>
      </c>
      <c r="J15" s="86" t="s">
        <v>335</v>
      </c>
      <c r="K15" s="33"/>
      <c r="L15" s="36" t="str">
        <f t="shared" si="0"/>
        <v/>
      </c>
      <c r="M15" s="33"/>
      <c r="N15" s="36" t="str">
        <f t="shared" si="1"/>
        <v/>
      </c>
      <c r="O15" s="33"/>
      <c r="P15" s="36" t="str">
        <f t="shared" si="2"/>
        <v/>
      </c>
      <c r="Q15" s="33"/>
      <c r="R15" s="36" t="str">
        <f t="shared" si="3"/>
        <v/>
      </c>
      <c r="S15" s="33"/>
      <c r="T15" s="36" t="str">
        <f t="shared" si="4"/>
        <v/>
      </c>
      <c r="U15" s="76"/>
      <c r="V15" s="36" t="str">
        <f t="shared" si="5"/>
        <v/>
      </c>
      <c r="W15" s="33"/>
      <c r="X15" s="36" t="str">
        <f>IF((ISERROR((W15/$H15)*100)), "", IF(AND(NOT(ISERROR((W15/$H15)*100)),((W15/$H15)*100) &lt;&gt; 0), (W15/$H15)*100, ""))</f>
        <v/>
      </c>
      <c r="Y15" s="33"/>
      <c r="Z15" s="36" t="str">
        <f>IF((ISERROR((Y15/$H15)*100)), "", IF(AND(NOT(ISERROR((Y15/$H15)*100)),((Y15/$H15)*100) &lt;&gt; 0), (Y15/$H15)*100, ""))</f>
        <v/>
      </c>
      <c r="AA15" s="33"/>
      <c r="AB15" s="36" t="str">
        <f>IF((ISERROR((AA15/$H15)*100)), "", IF(AND(NOT(ISERROR((AA15/$H15)*100)),((AA15/$H15)*100) &lt;&gt; 0), (AA15/$H15)*100, ""))</f>
        <v/>
      </c>
      <c r="AC15" s="33"/>
      <c r="AD15" s="36" t="str">
        <f>IF((ISERROR((AC15/$H15)*100)), "", IF(AND(NOT(ISERROR((AC15/$H15)*100)),((AC15/$H15)*100) &lt;&gt; 0), (AC15/$H15)*100, ""))</f>
        <v/>
      </c>
      <c r="AE15" s="23"/>
      <c r="AF15" s="23"/>
      <c r="AG15" s="23"/>
      <c r="AH15" s="23"/>
      <c r="AI15" s="23"/>
      <c r="AJ15" s="23"/>
      <c r="AK15" s="23"/>
      <c r="AL15" s="23"/>
      <c r="AM15" s="23"/>
      <c r="AN15" s="23"/>
      <c r="AO15" s="23"/>
      <c r="AP15" s="23"/>
      <c r="AQ15" s="23"/>
      <c r="AR15" s="23"/>
      <c r="AS15" s="23"/>
      <c r="AT15" s="23"/>
      <c r="AU15" s="23"/>
      <c r="AV15" s="23"/>
      <c r="AW15" s="23"/>
      <c r="AX15" s="23"/>
      <c r="AY15" s="23"/>
      <c r="AZ15" s="23"/>
    </row>
    <row r="16" spans="1:53" ht="20" customHeight="1" x14ac:dyDescent="0.2">
      <c r="A16" s="61"/>
      <c r="B16" s="82"/>
      <c r="C16" s="24" t="s">
        <v>85</v>
      </c>
      <c r="D16" s="23" t="s">
        <v>36</v>
      </c>
      <c r="E16" s="23" t="s">
        <v>37</v>
      </c>
      <c r="F16" s="24">
        <v>2008</v>
      </c>
      <c r="G16" s="24">
        <v>40</v>
      </c>
      <c r="H16" s="89">
        <v>29</v>
      </c>
      <c r="I16" s="85" t="s">
        <v>176</v>
      </c>
      <c r="J16" s="86" t="s">
        <v>169</v>
      </c>
      <c r="K16" s="33"/>
      <c r="L16" s="36" t="str">
        <f t="shared" si="0"/>
        <v/>
      </c>
      <c r="M16" s="33"/>
      <c r="N16" s="36" t="str">
        <f t="shared" si="1"/>
        <v/>
      </c>
      <c r="O16" s="33"/>
      <c r="P16" s="36" t="str">
        <f t="shared" si="2"/>
        <v/>
      </c>
      <c r="Q16" s="33"/>
      <c r="R16" s="36" t="str">
        <f t="shared" si="3"/>
        <v/>
      </c>
      <c r="S16" s="33"/>
      <c r="T16" s="36" t="str">
        <f t="shared" si="4"/>
        <v/>
      </c>
      <c r="U16" s="76">
        <v>5</v>
      </c>
      <c r="V16" s="36">
        <f t="shared" si="5"/>
        <v>17.241379310344829</v>
      </c>
      <c r="W16" s="33"/>
      <c r="X16" s="36" t="str">
        <f>IF((ISERROR((W16/$H16)*100)), "", IF(AND(NOT(ISERROR((W16/$H16)*100)),((W16/$H16)*100) &lt;&gt; 0), (W16/$H16)*100, ""))</f>
        <v/>
      </c>
      <c r="Y16" s="33"/>
      <c r="Z16" s="36" t="str">
        <f>IF((ISERROR((Y16/$H16)*100)), "", IF(AND(NOT(ISERROR((Y16/$H16)*100)),((Y16/$H16)*100) &lt;&gt; 0), (Y16/$H16)*100, ""))</f>
        <v/>
      </c>
      <c r="AA16" s="33">
        <v>5</v>
      </c>
      <c r="AB16" s="36">
        <f>IF((ISERROR((AA16/$H16)*100)), "", IF(AND(NOT(ISERROR((AA16/$H16)*100)),((AA16/$H16)*100) &lt;&gt; 0), (AA16/$H16)*100, ""))</f>
        <v>17.241379310344829</v>
      </c>
      <c r="AC16" s="33"/>
      <c r="AD16" s="36" t="str">
        <f>IF((ISERROR((AC16/$H16)*100)), "", IF(AND(NOT(ISERROR((AC16/$H16)*100)),((AC16/$H16)*100) &lt;&gt; 0), (AC16/$H16)*100, ""))</f>
        <v/>
      </c>
      <c r="AE16" s="23" t="s">
        <v>480</v>
      </c>
      <c r="AF16" s="23"/>
      <c r="AG16" s="23"/>
      <c r="AH16" s="23"/>
      <c r="AI16" s="23"/>
      <c r="AJ16" s="23"/>
      <c r="AK16" s="23"/>
      <c r="AL16" s="23"/>
      <c r="AM16" s="23"/>
      <c r="AN16" s="23"/>
      <c r="AO16" s="23"/>
      <c r="AP16" s="23"/>
      <c r="AQ16" s="23"/>
      <c r="AR16" s="23"/>
      <c r="AS16" s="23"/>
      <c r="AT16" s="23"/>
      <c r="AU16" s="23"/>
      <c r="AV16" s="23"/>
      <c r="AW16" s="23"/>
      <c r="AX16" s="23"/>
      <c r="AY16" s="23"/>
      <c r="AZ16" s="23"/>
    </row>
    <row r="17" spans="1:52" ht="20" customHeight="1" x14ac:dyDescent="0.2">
      <c r="A17" s="60"/>
      <c r="B17" s="82"/>
      <c r="C17" s="24" t="s">
        <v>85</v>
      </c>
      <c r="D17" s="23" t="s">
        <v>41</v>
      </c>
      <c r="E17" s="23" t="s">
        <v>42</v>
      </c>
      <c r="F17" s="24">
        <v>2004</v>
      </c>
      <c r="G17" s="24">
        <v>79</v>
      </c>
      <c r="H17" s="89">
        <v>12</v>
      </c>
      <c r="I17" s="85" t="s">
        <v>168</v>
      </c>
      <c r="J17" s="86" t="s">
        <v>169</v>
      </c>
      <c r="K17" s="33"/>
      <c r="L17" s="36" t="str">
        <f t="shared" si="0"/>
        <v/>
      </c>
      <c r="M17" s="33"/>
      <c r="N17" s="36" t="str">
        <f t="shared" si="1"/>
        <v/>
      </c>
      <c r="O17" s="33"/>
      <c r="P17" s="36" t="str">
        <f t="shared" si="2"/>
        <v/>
      </c>
      <c r="Q17" s="33"/>
      <c r="R17" s="36" t="str">
        <f t="shared" si="3"/>
        <v/>
      </c>
      <c r="S17" s="33"/>
      <c r="T17" s="36" t="str">
        <f t="shared" si="4"/>
        <v/>
      </c>
      <c r="U17" s="76"/>
      <c r="V17" s="36" t="str">
        <f t="shared" si="5"/>
        <v/>
      </c>
      <c r="W17" s="33"/>
      <c r="X17" s="36" t="str">
        <f>IF((ISERROR((W17/$H17)*100)), "", IF(AND(NOT(ISERROR((W17/$H17)*100)),((W17/$H17)*100) &lt;&gt; 0), (W17/$H17)*100, ""))</f>
        <v/>
      </c>
      <c r="Y17" s="33"/>
      <c r="Z17" s="36" t="str">
        <f>IF((ISERROR((Y17/$H17)*100)), "", IF(AND(NOT(ISERROR((Y17/$H17)*100)),((Y17/$H17)*100) &lt;&gt; 0), (Y17/$H17)*100, ""))</f>
        <v/>
      </c>
      <c r="AA17" s="33"/>
      <c r="AB17" s="36" t="str">
        <f>IF((ISERROR((AA17/$H17)*100)), "", IF(AND(NOT(ISERROR((AA17/$H17)*100)),((AA17/$H17)*100) &lt;&gt; 0), (AA17/$H17)*100, ""))</f>
        <v/>
      </c>
      <c r="AC17" s="33"/>
      <c r="AD17" s="36" t="str">
        <f>IF((ISERROR((AC17/$H17)*100)), "", IF(AND(NOT(ISERROR((AC17/$H17)*100)),((AC17/$H17)*100) &lt;&gt; 0), (AC17/$H17)*100, ""))</f>
        <v/>
      </c>
      <c r="AE17" s="23" t="s">
        <v>170</v>
      </c>
      <c r="AF17" s="23"/>
      <c r="AG17" s="23"/>
      <c r="AH17" s="23"/>
      <c r="AI17" s="23"/>
      <c r="AJ17" s="23"/>
      <c r="AK17" s="23"/>
      <c r="AL17" s="23"/>
      <c r="AM17" s="23"/>
      <c r="AN17" s="23"/>
      <c r="AO17" s="23"/>
      <c r="AP17" s="23"/>
      <c r="AQ17" s="23"/>
      <c r="AR17" s="23"/>
      <c r="AS17" s="23"/>
      <c r="AT17" s="23"/>
      <c r="AU17" s="23"/>
      <c r="AV17" s="23"/>
      <c r="AW17" s="23"/>
      <c r="AX17" s="23"/>
      <c r="AY17" s="23"/>
      <c r="AZ17" s="23"/>
    </row>
    <row r="18" spans="1:52" ht="20" customHeight="1" x14ac:dyDescent="0.2">
      <c r="A18" s="60"/>
      <c r="B18" s="82"/>
      <c r="C18" s="24" t="s">
        <v>85</v>
      </c>
      <c r="D18" s="23" t="s">
        <v>43</v>
      </c>
      <c r="E18" s="23" t="s">
        <v>44</v>
      </c>
      <c r="F18" s="24">
        <v>1976</v>
      </c>
      <c r="G18" s="24">
        <v>179</v>
      </c>
      <c r="H18" s="89">
        <v>8</v>
      </c>
      <c r="I18" s="111" t="s">
        <v>336</v>
      </c>
      <c r="J18" s="86"/>
      <c r="K18" s="38">
        <v>2</v>
      </c>
      <c r="L18" s="39">
        <f t="shared" si="0"/>
        <v>25</v>
      </c>
      <c r="M18" s="33"/>
      <c r="N18" s="36" t="str">
        <f t="shared" si="1"/>
        <v/>
      </c>
      <c r="O18" s="38">
        <v>5</v>
      </c>
      <c r="P18" s="39">
        <f t="shared" si="2"/>
        <v>62.5</v>
      </c>
      <c r="Q18" s="38">
        <v>2</v>
      </c>
      <c r="R18" s="39">
        <f t="shared" si="3"/>
        <v>25</v>
      </c>
      <c r="S18" s="38">
        <v>1</v>
      </c>
      <c r="T18" s="39">
        <f t="shared" si="4"/>
        <v>12.5</v>
      </c>
      <c r="U18" s="76">
        <v>1</v>
      </c>
      <c r="V18" s="36">
        <f t="shared" si="5"/>
        <v>12.5</v>
      </c>
      <c r="W18" s="38">
        <v>1</v>
      </c>
      <c r="X18" s="39">
        <f>IF((ISERROR((W18/$H18)*100)), "", IF(AND(NOT(ISERROR((W18/$H18)*100)),((W18/$H18)*100) &lt;&gt; 0), (W18/$H18)*100, ""))</f>
        <v>12.5</v>
      </c>
      <c r="Y18" s="38">
        <v>1</v>
      </c>
      <c r="Z18" s="39">
        <f>IF((ISERROR((Y18/$H18)*100)), "", IF(AND(NOT(ISERROR((Y18/$H18)*100)),((Y18/$H18)*100) &lt;&gt; 0), (Y18/$H18)*100, ""))</f>
        <v>12.5</v>
      </c>
      <c r="AA18" s="38">
        <v>1</v>
      </c>
      <c r="AB18" s="39">
        <f>IF((ISERROR((AA18/$H18)*100)), "", IF(AND(NOT(ISERROR((AA18/$H18)*100)),((AA18/$H18)*100) &lt;&gt; 0), (AA18/$H18)*100, ""))</f>
        <v>12.5</v>
      </c>
      <c r="AC18" s="33"/>
      <c r="AD18" s="36" t="str">
        <f>IF((ISERROR((AC18/$H18)*100)), "", IF(AND(NOT(ISERROR((AC18/$H18)*100)),((AC18/$H18)*100) &lt;&gt; 0), (AC18/$H18)*100, ""))</f>
        <v/>
      </c>
      <c r="AE18" s="23" t="s">
        <v>183</v>
      </c>
      <c r="AF18" s="23"/>
      <c r="AG18" s="23"/>
      <c r="AH18" s="23"/>
      <c r="AI18" s="23"/>
      <c r="AJ18" s="23"/>
      <c r="AK18" s="23"/>
      <c r="AL18" s="23"/>
      <c r="AM18" s="23"/>
      <c r="AN18" s="23"/>
      <c r="AO18" s="23"/>
      <c r="AP18" s="23"/>
      <c r="AQ18" s="23"/>
      <c r="AR18" s="23"/>
      <c r="AS18" s="23"/>
      <c r="AT18" s="23"/>
      <c r="AU18" s="23"/>
      <c r="AV18" s="23"/>
      <c r="AW18" s="23"/>
      <c r="AX18" s="23"/>
      <c r="AY18" s="23"/>
      <c r="AZ18" s="23"/>
    </row>
    <row r="19" spans="1:52" ht="20" customHeight="1" x14ac:dyDescent="0.2">
      <c r="A19" s="61"/>
      <c r="B19" s="83"/>
      <c r="C19" s="24" t="s">
        <v>85</v>
      </c>
      <c r="D19" s="23" t="s">
        <v>152</v>
      </c>
      <c r="E19" s="23" t="s">
        <v>153</v>
      </c>
      <c r="F19" s="24">
        <v>2007</v>
      </c>
      <c r="H19" s="89">
        <v>44</v>
      </c>
      <c r="I19" s="85"/>
      <c r="J19" s="86"/>
      <c r="K19" s="33"/>
      <c r="L19" s="36" t="str">
        <f t="shared" si="0"/>
        <v/>
      </c>
      <c r="M19" s="33"/>
      <c r="N19" s="36" t="str">
        <f t="shared" si="1"/>
        <v/>
      </c>
      <c r="O19" s="33"/>
      <c r="P19" s="36" t="str">
        <f t="shared" si="2"/>
        <v/>
      </c>
      <c r="Q19" s="33"/>
      <c r="R19" s="36" t="str">
        <f t="shared" si="3"/>
        <v/>
      </c>
      <c r="S19" s="33"/>
      <c r="T19" s="36" t="str">
        <f t="shared" si="4"/>
        <v/>
      </c>
      <c r="U19" s="76"/>
      <c r="V19" s="36" t="str">
        <f t="shared" si="5"/>
        <v/>
      </c>
      <c r="W19" s="33"/>
      <c r="X19" s="36" t="str">
        <f t="shared" ref="X19" si="14">IF((ISERROR((W19/$H19)*100)), "", IF(AND(NOT(ISERROR((W19/$H19)*100)),((W19/$H19)*100) &lt;&gt; 0), (W19/$H19)*100, ""))</f>
        <v/>
      </c>
      <c r="Y19" s="33"/>
      <c r="Z19" s="36" t="str">
        <f t="shared" ref="Z19" si="15">IF((ISERROR((Y19/$H19)*100)), "", IF(AND(NOT(ISERROR((Y19/$H19)*100)),((Y19/$H19)*100) &lt;&gt; 0), (Y19/$H19)*100, ""))</f>
        <v/>
      </c>
      <c r="AA19" s="33"/>
      <c r="AB19" s="36" t="str">
        <f t="shared" ref="AB19" si="16">IF((ISERROR((AA19/$H19)*100)), "", IF(AND(NOT(ISERROR((AA19/$H19)*100)),((AA19/$H19)*100) &lt;&gt; 0), (AA19/$H19)*100, ""))</f>
        <v/>
      </c>
      <c r="AC19" s="33"/>
      <c r="AD19" s="36" t="str">
        <f t="shared" ref="AD19" si="17">IF((ISERROR((AC19/$H19)*100)), "", IF(AND(NOT(ISERROR((AC19/$H19)*100)),((AC19/$H19)*100) &lt;&gt; 0), (AC19/$H19)*100, ""))</f>
        <v/>
      </c>
      <c r="AE19" s="23" t="s">
        <v>175</v>
      </c>
      <c r="AF19" s="23"/>
      <c r="AG19" s="23"/>
      <c r="AH19" s="23"/>
      <c r="AI19" s="23"/>
      <c r="AJ19" s="23"/>
      <c r="AK19" s="23"/>
      <c r="AL19" s="23"/>
      <c r="AM19" s="23"/>
      <c r="AN19" s="23"/>
      <c r="AO19" s="23"/>
      <c r="AP19" s="23"/>
      <c r="AQ19" s="23"/>
      <c r="AR19" s="23"/>
      <c r="AS19" s="23"/>
      <c r="AT19" s="23"/>
      <c r="AU19" s="23"/>
      <c r="AV19" s="23"/>
      <c r="AW19" s="23"/>
      <c r="AX19" s="23"/>
      <c r="AY19" s="23"/>
      <c r="AZ19" s="23"/>
    </row>
    <row r="20" spans="1:52" ht="20" customHeight="1" x14ac:dyDescent="0.2">
      <c r="A20" s="60"/>
      <c r="B20" s="83"/>
      <c r="C20" s="24" t="s">
        <v>85</v>
      </c>
      <c r="D20" s="23" t="s">
        <v>255</v>
      </c>
      <c r="E20" s="23" t="s">
        <v>256</v>
      </c>
      <c r="F20" s="24">
        <v>2014</v>
      </c>
      <c r="H20" s="89">
        <v>48</v>
      </c>
      <c r="I20" s="85" t="s">
        <v>214</v>
      </c>
      <c r="J20" s="86" t="s">
        <v>337</v>
      </c>
      <c r="K20" s="38"/>
      <c r="L20" s="38" t="str">
        <f t="shared" si="0"/>
        <v/>
      </c>
      <c r="M20" s="33"/>
      <c r="N20" s="36" t="str">
        <f t="shared" si="1"/>
        <v/>
      </c>
      <c r="O20" s="33"/>
      <c r="P20" s="36" t="str">
        <f t="shared" si="2"/>
        <v/>
      </c>
      <c r="Q20" s="33"/>
      <c r="R20" s="36" t="str">
        <f t="shared" si="3"/>
        <v/>
      </c>
      <c r="S20" s="33"/>
      <c r="T20" s="36" t="str">
        <f t="shared" si="4"/>
        <v/>
      </c>
      <c r="U20" s="76"/>
      <c r="V20" s="36" t="str">
        <f t="shared" si="5"/>
        <v/>
      </c>
      <c r="W20" s="33"/>
      <c r="X20" s="36" t="str">
        <f>IF((ISERROR((W20/$H20)*100)), "", IF(AND(NOT(ISERROR((W20/$H20)*100)),((W20/$H20)*100) &lt;&gt; 0), (W20/$H20)*100, ""))</f>
        <v/>
      </c>
      <c r="Y20" s="33"/>
      <c r="Z20" s="36" t="str">
        <f>IF((ISERROR((Y20/$H20)*100)), "", IF(AND(NOT(ISERROR((Y20/$H20)*100)),((Y20/$H20)*100) &lt;&gt; 0), (Y20/$H20)*100, ""))</f>
        <v/>
      </c>
      <c r="AA20" s="33"/>
      <c r="AB20" s="36" t="str">
        <f>IF((ISERROR((AA20/$H20)*100)), "", IF(AND(NOT(ISERROR((AA20/$H20)*100)),((AA20/$H20)*100) &lt;&gt; 0), (AA20/$H20)*100, ""))</f>
        <v/>
      </c>
      <c r="AC20" s="33"/>
      <c r="AD20" s="36" t="str">
        <f>IF((ISERROR((AC20/$H20)*100)), "", IF(AND(NOT(ISERROR((AC20/$H20)*100)),((AC20/$H20)*100) &lt;&gt; 0), (AC20/$H20)*100, ""))</f>
        <v/>
      </c>
      <c r="AE20" s="23" t="s">
        <v>400</v>
      </c>
      <c r="AF20" s="23"/>
      <c r="AG20" s="23"/>
      <c r="AH20" s="23"/>
      <c r="AI20" s="23"/>
      <c r="AJ20" s="23"/>
      <c r="AK20" s="23"/>
      <c r="AL20" s="23"/>
      <c r="AM20" s="23"/>
      <c r="AN20" s="23"/>
      <c r="AO20" s="23"/>
      <c r="AP20" s="23"/>
      <c r="AQ20" s="23"/>
      <c r="AR20" s="23"/>
      <c r="AS20" s="23"/>
      <c r="AT20" s="23"/>
      <c r="AU20" s="23"/>
      <c r="AV20" s="23"/>
      <c r="AW20" s="23"/>
      <c r="AX20" s="23"/>
      <c r="AY20" s="23"/>
      <c r="AZ20" s="23"/>
    </row>
    <row r="21" spans="1:52" ht="20" customHeight="1" x14ac:dyDescent="0.2">
      <c r="A21" s="60"/>
      <c r="B21" s="83"/>
      <c r="C21" s="24" t="s">
        <v>85</v>
      </c>
      <c r="D21" s="23" t="s">
        <v>259</v>
      </c>
      <c r="E21" s="23" t="s">
        <v>260</v>
      </c>
      <c r="F21" s="24">
        <v>2012</v>
      </c>
      <c r="H21" s="89">
        <v>80</v>
      </c>
      <c r="I21" s="85" t="s">
        <v>214</v>
      </c>
      <c r="J21" s="86" t="s">
        <v>191</v>
      </c>
      <c r="K21" s="33"/>
      <c r="L21" s="36" t="str">
        <f t="shared" si="0"/>
        <v/>
      </c>
      <c r="M21" s="33"/>
      <c r="N21" s="36" t="str">
        <f t="shared" si="1"/>
        <v/>
      </c>
      <c r="O21" s="33"/>
      <c r="P21" s="36" t="str">
        <f t="shared" si="2"/>
        <v/>
      </c>
      <c r="Q21" s="33"/>
      <c r="R21" s="36" t="str">
        <f t="shared" si="3"/>
        <v/>
      </c>
      <c r="S21" s="33"/>
      <c r="T21" s="36" t="str">
        <f t="shared" si="4"/>
        <v/>
      </c>
      <c r="U21" s="76"/>
      <c r="V21" s="36" t="str">
        <f t="shared" si="5"/>
        <v/>
      </c>
      <c r="W21" s="33"/>
      <c r="X21" s="36" t="str">
        <f>IF((ISERROR((W21/$H21)*100)), "", IF(AND(NOT(ISERROR((W21/$H21)*100)),((W21/$H21)*100) &lt;&gt; 0), (W21/$H21)*100, ""))</f>
        <v/>
      </c>
      <c r="Y21" s="33"/>
      <c r="Z21" s="36" t="str">
        <f>IF((ISERROR((Y21/$H21)*100)), "", IF(AND(NOT(ISERROR((Y21/$H21)*100)),((Y21/$H21)*100) &lt;&gt; 0), (Y21/$H21)*100, ""))</f>
        <v/>
      </c>
      <c r="AA21" s="33"/>
      <c r="AB21" s="36" t="str">
        <f>IF((ISERROR((AA21/$H21)*100)), "", IF(AND(NOT(ISERROR((AA21/$H21)*100)),((AA21/$H21)*100) &lt;&gt; 0), (AA21/$H21)*100, ""))</f>
        <v/>
      </c>
      <c r="AC21" s="33"/>
      <c r="AD21" s="36" t="str">
        <f>IF((ISERROR((AC21/$H21)*100)), "", IF(AND(NOT(ISERROR((AC21/$H21)*100)),((AC21/$H21)*100) &lt;&gt; 0), (AC21/$H21)*100, ""))</f>
        <v/>
      </c>
      <c r="AE21" s="23"/>
      <c r="AF21" s="23"/>
      <c r="AG21" s="23"/>
      <c r="AH21" s="23"/>
      <c r="AI21" s="23"/>
      <c r="AJ21" s="23"/>
      <c r="AK21" s="23"/>
      <c r="AL21" s="23"/>
      <c r="AM21" s="23"/>
      <c r="AN21" s="23"/>
      <c r="AO21" s="23"/>
      <c r="AP21" s="23"/>
      <c r="AQ21" s="23"/>
      <c r="AR21" s="23"/>
      <c r="AS21" s="23"/>
      <c r="AT21" s="23"/>
      <c r="AU21" s="23"/>
      <c r="AV21" s="23"/>
      <c r="AW21" s="23"/>
      <c r="AX21" s="23"/>
      <c r="AY21" s="23"/>
      <c r="AZ21" s="23"/>
    </row>
    <row r="22" spans="1:52" ht="20" customHeight="1" x14ac:dyDescent="0.2">
      <c r="A22" s="60"/>
      <c r="B22" s="82"/>
      <c r="C22" s="24" t="s">
        <v>85</v>
      </c>
      <c r="D22" s="23" t="s">
        <v>261</v>
      </c>
      <c r="E22" s="23" t="s">
        <v>262</v>
      </c>
      <c r="F22" s="24">
        <v>2013</v>
      </c>
      <c r="H22" s="89">
        <v>12</v>
      </c>
      <c r="I22" s="85" t="s">
        <v>214</v>
      </c>
      <c r="J22" s="86" t="s">
        <v>338</v>
      </c>
      <c r="K22" s="33"/>
      <c r="L22" s="36" t="str">
        <f t="shared" si="0"/>
        <v/>
      </c>
      <c r="M22" s="33"/>
      <c r="N22" s="36" t="str">
        <f t="shared" si="1"/>
        <v/>
      </c>
      <c r="O22" s="33"/>
      <c r="P22" s="36" t="str">
        <f t="shared" si="2"/>
        <v/>
      </c>
      <c r="Q22" s="33"/>
      <c r="R22" s="36" t="str">
        <f t="shared" si="3"/>
        <v/>
      </c>
      <c r="S22" s="38"/>
      <c r="T22" s="39" t="str">
        <f t="shared" si="4"/>
        <v/>
      </c>
      <c r="U22" s="40"/>
      <c r="V22" s="39" t="str">
        <f t="shared" si="5"/>
        <v/>
      </c>
      <c r="W22" s="33"/>
      <c r="X22" s="36" t="str">
        <f>IF((ISERROR((W22/$H22)*100)), "", IF(AND(NOT(ISERROR((W22/$H22)*100)),((W22/$H22)*100) &lt;&gt; 0), (W22/$H22)*100, ""))</f>
        <v/>
      </c>
      <c r="Y22" s="33"/>
      <c r="Z22" s="36" t="str">
        <f>IF((ISERROR((Y22/$H22)*100)), "", IF(AND(NOT(ISERROR((Y22/$H22)*100)),((Y22/$H22)*100) &lt;&gt; 0), (Y22/$H22)*100, ""))</f>
        <v/>
      </c>
      <c r="AA22" s="33"/>
      <c r="AB22" s="36" t="str">
        <f>IF((ISERROR((AA22/$H22)*100)), "", IF(AND(NOT(ISERROR((AA22/$H22)*100)),((AA22/$H22)*100) &lt;&gt; 0), (AA22/$H22)*100, ""))</f>
        <v/>
      </c>
      <c r="AC22" s="33"/>
      <c r="AD22" s="36" t="str">
        <f>IF((ISERROR((AC22/$H22)*100)), "", IF(AND(NOT(ISERROR((AC22/$H22)*100)),((AC22/$H22)*100) &lt;&gt; 0), (AC22/$H22)*100, ""))</f>
        <v/>
      </c>
      <c r="AE22" s="23" t="s">
        <v>401</v>
      </c>
      <c r="AF22" s="23"/>
      <c r="AG22" s="23"/>
      <c r="AH22" s="23"/>
      <c r="AI22" s="23"/>
      <c r="AJ22" s="23"/>
      <c r="AK22" s="23"/>
      <c r="AL22" s="23"/>
      <c r="AM22" s="23"/>
      <c r="AN22" s="23"/>
      <c r="AO22" s="23"/>
      <c r="AP22" s="23"/>
      <c r="AQ22" s="23"/>
      <c r="AR22" s="23"/>
      <c r="AS22" s="23"/>
      <c r="AT22" s="23"/>
      <c r="AU22" s="23"/>
      <c r="AV22" s="23"/>
      <c r="AW22" s="23"/>
      <c r="AX22" s="23"/>
      <c r="AY22" s="23"/>
      <c r="AZ22" s="23"/>
    </row>
    <row r="23" spans="1:52" ht="20" customHeight="1" x14ac:dyDescent="0.2">
      <c r="A23" s="61"/>
      <c r="B23" s="84"/>
      <c r="C23" s="24" t="s">
        <v>85</v>
      </c>
      <c r="D23" s="23" t="s">
        <v>45</v>
      </c>
      <c r="E23" s="23" t="s">
        <v>46</v>
      </c>
      <c r="F23" s="24">
        <v>1998</v>
      </c>
      <c r="G23" s="24">
        <v>96</v>
      </c>
      <c r="H23" s="89">
        <v>61</v>
      </c>
      <c r="I23" s="85" t="s">
        <v>176</v>
      </c>
      <c r="J23" s="86" t="s">
        <v>188</v>
      </c>
      <c r="K23" s="33"/>
      <c r="L23" s="36" t="str">
        <f t="shared" si="0"/>
        <v/>
      </c>
      <c r="M23" s="33"/>
      <c r="N23" s="36" t="str">
        <f t="shared" si="1"/>
        <v/>
      </c>
      <c r="O23" s="33"/>
      <c r="P23" s="36" t="str">
        <f t="shared" si="2"/>
        <v/>
      </c>
      <c r="Q23" s="33"/>
      <c r="R23" s="36" t="str">
        <f t="shared" si="3"/>
        <v/>
      </c>
      <c r="S23" s="33"/>
      <c r="T23" s="36" t="str">
        <f t="shared" si="4"/>
        <v/>
      </c>
      <c r="U23" s="76"/>
      <c r="V23" s="36" t="str">
        <f t="shared" si="5"/>
        <v/>
      </c>
      <c r="W23" s="33"/>
      <c r="X23" s="36" t="str">
        <f t="shared" ref="X23:X24" si="18">IF((ISERROR((W23/$H23)*100)), "", IF(AND(NOT(ISERROR((W23/$H23)*100)),((W23/$H23)*100) &lt;&gt; 0), (W23/$H23)*100, ""))</f>
        <v/>
      </c>
      <c r="Y23" s="33"/>
      <c r="Z23" s="36" t="str">
        <f t="shared" ref="Z23:Z24" si="19">IF((ISERROR((Y23/$H23)*100)), "", IF(AND(NOT(ISERROR((Y23/$H23)*100)),((Y23/$H23)*100) &lt;&gt; 0), (Y23/$H23)*100, ""))</f>
        <v/>
      </c>
      <c r="AA23" s="33"/>
      <c r="AB23" s="36" t="str">
        <f t="shared" ref="AB23:AB24" si="20">IF((ISERROR((AA23/$H23)*100)), "", IF(AND(NOT(ISERROR((AA23/$H23)*100)),((AA23/$H23)*100) &lt;&gt; 0), (AA23/$H23)*100, ""))</f>
        <v/>
      </c>
      <c r="AC23" s="33"/>
      <c r="AD23" s="36" t="str">
        <f t="shared" ref="AD23:AD24" si="21">IF((ISERROR((AC23/$H23)*100)), "", IF(AND(NOT(ISERROR((AC23/$H23)*100)),((AC23/$H23)*100) &lt;&gt; 0), (AC23/$H23)*100, ""))</f>
        <v/>
      </c>
      <c r="AE23" s="23" t="s">
        <v>177</v>
      </c>
      <c r="AF23" s="23"/>
      <c r="AG23" s="23"/>
      <c r="AH23" s="23"/>
      <c r="AI23" s="23"/>
      <c r="AJ23" s="23"/>
      <c r="AK23" s="23"/>
      <c r="AL23" s="23"/>
      <c r="AM23" s="23"/>
      <c r="AN23" s="23"/>
      <c r="AO23" s="23"/>
      <c r="AP23" s="23"/>
      <c r="AQ23" s="23"/>
      <c r="AR23" s="23"/>
      <c r="AS23" s="23"/>
      <c r="AT23" s="23"/>
      <c r="AU23" s="23"/>
      <c r="AV23" s="23"/>
      <c r="AW23" s="23"/>
      <c r="AX23" s="23"/>
      <c r="AY23" s="23"/>
      <c r="AZ23" s="23"/>
    </row>
    <row r="24" spans="1:52" ht="20" customHeight="1" x14ac:dyDescent="0.2">
      <c r="A24" s="60"/>
      <c r="B24" s="82"/>
      <c r="C24" s="24" t="s">
        <v>85</v>
      </c>
      <c r="D24" s="23" t="s">
        <v>263</v>
      </c>
      <c r="E24" s="23" t="s">
        <v>264</v>
      </c>
      <c r="F24" s="24">
        <v>2000</v>
      </c>
      <c r="H24" s="89">
        <v>9</v>
      </c>
      <c r="I24" s="85" t="s">
        <v>218</v>
      </c>
      <c r="J24" s="86" t="s">
        <v>169</v>
      </c>
      <c r="K24" s="33"/>
      <c r="L24" s="36" t="str">
        <f t="shared" si="0"/>
        <v/>
      </c>
      <c r="M24" s="33"/>
      <c r="N24" s="36" t="str">
        <f t="shared" si="1"/>
        <v/>
      </c>
      <c r="O24" s="33">
        <v>1</v>
      </c>
      <c r="P24" s="36">
        <f t="shared" si="2"/>
        <v>11.111111111111111</v>
      </c>
      <c r="Q24" s="33"/>
      <c r="R24" s="36" t="str">
        <f t="shared" si="3"/>
        <v/>
      </c>
      <c r="S24" s="33">
        <v>1</v>
      </c>
      <c r="T24" s="36">
        <f t="shared" si="4"/>
        <v>11.111111111111111</v>
      </c>
      <c r="U24" s="76">
        <v>1</v>
      </c>
      <c r="V24" s="36">
        <f t="shared" si="5"/>
        <v>11.111111111111111</v>
      </c>
      <c r="W24" s="33"/>
      <c r="X24" s="36" t="str">
        <f t="shared" si="18"/>
        <v/>
      </c>
      <c r="Y24" s="33"/>
      <c r="Z24" s="36" t="str">
        <f t="shared" si="19"/>
        <v/>
      </c>
      <c r="AA24" s="33"/>
      <c r="AB24" s="36" t="str">
        <f t="shared" si="20"/>
        <v/>
      </c>
      <c r="AC24" s="33"/>
      <c r="AD24" s="36" t="str">
        <f t="shared" si="21"/>
        <v/>
      </c>
      <c r="AE24" s="23" t="s">
        <v>339</v>
      </c>
      <c r="AF24" s="23"/>
      <c r="AG24" s="23"/>
      <c r="AH24" s="23"/>
      <c r="AI24" s="23"/>
      <c r="AJ24" s="23"/>
      <c r="AK24" s="23"/>
      <c r="AL24" s="23"/>
      <c r="AM24" s="23"/>
      <c r="AN24" s="23"/>
      <c r="AO24" s="23"/>
      <c r="AP24" s="23"/>
      <c r="AQ24" s="23"/>
      <c r="AR24" s="23"/>
      <c r="AS24" s="23"/>
      <c r="AT24" s="23"/>
      <c r="AU24" s="23"/>
      <c r="AV24" s="23"/>
      <c r="AW24" s="23"/>
      <c r="AX24" s="23"/>
      <c r="AY24" s="23"/>
      <c r="AZ24" s="23"/>
    </row>
    <row r="25" spans="1:52" ht="20" customHeight="1" x14ac:dyDescent="0.2">
      <c r="A25" s="60"/>
      <c r="B25" s="83"/>
      <c r="C25" s="24" t="s">
        <v>85</v>
      </c>
      <c r="D25" s="23" t="s">
        <v>265</v>
      </c>
      <c r="E25" s="23" t="s">
        <v>266</v>
      </c>
      <c r="F25" s="24">
        <v>2003</v>
      </c>
      <c r="H25" s="89">
        <v>10</v>
      </c>
      <c r="I25" s="85" t="s">
        <v>185</v>
      </c>
      <c r="J25" s="86" t="s">
        <v>190</v>
      </c>
      <c r="K25" s="33"/>
      <c r="L25" s="36" t="str">
        <f t="shared" si="0"/>
        <v/>
      </c>
      <c r="M25" s="33"/>
      <c r="N25" s="36" t="str">
        <f t="shared" si="1"/>
        <v/>
      </c>
      <c r="O25" s="33"/>
      <c r="P25" s="36" t="str">
        <f t="shared" si="2"/>
        <v/>
      </c>
      <c r="Q25" s="33"/>
      <c r="R25" s="36" t="str">
        <f t="shared" si="3"/>
        <v/>
      </c>
      <c r="S25" s="33"/>
      <c r="T25" s="36" t="str">
        <f t="shared" si="4"/>
        <v/>
      </c>
      <c r="U25" s="76"/>
      <c r="V25" s="36" t="str">
        <f t="shared" si="5"/>
        <v/>
      </c>
      <c r="W25" s="33"/>
      <c r="X25" s="36" t="str">
        <f t="shared" ref="X25" si="22">IF((ISERROR((W25/$H25)*100)), "", IF(AND(NOT(ISERROR((W25/$H25)*100)),((W25/$H25)*100) &lt;&gt; 0), (W25/$H25)*100, ""))</f>
        <v/>
      </c>
      <c r="Y25" s="33"/>
      <c r="Z25" s="36" t="str">
        <f t="shared" ref="Z25" si="23">IF((ISERROR((Y25/$H25)*100)), "", IF(AND(NOT(ISERROR((Y25/$H25)*100)),((Y25/$H25)*100) &lt;&gt; 0), (Y25/$H25)*100, ""))</f>
        <v/>
      </c>
      <c r="AA25" s="33"/>
      <c r="AB25" s="36" t="str">
        <f t="shared" ref="AB25" si="24">IF((ISERROR((AA25/$H25)*100)), "", IF(AND(NOT(ISERROR((AA25/$H25)*100)),((AA25/$H25)*100) &lt;&gt; 0), (AA25/$H25)*100, ""))</f>
        <v/>
      </c>
      <c r="AC25" s="33"/>
      <c r="AD25" s="36" t="str">
        <f t="shared" ref="AD25" si="25">IF((ISERROR((AC25/$H25)*100)), "", IF(AND(NOT(ISERROR((AC25/$H25)*100)),((AC25/$H25)*100) &lt;&gt; 0), (AC25/$H25)*100, ""))</f>
        <v/>
      </c>
      <c r="AE25" s="23" t="s">
        <v>200</v>
      </c>
      <c r="AF25" s="23"/>
      <c r="AG25" s="23"/>
      <c r="AH25" s="23"/>
      <c r="AI25" s="23"/>
      <c r="AJ25" s="23"/>
      <c r="AK25" s="23"/>
      <c r="AL25" s="23"/>
      <c r="AM25" s="23"/>
      <c r="AN25" s="23"/>
      <c r="AO25" s="23"/>
      <c r="AP25" s="23"/>
      <c r="AQ25" s="23"/>
      <c r="AR25" s="23"/>
      <c r="AS25" s="23"/>
      <c r="AT25" s="23"/>
      <c r="AU25" s="23"/>
      <c r="AV25" s="23"/>
      <c r="AW25" s="23"/>
      <c r="AX25" s="23"/>
      <c r="AY25" s="23"/>
      <c r="AZ25" s="23"/>
    </row>
    <row r="26" spans="1:52" ht="20" customHeight="1" x14ac:dyDescent="0.2">
      <c r="A26" s="60"/>
      <c r="B26" s="82"/>
      <c r="C26" s="24" t="s">
        <v>85</v>
      </c>
      <c r="D26" s="23" t="s">
        <v>402</v>
      </c>
      <c r="E26" s="23" t="s">
        <v>403</v>
      </c>
      <c r="F26" s="24">
        <v>2013</v>
      </c>
      <c r="H26" s="89">
        <v>38</v>
      </c>
      <c r="I26" s="85" t="s">
        <v>404</v>
      </c>
      <c r="J26" s="86" t="s">
        <v>169</v>
      </c>
      <c r="K26" s="33"/>
      <c r="L26" s="36" t="str">
        <f t="shared" si="0"/>
        <v/>
      </c>
      <c r="M26" s="33"/>
      <c r="N26" s="36" t="str">
        <f t="shared" si="1"/>
        <v/>
      </c>
      <c r="O26" s="33"/>
      <c r="P26" s="36" t="str">
        <f t="shared" si="2"/>
        <v/>
      </c>
      <c r="Q26" s="33"/>
      <c r="R26" s="36" t="str">
        <f t="shared" si="3"/>
        <v/>
      </c>
      <c r="S26" s="33"/>
      <c r="T26" s="36" t="str">
        <f t="shared" si="4"/>
        <v/>
      </c>
      <c r="U26" s="33"/>
      <c r="V26" s="36" t="str">
        <f t="shared" si="5"/>
        <v/>
      </c>
      <c r="W26" s="33"/>
      <c r="X26" s="36" t="str">
        <f>IF((ISERROR((W26/$H26)*100)), "", IF(AND(NOT(ISERROR((W26/$H26)*100)),((W26/$H26)*100) &lt;&gt; 0), (W26/$H26)*100, ""))</f>
        <v/>
      </c>
      <c r="Y26" s="33"/>
      <c r="Z26" s="36" t="str">
        <f>IF((ISERROR((Y26/$H26)*100)), "", IF(AND(NOT(ISERROR((Y26/$H26)*100)),((Y26/$H26)*100) &lt;&gt; 0), (Y26/$H26)*100, ""))</f>
        <v/>
      </c>
      <c r="AA26" s="33"/>
      <c r="AB26" s="36" t="str">
        <f>IF((ISERROR((AA26/$H26)*100)), "", IF(AND(NOT(ISERROR((AA26/$H26)*100)),((AA26/$H26)*100) &lt;&gt; 0), (AA26/$H26)*100, ""))</f>
        <v/>
      </c>
      <c r="AC26" s="33"/>
      <c r="AD26" s="36" t="str">
        <f>IF((ISERROR((AC26/$H26)*100)), "", IF(AND(NOT(ISERROR((AC26/$H26)*100)),((AC26/$H26)*100) &lt;&gt; 0), (AC26/$H26)*100, ""))</f>
        <v/>
      </c>
      <c r="AE26" s="23" t="s">
        <v>412</v>
      </c>
      <c r="AF26" s="23"/>
      <c r="AG26" s="23"/>
      <c r="AH26" s="23"/>
      <c r="AI26" s="23"/>
      <c r="AJ26" s="23"/>
      <c r="AK26" s="23"/>
      <c r="AL26" s="23"/>
      <c r="AM26" s="23"/>
      <c r="AN26" s="23"/>
      <c r="AO26" s="23"/>
      <c r="AP26" s="23"/>
      <c r="AQ26" s="23"/>
      <c r="AR26" s="23"/>
      <c r="AS26" s="23"/>
      <c r="AT26" s="23"/>
      <c r="AU26" s="23"/>
      <c r="AV26" s="23"/>
      <c r="AW26" s="23"/>
      <c r="AX26" s="23"/>
      <c r="AY26" s="23"/>
      <c r="AZ26" s="23"/>
    </row>
    <row r="27" spans="1:52" ht="20" customHeight="1" x14ac:dyDescent="0.2">
      <c r="A27" s="61"/>
      <c r="B27" s="83"/>
      <c r="C27" s="24" t="s">
        <v>85</v>
      </c>
      <c r="D27" s="23" t="s">
        <v>52</v>
      </c>
      <c r="E27" s="23" t="s">
        <v>53</v>
      </c>
      <c r="F27" s="24">
        <v>2001</v>
      </c>
      <c r="G27" s="24">
        <v>118</v>
      </c>
      <c r="H27" s="89">
        <v>20</v>
      </c>
      <c r="I27" s="85"/>
      <c r="J27" s="86" t="s">
        <v>188</v>
      </c>
      <c r="K27" s="33"/>
      <c r="L27" s="36" t="str">
        <f t="shared" si="0"/>
        <v/>
      </c>
      <c r="M27" s="33"/>
      <c r="N27" s="36" t="str">
        <f t="shared" si="1"/>
        <v/>
      </c>
      <c r="O27" s="33"/>
      <c r="P27" s="36" t="str">
        <f t="shared" si="2"/>
        <v/>
      </c>
      <c r="Q27" s="33"/>
      <c r="R27" s="36" t="str">
        <f t="shared" si="3"/>
        <v/>
      </c>
      <c r="S27" s="33"/>
      <c r="T27" s="36" t="str">
        <f t="shared" si="4"/>
        <v/>
      </c>
      <c r="U27" s="76"/>
      <c r="V27" s="36" t="str">
        <f t="shared" si="5"/>
        <v/>
      </c>
      <c r="W27" s="33"/>
      <c r="X27" s="36" t="str">
        <f>IF((ISERROR((W27/$H27)*100)), "", IF(AND(NOT(ISERROR((W27/$H27)*100)),((W27/$H27)*100) &lt;&gt; 0), (W27/$H27)*100, ""))</f>
        <v/>
      </c>
      <c r="Y27" s="33"/>
      <c r="Z27" s="36" t="str">
        <f>IF((ISERROR((Y27/$H27)*100)), "", IF(AND(NOT(ISERROR((Y27/$H27)*100)),((Y27/$H27)*100) &lt;&gt; 0), (Y27/$H27)*100, ""))</f>
        <v/>
      </c>
      <c r="AA27" s="33"/>
      <c r="AB27" s="36" t="str">
        <f>IF((ISERROR((AA27/$H27)*100)), "", IF(AND(NOT(ISERROR((AA27/$H27)*100)),((AA27/$H27)*100) &lt;&gt; 0), (AA27/$H27)*100, ""))</f>
        <v/>
      </c>
      <c r="AC27" s="33"/>
      <c r="AD27" s="36" t="str">
        <f>IF((ISERROR((AC27/$H27)*100)), "", IF(AND(NOT(ISERROR((AC27/$H27)*100)),((AC27/$H27)*100) &lt;&gt; 0), (AC27/$H27)*100, ""))</f>
        <v/>
      </c>
      <c r="AE27" s="23" t="s">
        <v>180</v>
      </c>
      <c r="AF27" s="23"/>
      <c r="AG27" s="23"/>
      <c r="AH27" s="23"/>
      <c r="AI27" s="23"/>
      <c r="AJ27" s="23"/>
      <c r="AK27" s="23"/>
      <c r="AL27" s="23"/>
      <c r="AM27" s="23"/>
      <c r="AN27" s="23"/>
      <c r="AO27" s="23"/>
      <c r="AP27" s="23"/>
      <c r="AQ27" s="23"/>
      <c r="AR27" s="23"/>
      <c r="AS27" s="23"/>
      <c r="AT27" s="23"/>
      <c r="AU27" s="23"/>
      <c r="AV27" s="23"/>
      <c r="AW27" s="23"/>
      <c r="AX27" s="23"/>
      <c r="AY27" s="23"/>
      <c r="AZ27" s="23"/>
    </row>
    <row r="28" spans="1:52" ht="20" customHeight="1" x14ac:dyDescent="0.2">
      <c r="A28" s="60"/>
      <c r="B28" s="82"/>
      <c r="C28" s="24" t="s">
        <v>85</v>
      </c>
      <c r="D28" s="23" t="s">
        <v>267</v>
      </c>
      <c r="E28" s="23" t="s">
        <v>268</v>
      </c>
      <c r="F28" s="24">
        <v>1994</v>
      </c>
      <c r="H28" s="89">
        <v>20</v>
      </c>
      <c r="I28" s="85" t="s">
        <v>340</v>
      </c>
      <c r="J28" s="86"/>
      <c r="K28" s="33"/>
      <c r="L28" s="36" t="str">
        <f t="shared" si="0"/>
        <v/>
      </c>
      <c r="M28" s="33"/>
      <c r="N28" s="36" t="str">
        <f t="shared" si="1"/>
        <v/>
      </c>
      <c r="O28" s="33"/>
      <c r="P28" s="36" t="str">
        <f t="shared" si="2"/>
        <v/>
      </c>
      <c r="Q28" s="33"/>
      <c r="R28" s="36" t="str">
        <f t="shared" si="3"/>
        <v/>
      </c>
      <c r="S28" s="38"/>
      <c r="T28" s="39" t="str">
        <f t="shared" si="4"/>
        <v/>
      </c>
      <c r="U28" s="40"/>
      <c r="V28" s="39" t="str">
        <f t="shared" si="5"/>
        <v/>
      </c>
      <c r="W28" s="38"/>
      <c r="X28" s="39" t="str">
        <f>IF((ISERROR((W28/$H28)*100)), "", IF(AND(NOT(ISERROR((W28/$H28)*100)),((W28/$H28)*100) &lt;&gt; 0), (W28/$H28)*100, ""))</f>
        <v/>
      </c>
      <c r="Y28" s="33"/>
      <c r="Z28" s="36" t="str">
        <f>IF((ISERROR((Y28/$H28)*100)), "", IF(AND(NOT(ISERROR((Y28/$H28)*100)),((Y28/$H28)*100) &lt;&gt; 0), (Y28/$H28)*100, ""))</f>
        <v/>
      </c>
      <c r="AA28" s="33"/>
      <c r="AB28" s="36" t="str">
        <f>IF((ISERROR((AA28/$H28)*100)), "", IF(AND(NOT(ISERROR((AA28/$H28)*100)),((AA28/$H28)*100) &lt;&gt; 0), (AA28/$H28)*100, ""))</f>
        <v/>
      </c>
      <c r="AC28" s="33"/>
      <c r="AD28" s="36" t="str">
        <f>IF((ISERROR((AC28/$H28)*100)), "", IF(AND(NOT(ISERROR((AC28/$H28)*100)),((AC28/$H28)*100) &lt;&gt; 0), (AC28/$H28)*100, ""))</f>
        <v/>
      </c>
      <c r="AE28" s="23" t="s">
        <v>405</v>
      </c>
      <c r="AF28" s="23"/>
      <c r="AG28" s="23"/>
      <c r="AH28" s="23"/>
      <c r="AI28" s="23"/>
      <c r="AJ28" s="23"/>
      <c r="AK28" s="23"/>
      <c r="AL28" s="23"/>
      <c r="AM28" s="23"/>
      <c r="AN28" s="23"/>
      <c r="AO28" s="23"/>
      <c r="AP28" s="23"/>
      <c r="AQ28" s="23"/>
      <c r="AR28" s="23"/>
      <c r="AS28" s="23"/>
      <c r="AT28" s="23"/>
      <c r="AU28" s="23"/>
      <c r="AV28" s="23"/>
      <c r="AW28" s="23"/>
      <c r="AX28" s="23"/>
      <c r="AY28" s="23"/>
      <c r="AZ28" s="23"/>
    </row>
    <row r="29" spans="1:52" ht="20" customHeight="1" x14ac:dyDescent="0.2">
      <c r="A29" s="60"/>
      <c r="B29" s="83"/>
      <c r="C29" s="24" t="s">
        <v>85</v>
      </c>
      <c r="D29" s="23" t="s">
        <v>341</v>
      </c>
      <c r="E29" s="23" t="s">
        <v>342</v>
      </c>
      <c r="F29" s="24">
        <v>2008</v>
      </c>
      <c r="H29" s="89">
        <v>16</v>
      </c>
      <c r="I29" s="85" t="s">
        <v>176</v>
      </c>
      <c r="J29" s="86" t="s">
        <v>343</v>
      </c>
      <c r="K29" s="33"/>
      <c r="L29" s="36" t="str">
        <f t="shared" si="0"/>
        <v/>
      </c>
      <c r="M29" s="33"/>
      <c r="N29" s="36" t="str">
        <f t="shared" si="1"/>
        <v/>
      </c>
      <c r="O29" s="33"/>
      <c r="P29" s="36" t="str">
        <f t="shared" si="2"/>
        <v/>
      </c>
      <c r="Q29" s="33"/>
      <c r="R29" s="36" t="str">
        <f t="shared" si="3"/>
        <v/>
      </c>
      <c r="S29" s="33"/>
      <c r="T29" s="36" t="str">
        <f t="shared" si="4"/>
        <v/>
      </c>
      <c r="U29" s="76"/>
      <c r="V29" s="36" t="str">
        <f t="shared" si="5"/>
        <v/>
      </c>
      <c r="W29" s="33"/>
      <c r="X29" s="36" t="str">
        <f>IF((ISERROR((W29/$H29)*100)), "", IF(AND(NOT(ISERROR((W29/$H29)*100)),((W29/$H29)*100) &lt;&gt; 0), (W29/$H29)*100, ""))</f>
        <v/>
      </c>
      <c r="Y29" s="33"/>
      <c r="Z29" s="36" t="str">
        <f>IF((ISERROR((Y29/$H29)*100)), "", IF(AND(NOT(ISERROR((Y29/$H29)*100)),((Y29/$H29)*100) &lt;&gt; 0), (Y29/$H29)*100, ""))</f>
        <v/>
      </c>
      <c r="AA29" s="33"/>
      <c r="AB29" s="36" t="str">
        <f>IF((ISERROR((AA29/$H29)*100)), "", IF(AND(NOT(ISERROR((AA29/$H29)*100)),((AA29/$H29)*100) &lt;&gt; 0), (AA29/$H29)*100, ""))</f>
        <v/>
      </c>
      <c r="AC29" s="33"/>
      <c r="AD29" s="36" t="str">
        <f>IF((ISERROR((AC29/$H29)*100)), "", IF(AND(NOT(ISERROR((AC29/$H29)*100)),((AC29/$H29)*100) &lt;&gt; 0), (AC29/$H29)*100, ""))</f>
        <v/>
      </c>
      <c r="AE29" s="23" t="s">
        <v>413</v>
      </c>
      <c r="AF29" s="23"/>
      <c r="AG29" s="23"/>
      <c r="AH29" s="23"/>
      <c r="AI29" s="23"/>
      <c r="AJ29" s="23"/>
      <c r="AK29" s="23"/>
      <c r="AL29" s="23"/>
      <c r="AM29" s="23"/>
      <c r="AN29" s="23"/>
      <c r="AO29" s="23"/>
      <c r="AP29" s="23"/>
      <c r="AQ29" s="23"/>
      <c r="AR29" s="23"/>
      <c r="AS29" s="23"/>
      <c r="AT29" s="23"/>
      <c r="AU29" s="23"/>
      <c r="AV29" s="23"/>
      <c r="AW29" s="23"/>
      <c r="AX29" s="23"/>
      <c r="AY29" s="23"/>
      <c r="AZ29" s="23"/>
    </row>
    <row r="30" spans="1:52" ht="20" customHeight="1" x14ac:dyDescent="0.2">
      <c r="A30" s="60"/>
      <c r="B30" s="82"/>
      <c r="C30" s="24" t="s">
        <v>85</v>
      </c>
      <c r="D30" s="23" t="s">
        <v>54</v>
      </c>
      <c r="E30" s="23" t="s">
        <v>55</v>
      </c>
      <c r="F30" s="24">
        <v>1996</v>
      </c>
      <c r="G30" s="24">
        <v>82</v>
      </c>
      <c r="H30" s="89">
        <v>15</v>
      </c>
      <c r="I30" s="85" t="s">
        <v>176</v>
      </c>
      <c r="J30" s="86" t="s">
        <v>178</v>
      </c>
      <c r="K30" s="33">
        <v>1</v>
      </c>
      <c r="L30" s="36">
        <f t="shared" si="0"/>
        <v>6.666666666666667</v>
      </c>
      <c r="M30" s="33"/>
      <c r="N30" s="36" t="str">
        <f t="shared" si="1"/>
        <v/>
      </c>
      <c r="O30" s="33"/>
      <c r="P30" s="36" t="str">
        <f t="shared" si="2"/>
        <v/>
      </c>
      <c r="Q30" s="33"/>
      <c r="R30" s="36" t="str">
        <f t="shared" si="3"/>
        <v/>
      </c>
      <c r="S30" s="33"/>
      <c r="T30" s="36" t="str">
        <f t="shared" si="4"/>
        <v/>
      </c>
      <c r="U30" s="76">
        <v>1</v>
      </c>
      <c r="V30" s="36">
        <f t="shared" si="5"/>
        <v>6.666666666666667</v>
      </c>
      <c r="W30" s="33"/>
      <c r="X30" s="36" t="str">
        <f>IF((ISERROR((W30/$H30)*100)), "", IF(AND(NOT(ISERROR((W30/$H30)*100)),((W30/$H30)*100) &lt;&gt; 0), (W30/$H30)*100, ""))</f>
        <v/>
      </c>
      <c r="Y30" s="33"/>
      <c r="Z30" s="36" t="str">
        <f>IF((ISERROR((Y30/$H30)*100)), "", IF(AND(NOT(ISERROR((Y30/$H30)*100)),((Y30/$H30)*100) &lt;&gt; 0), (Y30/$H30)*100, ""))</f>
        <v/>
      </c>
      <c r="AA30" s="33"/>
      <c r="AB30" s="36" t="str">
        <f>IF((ISERROR((AA30/$H30)*100)), "", IF(AND(NOT(ISERROR((AA30/$H30)*100)),((AA30/$H30)*100) &lt;&gt; 0), (AA30/$H30)*100, ""))</f>
        <v/>
      </c>
      <c r="AC30" s="33"/>
      <c r="AD30" s="36" t="str">
        <f>IF((ISERROR((AC30/$H30)*100)), "", IF(AND(NOT(ISERROR((AC30/$H30)*100)),((AC30/$H30)*100) &lt;&gt; 0), (AC30/$H30)*100, ""))</f>
        <v/>
      </c>
      <c r="AE30" s="23" t="s">
        <v>344</v>
      </c>
      <c r="AF30" s="23"/>
      <c r="AG30" s="23"/>
      <c r="AH30" s="23"/>
      <c r="AI30" s="23"/>
      <c r="AJ30" s="23"/>
      <c r="AK30" s="23"/>
      <c r="AL30" s="23"/>
      <c r="AM30" s="23"/>
      <c r="AN30" s="23"/>
      <c r="AO30" s="23"/>
      <c r="AP30" s="23"/>
      <c r="AQ30" s="23"/>
      <c r="AR30" s="23"/>
      <c r="AS30" s="23"/>
      <c r="AT30" s="23"/>
      <c r="AU30" s="23"/>
      <c r="AV30" s="23"/>
      <c r="AW30" s="23"/>
      <c r="AX30" s="23"/>
      <c r="AY30" s="23"/>
      <c r="AZ30" s="23"/>
    </row>
    <row r="31" spans="1:52" ht="20" customHeight="1" x14ac:dyDescent="0.2">
      <c r="A31" s="60"/>
      <c r="B31" s="83"/>
      <c r="C31" s="24" t="s">
        <v>85</v>
      </c>
      <c r="D31" s="23" t="s">
        <v>269</v>
      </c>
      <c r="E31" s="23" t="s">
        <v>270</v>
      </c>
      <c r="F31" s="24">
        <v>2016</v>
      </c>
      <c r="H31" s="89">
        <v>49</v>
      </c>
      <c r="I31" s="85" t="s">
        <v>345</v>
      </c>
      <c r="J31" s="86" t="s">
        <v>193</v>
      </c>
      <c r="K31" s="33"/>
      <c r="L31" s="36" t="str">
        <f t="shared" si="0"/>
        <v/>
      </c>
      <c r="M31" s="33"/>
      <c r="N31" s="36" t="str">
        <f t="shared" si="1"/>
        <v/>
      </c>
      <c r="O31" s="33"/>
      <c r="P31" s="36" t="str">
        <f t="shared" si="2"/>
        <v/>
      </c>
      <c r="Q31" s="33"/>
      <c r="R31" s="36" t="str">
        <f t="shared" si="3"/>
        <v/>
      </c>
      <c r="S31" s="33"/>
      <c r="T31" s="36" t="str">
        <f t="shared" si="4"/>
        <v/>
      </c>
      <c r="U31" s="76"/>
      <c r="V31" s="36" t="str">
        <f t="shared" si="5"/>
        <v/>
      </c>
      <c r="W31" s="33"/>
      <c r="X31" s="36" t="str">
        <f t="shared" ref="X31:X36" si="26">IF((ISERROR((W31/$H31)*100)), "", IF(AND(NOT(ISERROR((W31/$H31)*100)),((W31/$H31)*100) &lt;&gt; 0), (W31/$H31)*100, ""))</f>
        <v/>
      </c>
      <c r="Y31" s="33"/>
      <c r="Z31" s="36" t="str">
        <f t="shared" ref="Z31:Z36" si="27">IF((ISERROR((Y31/$H31)*100)), "", IF(AND(NOT(ISERROR((Y31/$H31)*100)),((Y31/$H31)*100) &lt;&gt; 0), (Y31/$H31)*100, ""))</f>
        <v/>
      </c>
      <c r="AA31" s="33"/>
      <c r="AB31" s="36" t="str">
        <f t="shared" ref="AB31:AB36" si="28">IF((ISERROR((AA31/$H31)*100)), "", IF(AND(NOT(ISERROR((AA31/$H31)*100)),((AA31/$H31)*100) &lt;&gt; 0), (AA31/$H31)*100, ""))</f>
        <v/>
      </c>
      <c r="AC31" s="33"/>
      <c r="AD31" s="36" t="str">
        <f t="shared" ref="AD31:AD36" si="29">IF((ISERROR((AC31/$H31)*100)), "", IF(AND(NOT(ISERROR((AC31/$H31)*100)),((AC31/$H31)*100) &lt;&gt; 0), (AC31/$H31)*100, ""))</f>
        <v/>
      </c>
      <c r="AE31" s="23" t="s">
        <v>346</v>
      </c>
      <c r="AF31" s="23"/>
      <c r="AG31" s="23"/>
      <c r="AH31" s="23"/>
      <c r="AI31" s="23"/>
      <c r="AJ31" s="23"/>
      <c r="AK31" s="23"/>
      <c r="AL31" s="23"/>
      <c r="AM31" s="23"/>
      <c r="AN31" s="23"/>
      <c r="AO31" s="23"/>
      <c r="AP31" s="23"/>
      <c r="AQ31" s="23"/>
      <c r="AR31" s="23"/>
      <c r="AS31" s="23"/>
      <c r="AT31" s="23"/>
      <c r="AU31" s="23"/>
      <c r="AV31" s="23"/>
      <c r="AW31" s="23"/>
      <c r="AX31" s="23"/>
      <c r="AY31" s="23"/>
      <c r="AZ31" s="23"/>
    </row>
    <row r="32" spans="1:52" ht="20" customHeight="1" x14ac:dyDescent="0.2">
      <c r="A32" s="61"/>
      <c r="B32" s="83"/>
      <c r="C32" s="24" t="s">
        <v>85</v>
      </c>
      <c r="D32" s="23" t="s">
        <v>86</v>
      </c>
      <c r="E32" s="23" t="s">
        <v>56</v>
      </c>
      <c r="F32" s="24">
        <v>2014</v>
      </c>
      <c r="G32" s="24">
        <v>41</v>
      </c>
      <c r="H32" s="89">
        <v>20</v>
      </c>
      <c r="I32" s="85" t="s">
        <v>179</v>
      </c>
      <c r="J32" s="86"/>
      <c r="K32" s="33"/>
      <c r="L32" s="36" t="str">
        <f t="shared" si="0"/>
        <v/>
      </c>
      <c r="M32" s="33"/>
      <c r="N32" s="36" t="str">
        <f t="shared" si="1"/>
        <v/>
      </c>
      <c r="O32" s="33"/>
      <c r="P32" s="36" t="str">
        <f t="shared" si="2"/>
        <v/>
      </c>
      <c r="Q32" s="33"/>
      <c r="R32" s="36" t="str">
        <f t="shared" si="3"/>
        <v/>
      </c>
      <c r="S32" s="38"/>
      <c r="T32" s="39" t="str">
        <f t="shared" si="4"/>
        <v/>
      </c>
      <c r="U32" s="76"/>
      <c r="V32" s="36" t="str">
        <f t="shared" si="5"/>
        <v/>
      </c>
      <c r="W32" s="33"/>
      <c r="X32" s="36" t="str">
        <f t="shared" si="26"/>
        <v/>
      </c>
      <c r="Y32" s="33"/>
      <c r="Z32" s="36" t="str">
        <f t="shared" si="27"/>
        <v/>
      </c>
      <c r="AA32" s="33"/>
      <c r="AB32" s="36" t="str">
        <f t="shared" si="28"/>
        <v/>
      </c>
      <c r="AC32" s="33"/>
      <c r="AD32" s="36" t="str">
        <f t="shared" si="29"/>
        <v/>
      </c>
      <c r="AE32" s="23" t="s">
        <v>347</v>
      </c>
      <c r="AF32" s="23"/>
      <c r="AG32" s="23"/>
      <c r="AH32" s="23"/>
      <c r="AI32" s="23"/>
      <c r="AJ32" s="23"/>
      <c r="AK32" s="23"/>
      <c r="AL32" s="23"/>
      <c r="AM32" s="23"/>
      <c r="AN32" s="23"/>
      <c r="AO32" s="23"/>
      <c r="AP32" s="23"/>
      <c r="AQ32" s="23"/>
      <c r="AR32" s="23"/>
      <c r="AS32" s="23"/>
      <c r="AT32" s="23"/>
      <c r="AU32" s="23"/>
      <c r="AV32" s="23"/>
      <c r="AW32" s="23"/>
      <c r="AX32" s="23"/>
      <c r="AY32" s="23"/>
      <c r="AZ32" s="23"/>
    </row>
    <row r="33" spans="1:52" ht="20" customHeight="1" x14ac:dyDescent="0.2">
      <c r="A33" s="61"/>
      <c r="B33" s="84"/>
      <c r="C33" s="24" t="s">
        <v>85</v>
      </c>
      <c r="D33" s="23" t="s">
        <v>57</v>
      </c>
      <c r="E33" s="23" t="s">
        <v>58</v>
      </c>
      <c r="F33" s="24">
        <v>2006</v>
      </c>
      <c r="G33" s="24">
        <v>132</v>
      </c>
      <c r="H33" s="89">
        <v>7</v>
      </c>
      <c r="I33" s="85" t="s">
        <v>176</v>
      </c>
      <c r="J33" s="86" t="s">
        <v>169</v>
      </c>
      <c r="K33" s="33"/>
      <c r="L33" s="36" t="str">
        <f t="shared" si="0"/>
        <v/>
      </c>
      <c r="M33" s="33"/>
      <c r="N33" s="36" t="str">
        <f t="shared" si="1"/>
        <v/>
      </c>
      <c r="O33" s="33"/>
      <c r="P33" s="36" t="str">
        <f t="shared" si="2"/>
        <v/>
      </c>
      <c r="Q33" s="33"/>
      <c r="R33" s="36" t="str">
        <f t="shared" si="3"/>
        <v/>
      </c>
      <c r="S33" s="33"/>
      <c r="T33" s="36" t="str">
        <f t="shared" si="4"/>
        <v/>
      </c>
      <c r="U33" s="76"/>
      <c r="V33" s="36" t="str">
        <f t="shared" si="5"/>
        <v/>
      </c>
      <c r="W33" s="33"/>
      <c r="X33" s="36" t="str">
        <f>IF((ISERROR((W33/$H33)*100)), "", IF(AND(NOT(ISERROR((W33/$H33)*100)),((W33/$H33)*100) &lt;&gt; 0), (W33/$H33)*100, ""))</f>
        <v/>
      </c>
      <c r="Y33" s="33"/>
      <c r="Z33" s="36" t="str">
        <f>IF((ISERROR((Y33/$H33)*100)), "", IF(AND(NOT(ISERROR((Y33/$H33)*100)),((Y33/$H33)*100) &lt;&gt; 0), (Y33/$H33)*100, ""))</f>
        <v/>
      </c>
      <c r="AA33" s="33"/>
      <c r="AB33" s="36" t="str">
        <f>IF((ISERROR((AA33/$H33)*100)), "", IF(AND(NOT(ISERROR((AA33/$H33)*100)),((AA33/$H33)*100) &lt;&gt; 0), (AA33/$H33)*100, ""))</f>
        <v/>
      </c>
      <c r="AC33" s="33"/>
      <c r="AD33" s="36" t="str">
        <f>IF((ISERROR((AC33/$H33)*100)), "", IF(AND(NOT(ISERROR((AC33/$H33)*100)),((AC33/$H33)*100) &lt;&gt; 0), (AC33/$H33)*100, ""))</f>
        <v/>
      </c>
      <c r="AE33" s="23" t="s">
        <v>481</v>
      </c>
      <c r="AF33" s="23"/>
      <c r="AG33" s="23"/>
      <c r="AH33" s="23"/>
      <c r="AI33" s="23"/>
      <c r="AJ33" s="23"/>
      <c r="AK33" s="23"/>
      <c r="AL33" s="23"/>
      <c r="AM33" s="23"/>
      <c r="AN33" s="23"/>
      <c r="AO33" s="23"/>
      <c r="AP33" s="23"/>
      <c r="AQ33" s="23"/>
      <c r="AR33" s="23"/>
      <c r="AS33" s="23"/>
      <c r="AT33" s="23"/>
      <c r="AU33" s="23"/>
      <c r="AV33" s="23"/>
      <c r="AW33" s="23"/>
      <c r="AX33" s="23"/>
      <c r="AY33" s="23"/>
      <c r="AZ33" s="23"/>
    </row>
    <row r="34" spans="1:52" ht="20" customHeight="1" x14ac:dyDescent="0.2">
      <c r="A34" s="60"/>
      <c r="B34" s="83"/>
      <c r="C34" s="24" t="s">
        <v>85</v>
      </c>
      <c r="D34" s="23" t="s">
        <v>59</v>
      </c>
      <c r="E34" s="23" t="s">
        <v>60</v>
      </c>
      <c r="F34" s="24">
        <v>2009</v>
      </c>
      <c r="G34" s="24">
        <v>49</v>
      </c>
      <c r="H34" s="89">
        <v>22</v>
      </c>
      <c r="I34" s="85" t="s">
        <v>176</v>
      </c>
      <c r="J34" s="86" t="s">
        <v>189</v>
      </c>
      <c r="K34" s="33"/>
      <c r="L34" s="36" t="str">
        <f t="shared" si="0"/>
        <v/>
      </c>
      <c r="M34" s="33"/>
      <c r="N34" s="36" t="str">
        <f t="shared" si="1"/>
        <v/>
      </c>
      <c r="O34" s="33"/>
      <c r="P34" s="36" t="str">
        <f t="shared" si="2"/>
        <v/>
      </c>
      <c r="Q34" s="33"/>
      <c r="R34" s="36" t="str">
        <f t="shared" si="3"/>
        <v/>
      </c>
      <c r="S34" s="33"/>
      <c r="T34" s="36" t="str">
        <f t="shared" si="4"/>
        <v/>
      </c>
      <c r="U34" s="76"/>
      <c r="V34" s="36" t="str">
        <f t="shared" si="5"/>
        <v/>
      </c>
      <c r="W34" s="33"/>
      <c r="X34" s="36" t="str">
        <f>IF((ISERROR((W34/$H34)*100)), "", IF(AND(NOT(ISERROR((W34/$H34)*100)),((W34/$H34)*100) &lt;&gt; 0), (W34/$H34)*100, ""))</f>
        <v/>
      </c>
      <c r="Y34" s="33"/>
      <c r="Z34" s="36" t="str">
        <f>IF((ISERROR((Y34/$H34)*100)), "", IF(AND(NOT(ISERROR((Y34/$H34)*100)),((Y34/$H34)*100) &lt;&gt; 0), (Y34/$H34)*100, ""))</f>
        <v/>
      </c>
      <c r="AA34" s="33"/>
      <c r="AB34" s="36" t="str">
        <f>IF((ISERROR((AA34/$H34)*100)), "", IF(AND(NOT(ISERROR((AA34/$H34)*100)),((AA34/$H34)*100) &lt;&gt; 0), (AA34/$H34)*100, ""))</f>
        <v/>
      </c>
      <c r="AC34" s="33"/>
      <c r="AD34" s="36" t="str">
        <f>IF((ISERROR((AC34/$H34)*100)), "", IF(AND(NOT(ISERROR((AC34/$H34)*100)),((AC34/$H34)*100) &lt;&gt; 0), (AC34/$H34)*100, ""))</f>
        <v/>
      </c>
      <c r="AE34" s="23" t="s">
        <v>406</v>
      </c>
      <c r="AF34" s="23"/>
      <c r="AG34" s="23"/>
      <c r="AH34" s="23"/>
      <c r="AI34" s="23"/>
      <c r="AJ34" s="23"/>
      <c r="AK34" s="23"/>
      <c r="AL34" s="23"/>
      <c r="AM34" s="23"/>
      <c r="AN34" s="23"/>
      <c r="AO34" s="23"/>
      <c r="AP34" s="23"/>
      <c r="AQ34" s="23"/>
      <c r="AR34" s="23"/>
      <c r="AS34" s="23"/>
      <c r="AT34" s="23"/>
      <c r="AU34" s="23"/>
      <c r="AV34" s="23"/>
      <c r="AW34" s="23"/>
      <c r="AX34" s="23"/>
      <c r="AY34" s="23"/>
      <c r="AZ34" s="23"/>
    </row>
    <row r="35" spans="1:52" ht="20" customHeight="1" x14ac:dyDescent="0.2">
      <c r="A35" s="61"/>
      <c r="B35" s="83"/>
      <c r="C35" s="24" t="s">
        <v>85</v>
      </c>
      <c r="D35" s="23" t="s">
        <v>61</v>
      </c>
      <c r="E35" s="23" t="s">
        <v>62</v>
      </c>
      <c r="F35" s="24">
        <v>2006</v>
      </c>
      <c r="G35" s="24">
        <v>144</v>
      </c>
      <c r="H35" s="89">
        <v>25</v>
      </c>
      <c r="I35" s="85"/>
      <c r="J35" s="86" t="s">
        <v>190</v>
      </c>
      <c r="K35" s="33"/>
      <c r="L35" s="36" t="str">
        <f t="shared" si="0"/>
        <v/>
      </c>
      <c r="M35" s="33"/>
      <c r="N35" s="36" t="str">
        <f t="shared" si="1"/>
        <v/>
      </c>
      <c r="O35" s="33"/>
      <c r="P35" s="36" t="str">
        <f t="shared" si="2"/>
        <v/>
      </c>
      <c r="Q35" s="33"/>
      <c r="R35" s="36" t="str">
        <f t="shared" si="3"/>
        <v/>
      </c>
      <c r="S35" s="33"/>
      <c r="T35" s="36" t="str">
        <f t="shared" si="4"/>
        <v/>
      </c>
      <c r="U35" s="76"/>
      <c r="V35" s="36" t="str">
        <f t="shared" si="5"/>
        <v/>
      </c>
      <c r="W35" s="33"/>
      <c r="X35" s="36" t="str">
        <f t="shared" si="26"/>
        <v/>
      </c>
      <c r="Y35" s="33"/>
      <c r="Z35" s="36" t="str">
        <f t="shared" si="27"/>
        <v/>
      </c>
      <c r="AA35" s="33"/>
      <c r="AB35" s="36" t="str">
        <f t="shared" si="28"/>
        <v/>
      </c>
      <c r="AC35" s="33"/>
      <c r="AD35" s="36" t="str">
        <f t="shared" si="29"/>
        <v/>
      </c>
      <c r="AE35" s="23" t="s">
        <v>181</v>
      </c>
      <c r="AF35" s="23"/>
      <c r="AG35" s="23"/>
      <c r="AH35" s="23"/>
      <c r="AI35" s="23"/>
      <c r="AJ35" s="23"/>
      <c r="AK35" s="23"/>
      <c r="AL35" s="23"/>
      <c r="AM35" s="23"/>
      <c r="AN35" s="23"/>
      <c r="AO35" s="23"/>
      <c r="AP35" s="23"/>
      <c r="AQ35" s="23"/>
      <c r="AR35" s="23"/>
      <c r="AS35" s="23"/>
      <c r="AT35" s="23"/>
      <c r="AU35" s="23"/>
      <c r="AV35" s="23"/>
      <c r="AW35" s="23"/>
      <c r="AX35" s="23"/>
      <c r="AY35" s="23"/>
      <c r="AZ35" s="23"/>
    </row>
    <row r="36" spans="1:52" ht="20" customHeight="1" x14ac:dyDescent="0.2">
      <c r="A36" s="61"/>
      <c r="B36" s="24"/>
      <c r="D36" s="23" t="s">
        <v>271</v>
      </c>
      <c r="E36" s="23" t="s">
        <v>272</v>
      </c>
      <c r="F36" s="24">
        <v>2004</v>
      </c>
      <c r="H36" s="89"/>
      <c r="I36" s="85"/>
      <c r="J36" s="86"/>
      <c r="K36" s="33"/>
      <c r="L36" s="36" t="str">
        <f t="shared" si="0"/>
        <v/>
      </c>
      <c r="M36" s="33"/>
      <c r="N36" s="36" t="str">
        <f t="shared" si="1"/>
        <v/>
      </c>
      <c r="O36" s="33"/>
      <c r="P36" s="36" t="str">
        <f t="shared" si="2"/>
        <v/>
      </c>
      <c r="Q36" s="33"/>
      <c r="R36" s="36" t="str">
        <f t="shared" si="3"/>
        <v/>
      </c>
      <c r="S36" s="33"/>
      <c r="T36" s="36" t="str">
        <f t="shared" si="4"/>
        <v/>
      </c>
      <c r="U36" s="76"/>
      <c r="V36" s="36" t="str">
        <f t="shared" si="5"/>
        <v/>
      </c>
      <c r="W36" s="33"/>
      <c r="X36" s="36" t="str">
        <f t="shared" si="26"/>
        <v/>
      </c>
      <c r="Y36" s="33"/>
      <c r="Z36" s="36" t="str">
        <f t="shared" si="27"/>
        <v/>
      </c>
      <c r="AA36" s="33"/>
      <c r="AB36" s="36" t="str">
        <f t="shared" si="28"/>
        <v/>
      </c>
      <c r="AC36" s="33"/>
      <c r="AD36" s="36" t="str">
        <f t="shared" si="29"/>
        <v/>
      </c>
      <c r="AE36" s="23"/>
      <c r="AF36" s="23"/>
      <c r="AG36" s="23"/>
      <c r="AH36" s="23"/>
      <c r="AI36" s="23"/>
      <c r="AJ36" s="23"/>
      <c r="AK36" s="23"/>
      <c r="AL36" s="23"/>
      <c r="AM36" s="23"/>
      <c r="AN36" s="23"/>
      <c r="AO36" s="23"/>
      <c r="AP36" s="23"/>
      <c r="AQ36" s="23"/>
      <c r="AR36" s="23"/>
      <c r="AS36" s="23"/>
      <c r="AT36" s="23"/>
      <c r="AU36" s="23"/>
      <c r="AV36" s="23"/>
      <c r="AW36" s="23"/>
      <c r="AX36" s="23"/>
      <c r="AY36" s="23"/>
      <c r="AZ36" s="23"/>
    </row>
    <row r="37" spans="1:52" ht="20" customHeight="1" x14ac:dyDescent="0.2">
      <c r="A37" s="60"/>
      <c r="B37" s="82"/>
      <c r="C37" s="24" t="s">
        <v>85</v>
      </c>
      <c r="D37" s="23" t="s">
        <v>273</v>
      </c>
      <c r="E37" s="23" t="s">
        <v>274</v>
      </c>
      <c r="F37" s="24">
        <v>2014</v>
      </c>
      <c r="H37" s="89">
        <v>39</v>
      </c>
      <c r="I37" s="85" t="s">
        <v>407</v>
      </c>
      <c r="J37" s="86" t="s">
        <v>343</v>
      </c>
      <c r="K37" s="33">
        <v>22</v>
      </c>
      <c r="L37" s="36">
        <f t="shared" si="0"/>
        <v>56.410256410256409</v>
      </c>
      <c r="M37" s="33"/>
      <c r="N37" s="36" t="str">
        <f t="shared" si="1"/>
        <v/>
      </c>
      <c r="O37" s="33"/>
      <c r="P37" s="36" t="str">
        <f t="shared" si="2"/>
        <v/>
      </c>
      <c r="Q37" s="33"/>
      <c r="R37" s="36" t="str">
        <f t="shared" si="3"/>
        <v/>
      </c>
      <c r="S37" s="33">
        <v>22</v>
      </c>
      <c r="T37" s="36">
        <f t="shared" si="4"/>
        <v>56.410256410256409</v>
      </c>
      <c r="U37" s="76"/>
      <c r="V37" s="36" t="str">
        <f t="shared" si="5"/>
        <v/>
      </c>
      <c r="W37" s="33">
        <v>23</v>
      </c>
      <c r="X37" s="36">
        <f t="shared" ref="X37:X42" si="30">IF((ISERROR((W37/$H37)*100)), "", IF(AND(NOT(ISERROR((W37/$H37)*100)),((W37/$H37)*100) &lt;&gt; 0), (W37/$H37)*100, ""))</f>
        <v>58.974358974358978</v>
      </c>
      <c r="Y37" s="33"/>
      <c r="Z37" s="36" t="str">
        <f t="shared" ref="Z37:Z42" si="31">IF((ISERROR((Y37/$H37)*100)), "", IF(AND(NOT(ISERROR((Y37/$H37)*100)),((Y37/$H37)*100) &lt;&gt; 0), (Y37/$H37)*100, ""))</f>
        <v/>
      </c>
      <c r="AA37" s="33"/>
      <c r="AB37" s="36" t="str">
        <f t="shared" ref="AB37:AB42" si="32">IF((ISERROR((AA37/$H37)*100)), "", IF(AND(NOT(ISERROR((AA37/$H37)*100)),((AA37/$H37)*100) &lt;&gt; 0), (AA37/$H37)*100, ""))</f>
        <v/>
      </c>
      <c r="AC37" s="33"/>
      <c r="AD37" s="36" t="str">
        <f t="shared" ref="AD37:AD42" si="33">IF((ISERROR((AC37/$H37)*100)), "", IF(AND(NOT(ISERROR((AC37/$H37)*100)),((AC37/$H37)*100) &lt;&gt; 0), (AC37/$H37)*100, ""))</f>
        <v/>
      </c>
      <c r="AE37" s="23" t="s">
        <v>349</v>
      </c>
      <c r="AF37" s="23"/>
      <c r="AG37" s="23"/>
      <c r="AH37" s="23"/>
      <c r="AI37" s="23"/>
      <c r="AJ37" s="23"/>
      <c r="AK37" s="23"/>
      <c r="AL37" s="23"/>
      <c r="AM37" s="23"/>
      <c r="AN37" s="23"/>
      <c r="AO37" s="23"/>
      <c r="AP37" s="23"/>
      <c r="AQ37" s="23"/>
      <c r="AR37" s="23"/>
      <c r="AS37" s="23"/>
      <c r="AT37" s="23"/>
      <c r="AU37" s="23"/>
      <c r="AV37" s="23"/>
      <c r="AW37" s="23"/>
      <c r="AX37" s="23"/>
      <c r="AY37" s="23"/>
      <c r="AZ37" s="23"/>
    </row>
    <row r="38" spans="1:52" ht="20" customHeight="1" x14ac:dyDescent="0.2">
      <c r="A38" s="60"/>
      <c r="B38" s="24"/>
      <c r="C38" s="24" t="s">
        <v>85</v>
      </c>
      <c r="D38" s="23" t="s">
        <v>275</v>
      </c>
      <c r="E38" s="23" t="s">
        <v>276</v>
      </c>
      <c r="F38" s="24">
        <v>2015</v>
      </c>
      <c r="H38" s="89">
        <v>8</v>
      </c>
      <c r="I38" s="85" t="s">
        <v>214</v>
      </c>
      <c r="J38" s="86" t="s">
        <v>350</v>
      </c>
      <c r="K38" s="33"/>
      <c r="L38" s="36" t="str">
        <f t="shared" si="0"/>
        <v/>
      </c>
      <c r="M38" s="33"/>
      <c r="N38" s="36" t="str">
        <f t="shared" si="1"/>
        <v/>
      </c>
      <c r="O38" s="33"/>
      <c r="P38" s="36" t="str">
        <f t="shared" si="2"/>
        <v/>
      </c>
      <c r="Q38" s="33"/>
      <c r="R38" s="36" t="str">
        <f t="shared" si="3"/>
        <v/>
      </c>
      <c r="S38" s="33">
        <v>2</v>
      </c>
      <c r="T38" s="36">
        <f t="shared" si="4"/>
        <v>25</v>
      </c>
      <c r="U38" s="76"/>
      <c r="V38" s="36" t="str">
        <f t="shared" si="5"/>
        <v/>
      </c>
      <c r="W38" s="33"/>
      <c r="X38" s="36" t="str">
        <f t="shared" si="30"/>
        <v/>
      </c>
      <c r="Y38" s="33"/>
      <c r="Z38" s="36" t="str">
        <f t="shared" si="31"/>
        <v/>
      </c>
      <c r="AA38" s="33"/>
      <c r="AB38" s="36" t="str">
        <f t="shared" si="32"/>
        <v/>
      </c>
      <c r="AC38" s="33"/>
      <c r="AD38" s="36" t="str">
        <f t="shared" si="33"/>
        <v/>
      </c>
      <c r="AE38" s="23" t="s">
        <v>408</v>
      </c>
      <c r="AF38" s="23"/>
      <c r="AG38" s="23"/>
      <c r="AH38" s="23"/>
      <c r="AI38" s="23"/>
      <c r="AJ38" s="23"/>
      <c r="AK38" s="23"/>
      <c r="AL38" s="23"/>
      <c r="AM38" s="23"/>
      <c r="AN38" s="23"/>
      <c r="AO38" s="23"/>
      <c r="AP38" s="23"/>
      <c r="AQ38" s="23"/>
      <c r="AR38" s="23"/>
      <c r="AS38" s="23"/>
      <c r="AT38" s="23"/>
      <c r="AU38" s="23"/>
      <c r="AV38" s="23"/>
      <c r="AW38" s="23"/>
      <c r="AX38" s="23"/>
      <c r="AY38" s="23"/>
      <c r="AZ38" s="23"/>
    </row>
    <row r="39" spans="1:52" ht="20" customHeight="1" x14ac:dyDescent="0.2">
      <c r="A39" s="61"/>
      <c r="B39" s="82"/>
      <c r="C39" s="24" t="s">
        <v>85</v>
      </c>
      <c r="D39" s="23" t="s">
        <v>277</v>
      </c>
      <c r="E39" s="23" t="s">
        <v>278</v>
      </c>
      <c r="F39" s="24">
        <v>2001</v>
      </c>
      <c r="H39" s="89">
        <v>9</v>
      </c>
      <c r="I39" s="85"/>
      <c r="J39" s="86" t="s">
        <v>351</v>
      </c>
      <c r="K39" s="33"/>
      <c r="L39" s="36" t="str">
        <f t="shared" si="0"/>
        <v/>
      </c>
      <c r="M39" s="33"/>
      <c r="N39" s="36" t="str">
        <f t="shared" si="1"/>
        <v/>
      </c>
      <c r="O39" s="33"/>
      <c r="P39" s="36" t="str">
        <f t="shared" si="2"/>
        <v/>
      </c>
      <c r="Q39" s="33"/>
      <c r="R39" s="36" t="str">
        <f t="shared" si="3"/>
        <v/>
      </c>
      <c r="S39" s="33"/>
      <c r="T39" s="36" t="str">
        <f t="shared" si="4"/>
        <v/>
      </c>
      <c r="U39" s="40"/>
      <c r="V39" s="39" t="str">
        <f t="shared" si="5"/>
        <v/>
      </c>
      <c r="W39" s="33"/>
      <c r="X39" s="36" t="str">
        <f t="shared" si="30"/>
        <v/>
      </c>
      <c r="Y39" s="33"/>
      <c r="Z39" s="36" t="str">
        <f t="shared" si="31"/>
        <v/>
      </c>
      <c r="AA39" s="33"/>
      <c r="AB39" s="36" t="str">
        <f t="shared" si="32"/>
        <v/>
      </c>
      <c r="AC39" s="33"/>
      <c r="AD39" s="36" t="str">
        <f t="shared" si="33"/>
        <v/>
      </c>
      <c r="AE39" s="23" t="s">
        <v>352</v>
      </c>
      <c r="AF39" s="23"/>
      <c r="AG39" s="23"/>
      <c r="AH39" s="23"/>
      <c r="AI39" s="23"/>
      <c r="AJ39" s="23"/>
      <c r="AK39" s="23"/>
      <c r="AL39" s="23"/>
      <c r="AM39" s="23"/>
      <c r="AN39" s="23"/>
      <c r="AO39" s="23"/>
      <c r="AP39" s="23"/>
      <c r="AQ39" s="23"/>
      <c r="AR39" s="23"/>
      <c r="AS39" s="23"/>
      <c r="AT39" s="23"/>
      <c r="AU39" s="23"/>
      <c r="AV39" s="23"/>
      <c r="AW39" s="23"/>
      <c r="AX39" s="23"/>
      <c r="AY39" s="23"/>
      <c r="AZ39" s="23"/>
    </row>
    <row r="40" spans="1:52" ht="20" customHeight="1" x14ac:dyDescent="0.2">
      <c r="A40" s="60"/>
      <c r="B40" s="82"/>
      <c r="C40" s="24" t="s">
        <v>85</v>
      </c>
      <c r="D40" s="23" t="s">
        <v>63</v>
      </c>
      <c r="E40" s="23" t="s">
        <v>64</v>
      </c>
      <c r="F40" s="24">
        <v>2012</v>
      </c>
      <c r="G40" s="24">
        <v>83</v>
      </c>
      <c r="H40" s="89">
        <v>70</v>
      </c>
      <c r="I40" s="85" t="s">
        <v>182</v>
      </c>
      <c r="J40" s="86" t="s">
        <v>191</v>
      </c>
      <c r="K40" s="33"/>
      <c r="L40" s="36" t="str">
        <f t="shared" si="0"/>
        <v/>
      </c>
      <c r="M40" s="33"/>
      <c r="N40" s="36" t="str">
        <f t="shared" si="1"/>
        <v/>
      </c>
      <c r="O40" s="33"/>
      <c r="P40" s="36" t="str">
        <f t="shared" si="2"/>
        <v/>
      </c>
      <c r="Q40" s="33"/>
      <c r="R40" s="36" t="str">
        <f t="shared" si="3"/>
        <v/>
      </c>
      <c r="S40" s="33">
        <v>9</v>
      </c>
      <c r="T40" s="36">
        <f t="shared" si="4"/>
        <v>12.857142857142856</v>
      </c>
      <c r="U40" s="76">
        <v>31</v>
      </c>
      <c r="V40" s="36">
        <f t="shared" si="5"/>
        <v>44.285714285714285</v>
      </c>
      <c r="W40" s="33">
        <v>8</v>
      </c>
      <c r="X40" s="36">
        <f t="shared" si="30"/>
        <v>11.428571428571429</v>
      </c>
      <c r="Y40" s="33"/>
      <c r="Z40" s="36" t="str">
        <f t="shared" si="31"/>
        <v/>
      </c>
      <c r="AA40" s="33"/>
      <c r="AB40" s="36" t="str">
        <f t="shared" si="32"/>
        <v/>
      </c>
      <c r="AC40" s="33"/>
      <c r="AD40" s="36" t="str">
        <f t="shared" si="33"/>
        <v/>
      </c>
      <c r="AE40" s="23" t="s">
        <v>414</v>
      </c>
      <c r="AF40" s="23"/>
      <c r="AG40" s="23"/>
      <c r="AH40" s="23"/>
      <c r="AI40" s="23"/>
      <c r="AJ40" s="23"/>
      <c r="AK40" s="23"/>
      <c r="AL40" s="23"/>
      <c r="AM40" s="23"/>
      <c r="AN40" s="23"/>
      <c r="AO40" s="23"/>
      <c r="AP40" s="23"/>
      <c r="AQ40" s="23"/>
      <c r="AR40" s="23"/>
      <c r="AS40" s="23"/>
      <c r="AT40" s="23"/>
      <c r="AU40" s="23"/>
      <c r="AV40" s="23"/>
      <c r="AW40" s="23"/>
      <c r="AX40" s="23"/>
      <c r="AY40" s="23"/>
      <c r="AZ40" s="23"/>
    </row>
    <row r="41" spans="1:52" ht="20" customHeight="1" x14ac:dyDescent="0.2">
      <c r="A41" s="60"/>
      <c r="B41" s="84"/>
      <c r="C41" s="24" t="s">
        <v>85</v>
      </c>
      <c r="D41" s="23" t="s">
        <v>69</v>
      </c>
      <c r="E41" s="23" t="s">
        <v>70</v>
      </c>
      <c r="F41" s="24">
        <v>2004</v>
      </c>
      <c r="G41" s="24">
        <v>61</v>
      </c>
      <c r="H41" s="89">
        <v>15</v>
      </c>
      <c r="I41" s="85" t="s">
        <v>184</v>
      </c>
      <c r="J41" s="86" t="s">
        <v>192</v>
      </c>
      <c r="K41" s="33"/>
      <c r="L41" s="36" t="str">
        <f t="shared" si="0"/>
        <v/>
      </c>
      <c r="M41" s="33"/>
      <c r="N41" s="36" t="str">
        <f t="shared" si="1"/>
        <v/>
      </c>
      <c r="O41" s="33"/>
      <c r="P41" s="36" t="str">
        <f t="shared" si="2"/>
        <v/>
      </c>
      <c r="Q41" s="33"/>
      <c r="R41" s="36" t="str">
        <f t="shared" si="3"/>
        <v/>
      </c>
      <c r="S41" s="33"/>
      <c r="T41" s="36" t="str">
        <f t="shared" si="4"/>
        <v/>
      </c>
      <c r="U41" s="76">
        <v>13</v>
      </c>
      <c r="V41" s="36">
        <f t="shared" si="5"/>
        <v>86.666666666666671</v>
      </c>
      <c r="W41" s="33"/>
      <c r="X41" s="36" t="str">
        <f t="shared" si="30"/>
        <v/>
      </c>
      <c r="Y41" s="33"/>
      <c r="Z41" s="36" t="str">
        <f t="shared" si="31"/>
        <v/>
      </c>
      <c r="AA41" s="33"/>
      <c r="AB41" s="36" t="str">
        <f t="shared" si="32"/>
        <v/>
      </c>
      <c r="AC41" s="33"/>
      <c r="AD41" s="36" t="str">
        <f t="shared" si="33"/>
        <v/>
      </c>
      <c r="AE41" s="23" t="s">
        <v>415</v>
      </c>
      <c r="AF41" s="23"/>
      <c r="AG41" s="23"/>
      <c r="AH41" s="23"/>
      <c r="AI41" s="23"/>
      <c r="AJ41" s="23"/>
      <c r="AK41" s="23"/>
      <c r="AL41" s="23"/>
      <c r="AM41" s="23"/>
      <c r="AN41" s="23"/>
      <c r="AO41" s="23"/>
      <c r="AP41" s="23"/>
      <c r="AQ41" s="23"/>
      <c r="AR41" s="23"/>
      <c r="AS41" s="23"/>
      <c r="AT41" s="23"/>
      <c r="AU41" s="23"/>
      <c r="AV41" s="23"/>
      <c r="AW41" s="23"/>
      <c r="AX41" s="23"/>
      <c r="AY41" s="23"/>
      <c r="AZ41" s="23"/>
    </row>
    <row r="42" spans="1:52" ht="20" customHeight="1" x14ac:dyDescent="0.2">
      <c r="A42" s="60"/>
      <c r="B42" s="83"/>
      <c r="C42" s="50" t="s">
        <v>85</v>
      </c>
      <c r="D42" s="49" t="s">
        <v>71</v>
      </c>
      <c r="E42" s="49" t="s">
        <v>70</v>
      </c>
      <c r="F42" s="50">
        <v>2004</v>
      </c>
      <c r="G42" s="50">
        <v>45</v>
      </c>
      <c r="H42" s="89">
        <v>15</v>
      </c>
      <c r="I42" s="85" t="s">
        <v>184</v>
      </c>
      <c r="J42" s="86" t="s">
        <v>192</v>
      </c>
      <c r="K42" s="33"/>
      <c r="L42" s="36" t="str">
        <f t="shared" ref="L42:L73" si="34">IF((ISERROR((K42/$H42)*100)), "", IF(AND(NOT(ISERROR((K42/$H42)*100)),((K42/$H42)*100) &lt;&gt; 0), (K42/$H42)*100, ""))</f>
        <v/>
      </c>
      <c r="M42" s="33"/>
      <c r="N42" s="36" t="str">
        <f t="shared" ref="N42:N73" si="35">IF((ISERROR((M42/$H42)*100)), "", IF(AND(NOT(ISERROR((M42/$H42)*100)),((M42/$H42)*100) &lt;&gt; 0), (M42/$H42)*100, ""))</f>
        <v/>
      </c>
      <c r="O42" s="33"/>
      <c r="P42" s="36" t="str">
        <f t="shared" ref="P42:P73" si="36">IF((ISERROR((O42/$H42)*100)), "", IF(AND(NOT(ISERROR((O42/$H42)*100)),((O42/$H42)*100) &lt;&gt; 0), (O42/$H42)*100, ""))</f>
        <v/>
      </c>
      <c r="Q42" s="33"/>
      <c r="R42" s="36" t="str">
        <f t="shared" ref="R42:R73" si="37">IF((ISERROR((Q42/$H42)*100)), "", IF(AND(NOT(ISERROR((Q42/$H42)*100)),((Q42/$H42)*100) &lt;&gt; 0), (Q42/$H42)*100, ""))</f>
        <v/>
      </c>
      <c r="S42" s="33"/>
      <c r="T42" s="36" t="str">
        <f t="shared" ref="T42:T73" si="38">IF((ISERROR((S42/$H42)*100)), "", IF(AND(NOT(ISERROR((S42/$H42)*100)),((S42/$H42)*100) &lt;&gt; 0), (S42/$H42)*100, ""))</f>
        <v/>
      </c>
      <c r="U42" s="76"/>
      <c r="V42" s="36" t="str">
        <f t="shared" ref="V42:V64" si="39">IF((ISERROR((U42/$H42)*100)), "", IF(AND(NOT(ISERROR((U42/$H42)*100)),((U42/$H42)*100) &lt;&gt; 0), (U42/$H42)*100, ""))</f>
        <v/>
      </c>
      <c r="W42" s="33"/>
      <c r="X42" s="36" t="str">
        <f t="shared" si="30"/>
        <v/>
      </c>
      <c r="Y42" s="33"/>
      <c r="Z42" s="36" t="str">
        <f t="shared" si="31"/>
        <v/>
      </c>
      <c r="AA42" s="33"/>
      <c r="AB42" s="36" t="str">
        <f t="shared" si="32"/>
        <v/>
      </c>
      <c r="AC42" s="33"/>
      <c r="AD42" s="36" t="str">
        <f t="shared" si="33"/>
        <v/>
      </c>
      <c r="AE42" s="23" t="s">
        <v>416</v>
      </c>
      <c r="AF42" s="23"/>
      <c r="AG42" s="23"/>
      <c r="AH42" s="23"/>
      <c r="AI42" s="23"/>
      <c r="AJ42" s="23"/>
      <c r="AK42" s="23"/>
      <c r="AL42" s="23"/>
      <c r="AM42" s="23"/>
      <c r="AN42" s="23"/>
      <c r="AO42" s="23"/>
      <c r="AP42" s="23"/>
      <c r="AQ42" s="23"/>
      <c r="AR42" s="23"/>
      <c r="AS42" s="23"/>
      <c r="AT42" s="23"/>
      <c r="AU42" s="23"/>
      <c r="AV42" s="23"/>
      <c r="AW42" s="23"/>
      <c r="AX42" s="23"/>
      <c r="AY42" s="23"/>
      <c r="AZ42" s="23"/>
    </row>
    <row r="43" spans="1:52" ht="20" customHeight="1" x14ac:dyDescent="0.2">
      <c r="A43" s="60"/>
      <c r="B43" s="82"/>
      <c r="D43" s="23" t="s">
        <v>279</v>
      </c>
      <c r="E43" s="23" t="s">
        <v>282</v>
      </c>
      <c r="F43" s="24">
        <v>2008</v>
      </c>
      <c r="H43" s="89"/>
      <c r="I43" s="85"/>
      <c r="J43" s="86" t="s">
        <v>353</v>
      </c>
      <c r="K43" s="33"/>
      <c r="L43" s="36" t="str">
        <f t="shared" si="34"/>
        <v/>
      </c>
      <c r="M43" s="33"/>
      <c r="N43" s="36" t="str">
        <f t="shared" si="35"/>
        <v/>
      </c>
      <c r="O43" s="33"/>
      <c r="P43" s="36" t="str">
        <f t="shared" si="36"/>
        <v/>
      </c>
      <c r="Q43" s="33"/>
      <c r="R43" s="36" t="str">
        <f t="shared" si="37"/>
        <v/>
      </c>
      <c r="S43" s="33">
        <v>2</v>
      </c>
      <c r="T43" s="36" t="str">
        <f t="shared" si="38"/>
        <v/>
      </c>
      <c r="U43" s="76"/>
      <c r="V43" s="36" t="str">
        <f t="shared" si="39"/>
        <v/>
      </c>
      <c r="W43" s="33"/>
      <c r="X43" s="36" t="str">
        <f t="shared" ref="X43" si="40">IF((ISERROR((W43/$H43)*100)), "", IF(AND(NOT(ISERROR((W43/$H43)*100)),((W43/$H43)*100) &lt;&gt; 0), (W43/$H43)*100, ""))</f>
        <v/>
      </c>
      <c r="Y43" s="33"/>
      <c r="Z43" s="36" t="str">
        <f t="shared" ref="Z43" si="41">IF((ISERROR((Y43/$H43)*100)), "", IF(AND(NOT(ISERROR((Y43/$H43)*100)),((Y43/$H43)*100) &lt;&gt; 0), (Y43/$H43)*100, ""))</f>
        <v/>
      </c>
      <c r="AA43" s="33"/>
      <c r="AB43" s="36" t="str">
        <f t="shared" ref="AB43" si="42">IF((ISERROR((AA43/$H43)*100)), "", IF(AND(NOT(ISERROR((AA43/$H43)*100)),((AA43/$H43)*100) &lt;&gt; 0), (AA43/$H43)*100, ""))</f>
        <v/>
      </c>
      <c r="AC43" s="33"/>
      <c r="AD43" s="36" t="str">
        <f t="shared" ref="AD43" si="43">IF((ISERROR((AC43/$H43)*100)), "", IF(AND(NOT(ISERROR((AC43/$H43)*100)),((AC43/$H43)*100) &lt;&gt; 0), (AC43/$H43)*100, ""))</f>
        <v/>
      </c>
      <c r="AE43" s="23"/>
      <c r="AF43" s="23"/>
      <c r="AG43" s="23"/>
      <c r="AH43" s="23"/>
      <c r="AI43" s="23"/>
      <c r="AJ43" s="23"/>
      <c r="AK43" s="23"/>
      <c r="AL43" s="23"/>
      <c r="AM43" s="23"/>
      <c r="AN43" s="23"/>
      <c r="AO43" s="23"/>
      <c r="AP43" s="23"/>
      <c r="AQ43" s="23"/>
      <c r="AR43" s="23"/>
      <c r="AS43" s="23"/>
      <c r="AT43" s="23"/>
      <c r="AU43" s="23"/>
      <c r="AV43" s="23"/>
      <c r="AW43" s="23"/>
      <c r="AX43" s="23"/>
      <c r="AY43" s="23"/>
      <c r="AZ43" s="23"/>
    </row>
    <row r="44" spans="1:52" ht="20" customHeight="1" x14ac:dyDescent="0.2">
      <c r="A44" s="60"/>
      <c r="B44" s="83"/>
      <c r="C44" s="24" t="s">
        <v>85</v>
      </c>
      <c r="D44" s="23" t="s">
        <v>280</v>
      </c>
      <c r="E44" s="23" t="s">
        <v>281</v>
      </c>
      <c r="F44" s="24">
        <v>2013</v>
      </c>
      <c r="H44" s="89">
        <v>23</v>
      </c>
      <c r="I44" s="85"/>
      <c r="J44" s="86"/>
      <c r="K44" s="33"/>
      <c r="L44" s="36" t="str">
        <f t="shared" si="34"/>
        <v/>
      </c>
      <c r="M44" s="33"/>
      <c r="N44" s="36" t="str">
        <f t="shared" si="35"/>
        <v/>
      </c>
      <c r="O44" s="33"/>
      <c r="P44" s="36" t="str">
        <f t="shared" si="36"/>
        <v/>
      </c>
      <c r="Q44" s="33"/>
      <c r="R44" s="36" t="str">
        <f t="shared" si="37"/>
        <v/>
      </c>
      <c r="S44" s="33"/>
      <c r="T44" s="36" t="str">
        <f t="shared" si="38"/>
        <v/>
      </c>
      <c r="U44" s="76"/>
      <c r="V44" s="36" t="str">
        <f t="shared" si="39"/>
        <v/>
      </c>
      <c r="W44" s="33"/>
      <c r="X44" s="36" t="str">
        <f>IF((ISERROR((W44/$H44)*100)), "", IF(AND(NOT(ISERROR((W44/$H44)*100)),((W44/$H44)*100) &lt;&gt; 0), (W44/$H44)*100, ""))</f>
        <v/>
      </c>
      <c r="Y44" s="33"/>
      <c r="Z44" s="36" t="str">
        <f>IF((ISERROR((Y44/$H44)*100)), "", IF(AND(NOT(ISERROR((Y44/$H44)*100)),((Y44/$H44)*100) &lt;&gt; 0), (Y44/$H44)*100, ""))</f>
        <v/>
      </c>
      <c r="AA44" s="33"/>
      <c r="AB44" s="36" t="str">
        <f>IF((ISERROR((AA44/$H44)*100)), "", IF(AND(NOT(ISERROR((AA44/$H44)*100)),((AA44/$H44)*100) &lt;&gt; 0), (AA44/$H44)*100, ""))</f>
        <v/>
      </c>
      <c r="AC44" s="33"/>
      <c r="AD44" s="36" t="str">
        <f>IF((ISERROR((AC44/$H44)*100)), "", IF(AND(NOT(ISERROR((AC44/$H44)*100)),((AC44/$H44)*100) &lt;&gt; 0), (AC44/$H44)*100, ""))</f>
        <v/>
      </c>
      <c r="AE44" s="23" t="s">
        <v>417</v>
      </c>
      <c r="AF44" s="23"/>
      <c r="AG44" s="23"/>
      <c r="AH44" s="23"/>
      <c r="AI44" s="23"/>
      <c r="AJ44" s="23"/>
      <c r="AK44" s="23"/>
      <c r="AL44" s="23"/>
      <c r="AM44" s="23"/>
      <c r="AN44" s="23"/>
      <c r="AO44" s="23"/>
      <c r="AP44" s="23"/>
      <c r="AQ44" s="23"/>
      <c r="AR44" s="23"/>
      <c r="AS44" s="23"/>
      <c r="AT44" s="23"/>
      <c r="AU44" s="23"/>
      <c r="AV44" s="23"/>
      <c r="AW44" s="23"/>
      <c r="AX44" s="23"/>
      <c r="AY44" s="23"/>
      <c r="AZ44" s="23"/>
    </row>
    <row r="45" spans="1:52" ht="20" customHeight="1" x14ac:dyDescent="0.2">
      <c r="A45" s="61"/>
      <c r="B45" s="24"/>
      <c r="C45" s="50" t="s">
        <v>85</v>
      </c>
      <c r="D45" s="49" t="s">
        <v>354</v>
      </c>
      <c r="E45" s="49" t="s">
        <v>72</v>
      </c>
      <c r="F45" s="50">
        <v>2014</v>
      </c>
      <c r="G45" s="50">
        <v>23</v>
      </c>
      <c r="H45" s="89">
        <v>28</v>
      </c>
      <c r="I45" s="85" t="s">
        <v>185</v>
      </c>
      <c r="J45" s="86" t="s">
        <v>193</v>
      </c>
      <c r="K45" s="33"/>
      <c r="L45" s="36" t="str">
        <f t="shared" si="34"/>
        <v/>
      </c>
      <c r="M45" s="33"/>
      <c r="N45" s="36" t="str">
        <f t="shared" si="35"/>
        <v/>
      </c>
      <c r="O45" s="33"/>
      <c r="P45" s="36" t="str">
        <f t="shared" si="36"/>
        <v/>
      </c>
      <c r="Q45" s="33"/>
      <c r="R45" s="36" t="str">
        <f t="shared" si="37"/>
        <v/>
      </c>
      <c r="S45" s="33"/>
      <c r="T45" s="36" t="str">
        <f t="shared" si="38"/>
        <v/>
      </c>
      <c r="U45" s="76"/>
      <c r="V45" s="36" t="str">
        <f t="shared" si="39"/>
        <v/>
      </c>
      <c r="W45" s="33"/>
      <c r="X45" s="36" t="str">
        <f>IF((ISERROR((W45/$H45)*100)), "", IF(AND(NOT(ISERROR((W45/$H45)*100)),((W45/$H45)*100) &lt;&gt; 0), (W45/$H45)*100, ""))</f>
        <v/>
      </c>
      <c r="Y45" s="33"/>
      <c r="Z45" s="36" t="str">
        <f>IF((ISERROR((Y45/$H45)*100)), "", IF(AND(NOT(ISERROR((Y45/$H45)*100)),((Y45/$H45)*100) &lt;&gt; 0), (Y45/$H45)*100, ""))</f>
        <v/>
      </c>
      <c r="AA45" s="33"/>
      <c r="AB45" s="36" t="str">
        <f>IF((ISERROR((AA45/$H45)*100)), "", IF(AND(NOT(ISERROR((AA45/$H45)*100)),((AA45/$H45)*100) &lt;&gt; 0), (AA45/$H45)*100, ""))</f>
        <v/>
      </c>
      <c r="AC45" s="33"/>
      <c r="AD45" s="36" t="str">
        <f>IF((ISERROR((AC45/$H45)*100)), "", IF(AND(NOT(ISERROR((AC45/$H45)*100)),((AC45/$H45)*100) &lt;&gt; 0), (AC45/$H45)*100, ""))</f>
        <v/>
      </c>
      <c r="AE45" s="23" t="s">
        <v>418</v>
      </c>
      <c r="AF45" s="23"/>
      <c r="AG45" s="23"/>
      <c r="AH45" s="23"/>
      <c r="AI45" s="23"/>
      <c r="AJ45" s="23"/>
      <c r="AK45" s="23"/>
      <c r="AL45" s="23"/>
      <c r="AM45" s="23"/>
      <c r="AN45" s="23"/>
      <c r="AO45" s="23"/>
      <c r="AP45" s="23"/>
      <c r="AQ45" s="23"/>
      <c r="AR45" s="23"/>
      <c r="AS45" s="23"/>
      <c r="AT45" s="23"/>
      <c r="AU45" s="23"/>
      <c r="AV45" s="23"/>
      <c r="AW45" s="23"/>
      <c r="AX45" s="23"/>
      <c r="AY45" s="23"/>
      <c r="AZ45" s="23"/>
    </row>
    <row r="46" spans="1:52" ht="20" customHeight="1" x14ac:dyDescent="0.2">
      <c r="A46" s="60"/>
      <c r="B46" s="82"/>
      <c r="C46" s="24" t="s">
        <v>85</v>
      </c>
      <c r="D46" s="23" t="s">
        <v>283</v>
      </c>
      <c r="E46" s="23" t="s">
        <v>284</v>
      </c>
      <c r="F46" s="24">
        <v>2014</v>
      </c>
      <c r="H46" s="89">
        <v>28</v>
      </c>
      <c r="I46" s="85" t="s">
        <v>185</v>
      </c>
      <c r="J46" s="86" t="s">
        <v>193</v>
      </c>
      <c r="K46" s="33"/>
      <c r="L46" s="36" t="str">
        <f t="shared" si="34"/>
        <v/>
      </c>
      <c r="M46" s="33"/>
      <c r="N46" s="36" t="str">
        <f t="shared" si="35"/>
        <v/>
      </c>
      <c r="O46" s="33"/>
      <c r="P46" s="36" t="str">
        <f t="shared" si="36"/>
        <v/>
      </c>
      <c r="Q46" s="33"/>
      <c r="R46" s="36" t="str">
        <f t="shared" si="37"/>
        <v/>
      </c>
      <c r="S46" s="33"/>
      <c r="T46" s="36" t="str">
        <f t="shared" si="38"/>
        <v/>
      </c>
      <c r="U46" s="76">
        <v>3</v>
      </c>
      <c r="V46" s="36">
        <f t="shared" si="39"/>
        <v>10.714285714285714</v>
      </c>
      <c r="W46" s="33"/>
      <c r="X46" s="36" t="str">
        <f>IF((ISERROR((W46/$H46)*100)), "", IF(AND(NOT(ISERROR((W46/$H46)*100)),((W46/$H46)*100) &lt;&gt; 0), (W46/$H46)*100, ""))</f>
        <v/>
      </c>
      <c r="Y46" s="33"/>
      <c r="Z46" s="36" t="str">
        <f>IF((ISERROR((Y46/$H46)*100)), "", IF(AND(NOT(ISERROR((Y46/$H46)*100)),((Y46/$H46)*100) &lt;&gt; 0), (Y46/$H46)*100, ""))</f>
        <v/>
      </c>
      <c r="AA46" s="33"/>
      <c r="AB46" s="36" t="str">
        <f>IF((ISERROR((AA46/$H46)*100)), "", IF(AND(NOT(ISERROR((AA46/$H46)*100)),((AA46/$H46)*100) &lt;&gt; 0), (AA46/$H46)*100, ""))</f>
        <v/>
      </c>
      <c r="AC46" s="33"/>
      <c r="AD46" s="36" t="str">
        <f>IF((ISERROR((AC46/$H46)*100)), "", IF(AND(NOT(ISERROR((AC46/$H46)*100)),((AC46/$H46)*100) &lt;&gt; 0), (AC46/$H46)*100, ""))</f>
        <v/>
      </c>
      <c r="AE46" s="23" t="s">
        <v>355</v>
      </c>
      <c r="AF46" s="23"/>
      <c r="AG46" s="23"/>
      <c r="AH46" s="23"/>
      <c r="AI46" s="23"/>
      <c r="AJ46" s="23"/>
      <c r="AK46" s="23"/>
      <c r="AL46" s="23"/>
      <c r="AM46" s="23"/>
      <c r="AN46" s="23"/>
      <c r="AO46" s="23"/>
      <c r="AP46" s="23"/>
      <c r="AQ46" s="23"/>
      <c r="AR46" s="23"/>
      <c r="AS46" s="23"/>
      <c r="AT46" s="23"/>
      <c r="AU46" s="23"/>
      <c r="AV46" s="23"/>
      <c r="AW46" s="23"/>
      <c r="AX46" s="23"/>
      <c r="AY46" s="23"/>
      <c r="AZ46" s="23"/>
    </row>
    <row r="47" spans="1:52" ht="20" customHeight="1" x14ac:dyDescent="0.2">
      <c r="A47" s="60"/>
      <c r="B47" s="82"/>
      <c r="C47" s="24" t="s">
        <v>484</v>
      </c>
      <c r="D47" s="23" t="s">
        <v>77</v>
      </c>
      <c r="E47" s="23" t="s">
        <v>78</v>
      </c>
      <c r="F47" s="24">
        <v>2009</v>
      </c>
      <c r="G47" s="24">
        <v>134</v>
      </c>
      <c r="H47" s="89">
        <v>94</v>
      </c>
      <c r="I47" s="85" t="s">
        <v>482</v>
      </c>
      <c r="J47" s="86" t="s">
        <v>483</v>
      </c>
      <c r="K47" s="33">
        <v>3</v>
      </c>
      <c r="L47" s="36">
        <f t="shared" si="34"/>
        <v>3.1914893617021276</v>
      </c>
      <c r="M47" s="33"/>
      <c r="N47" s="36" t="str">
        <f t="shared" si="35"/>
        <v/>
      </c>
      <c r="O47" s="33"/>
      <c r="P47" s="36" t="str">
        <f t="shared" si="36"/>
        <v/>
      </c>
      <c r="Q47" s="33"/>
      <c r="R47" s="36" t="str">
        <f t="shared" si="37"/>
        <v/>
      </c>
      <c r="S47" s="33">
        <v>2</v>
      </c>
      <c r="T47" s="36">
        <f t="shared" si="38"/>
        <v>2.1276595744680851</v>
      </c>
      <c r="U47" s="76">
        <v>8</v>
      </c>
      <c r="V47" s="36">
        <f t="shared" si="39"/>
        <v>8.5106382978723403</v>
      </c>
      <c r="W47" s="33">
        <v>1</v>
      </c>
      <c r="X47" s="36">
        <f t="shared" ref="X47:X55" si="44">IF((ISERROR((W47/$H47)*100)), "", IF(AND(NOT(ISERROR((W47/$H47)*100)),((W47/$H47)*100) &lt;&gt; 0), (W47/$H47)*100, ""))</f>
        <v>1.0638297872340425</v>
      </c>
      <c r="Y47" s="33"/>
      <c r="Z47" s="36" t="str">
        <f t="shared" ref="Z47:Z55" si="45">IF((ISERROR((Y47/$H47)*100)), "", IF(AND(NOT(ISERROR((Y47/$H47)*100)),((Y47/$H47)*100) &lt;&gt; 0), (Y47/$H47)*100, ""))</f>
        <v/>
      </c>
      <c r="AA47" s="33"/>
      <c r="AB47" s="36" t="str">
        <f t="shared" ref="AB47:AB55" si="46">IF((ISERROR((AA47/$H47)*100)), "", IF(AND(NOT(ISERROR((AA47/$H47)*100)),((AA47/$H47)*100) &lt;&gt; 0), (AA47/$H47)*100, ""))</f>
        <v/>
      </c>
      <c r="AC47" s="33"/>
      <c r="AD47" s="36" t="str">
        <f t="shared" ref="AD47:AD55" si="47">IF((ISERROR((AC47/$H47)*100)), "", IF(AND(NOT(ISERROR((AC47/$H47)*100)),((AC47/$H47)*100) &lt;&gt; 0), (AC47/$H47)*100, ""))</f>
        <v/>
      </c>
      <c r="AE47" s="23" t="s">
        <v>485</v>
      </c>
      <c r="AF47" s="23"/>
      <c r="AG47" s="23"/>
      <c r="AH47" s="23"/>
      <c r="AI47" s="23"/>
      <c r="AJ47" s="23"/>
      <c r="AK47" s="23"/>
      <c r="AL47" s="23"/>
      <c r="AM47" s="23"/>
      <c r="AN47" s="23"/>
      <c r="AO47" s="23"/>
      <c r="AP47" s="23"/>
      <c r="AQ47" s="23"/>
      <c r="AR47" s="23"/>
      <c r="AS47" s="23"/>
      <c r="AT47" s="23"/>
      <c r="AU47" s="23"/>
      <c r="AV47" s="23"/>
      <c r="AW47" s="23"/>
      <c r="AX47" s="23"/>
      <c r="AY47" s="23"/>
      <c r="AZ47" s="23"/>
    </row>
    <row r="48" spans="1:52" ht="20" customHeight="1" x14ac:dyDescent="0.2">
      <c r="A48" s="60"/>
      <c r="B48" s="83"/>
      <c r="C48" s="24" t="s">
        <v>85</v>
      </c>
      <c r="D48" s="23" t="s">
        <v>285</v>
      </c>
      <c r="E48" s="23" t="s">
        <v>286</v>
      </c>
      <c r="F48" s="24">
        <v>2011</v>
      </c>
      <c r="H48" s="89">
        <v>4</v>
      </c>
      <c r="I48" s="85"/>
      <c r="J48" s="86"/>
      <c r="K48" s="33"/>
      <c r="L48" s="36" t="str">
        <f t="shared" si="34"/>
        <v/>
      </c>
      <c r="M48" s="33"/>
      <c r="N48" s="36" t="str">
        <f t="shared" si="35"/>
        <v/>
      </c>
      <c r="O48" s="33"/>
      <c r="P48" s="36" t="str">
        <f t="shared" si="36"/>
        <v/>
      </c>
      <c r="Q48" s="33"/>
      <c r="R48" s="36" t="str">
        <f t="shared" si="37"/>
        <v/>
      </c>
      <c r="S48" s="33"/>
      <c r="T48" s="36" t="str">
        <f t="shared" si="38"/>
        <v/>
      </c>
      <c r="U48" s="76"/>
      <c r="V48" s="36" t="str">
        <f t="shared" si="39"/>
        <v/>
      </c>
      <c r="W48" s="33"/>
      <c r="X48" s="36" t="str">
        <f t="shared" si="44"/>
        <v/>
      </c>
      <c r="Y48" s="33"/>
      <c r="Z48" s="36" t="str">
        <f t="shared" si="45"/>
        <v/>
      </c>
      <c r="AA48" s="33"/>
      <c r="AB48" s="36" t="str">
        <f t="shared" si="46"/>
        <v/>
      </c>
      <c r="AC48" s="33"/>
      <c r="AD48" s="36" t="str">
        <f t="shared" si="47"/>
        <v/>
      </c>
      <c r="AE48" s="23"/>
      <c r="AF48" s="23"/>
      <c r="AG48" s="23"/>
      <c r="AH48" s="23"/>
      <c r="AI48" s="23"/>
      <c r="AJ48" s="23"/>
      <c r="AK48" s="23"/>
      <c r="AL48" s="23"/>
      <c r="AM48" s="23"/>
      <c r="AN48" s="23"/>
      <c r="AO48" s="23"/>
      <c r="AP48" s="23"/>
      <c r="AQ48" s="23"/>
      <c r="AR48" s="23"/>
      <c r="AS48" s="23"/>
      <c r="AT48" s="23"/>
      <c r="AU48" s="23"/>
      <c r="AV48" s="23"/>
      <c r="AW48" s="23"/>
      <c r="AX48" s="23"/>
      <c r="AY48" s="23"/>
      <c r="AZ48" s="23"/>
    </row>
    <row r="49" spans="1:52" ht="20" customHeight="1" x14ac:dyDescent="0.2">
      <c r="A49" s="60"/>
      <c r="B49" s="83"/>
      <c r="C49" s="24" t="s">
        <v>85</v>
      </c>
      <c r="D49" s="23" t="s">
        <v>287</v>
      </c>
      <c r="E49" s="23" t="s">
        <v>288</v>
      </c>
      <c r="F49" s="24">
        <v>2015</v>
      </c>
      <c r="H49" s="89">
        <v>10</v>
      </c>
      <c r="I49" s="85" t="s">
        <v>345</v>
      </c>
      <c r="J49" s="86" t="s">
        <v>356</v>
      </c>
      <c r="K49" s="33"/>
      <c r="L49" s="36" t="str">
        <f t="shared" si="34"/>
        <v/>
      </c>
      <c r="M49" s="33"/>
      <c r="N49" s="36" t="str">
        <f t="shared" si="35"/>
        <v/>
      </c>
      <c r="O49" s="33"/>
      <c r="P49" s="36" t="str">
        <f t="shared" si="36"/>
        <v/>
      </c>
      <c r="Q49" s="33"/>
      <c r="R49" s="36" t="str">
        <f t="shared" si="37"/>
        <v/>
      </c>
      <c r="S49" s="33"/>
      <c r="T49" s="36" t="str">
        <f t="shared" si="38"/>
        <v/>
      </c>
      <c r="U49" s="76"/>
      <c r="V49" s="36" t="str">
        <f t="shared" si="39"/>
        <v/>
      </c>
      <c r="W49" s="33"/>
      <c r="X49" s="36" t="str">
        <f>IF((ISERROR((W49/$H49)*100)), "", IF(AND(NOT(ISERROR((W49/$H49)*100)),((W49/$H49)*100) &lt;&gt; 0), (W49/$H49)*100, ""))</f>
        <v/>
      </c>
      <c r="Y49" s="33"/>
      <c r="Z49" s="36" t="str">
        <f>IF((ISERROR((Y49/$H49)*100)), "", IF(AND(NOT(ISERROR((Y49/$H49)*100)),((Y49/$H49)*100) &lt;&gt; 0), (Y49/$H49)*100, ""))</f>
        <v/>
      </c>
      <c r="AA49" s="33"/>
      <c r="AB49" s="36" t="str">
        <f>IF((ISERROR((AA49/$H49)*100)), "", IF(AND(NOT(ISERROR((AA49/$H49)*100)),((AA49/$H49)*100) &lt;&gt; 0), (AA49/$H49)*100, ""))</f>
        <v/>
      </c>
      <c r="AC49" s="33"/>
      <c r="AD49" s="36" t="str">
        <f>IF((ISERROR((AC49/$H49)*100)), "", IF(AND(NOT(ISERROR((AC49/$H49)*100)),((AC49/$H49)*100) &lt;&gt; 0), (AC49/$H49)*100, ""))</f>
        <v/>
      </c>
      <c r="AE49" s="23"/>
      <c r="AF49" s="23"/>
      <c r="AG49" s="23"/>
      <c r="AH49" s="23"/>
      <c r="AI49" s="23"/>
      <c r="AJ49" s="23"/>
      <c r="AK49" s="23"/>
      <c r="AL49" s="23"/>
      <c r="AM49" s="23"/>
      <c r="AN49" s="23"/>
      <c r="AO49" s="23"/>
      <c r="AP49" s="23"/>
      <c r="AQ49" s="23"/>
      <c r="AR49" s="23"/>
      <c r="AS49" s="23"/>
      <c r="AT49" s="23"/>
      <c r="AU49" s="23"/>
      <c r="AV49" s="23"/>
      <c r="AW49" s="23"/>
      <c r="AX49" s="23"/>
      <c r="AY49" s="23"/>
      <c r="AZ49" s="23"/>
    </row>
    <row r="50" spans="1:52" ht="20" customHeight="1" x14ac:dyDescent="0.2">
      <c r="A50" s="60"/>
      <c r="B50" s="82"/>
      <c r="C50" s="24" t="s">
        <v>85</v>
      </c>
      <c r="D50" s="23" t="s">
        <v>79</v>
      </c>
      <c r="E50" s="23" t="s">
        <v>80</v>
      </c>
      <c r="F50" s="24">
        <v>2015</v>
      </c>
      <c r="G50" s="24">
        <v>10</v>
      </c>
      <c r="H50" s="89">
        <v>11</v>
      </c>
      <c r="I50" s="85" t="s">
        <v>195</v>
      </c>
      <c r="J50" s="86" t="s">
        <v>169</v>
      </c>
      <c r="K50" s="33"/>
      <c r="L50" s="36" t="str">
        <f t="shared" si="34"/>
        <v/>
      </c>
      <c r="M50" s="33"/>
      <c r="N50" s="36" t="str">
        <f t="shared" si="35"/>
        <v/>
      </c>
      <c r="O50" s="33"/>
      <c r="P50" s="36" t="str">
        <f t="shared" si="36"/>
        <v/>
      </c>
      <c r="Q50" s="33"/>
      <c r="R50" s="36" t="str">
        <f t="shared" si="37"/>
        <v/>
      </c>
      <c r="S50" s="33"/>
      <c r="T50" s="36" t="str">
        <f t="shared" si="38"/>
        <v/>
      </c>
      <c r="U50" s="76"/>
      <c r="V50" s="36" t="str">
        <f t="shared" si="39"/>
        <v/>
      </c>
      <c r="W50" s="33"/>
      <c r="X50" s="36" t="str">
        <f>IF((ISERROR((W50/$H50)*100)), "", IF(AND(NOT(ISERROR((W50/$H50)*100)),((W50/$H50)*100) &lt;&gt; 0), (W50/$H50)*100, ""))</f>
        <v/>
      </c>
      <c r="Y50" s="33"/>
      <c r="Z50" s="36" t="str">
        <f>IF((ISERROR((Y50/$H50)*100)), "", IF(AND(NOT(ISERROR((Y50/$H50)*100)),((Y50/$H50)*100) &lt;&gt; 0), (Y50/$H50)*100, ""))</f>
        <v/>
      </c>
      <c r="AA50" s="33"/>
      <c r="AB50" s="36" t="str">
        <f>IF((ISERROR((AA50/$H50)*100)), "", IF(AND(NOT(ISERROR((AA50/$H50)*100)),((AA50/$H50)*100) &lt;&gt; 0), (AA50/$H50)*100, ""))</f>
        <v/>
      </c>
      <c r="AC50" s="33"/>
      <c r="AD50" s="36" t="str">
        <f>IF((ISERROR((AC50/$H50)*100)), "", IF(AND(NOT(ISERROR((AC50/$H50)*100)),((AC50/$H50)*100) &lt;&gt; 0), (AC50/$H50)*100, ""))</f>
        <v/>
      </c>
      <c r="AE50" s="23" t="s">
        <v>194</v>
      </c>
      <c r="AF50" s="23"/>
      <c r="AG50" s="23"/>
      <c r="AH50" s="23"/>
      <c r="AI50" s="23"/>
      <c r="AJ50" s="23"/>
      <c r="AK50" s="23"/>
      <c r="AL50" s="23"/>
      <c r="AM50" s="23"/>
      <c r="AN50" s="23"/>
      <c r="AO50" s="23"/>
      <c r="AP50" s="23"/>
      <c r="AQ50" s="23"/>
      <c r="AR50" s="23"/>
      <c r="AS50" s="23"/>
      <c r="AT50" s="23"/>
      <c r="AU50" s="23"/>
      <c r="AV50" s="23"/>
      <c r="AW50" s="23"/>
      <c r="AX50" s="23"/>
      <c r="AY50" s="23"/>
      <c r="AZ50" s="23"/>
    </row>
    <row r="51" spans="1:52" ht="20" customHeight="1" x14ac:dyDescent="0.2">
      <c r="A51" s="61"/>
      <c r="B51" s="83"/>
      <c r="C51" s="24" t="s">
        <v>85</v>
      </c>
      <c r="D51" s="23" t="s">
        <v>81</v>
      </c>
      <c r="E51" s="23" t="s">
        <v>82</v>
      </c>
      <c r="F51" s="24">
        <v>1994</v>
      </c>
      <c r="G51" s="24">
        <v>292</v>
      </c>
      <c r="H51" s="89">
        <v>15</v>
      </c>
      <c r="I51" s="85" t="s">
        <v>196</v>
      </c>
      <c r="J51" s="86"/>
      <c r="K51" s="33"/>
      <c r="L51" s="36" t="str">
        <f t="shared" si="34"/>
        <v/>
      </c>
      <c r="M51" s="33"/>
      <c r="N51" s="36" t="str">
        <f t="shared" si="35"/>
        <v/>
      </c>
      <c r="O51" s="33"/>
      <c r="P51" s="36" t="str">
        <f t="shared" si="36"/>
        <v/>
      </c>
      <c r="Q51" s="33"/>
      <c r="R51" s="36" t="str">
        <f t="shared" si="37"/>
        <v/>
      </c>
      <c r="S51" s="33"/>
      <c r="T51" s="36" t="str">
        <f t="shared" si="38"/>
        <v/>
      </c>
      <c r="U51" s="76"/>
      <c r="V51" s="36" t="str">
        <f t="shared" si="39"/>
        <v/>
      </c>
      <c r="W51" s="33"/>
      <c r="X51" s="36" t="str">
        <f t="shared" si="44"/>
        <v/>
      </c>
      <c r="Y51" s="33"/>
      <c r="Z51" s="36" t="str">
        <f t="shared" si="45"/>
        <v/>
      </c>
      <c r="AA51" s="33"/>
      <c r="AB51" s="36" t="str">
        <f t="shared" si="46"/>
        <v/>
      </c>
      <c r="AC51" s="33"/>
      <c r="AD51" s="36" t="str">
        <f t="shared" si="47"/>
        <v/>
      </c>
      <c r="AE51" s="23" t="s">
        <v>197</v>
      </c>
      <c r="AF51" s="23"/>
      <c r="AG51" s="23"/>
      <c r="AH51" s="23"/>
      <c r="AI51" s="23"/>
      <c r="AJ51" s="23"/>
      <c r="AK51" s="23"/>
      <c r="AL51" s="23"/>
      <c r="AM51" s="23"/>
      <c r="AN51" s="23"/>
      <c r="AO51" s="23"/>
      <c r="AP51" s="23"/>
      <c r="AQ51" s="23"/>
      <c r="AR51" s="23"/>
      <c r="AS51" s="23"/>
      <c r="AT51" s="23"/>
      <c r="AU51" s="23"/>
      <c r="AV51" s="23"/>
      <c r="AW51" s="23"/>
      <c r="AX51" s="23"/>
      <c r="AY51" s="23"/>
      <c r="AZ51" s="23"/>
    </row>
    <row r="52" spans="1:52" ht="20" customHeight="1" x14ac:dyDescent="0.2">
      <c r="A52" s="60"/>
      <c r="B52" s="82"/>
      <c r="C52" s="24" t="s">
        <v>85</v>
      </c>
      <c r="D52" s="23" t="s">
        <v>83</v>
      </c>
      <c r="E52" s="23" t="s">
        <v>84</v>
      </c>
      <c r="F52" s="24">
        <v>2000</v>
      </c>
      <c r="G52" s="24">
        <v>146</v>
      </c>
      <c r="H52" s="89">
        <v>42</v>
      </c>
      <c r="I52" s="85" t="s">
        <v>357</v>
      </c>
      <c r="J52" s="86"/>
      <c r="K52" s="33"/>
      <c r="L52" s="36" t="str">
        <f t="shared" si="34"/>
        <v/>
      </c>
      <c r="M52" s="33"/>
      <c r="N52" s="36" t="str">
        <f t="shared" si="35"/>
        <v/>
      </c>
      <c r="O52" s="33"/>
      <c r="P52" s="36" t="str">
        <f t="shared" si="36"/>
        <v/>
      </c>
      <c r="Q52" s="33"/>
      <c r="R52" s="36" t="str">
        <f t="shared" si="37"/>
        <v/>
      </c>
      <c r="S52" s="33">
        <v>1</v>
      </c>
      <c r="T52" s="36">
        <f t="shared" si="38"/>
        <v>2.3809523809523809</v>
      </c>
      <c r="U52" s="76"/>
      <c r="V52" s="36" t="str">
        <f t="shared" si="39"/>
        <v/>
      </c>
      <c r="W52" s="33"/>
      <c r="X52" s="36" t="str">
        <f t="shared" si="44"/>
        <v/>
      </c>
      <c r="Y52" s="33"/>
      <c r="Z52" s="36" t="str">
        <f t="shared" si="45"/>
        <v/>
      </c>
      <c r="AA52" s="33"/>
      <c r="AB52" s="36" t="str">
        <f t="shared" si="46"/>
        <v/>
      </c>
      <c r="AC52" s="33"/>
      <c r="AD52" s="36" t="str">
        <f t="shared" si="47"/>
        <v/>
      </c>
      <c r="AE52" s="23" t="s">
        <v>486</v>
      </c>
      <c r="AF52" s="23"/>
      <c r="AG52" s="23"/>
      <c r="AH52" s="23"/>
      <c r="AI52" s="23"/>
      <c r="AJ52" s="23"/>
      <c r="AK52" s="23"/>
      <c r="AL52" s="23"/>
      <c r="AM52" s="23"/>
      <c r="AN52" s="23"/>
      <c r="AO52" s="23"/>
      <c r="AP52" s="23"/>
      <c r="AQ52" s="23"/>
      <c r="AR52" s="23"/>
      <c r="AS52" s="23"/>
      <c r="AT52" s="23"/>
      <c r="AU52" s="23"/>
      <c r="AV52" s="23"/>
      <c r="AW52" s="23"/>
      <c r="AX52" s="23"/>
      <c r="AY52" s="23"/>
      <c r="AZ52" s="23"/>
    </row>
    <row r="53" spans="1:52" ht="20" customHeight="1" x14ac:dyDescent="0.2">
      <c r="A53" s="61"/>
      <c r="B53" s="83"/>
      <c r="C53" s="50" t="s">
        <v>35</v>
      </c>
      <c r="D53" s="49" t="s">
        <v>87</v>
      </c>
      <c r="E53" s="49" t="s">
        <v>88</v>
      </c>
      <c r="F53" s="50">
        <v>1996</v>
      </c>
      <c r="G53" s="50">
        <v>187</v>
      </c>
      <c r="H53" s="89">
        <v>100</v>
      </c>
      <c r="I53" s="85" t="s">
        <v>198</v>
      </c>
      <c r="J53" s="86"/>
      <c r="K53" s="33"/>
      <c r="L53" s="36" t="str">
        <f t="shared" si="34"/>
        <v/>
      </c>
      <c r="M53" s="33"/>
      <c r="N53" s="36" t="str">
        <f t="shared" si="35"/>
        <v/>
      </c>
      <c r="O53" s="33"/>
      <c r="P53" s="36" t="str">
        <f t="shared" si="36"/>
        <v/>
      </c>
      <c r="Q53" s="33"/>
      <c r="R53" s="36" t="str">
        <f t="shared" si="37"/>
        <v/>
      </c>
      <c r="S53" s="33"/>
      <c r="T53" s="36" t="str">
        <f t="shared" si="38"/>
        <v/>
      </c>
      <c r="U53" s="76"/>
      <c r="V53" s="36" t="str">
        <f t="shared" si="39"/>
        <v/>
      </c>
      <c r="W53" s="33"/>
      <c r="X53" s="36" t="str">
        <f t="shared" si="44"/>
        <v/>
      </c>
      <c r="Y53" s="33"/>
      <c r="Z53" s="36" t="str">
        <f t="shared" si="45"/>
        <v/>
      </c>
      <c r="AA53" s="33"/>
      <c r="AB53" s="36" t="str">
        <f t="shared" si="46"/>
        <v/>
      </c>
      <c r="AC53" s="33"/>
      <c r="AD53" s="36" t="str">
        <f t="shared" si="47"/>
        <v/>
      </c>
      <c r="AE53" s="23" t="s">
        <v>199</v>
      </c>
      <c r="AF53" s="23"/>
      <c r="AG53" s="23"/>
      <c r="AH53" s="23"/>
      <c r="AI53" s="23"/>
      <c r="AJ53" s="23"/>
      <c r="AK53" s="23"/>
      <c r="AL53" s="23"/>
      <c r="AM53" s="23"/>
      <c r="AN53" s="23"/>
      <c r="AO53" s="23"/>
      <c r="AP53" s="23"/>
      <c r="AQ53" s="23"/>
      <c r="AR53" s="23"/>
      <c r="AS53" s="23"/>
      <c r="AT53" s="23"/>
      <c r="AU53" s="23"/>
      <c r="AV53" s="23"/>
      <c r="AW53" s="23"/>
      <c r="AX53" s="23"/>
      <c r="AY53" s="23"/>
      <c r="AZ53" s="23"/>
    </row>
    <row r="54" spans="1:52" ht="20" customHeight="1" x14ac:dyDescent="0.2">
      <c r="A54" s="61"/>
      <c r="B54" s="83"/>
      <c r="C54" s="24" t="s">
        <v>85</v>
      </c>
      <c r="D54" s="23" t="s">
        <v>89</v>
      </c>
      <c r="E54" s="23" t="s">
        <v>90</v>
      </c>
      <c r="F54" s="24">
        <v>2000</v>
      </c>
      <c r="G54" s="24">
        <v>79</v>
      </c>
      <c r="H54" s="89">
        <v>10</v>
      </c>
      <c r="I54" s="85" t="s">
        <v>168</v>
      </c>
      <c r="J54" s="86"/>
      <c r="K54" s="33"/>
      <c r="L54" s="36" t="str">
        <f t="shared" si="34"/>
        <v/>
      </c>
      <c r="M54" s="33"/>
      <c r="N54" s="36" t="str">
        <f t="shared" si="35"/>
        <v/>
      </c>
      <c r="O54" s="33"/>
      <c r="P54" s="36" t="str">
        <f t="shared" si="36"/>
        <v/>
      </c>
      <c r="Q54" s="33"/>
      <c r="R54" s="36" t="str">
        <f t="shared" si="37"/>
        <v/>
      </c>
      <c r="S54" s="33"/>
      <c r="T54" s="36" t="str">
        <f t="shared" si="38"/>
        <v/>
      </c>
      <c r="U54" s="76"/>
      <c r="V54" s="36" t="str">
        <f t="shared" si="39"/>
        <v/>
      </c>
      <c r="W54" s="33"/>
      <c r="X54" s="36" t="str">
        <f t="shared" si="44"/>
        <v/>
      </c>
      <c r="Y54" s="33"/>
      <c r="Z54" s="36" t="str">
        <f t="shared" si="45"/>
        <v/>
      </c>
      <c r="AA54" s="33"/>
      <c r="AB54" s="36" t="str">
        <f t="shared" si="46"/>
        <v/>
      </c>
      <c r="AC54" s="33"/>
      <c r="AD54" s="36" t="str">
        <f t="shared" si="47"/>
        <v/>
      </c>
      <c r="AE54" s="23" t="s">
        <v>200</v>
      </c>
      <c r="AF54" s="23"/>
      <c r="AG54" s="23"/>
      <c r="AH54" s="23"/>
      <c r="AI54" s="23"/>
      <c r="AJ54" s="23"/>
      <c r="AK54" s="23"/>
      <c r="AL54" s="23"/>
      <c r="AM54" s="23"/>
      <c r="AN54" s="23"/>
      <c r="AO54" s="23"/>
      <c r="AP54" s="23"/>
      <c r="AQ54" s="23"/>
      <c r="AR54" s="23"/>
      <c r="AS54" s="23"/>
      <c r="AT54" s="23"/>
      <c r="AU54" s="23"/>
      <c r="AV54" s="23"/>
      <c r="AW54" s="23"/>
      <c r="AX54" s="23"/>
      <c r="AY54" s="23"/>
      <c r="AZ54" s="23"/>
    </row>
    <row r="55" spans="1:52" ht="20" customHeight="1" x14ac:dyDescent="0.2">
      <c r="A55" s="60"/>
      <c r="B55" s="82"/>
      <c r="D55" s="23" t="s">
        <v>289</v>
      </c>
      <c r="E55" s="23" t="s">
        <v>290</v>
      </c>
      <c r="F55" s="24">
        <v>2005</v>
      </c>
      <c r="H55" s="89">
        <v>13</v>
      </c>
      <c r="I55" s="85" t="s">
        <v>358</v>
      </c>
      <c r="J55" s="86"/>
      <c r="K55" s="33"/>
      <c r="L55" s="36" t="str">
        <f t="shared" si="34"/>
        <v/>
      </c>
      <c r="M55" s="33">
        <v>3</v>
      </c>
      <c r="N55" s="36">
        <f t="shared" si="35"/>
        <v>23.076923076923077</v>
      </c>
      <c r="O55" s="33"/>
      <c r="P55" s="36" t="str">
        <f t="shared" si="36"/>
        <v/>
      </c>
      <c r="Q55" s="33"/>
      <c r="R55" s="36" t="str">
        <f t="shared" si="37"/>
        <v/>
      </c>
      <c r="S55" s="33"/>
      <c r="T55" s="36" t="str">
        <f t="shared" si="38"/>
        <v/>
      </c>
      <c r="U55" s="76">
        <v>1</v>
      </c>
      <c r="V55" s="36">
        <f t="shared" si="39"/>
        <v>7.6923076923076925</v>
      </c>
      <c r="W55" s="33"/>
      <c r="X55" s="36" t="str">
        <f t="shared" si="44"/>
        <v/>
      </c>
      <c r="Y55" s="33"/>
      <c r="Z55" s="36" t="str">
        <f t="shared" si="45"/>
        <v/>
      </c>
      <c r="AA55" s="33"/>
      <c r="AB55" s="36" t="str">
        <f t="shared" si="46"/>
        <v/>
      </c>
      <c r="AC55" s="33"/>
      <c r="AD55" s="36" t="str">
        <f t="shared" si="47"/>
        <v/>
      </c>
      <c r="AE55" s="23" t="s">
        <v>359</v>
      </c>
      <c r="AF55" s="23"/>
      <c r="AG55" s="23"/>
      <c r="AH55" s="23"/>
      <c r="AI55" s="23"/>
      <c r="AJ55" s="23"/>
      <c r="AK55" s="23"/>
      <c r="AL55" s="23"/>
      <c r="AM55" s="23"/>
      <c r="AN55" s="23"/>
      <c r="AO55" s="23"/>
      <c r="AP55" s="23"/>
      <c r="AQ55" s="23"/>
      <c r="AR55" s="23"/>
      <c r="AS55" s="23"/>
      <c r="AT55" s="23"/>
      <c r="AU55" s="23"/>
      <c r="AV55" s="23"/>
      <c r="AW55" s="23"/>
      <c r="AX55" s="23"/>
      <c r="AY55" s="23"/>
      <c r="AZ55" s="23"/>
    </row>
    <row r="56" spans="1:52" ht="20" customHeight="1" x14ac:dyDescent="0.2">
      <c r="A56" s="61"/>
      <c r="B56" s="83"/>
      <c r="C56" s="24" t="s">
        <v>85</v>
      </c>
      <c r="D56" s="23" t="s">
        <v>91</v>
      </c>
      <c r="E56" s="23" t="s">
        <v>92</v>
      </c>
      <c r="F56" s="24">
        <v>2001</v>
      </c>
      <c r="G56" s="24">
        <v>170</v>
      </c>
      <c r="H56" s="89">
        <v>22</v>
      </c>
      <c r="I56" s="85" t="s">
        <v>176</v>
      </c>
      <c r="J56" s="86" t="s">
        <v>169</v>
      </c>
      <c r="K56" s="33"/>
      <c r="L56" s="36" t="str">
        <f t="shared" si="34"/>
        <v/>
      </c>
      <c r="M56" s="33"/>
      <c r="N56" s="36" t="str">
        <f t="shared" si="35"/>
        <v/>
      </c>
      <c r="O56" s="33"/>
      <c r="P56" s="36" t="str">
        <f t="shared" si="36"/>
        <v/>
      </c>
      <c r="Q56" s="33"/>
      <c r="R56" s="36" t="str">
        <f t="shared" si="37"/>
        <v/>
      </c>
      <c r="S56" s="33"/>
      <c r="T56" s="36" t="str">
        <f t="shared" si="38"/>
        <v/>
      </c>
      <c r="U56" s="76"/>
      <c r="V56" s="36" t="str">
        <f t="shared" si="39"/>
        <v/>
      </c>
      <c r="W56" s="33"/>
      <c r="X56" s="36" t="str">
        <f>IF((ISERROR((W56/$H56)*100)), "", IF(AND(NOT(ISERROR((W56/$H56)*100)),((W56/$H56)*100) &lt;&gt; 0), (W56/$H56)*100, ""))</f>
        <v/>
      </c>
      <c r="Y56" s="33"/>
      <c r="Z56" s="36" t="str">
        <f>IF((ISERROR((Y56/$H56)*100)), "", IF(AND(NOT(ISERROR((Y56/$H56)*100)),((Y56/$H56)*100) &lt;&gt; 0), (Y56/$H56)*100, ""))</f>
        <v/>
      </c>
      <c r="AA56" s="33"/>
      <c r="AB56" s="36" t="str">
        <f>IF((ISERROR((AA56/$H56)*100)), "", IF(AND(NOT(ISERROR((AA56/$H56)*100)),((AA56/$H56)*100) &lt;&gt; 0), (AA56/$H56)*100, ""))</f>
        <v/>
      </c>
      <c r="AC56" s="33"/>
      <c r="AD56" s="36" t="str">
        <f>IF((ISERROR((AC56/$H56)*100)), "", IF(AND(NOT(ISERROR((AC56/$H56)*100)),((AC56/$H56)*100) &lt;&gt; 0), (AC56/$H56)*100, ""))</f>
        <v/>
      </c>
      <c r="AE56" s="23" t="s">
        <v>181</v>
      </c>
      <c r="AF56" s="23"/>
      <c r="AG56" s="23"/>
      <c r="AH56" s="23"/>
      <c r="AI56" s="23"/>
      <c r="AJ56" s="23"/>
      <c r="AK56" s="23"/>
      <c r="AL56" s="23"/>
      <c r="AM56" s="23"/>
      <c r="AN56" s="23"/>
      <c r="AO56" s="23"/>
      <c r="AP56" s="23"/>
      <c r="AQ56" s="23"/>
      <c r="AR56" s="23"/>
      <c r="AS56" s="23"/>
      <c r="AT56" s="23"/>
      <c r="AU56" s="23"/>
      <c r="AV56" s="23"/>
      <c r="AW56" s="23"/>
      <c r="AX56" s="23"/>
      <c r="AY56" s="23"/>
      <c r="AZ56" s="23"/>
    </row>
    <row r="57" spans="1:52" ht="20" customHeight="1" x14ac:dyDescent="0.2">
      <c r="A57" s="60"/>
      <c r="B57" s="83"/>
      <c r="C57" s="24" t="s">
        <v>85</v>
      </c>
      <c r="D57" s="23" t="s">
        <v>291</v>
      </c>
      <c r="E57" s="23" t="s">
        <v>292</v>
      </c>
      <c r="F57" s="24">
        <v>2009</v>
      </c>
      <c r="H57" s="89">
        <v>20</v>
      </c>
      <c r="I57" s="85" t="s">
        <v>214</v>
      </c>
      <c r="J57" s="86" t="s">
        <v>191</v>
      </c>
      <c r="K57" s="33"/>
      <c r="L57" s="36" t="str">
        <f t="shared" si="34"/>
        <v/>
      </c>
      <c r="M57" s="33"/>
      <c r="N57" s="36" t="str">
        <f t="shared" si="35"/>
        <v/>
      </c>
      <c r="O57" s="33"/>
      <c r="P57" s="36" t="str">
        <f t="shared" si="36"/>
        <v/>
      </c>
      <c r="Q57" s="33"/>
      <c r="R57" s="36" t="str">
        <f t="shared" si="37"/>
        <v/>
      </c>
      <c r="S57" s="33"/>
      <c r="T57" s="36" t="str">
        <f t="shared" si="38"/>
        <v/>
      </c>
      <c r="U57" s="76"/>
      <c r="V57" s="36" t="str">
        <f t="shared" si="39"/>
        <v/>
      </c>
      <c r="W57" s="33"/>
      <c r="X57" s="36" t="str">
        <f>IF((ISERROR((W57/$H57)*100)), "", IF(AND(NOT(ISERROR((W57/$H57)*100)),((W57/$H57)*100) &lt;&gt; 0), (W57/$H57)*100, ""))</f>
        <v/>
      </c>
      <c r="Y57" s="33"/>
      <c r="Z57" s="36" t="str">
        <f>IF((ISERROR((Y57/$H57)*100)), "", IF(AND(NOT(ISERROR((Y57/$H57)*100)),((Y57/$H57)*100) &lt;&gt; 0), (Y57/$H57)*100, ""))</f>
        <v/>
      </c>
      <c r="AA57" s="33"/>
      <c r="AB57" s="36" t="str">
        <f>IF((ISERROR((AA57/$H57)*100)), "", IF(AND(NOT(ISERROR((AA57/$H57)*100)),((AA57/$H57)*100) &lt;&gt; 0), (AA57/$H57)*100, ""))</f>
        <v/>
      </c>
      <c r="AC57" s="33"/>
      <c r="AD57" s="36" t="str">
        <f>IF((ISERROR((AC57/$H57)*100)), "", IF(AND(NOT(ISERROR((AC57/$H57)*100)),((AC57/$H57)*100) &lt;&gt; 0), (AC57/$H57)*100, ""))</f>
        <v/>
      </c>
      <c r="AE57" s="23" t="s">
        <v>360</v>
      </c>
      <c r="AF57" s="23"/>
      <c r="AG57" s="23"/>
      <c r="AH57" s="23"/>
      <c r="AI57" s="23"/>
      <c r="AJ57" s="23"/>
      <c r="AK57" s="23"/>
      <c r="AL57" s="23"/>
      <c r="AM57" s="23"/>
      <c r="AN57" s="23"/>
      <c r="AO57" s="23"/>
      <c r="AP57" s="23"/>
      <c r="AQ57" s="23"/>
      <c r="AR57" s="23"/>
      <c r="AS57" s="23"/>
      <c r="AT57" s="23"/>
      <c r="AU57" s="23"/>
      <c r="AV57" s="23"/>
      <c r="AW57" s="23"/>
      <c r="AX57" s="23"/>
      <c r="AY57" s="23"/>
      <c r="AZ57" s="23"/>
    </row>
    <row r="58" spans="1:52" ht="20" customHeight="1" x14ac:dyDescent="0.2">
      <c r="A58" s="60"/>
      <c r="B58" s="24"/>
      <c r="C58" s="24" t="s">
        <v>85</v>
      </c>
      <c r="D58" s="23" t="s">
        <v>293</v>
      </c>
      <c r="E58" s="23" t="s">
        <v>294</v>
      </c>
      <c r="F58" s="24">
        <v>2006</v>
      </c>
      <c r="H58" s="89">
        <v>10</v>
      </c>
      <c r="I58" s="85" t="s">
        <v>361</v>
      </c>
      <c r="J58" s="86" t="s">
        <v>169</v>
      </c>
      <c r="K58" s="33"/>
      <c r="L58" s="36" t="str">
        <f t="shared" si="34"/>
        <v/>
      </c>
      <c r="M58" s="33"/>
      <c r="N58" s="36" t="str">
        <f t="shared" si="35"/>
        <v/>
      </c>
      <c r="O58" s="33"/>
      <c r="P58" s="36" t="str">
        <f t="shared" si="36"/>
        <v/>
      </c>
      <c r="Q58" s="33"/>
      <c r="R58" s="36" t="str">
        <f t="shared" si="37"/>
        <v/>
      </c>
      <c r="S58" s="38"/>
      <c r="T58" s="39" t="str">
        <f t="shared" si="38"/>
        <v/>
      </c>
      <c r="U58" s="76"/>
      <c r="V58" s="36" t="str">
        <f t="shared" si="39"/>
        <v/>
      </c>
      <c r="W58" s="33"/>
      <c r="X58" s="36" t="str">
        <f>IF((ISERROR((W58/$H58)*100)), "", IF(AND(NOT(ISERROR((W58/$H58)*100)),((W58/$H58)*100) &lt;&gt; 0), (W58/$H58)*100, ""))</f>
        <v/>
      </c>
      <c r="Y58" s="33"/>
      <c r="Z58" s="36" t="str">
        <f>IF((ISERROR((Y58/$H58)*100)), "", IF(AND(NOT(ISERROR((Y58/$H58)*100)),((Y58/$H58)*100) &lt;&gt; 0), (Y58/$H58)*100, ""))</f>
        <v/>
      </c>
      <c r="AA58" s="33"/>
      <c r="AB58" s="36" t="str">
        <f>IF((ISERROR((AA58/$H58)*100)), "", IF(AND(NOT(ISERROR((AA58/$H58)*100)),((AA58/$H58)*100) &lt;&gt; 0), (AA58/$H58)*100, ""))</f>
        <v/>
      </c>
      <c r="AC58" s="33"/>
      <c r="AD58" s="36" t="str">
        <f>IF((ISERROR((AC58/$H58)*100)), "", IF(AND(NOT(ISERROR((AC58/$H58)*100)),((AC58/$H58)*100) &lt;&gt; 0), (AC58/$H58)*100, ""))</f>
        <v/>
      </c>
      <c r="AE58" s="23" t="s">
        <v>362</v>
      </c>
      <c r="AF58" s="23"/>
      <c r="AG58" s="23"/>
      <c r="AH58" s="23"/>
      <c r="AI58" s="23"/>
      <c r="AJ58" s="23"/>
      <c r="AK58" s="23"/>
      <c r="AL58" s="23"/>
      <c r="AM58" s="23"/>
      <c r="AN58" s="23"/>
      <c r="AO58" s="23"/>
      <c r="AP58" s="23"/>
      <c r="AQ58" s="23"/>
      <c r="AR58" s="23"/>
      <c r="AS58" s="23"/>
      <c r="AT58" s="23"/>
      <c r="AU58" s="23"/>
      <c r="AV58" s="23"/>
      <c r="AW58" s="23"/>
      <c r="AX58" s="23"/>
      <c r="AY58" s="23"/>
      <c r="AZ58" s="23"/>
    </row>
    <row r="59" spans="1:52" ht="20" customHeight="1" x14ac:dyDescent="0.2">
      <c r="A59" s="61"/>
      <c r="B59" s="24"/>
      <c r="C59" s="24" t="s">
        <v>85</v>
      </c>
      <c r="D59" s="23" t="s">
        <v>297</v>
      </c>
      <c r="E59" s="23" t="s">
        <v>298</v>
      </c>
      <c r="F59" s="24">
        <v>2016</v>
      </c>
      <c r="H59" s="89">
        <v>25</v>
      </c>
      <c r="I59" s="85" t="s">
        <v>214</v>
      </c>
      <c r="J59" s="86" t="s">
        <v>192</v>
      </c>
      <c r="K59" s="33"/>
      <c r="L59" s="36" t="str">
        <f t="shared" si="34"/>
        <v/>
      </c>
      <c r="M59" s="33"/>
      <c r="N59" s="36" t="str">
        <f t="shared" si="35"/>
        <v/>
      </c>
      <c r="O59" s="33"/>
      <c r="P59" s="36" t="str">
        <f t="shared" si="36"/>
        <v/>
      </c>
      <c r="Q59" s="33"/>
      <c r="R59" s="36" t="str">
        <f t="shared" si="37"/>
        <v/>
      </c>
      <c r="S59" s="33"/>
      <c r="T59" s="36" t="str">
        <f t="shared" si="38"/>
        <v/>
      </c>
      <c r="U59" s="76"/>
      <c r="V59" s="36" t="str">
        <f t="shared" si="39"/>
        <v/>
      </c>
      <c r="W59" s="33"/>
      <c r="X59" s="36" t="str">
        <f>IF((ISERROR((W59/$H59)*100)), "", IF(AND(NOT(ISERROR((W59/$H59)*100)),((W59/$H59)*100) &lt;&gt; 0), (W59/$H59)*100, ""))</f>
        <v/>
      </c>
      <c r="Y59" s="33"/>
      <c r="Z59" s="36" t="str">
        <f>IF((ISERROR((Y59/$H59)*100)), "", IF(AND(NOT(ISERROR((Y59/$H59)*100)),((Y59/$H59)*100) &lt;&gt; 0), (Y59/$H59)*100, ""))</f>
        <v/>
      </c>
      <c r="AA59" s="33"/>
      <c r="AB59" s="36" t="str">
        <f>IF((ISERROR((AA59/$H59)*100)), "", IF(AND(NOT(ISERROR((AA59/$H59)*100)),((AA59/$H59)*100) &lt;&gt; 0), (AA59/$H59)*100, ""))</f>
        <v/>
      </c>
      <c r="AC59" s="33"/>
      <c r="AD59" s="36" t="str">
        <f>IF((ISERROR((AC59/$H59)*100)), "", IF(AND(NOT(ISERROR((AC59/$H59)*100)),((AC59/$H59)*100) &lt;&gt; 0), (AC59/$H59)*100, ""))</f>
        <v/>
      </c>
      <c r="AE59" s="23"/>
      <c r="AF59" s="23"/>
      <c r="AG59" s="23"/>
      <c r="AH59" s="23"/>
      <c r="AI59" s="23"/>
      <c r="AJ59" s="23"/>
      <c r="AK59" s="23"/>
      <c r="AL59" s="23"/>
      <c r="AM59" s="23"/>
      <c r="AN59" s="23"/>
      <c r="AO59" s="23"/>
      <c r="AP59" s="23"/>
      <c r="AQ59" s="23"/>
      <c r="AR59" s="23"/>
      <c r="AS59" s="23"/>
      <c r="AT59" s="23"/>
      <c r="AU59" s="23"/>
      <c r="AV59" s="23"/>
      <c r="AW59" s="23"/>
      <c r="AX59" s="23"/>
      <c r="AY59" s="23"/>
      <c r="AZ59" s="23"/>
    </row>
    <row r="60" spans="1:52" ht="20" customHeight="1" x14ac:dyDescent="0.2">
      <c r="A60" s="60"/>
      <c r="B60" s="82"/>
      <c r="C60" s="24" t="s">
        <v>85</v>
      </c>
      <c r="D60" s="23" t="s">
        <v>295</v>
      </c>
      <c r="E60" s="23" t="s">
        <v>296</v>
      </c>
      <c r="F60" s="24">
        <v>2011</v>
      </c>
      <c r="H60" s="89">
        <v>244</v>
      </c>
      <c r="I60" s="85" t="s">
        <v>211</v>
      </c>
      <c r="J60" s="86" t="s">
        <v>190</v>
      </c>
      <c r="K60" s="33"/>
      <c r="L60" s="36" t="str">
        <f t="shared" si="34"/>
        <v/>
      </c>
      <c r="M60" s="33"/>
      <c r="N60" s="36" t="str">
        <f t="shared" si="35"/>
        <v/>
      </c>
      <c r="O60" s="33"/>
      <c r="P60" s="36" t="str">
        <f t="shared" si="36"/>
        <v/>
      </c>
      <c r="Q60" s="33"/>
      <c r="R60" s="36" t="str">
        <f t="shared" si="37"/>
        <v/>
      </c>
      <c r="S60" s="33"/>
      <c r="T60" s="36" t="str">
        <f t="shared" si="38"/>
        <v/>
      </c>
      <c r="U60" s="76"/>
      <c r="V60" s="36" t="str">
        <f t="shared" si="39"/>
        <v/>
      </c>
      <c r="W60" s="33"/>
      <c r="X60" s="36" t="str">
        <f t="shared" ref="X60" si="48">IF((ISERROR((W60/$H60)*100)), "", IF(AND(NOT(ISERROR((W60/$H60)*100)),((W60/$H60)*100) &lt;&gt; 0), (W60/$H60)*100, ""))</f>
        <v/>
      </c>
      <c r="Y60" s="33"/>
      <c r="Z60" s="36" t="str">
        <f t="shared" ref="Z60" si="49">IF((ISERROR((Y60/$H60)*100)), "", IF(AND(NOT(ISERROR((Y60/$H60)*100)),((Y60/$H60)*100) &lt;&gt; 0), (Y60/$H60)*100, ""))</f>
        <v/>
      </c>
      <c r="AA60" s="33"/>
      <c r="AB60" s="36" t="str">
        <f t="shared" ref="AB60" si="50">IF((ISERROR((AA60/$H60)*100)), "", IF(AND(NOT(ISERROR((AA60/$H60)*100)),((AA60/$H60)*100) &lt;&gt; 0), (AA60/$H60)*100, ""))</f>
        <v/>
      </c>
      <c r="AC60" s="33"/>
      <c r="AD60" s="36" t="str">
        <f t="shared" ref="AD60" si="51">IF((ISERROR((AC60/$H60)*100)), "", IF(AND(NOT(ISERROR((AC60/$H60)*100)),((AC60/$H60)*100) &lt;&gt; 0), (AC60/$H60)*100, ""))</f>
        <v/>
      </c>
      <c r="AE60" s="23"/>
      <c r="AF60" s="23"/>
      <c r="AG60" s="23"/>
      <c r="AH60" s="23"/>
      <c r="AI60" s="23"/>
      <c r="AJ60" s="23"/>
      <c r="AK60" s="23"/>
      <c r="AL60" s="23"/>
      <c r="AM60" s="23"/>
      <c r="AN60" s="23"/>
      <c r="AO60" s="23"/>
      <c r="AP60" s="23"/>
      <c r="AQ60" s="23"/>
      <c r="AR60" s="23"/>
      <c r="AS60" s="23"/>
      <c r="AT60" s="23"/>
      <c r="AU60" s="23"/>
      <c r="AV60" s="23"/>
      <c r="AW60" s="23"/>
      <c r="AX60" s="23"/>
      <c r="AY60" s="23"/>
      <c r="AZ60" s="23"/>
    </row>
    <row r="61" spans="1:52" ht="20" customHeight="1" x14ac:dyDescent="0.2">
      <c r="A61" s="60"/>
      <c r="B61" s="82"/>
      <c r="C61" s="24" t="s">
        <v>85</v>
      </c>
      <c r="D61" s="23" t="s">
        <v>99</v>
      </c>
      <c r="E61" s="23" t="s">
        <v>100</v>
      </c>
      <c r="F61" s="24">
        <v>2002</v>
      </c>
      <c r="G61" s="24">
        <v>103</v>
      </c>
      <c r="H61" s="89">
        <v>8</v>
      </c>
      <c r="I61" s="85"/>
      <c r="J61" s="86"/>
      <c r="K61" s="33"/>
      <c r="L61" s="36" t="str">
        <f t="shared" si="34"/>
        <v/>
      </c>
      <c r="M61" s="33"/>
      <c r="N61" s="36" t="str">
        <f t="shared" si="35"/>
        <v/>
      </c>
      <c r="O61" s="33"/>
      <c r="P61" s="36" t="str">
        <f t="shared" si="36"/>
        <v/>
      </c>
      <c r="Q61" s="33"/>
      <c r="R61" s="36" t="str">
        <f t="shared" si="37"/>
        <v/>
      </c>
      <c r="S61" s="33"/>
      <c r="T61" s="36" t="str">
        <f t="shared" si="38"/>
        <v/>
      </c>
      <c r="U61" s="76">
        <v>2</v>
      </c>
      <c r="V61" s="36">
        <f t="shared" si="39"/>
        <v>25</v>
      </c>
      <c r="W61" s="33"/>
      <c r="X61" s="36" t="str">
        <f>IF((ISERROR((W61/$H61)*100)), "", IF(AND(NOT(ISERROR((W61/$H61)*100)),((W61/$H61)*100) &lt;&gt; 0), (W61/$H61)*100, ""))</f>
        <v/>
      </c>
      <c r="Y61" s="33"/>
      <c r="Z61" s="36" t="str">
        <f>IF((ISERROR((Y61/$H61)*100)), "", IF(AND(NOT(ISERROR((Y61/$H61)*100)),((Y61/$H61)*100) &lt;&gt; 0), (Y61/$H61)*100, ""))</f>
        <v/>
      </c>
      <c r="AA61" s="33"/>
      <c r="AB61" s="36" t="str">
        <f>IF((ISERROR((AA61/$H61)*100)), "", IF(AND(NOT(ISERROR((AA61/$H61)*100)),((AA61/$H61)*100) &lt;&gt; 0), (AA61/$H61)*100, ""))</f>
        <v/>
      </c>
      <c r="AC61" s="33"/>
      <c r="AD61" s="36" t="str">
        <f>IF((ISERROR((AC61/$H61)*100)), "", IF(AND(NOT(ISERROR((AC61/$H61)*100)),((AC61/$H61)*100) &lt;&gt; 0), (AC61/$H61)*100, ""))</f>
        <v/>
      </c>
      <c r="AE61" s="23" t="s">
        <v>201</v>
      </c>
      <c r="AF61" s="23"/>
      <c r="AG61" s="23"/>
      <c r="AH61" s="23"/>
      <c r="AI61" s="23"/>
      <c r="AJ61" s="23"/>
      <c r="AK61" s="23"/>
      <c r="AL61" s="23"/>
      <c r="AM61" s="23"/>
      <c r="AN61" s="23"/>
      <c r="AO61" s="23"/>
      <c r="AP61" s="23"/>
      <c r="AQ61" s="23"/>
      <c r="AR61" s="23"/>
      <c r="AS61" s="23"/>
      <c r="AT61" s="23"/>
      <c r="AU61" s="23"/>
      <c r="AV61" s="23"/>
      <c r="AW61" s="23"/>
      <c r="AX61" s="23"/>
      <c r="AY61" s="23"/>
      <c r="AZ61" s="23"/>
    </row>
    <row r="62" spans="1:52" ht="20" customHeight="1" x14ac:dyDescent="0.2">
      <c r="A62" s="60"/>
      <c r="B62" s="83"/>
      <c r="D62" s="23" t="s">
        <v>299</v>
      </c>
      <c r="E62" s="23" t="s">
        <v>300</v>
      </c>
      <c r="F62" s="24">
        <v>2013</v>
      </c>
      <c r="H62" s="89">
        <v>18</v>
      </c>
      <c r="I62" s="85"/>
      <c r="J62" s="86"/>
      <c r="K62" s="33"/>
      <c r="L62" s="36" t="str">
        <f t="shared" si="34"/>
        <v/>
      </c>
      <c r="M62" s="33"/>
      <c r="N62" s="36" t="str">
        <f t="shared" si="35"/>
        <v/>
      </c>
      <c r="O62" s="33"/>
      <c r="P62" s="36" t="str">
        <f t="shared" si="36"/>
        <v/>
      </c>
      <c r="Q62" s="33"/>
      <c r="R62" s="36" t="str">
        <f t="shared" si="37"/>
        <v/>
      </c>
      <c r="S62" s="33"/>
      <c r="T62" s="36" t="str">
        <f t="shared" si="38"/>
        <v/>
      </c>
      <c r="U62" s="76"/>
      <c r="V62" s="36" t="str">
        <f t="shared" si="39"/>
        <v/>
      </c>
      <c r="W62" s="33"/>
      <c r="X62" s="36" t="str">
        <f t="shared" ref="X62:X73" si="52">IF((ISERROR((W62/$H62)*100)), "", IF(AND(NOT(ISERROR((W62/$H62)*100)),((W62/$H62)*100) &lt;&gt; 0), (W62/$H62)*100, ""))</f>
        <v/>
      </c>
      <c r="Y62" s="33"/>
      <c r="Z62" s="36" t="str">
        <f t="shared" ref="Z62:Z73" si="53">IF((ISERROR((Y62/$H62)*100)), "", IF(AND(NOT(ISERROR((Y62/$H62)*100)),((Y62/$H62)*100) &lt;&gt; 0), (Y62/$H62)*100, ""))</f>
        <v/>
      </c>
      <c r="AA62" s="33"/>
      <c r="AB62" s="36" t="str">
        <f t="shared" ref="AB62:AB73" si="54">IF((ISERROR((AA62/$H62)*100)), "", IF(AND(NOT(ISERROR((AA62/$H62)*100)),((AA62/$H62)*100) &lt;&gt; 0), (AA62/$H62)*100, ""))</f>
        <v/>
      </c>
      <c r="AC62" s="33"/>
      <c r="AD62" s="36" t="str">
        <f t="shared" ref="AD62:AD73" si="55">IF((ISERROR((AC62/$H62)*100)), "", IF(AND(NOT(ISERROR((AC62/$H62)*100)),((AC62/$H62)*100) &lt;&gt; 0), (AC62/$H62)*100, ""))</f>
        <v/>
      </c>
      <c r="AE62" s="23" t="s">
        <v>363</v>
      </c>
      <c r="AF62" s="23"/>
      <c r="AG62" s="23"/>
      <c r="AH62" s="23"/>
      <c r="AI62" s="23"/>
      <c r="AJ62" s="23"/>
      <c r="AK62" s="23"/>
      <c r="AL62" s="23"/>
      <c r="AM62" s="23"/>
      <c r="AN62" s="23"/>
      <c r="AO62" s="23"/>
      <c r="AP62" s="23"/>
      <c r="AQ62" s="23"/>
      <c r="AR62" s="23"/>
      <c r="AS62" s="23"/>
      <c r="AT62" s="23"/>
      <c r="AU62" s="23"/>
      <c r="AV62" s="23"/>
      <c r="AW62" s="23"/>
      <c r="AX62" s="23"/>
      <c r="AY62" s="23"/>
      <c r="AZ62" s="23"/>
    </row>
    <row r="63" spans="1:52" ht="20" customHeight="1" x14ac:dyDescent="0.2">
      <c r="A63" s="60"/>
      <c r="B63" s="83"/>
      <c r="C63" s="24" t="s">
        <v>85</v>
      </c>
      <c r="D63" s="23" t="s">
        <v>301</v>
      </c>
      <c r="E63" s="23" t="s">
        <v>302</v>
      </c>
      <c r="F63" s="24">
        <v>2015</v>
      </c>
      <c r="H63" s="89">
        <v>41</v>
      </c>
      <c r="I63" s="85" t="s">
        <v>185</v>
      </c>
      <c r="J63" s="86"/>
      <c r="K63" s="33"/>
      <c r="L63" s="36" t="str">
        <f t="shared" si="34"/>
        <v/>
      </c>
      <c r="M63" s="33"/>
      <c r="N63" s="36" t="str">
        <f t="shared" si="35"/>
        <v/>
      </c>
      <c r="O63" s="33"/>
      <c r="P63" s="36" t="str">
        <f t="shared" si="36"/>
        <v/>
      </c>
      <c r="Q63" s="33"/>
      <c r="R63" s="36" t="str">
        <f t="shared" si="37"/>
        <v/>
      </c>
      <c r="S63" s="33"/>
      <c r="T63" s="36" t="str">
        <f t="shared" si="38"/>
        <v/>
      </c>
      <c r="U63" s="76"/>
      <c r="V63" s="36" t="str">
        <f t="shared" si="39"/>
        <v/>
      </c>
      <c r="W63" s="33"/>
      <c r="X63" s="36" t="str">
        <f>IF((ISERROR((W63/$H63)*100)), "", IF(AND(NOT(ISERROR((W63/$H63)*100)),((W63/$H63)*100) &lt;&gt; 0), (W63/$H63)*100, ""))</f>
        <v/>
      </c>
      <c r="Y63" s="33"/>
      <c r="Z63" s="36" t="str">
        <f>IF((ISERROR((Y63/$H63)*100)), "", IF(AND(NOT(ISERROR((Y63/$H63)*100)),((Y63/$H63)*100) &lt;&gt; 0), (Y63/$H63)*100, ""))</f>
        <v/>
      </c>
      <c r="AA63" s="33"/>
      <c r="AB63" s="36" t="str">
        <f>IF((ISERROR((AA63/$H63)*100)), "", IF(AND(NOT(ISERROR((AA63/$H63)*100)),((AA63/$H63)*100) &lt;&gt; 0), (AA63/$H63)*100, ""))</f>
        <v/>
      </c>
      <c r="AC63" s="33"/>
      <c r="AD63" s="36" t="str">
        <f>IF((ISERROR((AC63/$H63)*100)), "", IF(AND(NOT(ISERROR((AC63/$H63)*100)),((AC63/$H63)*100) &lt;&gt; 0), (AC63/$H63)*100, ""))</f>
        <v/>
      </c>
      <c r="AE63" s="23" t="s">
        <v>364</v>
      </c>
      <c r="AF63" s="23"/>
      <c r="AG63" s="23"/>
      <c r="AH63" s="23"/>
      <c r="AI63" s="23"/>
      <c r="AJ63" s="23"/>
      <c r="AK63" s="23"/>
      <c r="AL63" s="23"/>
      <c r="AM63" s="23"/>
      <c r="AN63" s="23"/>
      <c r="AO63" s="23"/>
      <c r="AP63" s="23"/>
      <c r="AQ63" s="23"/>
      <c r="AR63" s="23"/>
      <c r="AS63" s="23"/>
      <c r="AT63" s="23"/>
      <c r="AU63" s="23"/>
      <c r="AV63" s="23"/>
      <c r="AW63" s="23"/>
      <c r="AX63" s="23"/>
      <c r="AY63" s="23"/>
      <c r="AZ63" s="23"/>
    </row>
    <row r="64" spans="1:52" ht="20" customHeight="1" x14ac:dyDescent="0.2">
      <c r="A64" s="60"/>
      <c r="B64" s="82"/>
      <c r="C64" s="24" t="s">
        <v>85</v>
      </c>
      <c r="D64" s="23" t="s">
        <v>103</v>
      </c>
      <c r="E64" s="23" t="s">
        <v>104</v>
      </c>
      <c r="F64" s="24">
        <v>1996</v>
      </c>
      <c r="G64" s="24">
        <v>12</v>
      </c>
      <c r="H64" s="89">
        <v>97</v>
      </c>
      <c r="I64" s="85" t="s">
        <v>203</v>
      </c>
      <c r="J64" s="86" t="s">
        <v>204</v>
      </c>
      <c r="K64" s="33"/>
      <c r="L64" s="36" t="str">
        <f t="shared" si="34"/>
        <v/>
      </c>
      <c r="M64" s="33"/>
      <c r="N64" s="36" t="str">
        <f t="shared" si="35"/>
        <v/>
      </c>
      <c r="O64" s="33"/>
      <c r="P64" s="36" t="str">
        <f t="shared" si="36"/>
        <v/>
      </c>
      <c r="Q64" s="33"/>
      <c r="R64" s="36" t="str">
        <f t="shared" si="37"/>
        <v/>
      </c>
      <c r="S64" s="33"/>
      <c r="T64" s="36" t="str">
        <f t="shared" si="38"/>
        <v/>
      </c>
      <c r="U64" s="76">
        <v>16</v>
      </c>
      <c r="V64" s="36">
        <f t="shared" si="39"/>
        <v>16.494845360824741</v>
      </c>
      <c r="W64" s="33"/>
      <c r="X64" s="36" t="str">
        <f t="shared" si="52"/>
        <v/>
      </c>
      <c r="Y64" s="33"/>
      <c r="Z64" s="36" t="str">
        <f t="shared" si="53"/>
        <v/>
      </c>
      <c r="AA64" s="33"/>
      <c r="AB64" s="36" t="str">
        <f t="shared" si="54"/>
        <v/>
      </c>
      <c r="AC64" s="33"/>
      <c r="AD64" s="36" t="str">
        <f t="shared" si="55"/>
        <v/>
      </c>
      <c r="AE64" s="23" t="s">
        <v>387</v>
      </c>
      <c r="AF64" s="23"/>
      <c r="AG64" s="23"/>
      <c r="AH64" s="23"/>
      <c r="AI64" s="23"/>
      <c r="AJ64" s="23"/>
      <c r="AK64" s="23"/>
      <c r="AL64" s="23"/>
      <c r="AM64" s="23"/>
      <c r="AN64" s="23"/>
      <c r="AO64" s="23"/>
      <c r="AP64" s="23"/>
      <c r="AQ64" s="23"/>
      <c r="AR64" s="23"/>
      <c r="AS64" s="23"/>
      <c r="AT64" s="23"/>
      <c r="AU64" s="23"/>
      <c r="AV64" s="23"/>
      <c r="AW64" s="23"/>
      <c r="AX64" s="23"/>
      <c r="AY64" s="23"/>
      <c r="AZ64" s="23"/>
    </row>
    <row r="65" spans="1:52" ht="20" customHeight="1" x14ac:dyDescent="0.2">
      <c r="A65" s="60"/>
      <c r="B65" s="83"/>
      <c r="C65" s="24" t="s">
        <v>85</v>
      </c>
      <c r="D65" s="23" t="s">
        <v>303</v>
      </c>
      <c r="E65" s="23" t="s">
        <v>304</v>
      </c>
      <c r="F65" s="24">
        <v>2009</v>
      </c>
      <c r="H65" s="89">
        <v>68</v>
      </c>
      <c r="I65" s="85" t="s">
        <v>214</v>
      </c>
      <c r="J65" s="86" t="s">
        <v>365</v>
      </c>
      <c r="K65" s="33"/>
      <c r="L65" s="36" t="str">
        <f t="shared" si="34"/>
        <v/>
      </c>
      <c r="M65" s="33"/>
      <c r="N65" s="36" t="str">
        <f t="shared" si="35"/>
        <v/>
      </c>
      <c r="O65" s="33"/>
      <c r="P65" s="36" t="str">
        <f t="shared" si="36"/>
        <v/>
      </c>
      <c r="Q65" s="33"/>
      <c r="R65" s="36" t="str">
        <f t="shared" si="37"/>
        <v/>
      </c>
      <c r="S65" s="33"/>
      <c r="T65" s="36" t="str">
        <f t="shared" si="38"/>
        <v/>
      </c>
      <c r="U65" s="76"/>
      <c r="V65" s="36"/>
      <c r="W65" s="33"/>
      <c r="X65" s="36" t="str">
        <f>IF((ISERROR((W65/$H65)*100)), "", IF(AND(NOT(ISERROR((W65/$H65)*100)),((W65/$H65)*100) &lt;&gt; 0), (W65/$H65)*100, ""))</f>
        <v/>
      </c>
      <c r="Y65" s="33"/>
      <c r="Z65" s="36" t="str">
        <f>IF((ISERROR((Y65/$H65)*100)), "", IF(AND(NOT(ISERROR((Y65/$H65)*100)),((Y65/$H65)*100) &lt;&gt; 0), (Y65/$H65)*100, ""))</f>
        <v/>
      </c>
      <c r="AA65" s="33"/>
      <c r="AB65" s="36" t="str">
        <f>IF((ISERROR((AA65/$H65)*100)), "", IF(AND(NOT(ISERROR((AA65/$H65)*100)),((AA65/$H65)*100) &lt;&gt; 0), (AA65/$H65)*100, ""))</f>
        <v/>
      </c>
      <c r="AC65" s="33"/>
      <c r="AD65" s="36" t="str">
        <f>IF((ISERROR((AC65/$H65)*100)), "", IF(AND(NOT(ISERROR((AC65/$H65)*100)),((AC65/$H65)*100) &lt;&gt; 0), (AC65/$H65)*100, ""))</f>
        <v/>
      </c>
      <c r="AE65" s="23" t="s">
        <v>419</v>
      </c>
      <c r="AF65" s="23"/>
      <c r="AG65" s="23"/>
      <c r="AH65" s="23"/>
      <c r="AI65" s="23"/>
      <c r="AJ65" s="23"/>
      <c r="AK65" s="23"/>
      <c r="AL65" s="23"/>
      <c r="AM65" s="23"/>
      <c r="AN65" s="23"/>
      <c r="AO65" s="23"/>
      <c r="AP65" s="23"/>
      <c r="AQ65" s="23"/>
      <c r="AR65" s="23"/>
      <c r="AS65" s="23"/>
      <c r="AT65" s="23"/>
      <c r="AU65" s="23"/>
      <c r="AV65" s="23"/>
      <c r="AW65" s="23"/>
      <c r="AX65" s="23"/>
      <c r="AY65" s="23"/>
      <c r="AZ65" s="23"/>
    </row>
    <row r="66" spans="1:52" ht="20" customHeight="1" x14ac:dyDescent="0.2">
      <c r="A66" s="61"/>
      <c r="B66" s="24"/>
      <c r="C66" s="24" t="s">
        <v>85</v>
      </c>
      <c r="D66" s="23" t="s">
        <v>105</v>
      </c>
      <c r="E66" s="23" t="s">
        <v>106</v>
      </c>
      <c r="F66" s="24">
        <v>1989</v>
      </c>
      <c r="G66" s="24">
        <v>27</v>
      </c>
      <c r="H66" s="89"/>
      <c r="I66" s="85" t="s">
        <v>209</v>
      </c>
      <c r="J66" s="86" t="s">
        <v>178</v>
      </c>
      <c r="K66" s="33"/>
      <c r="L66" s="36" t="str">
        <f t="shared" si="34"/>
        <v/>
      </c>
      <c r="M66" s="33"/>
      <c r="N66" s="36" t="str">
        <f t="shared" si="35"/>
        <v/>
      </c>
      <c r="O66" s="33"/>
      <c r="P66" s="36" t="str">
        <f t="shared" si="36"/>
        <v/>
      </c>
      <c r="Q66" s="33"/>
      <c r="R66" s="36" t="str">
        <f t="shared" si="37"/>
        <v/>
      </c>
      <c r="S66" s="33"/>
      <c r="T66" s="36" t="str">
        <f t="shared" si="38"/>
        <v/>
      </c>
      <c r="U66" s="76"/>
      <c r="V66" s="36" t="str">
        <f t="shared" ref="V66:V82" si="56">IF((ISERROR((U66/$H66)*100)), "", IF(AND(NOT(ISERROR((U66/$H66)*100)),((U66/$H66)*100) &lt;&gt; 0), (U66/$H66)*100, ""))</f>
        <v/>
      </c>
      <c r="W66" s="38"/>
      <c r="X66" s="39" t="str">
        <f>IF((ISERROR((W66/$H66)*100)), "", IF(AND(NOT(ISERROR((W66/$H66)*100)),((W66/$H66)*100) &lt;&gt; 0), (W66/$H66)*100, ""))</f>
        <v/>
      </c>
      <c r="Y66" s="33"/>
      <c r="Z66" s="36" t="str">
        <f>IF((ISERROR((Y66/$H66)*100)), "", IF(AND(NOT(ISERROR((Y66/$H66)*100)),((Y66/$H66)*100) &lt;&gt; 0), (Y66/$H66)*100, ""))</f>
        <v/>
      </c>
      <c r="AA66" s="33"/>
      <c r="AB66" s="36" t="str">
        <f>IF((ISERROR((AA66/$H66)*100)), "", IF(AND(NOT(ISERROR((AA66/$H66)*100)),((AA66/$H66)*100) &lt;&gt; 0), (AA66/$H66)*100, ""))</f>
        <v/>
      </c>
      <c r="AC66" s="33"/>
      <c r="AD66" s="36" t="str">
        <f>IF((ISERROR((AC66/$H66)*100)), "", IF(AND(NOT(ISERROR((AC66/$H66)*100)),((AC66/$H66)*100) &lt;&gt; 0), (AC66/$H66)*100, ""))</f>
        <v/>
      </c>
      <c r="AE66" s="23"/>
      <c r="AF66" s="23"/>
      <c r="AG66" s="23"/>
      <c r="AH66" s="23"/>
      <c r="AI66" s="23"/>
      <c r="AJ66" s="23"/>
      <c r="AK66" s="23"/>
      <c r="AL66" s="23"/>
      <c r="AM66" s="23"/>
      <c r="AN66" s="23"/>
      <c r="AO66" s="23"/>
      <c r="AP66" s="23"/>
      <c r="AQ66" s="23"/>
      <c r="AR66" s="23"/>
      <c r="AS66" s="23"/>
      <c r="AT66" s="23"/>
      <c r="AU66" s="23"/>
      <c r="AV66" s="23"/>
      <c r="AW66" s="23"/>
      <c r="AX66" s="23"/>
      <c r="AY66" s="23"/>
      <c r="AZ66" s="23"/>
    </row>
    <row r="67" spans="1:52" ht="20" customHeight="1" x14ac:dyDescent="0.2">
      <c r="A67" s="61"/>
      <c r="B67" s="83"/>
      <c r="C67" s="24" t="s">
        <v>85</v>
      </c>
      <c r="D67" s="23" t="s">
        <v>305</v>
      </c>
      <c r="E67" s="23" t="s">
        <v>306</v>
      </c>
      <c r="F67" s="24">
        <v>2011</v>
      </c>
      <c r="H67" s="89"/>
      <c r="I67" s="85"/>
      <c r="J67" s="86"/>
      <c r="K67" s="33"/>
      <c r="L67" s="36" t="str">
        <f t="shared" si="34"/>
        <v/>
      </c>
      <c r="M67" s="33"/>
      <c r="N67" s="36" t="str">
        <f t="shared" si="35"/>
        <v/>
      </c>
      <c r="O67" s="33"/>
      <c r="P67" s="36" t="str">
        <f t="shared" si="36"/>
        <v/>
      </c>
      <c r="Q67" s="33"/>
      <c r="R67" s="36" t="str">
        <f t="shared" si="37"/>
        <v/>
      </c>
      <c r="S67" s="33"/>
      <c r="T67" s="36" t="str">
        <f t="shared" si="38"/>
        <v/>
      </c>
      <c r="U67" s="76"/>
      <c r="V67" s="36" t="str">
        <f t="shared" si="56"/>
        <v/>
      </c>
      <c r="W67" s="33"/>
      <c r="X67" s="36" t="str">
        <f>IF((ISERROR((W67/$H67)*100)), "", IF(AND(NOT(ISERROR((W67/$H67)*100)),((W67/$H67)*100) &lt;&gt; 0), (W67/$H67)*100, ""))</f>
        <v/>
      </c>
      <c r="Y67" s="33"/>
      <c r="Z67" s="36" t="str">
        <f>IF((ISERROR((Y67/$H67)*100)), "", IF(AND(NOT(ISERROR((Y67/$H67)*100)),((Y67/$H67)*100) &lt;&gt; 0), (Y67/$H67)*100, ""))</f>
        <v/>
      </c>
      <c r="AA67" s="33"/>
      <c r="AB67" s="36" t="str">
        <f>IF((ISERROR((AA67/$H67)*100)), "", IF(AND(NOT(ISERROR((AA67/$H67)*100)),((AA67/$H67)*100) &lt;&gt; 0), (AA67/$H67)*100, ""))</f>
        <v/>
      </c>
      <c r="AC67" s="33"/>
      <c r="AD67" s="36" t="str">
        <f>IF((ISERROR((AC67/$H67)*100)), "", IF(AND(NOT(ISERROR((AC67/$H67)*100)),((AC67/$H67)*100) &lt;&gt; 0), (AC67/$H67)*100, ""))</f>
        <v/>
      </c>
      <c r="AE67" s="23" t="s">
        <v>366</v>
      </c>
      <c r="AF67" s="23"/>
      <c r="AG67" s="23"/>
      <c r="AH67" s="23"/>
      <c r="AI67" s="23"/>
      <c r="AJ67" s="23"/>
      <c r="AK67" s="23"/>
      <c r="AL67" s="23"/>
      <c r="AM67" s="23"/>
      <c r="AN67" s="23"/>
      <c r="AO67" s="23"/>
      <c r="AP67" s="23"/>
      <c r="AQ67" s="23"/>
      <c r="AR67" s="23"/>
      <c r="AS67" s="23"/>
      <c r="AT67" s="23"/>
      <c r="AU67" s="23"/>
      <c r="AV67" s="23"/>
      <c r="AW67" s="23"/>
      <c r="AX67" s="23"/>
      <c r="AY67" s="23"/>
      <c r="AZ67" s="23"/>
    </row>
    <row r="68" spans="1:52" ht="20" customHeight="1" x14ac:dyDescent="0.2">
      <c r="A68" s="61"/>
      <c r="B68" s="82"/>
      <c r="C68" s="24" t="s">
        <v>85</v>
      </c>
      <c r="D68" s="23" t="s">
        <v>307</v>
      </c>
      <c r="E68" s="23" t="s">
        <v>308</v>
      </c>
      <c r="F68" s="24">
        <v>1977</v>
      </c>
      <c r="H68" s="89">
        <v>5</v>
      </c>
      <c r="I68" s="85" t="s">
        <v>367</v>
      </c>
      <c r="J68" s="86"/>
      <c r="K68" s="33"/>
      <c r="L68" s="36" t="str">
        <f t="shared" si="34"/>
        <v/>
      </c>
      <c r="M68" s="33"/>
      <c r="N68" s="36" t="str">
        <f t="shared" si="35"/>
        <v/>
      </c>
      <c r="O68" s="33"/>
      <c r="P68" s="36" t="str">
        <f t="shared" si="36"/>
        <v/>
      </c>
      <c r="Q68" s="33"/>
      <c r="R68" s="36" t="str">
        <f t="shared" si="37"/>
        <v/>
      </c>
      <c r="S68" s="33">
        <v>5</v>
      </c>
      <c r="T68" s="36">
        <f t="shared" si="38"/>
        <v>100</v>
      </c>
      <c r="U68" s="76"/>
      <c r="V68" s="36" t="str">
        <f t="shared" si="56"/>
        <v/>
      </c>
      <c r="W68" s="33"/>
      <c r="X68" s="36" t="str">
        <f t="shared" si="52"/>
        <v/>
      </c>
      <c r="Y68" s="33"/>
      <c r="Z68" s="36" t="str">
        <f t="shared" si="53"/>
        <v/>
      </c>
      <c r="AA68" s="33"/>
      <c r="AB68" s="36" t="str">
        <f t="shared" si="54"/>
        <v/>
      </c>
      <c r="AC68" s="33"/>
      <c r="AD68" s="36" t="str">
        <f t="shared" si="55"/>
        <v/>
      </c>
      <c r="AE68" s="23" t="s">
        <v>368</v>
      </c>
      <c r="AF68" s="23"/>
      <c r="AG68" s="23"/>
      <c r="AH68" s="23"/>
      <c r="AI68" s="23"/>
      <c r="AJ68" s="23"/>
      <c r="AK68" s="23"/>
      <c r="AL68" s="23"/>
      <c r="AM68" s="23"/>
      <c r="AN68" s="23"/>
      <c r="AO68" s="23"/>
      <c r="AP68" s="23"/>
      <c r="AQ68" s="23"/>
      <c r="AR68" s="23"/>
      <c r="AS68" s="23"/>
      <c r="AT68" s="23"/>
      <c r="AU68" s="23"/>
      <c r="AV68" s="23"/>
      <c r="AW68" s="23"/>
      <c r="AX68" s="23"/>
      <c r="AY68" s="23"/>
      <c r="AZ68" s="23"/>
    </row>
    <row r="69" spans="1:52" ht="20" customHeight="1" x14ac:dyDescent="0.2">
      <c r="A69" s="60"/>
      <c r="B69" s="82"/>
      <c r="C69" s="24" t="s">
        <v>85</v>
      </c>
      <c r="D69" s="23" t="s">
        <v>107</v>
      </c>
      <c r="E69" s="23" t="s">
        <v>108</v>
      </c>
      <c r="F69" s="24">
        <v>2008</v>
      </c>
      <c r="G69" s="24">
        <v>54</v>
      </c>
      <c r="H69" s="89">
        <v>12</v>
      </c>
      <c r="I69" s="85" t="s">
        <v>168</v>
      </c>
      <c r="J69" s="86" t="s">
        <v>210</v>
      </c>
      <c r="K69" s="33"/>
      <c r="L69" s="36" t="str">
        <f t="shared" si="34"/>
        <v/>
      </c>
      <c r="M69" s="33"/>
      <c r="N69" s="36" t="str">
        <f t="shared" si="35"/>
        <v/>
      </c>
      <c r="O69" s="33"/>
      <c r="P69" s="36" t="str">
        <f t="shared" si="36"/>
        <v/>
      </c>
      <c r="Q69" s="33"/>
      <c r="R69" s="36" t="str">
        <f t="shared" si="37"/>
        <v/>
      </c>
      <c r="S69" s="33"/>
      <c r="T69" s="36" t="str">
        <f t="shared" si="38"/>
        <v/>
      </c>
      <c r="U69" s="76"/>
      <c r="V69" s="36" t="str">
        <f t="shared" si="56"/>
        <v/>
      </c>
      <c r="W69" s="33"/>
      <c r="X69" s="36" t="str">
        <f>IF((ISERROR((W69/$H69)*100)), "", IF(AND(NOT(ISERROR((W69/$H69)*100)),((W69/$H69)*100) &lt;&gt; 0), (W69/$H69)*100, ""))</f>
        <v/>
      </c>
      <c r="Y69" s="33"/>
      <c r="Z69" s="36" t="str">
        <f>IF((ISERROR((Y69/$H69)*100)), "", IF(AND(NOT(ISERROR((Y69/$H69)*100)),((Y69/$H69)*100) &lt;&gt; 0), (Y69/$H69)*100, ""))</f>
        <v/>
      </c>
      <c r="AA69" s="33"/>
      <c r="AB69" s="36" t="str">
        <f>IF((ISERROR((AA69/$H69)*100)), "", IF(AND(NOT(ISERROR((AA69/$H69)*100)),((AA69/$H69)*100) &lt;&gt; 0), (AA69/$H69)*100, ""))</f>
        <v/>
      </c>
      <c r="AC69" s="33"/>
      <c r="AD69" s="36" t="str">
        <f>IF((ISERROR((AC69/$H69)*100)), "", IF(AND(NOT(ISERROR((AC69/$H69)*100)),((AC69/$H69)*100) &lt;&gt; 0), (AC69/$H69)*100, ""))</f>
        <v/>
      </c>
      <c r="AE69" s="23" t="s">
        <v>420</v>
      </c>
      <c r="AF69" s="23"/>
      <c r="AG69" s="23"/>
      <c r="AH69" s="23"/>
      <c r="AI69" s="23"/>
      <c r="AJ69" s="23"/>
      <c r="AK69" s="23"/>
      <c r="AL69" s="23"/>
      <c r="AM69" s="23"/>
      <c r="AN69" s="23"/>
      <c r="AO69" s="23"/>
      <c r="AP69" s="23"/>
      <c r="AQ69" s="23"/>
      <c r="AR69" s="23"/>
      <c r="AS69" s="23"/>
      <c r="AT69" s="23"/>
      <c r="AU69" s="23"/>
      <c r="AV69" s="23"/>
      <c r="AW69" s="23"/>
      <c r="AX69" s="23"/>
      <c r="AY69" s="23"/>
      <c r="AZ69" s="23"/>
    </row>
    <row r="70" spans="1:52" ht="20" customHeight="1" x14ac:dyDescent="0.2">
      <c r="A70" s="60"/>
      <c r="B70" s="83"/>
      <c r="C70" s="24" t="s">
        <v>85</v>
      </c>
      <c r="D70" s="23" t="s">
        <v>109</v>
      </c>
      <c r="E70" s="23" t="s">
        <v>110</v>
      </c>
      <c r="F70" s="24">
        <v>1999</v>
      </c>
      <c r="G70" s="24">
        <v>76</v>
      </c>
      <c r="H70" s="89">
        <v>7</v>
      </c>
      <c r="I70" s="85" t="s">
        <v>176</v>
      </c>
      <c r="J70" s="86" t="s">
        <v>192</v>
      </c>
      <c r="K70" s="33"/>
      <c r="L70" s="36" t="str">
        <f t="shared" si="34"/>
        <v/>
      </c>
      <c r="M70" s="33"/>
      <c r="N70" s="36" t="str">
        <f t="shared" si="35"/>
        <v/>
      </c>
      <c r="O70" s="33"/>
      <c r="P70" s="36" t="str">
        <f t="shared" si="36"/>
        <v/>
      </c>
      <c r="Q70" s="33"/>
      <c r="R70" s="36" t="str">
        <f t="shared" si="37"/>
        <v/>
      </c>
      <c r="S70" s="33"/>
      <c r="T70" s="36" t="str">
        <f t="shared" si="38"/>
        <v/>
      </c>
      <c r="U70" s="76"/>
      <c r="V70" s="36" t="str">
        <f t="shared" si="56"/>
        <v/>
      </c>
      <c r="W70" s="33"/>
      <c r="X70" s="36" t="str">
        <f>IF((ISERROR((W70/$H70)*100)), "", IF(AND(NOT(ISERROR((W70/$H70)*100)),((W70/$H70)*100) &lt;&gt; 0), (W70/$H70)*100, ""))</f>
        <v/>
      </c>
      <c r="Y70" s="33"/>
      <c r="Z70" s="36" t="str">
        <f>IF((ISERROR((Y70/$H70)*100)), "", IF(AND(NOT(ISERROR((Y70/$H70)*100)),((Y70/$H70)*100) &lt;&gt; 0), (Y70/$H70)*100, ""))</f>
        <v/>
      </c>
      <c r="AA70" s="33"/>
      <c r="AB70" s="36" t="str">
        <f>IF((ISERROR((AA70/$H70)*100)), "", IF(AND(NOT(ISERROR((AA70/$H70)*100)),((AA70/$H70)*100) &lt;&gt; 0), (AA70/$H70)*100, ""))</f>
        <v/>
      </c>
      <c r="AC70" s="33"/>
      <c r="AD70" s="36" t="str">
        <f>IF((ISERROR((AC70/$H70)*100)), "", IF(AND(NOT(ISERROR((AC70/$H70)*100)),((AC70/$H70)*100) &lt;&gt; 0), (AC70/$H70)*100, ""))</f>
        <v/>
      </c>
      <c r="AE70" s="23" t="s">
        <v>181</v>
      </c>
      <c r="AF70" s="23"/>
      <c r="AG70" s="23"/>
      <c r="AH70" s="23"/>
      <c r="AI70" s="23"/>
      <c r="AJ70" s="23"/>
      <c r="AK70" s="23"/>
      <c r="AL70" s="23"/>
      <c r="AM70" s="23"/>
      <c r="AN70" s="23"/>
      <c r="AO70" s="23"/>
      <c r="AP70" s="23"/>
      <c r="AQ70" s="23"/>
      <c r="AR70" s="23"/>
      <c r="AS70" s="23"/>
      <c r="AT70" s="23"/>
      <c r="AU70" s="23"/>
      <c r="AV70" s="23"/>
      <c r="AW70" s="23"/>
      <c r="AX70" s="23"/>
      <c r="AY70" s="23"/>
      <c r="AZ70" s="23"/>
    </row>
    <row r="71" spans="1:52" ht="20" customHeight="1" x14ac:dyDescent="0.2">
      <c r="A71" s="61"/>
      <c r="B71" s="83"/>
      <c r="C71" s="24" t="s">
        <v>85</v>
      </c>
      <c r="D71" s="23" t="s">
        <v>111</v>
      </c>
      <c r="E71" s="23" t="s">
        <v>112</v>
      </c>
      <c r="F71" s="24">
        <v>2008</v>
      </c>
      <c r="G71" s="24">
        <v>101</v>
      </c>
      <c r="H71" s="89">
        <v>16</v>
      </c>
      <c r="I71" s="85" t="s">
        <v>211</v>
      </c>
      <c r="J71" s="86"/>
      <c r="K71" s="33"/>
      <c r="L71" s="36" t="str">
        <f t="shared" si="34"/>
        <v/>
      </c>
      <c r="M71" s="33"/>
      <c r="N71" s="36" t="str">
        <f t="shared" si="35"/>
        <v/>
      </c>
      <c r="O71" s="33"/>
      <c r="P71" s="36" t="str">
        <f t="shared" si="36"/>
        <v/>
      </c>
      <c r="Q71" s="33"/>
      <c r="R71" s="36" t="str">
        <f t="shared" si="37"/>
        <v/>
      </c>
      <c r="S71" s="33"/>
      <c r="T71" s="36" t="str">
        <f t="shared" si="38"/>
        <v/>
      </c>
      <c r="U71" s="76"/>
      <c r="V71" s="36" t="str">
        <f t="shared" si="56"/>
        <v/>
      </c>
      <c r="W71" s="33"/>
      <c r="X71" s="36" t="str">
        <f>IF((ISERROR((W71/$H71)*100)), "", IF(AND(NOT(ISERROR((W71/$H71)*100)),((W71/$H71)*100) &lt;&gt; 0), (W71/$H71)*100, ""))</f>
        <v/>
      </c>
      <c r="Y71" s="33"/>
      <c r="Z71" s="36" t="str">
        <f>IF((ISERROR((Y71/$H71)*100)), "", IF(AND(NOT(ISERROR((Y71/$H71)*100)),((Y71/$H71)*100) &lt;&gt; 0), (Y71/$H71)*100, ""))</f>
        <v/>
      </c>
      <c r="AA71" s="33"/>
      <c r="AB71" s="36" t="str">
        <f>IF((ISERROR((AA71/$H71)*100)), "", IF(AND(NOT(ISERROR((AA71/$H71)*100)),((AA71/$H71)*100) &lt;&gt; 0), (AA71/$H71)*100, ""))</f>
        <v/>
      </c>
      <c r="AC71" s="33"/>
      <c r="AD71" s="36" t="str">
        <f>IF((ISERROR((AC71/$H71)*100)), "", IF(AND(NOT(ISERROR((AC71/$H71)*100)),((AC71/$H71)*100) &lt;&gt; 0), (AC71/$H71)*100, ""))</f>
        <v/>
      </c>
      <c r="AE71" s="23" t="s">
        <v>388</v>
      </c>
      <c r="AF71" s="23"/>
      <c r="AG71" s="23"/>
      <c r="AH71" s="23"/>
      <c r="AI71" s="23"/>
      <c r="AJ71" s="23"/>
      <c r="AK71" s="23"/>
      <c r="AL71" s="23"/>
      <c r="AM71" s="23"/>
      <c r="AN71" s="23"/>
      <c r="AO71" s="23"/>
      <c r="AP71" s="23"/>
      <c r="AQ71" s="23"/>
      <c r="AR71" s="23"/>
      <c r="AS71" s="23"/>
      <c r="AT71" s="23"/>
      <c r="AU71" s="23"/>
      <c r="AV71" s="23"/>
      <c r="AW71" s="23"/>
      <c r="AX71" s="23"/>
      <c r="AY71" s="23"/>
      <c r="AZ71" s="23"/>
    </row>
    <row r="72" spans="1:52" ht="20" customHeight="1" x14ac:dyDescent="0.2">
      <c r="A72" s="60"/>
      <c r="B72" s="82"/>
      <c r="C72" s="24" t="s">
        <v>85</v>
      </c>
      <c r="D72" s="23" t="s">
        <v>113</v>
      </c>
      <c r="E72" s="23" t="s">
        <v>114</v>
      </c>
      <c r="F72" s="24">
        <v>1997</v>
      </c>
      <c r="G72" s="24">
        <v>127</v>
      </c>
      <c r="H72" s="89">
        <v>8</v>
      </c>
      <c r="I72" s="85" t="s">
        <v>212</v>
      </c>
      <c r="J72" s="86" t="s">
        <v>213</v>
      </c>
      <c r="K72" s="33"/>
      <c r="L72" s="36" t="str">
        <f t="shared" si="34"/>
        <v/>
      </c>
      <c r="M72" s="33"/>
      <c r="N72" s="36" t="str">
        <f t="shared" si="35"/>
        <v/>
      </c>
      <c r="O72" s="33"/>
      <c r="P72" s="36" t="str">
        <f t="shared" si="36"/>
        <v/>
      </c>
      <c r="Q72" s="33"/>
      <c r="R72" s="36" t="str">
        <f t="shared" si="37"/>
        <v/>
      </c>
      <c r="S72" s="33"/>
      <c r="T72" s="36" t="str">
        <f t="shared" si="38"/>
        <v/>
      </c>
      <c r="U72" s="76">
        <v>1</v>
      </c>
      <c r="V72" s="36">
        <f t="shared" si="56"/>
        <v>12.5</v>
      </c>
      <c r="W72" s="33"/>
      <c r="X72" s="36" t="str">
        <f t="shared" si="52"/>
        <v/>
      </c>
      <c r="Y72" s="33"/>
      <c r="Z72" s="36" t="str">
        <f t="shared" si="53"/>
        <v/>
      </c>
      <c r="AA72" s="33"/>
      <c r="AB72" s="36" t="str">
        <f t="shared" si="54"/>
        <v/>
      </c>
      <c r="AC72" s="33">
        <v>1</v>
      </c>
      <c r="AD72" s="36">
        <f t="shared" si="55"/>
        <v>12.5</v>
      </c>
      <c r="AE72" s="23" t="s">
        <v>389</v>
      </c>
      <c r="AF72" s="23"/>
      <c r="AG72" s="23"/>
      <c r="AH72" s="23"/>
      <c r="AI72" s="23"/>
      <c r="AJ72" s="23"/>
      <c r="AK72" s="23"/>
      <c r="AL72" s="23"/>
      <c r="AM72" s="23"/>
      <c r="AN72" s="23"/>
      <c r="AO72" s="23"/>
      <c r="AP72" s="23"/>
      <c r="AQ72" s="23"/>
      <c r="AR72" s="23"/>
      <c r="AS72" s="23"/>
      <c r="AT72" s="23"/>
      <c r="AU72" s="23"/>
      <c r="AV72" s="23"/>
      <c r="AW72" s="23"/>
      <c r="AX72" s="23"/>
      <c r="AY72" s="23"/>
      <c r="AZ72" s="23"/>
    </row>
    <row r="73" spans="1:52" ht="20" customHeight="1" x14ac:dyDescent="0.2">
      <c r="A73" s="60"/>
      <c r="B73" s="24"/>
      <c r="C73" s="24" t="s">
        <v>85</v>
      </c>
      <c r="D73" s="23" t="s">
        <v>115</v>
      </c>
      <c r="E73" s="23" t="s">
        <v>116</v>
      </c>
      <c r="F73" s="24">
        <v>2001</v>
      </c>
      <c r="G73" s="24">
        <v>143</v>
      </c>
      <c r="H73" s="89">
        <v>6</v>
      </c>
      <c r="I73" s="85" t="s">
        <v>214</v>
      </c>
      <c r="J73" s="86" t="s">
        <v>193</v>
      </c>
      <c r="K73" s="33"/>
      <c r="L73" s="36" t="str">
        <f t="shared" si="34"/>
        <v/>
      </c>
      <c r="M73" s="33"/>
      <c r="N73" s="36" t="str">
        <f t="shared" si="35"/>
        <v/>
      </c>
      <c r="O73" s="33"/>
      <c r="P73" s="36" t="str">
        <f t="shared" si="36"/>
        <v/>
      </c>
      <c r="Q73" s="33"/>
      <c r="R73" s="36" t="str">
        <f t="shared" si="37"/>
        <v/>
      </c>
      <c r="S73" s="33"/>
      <c r="T73" s="36" t="str">
        <f t="shared" si="38"/>
        <v/>
      </c>
      <c r="U73" s="76"/>
      <c r="V73" s="36" t="str">
        <f t="shared" si="56"/>
        <v/>
      </c>
      <c r="W73" s="33"/>
      <c r="X73" s="36" t="str">
        <f t="shared" si="52"/>
        <v/>
      </c>
      <c r="Y73" s="33"/>
      <c r="Z73" s="36" t="str">
        <f t="shared" si="53"/>
        <v/>
      </c>
      <c r="AA73" s="33"/>
      <c r="AB73" s="36" t="str">
        <f t="shared" si="54"/>
        <v/>
      </c>
      <c r="AC73" s="33"/>
      <c r="AD73" s="36" t="str">
        <f t="shared" si="55"/>
        <v/>
      </c>
      <c r="AE73" s="23" t="s">
        <v>215</v>
      </c>
      <c r="AF73" s="23"/>
      <c r="AG73" s="23"/>
      <c r="AH73" s="23"/>
      <c r="AI73" s="23"/>
      <c r="AJ73" s="23"/>
      <c r="AK73" s="23"/>
      <c r="AL73" s="23"/>
      <c r="AM73" s="23"/>
      <c r="AN73" s="23"/>
      <c r="AO73" s="23"/>
      <c r="AP73" s="23"/>
      <c r="AQ73" s="23"/>
      <c r="AR73" s="23"/>
      <c r="AS73" s="23"/>
      <c r="AT73" s="23"/>
      <c r="AU73" s="23"/>
      <c r="AV73" s="23"/>
      <c r="AW73" s="23"/>
      <c r="AX73" s="23"/>
      <c r="AY73" s="23"/>
      <c r="AZ73" s="23"/>
    </row>
    <row r="74" spans="1:52" ht="20" customHeight="1" x14ac:dyDescent="0.2">
      <c r="A74" s="60"/>
      <c r="B74" s="82"/>
      <c r="C74" s="24" t="s">
        <v>85</v>
      </c>
      <c r="D74" s="23" t="s">
        <v>119</v>
      </c>
      <c r="E74" s="23" t="s">
        <v>120</v>
      </c>
      <c r="F74" s="24">
        <v>2003</v>
      </c>
      <c r="G74" s="24">
        <v>45</v>
      </c>
      <c r="H74" s="89">
        <v>16</v>
      </c>
      <c r="I74" s="85" t="s">
        <v>176</v>
      </c>
      <c r="J74" s="86" t="s">
        <v>421</v>
      </c>
      <c r="K74" s="33"/>
      <c r="L74" s="36" t="str">
        <f t="shared" ref="L74:L82" si="57">IF((ISERROR((K74/$H74)*100)), "", IF(AND(NOT(ISERROR((K74/$H74)*100)),((K74/$H74)*100) &lt;&gt; 0), (K74/$H74)*100, ""))</f>
        <v/>
      </c>
      <c r="M74" s="33"/>
      <c r="N74" s="36" t="str">
        <f t="shared" ref="N74:N82" si="58">IF((ISERROR((M74/$H74)*100)), "", IF(AND(NOT(ISERROR((M74/$H74)*100)),((M74/$H74)*100) &lt;&gt; 0), (M74/$H74)*100, ""))</f>
        <v/>
      </c>
      <c r="O74" s="33"/>
      <c r="P74" s="36" t="str">
        <f t="shared" ref="P74:P82" si="59">IF((ISERROR((O74/$H74)*100)), "", IF(AND(NOT(ISERROR((O74/$H74)*100)),((O74/$H74)*100) &lt;&gt; 0), (O74/$H74)*100, ""))</f>
        <v/>
      </c>
      <c r="Q74" s="33"/>
      <c r="R74" s="36" t="str">
        <f t="shared" ref="R74:R82" si="60">IF((ISERROR((Q74/$H74)*100)), "", IF(AND(NOT(ISERROR((Q74/$H74)*100)),((Q74/$H74)*100) &lt;&gt; 0), (Q74/$H74)*100, ""))</f>
        <v/>
      </c>
      <c r="S74" s="38"/>
      <c r="T74" s="39" t="str">
        <f t="shared" ref="T74:T82" si="61">IF((ISERROR((S74/$H74)*100)), "", IF(AND(NOT(ISERROR((S74/$H74)*100)),((S74/$H74)*100) &lt;&gt; 0), (S74/$H74)*100, ""))</f>
        <v/>
      </c>
      <c r="U74" s="38"/>
      <c r="V74" s="39" t="str">
        <f t="shared" si="56"/>
        <v/>
      </c>
      <c r="W74" s="33"/>
      <c r="X74" s="36" t="str">
        <f>IF((ISERROR((W74/$H74)*100)), "", IF(AND(NOT(ISERROR((W74/$H74)*100)),((W74/$H74)*100) &lt;&gt; 0), (W74/$H74)*100, ""))</f>
        <v/>
      </c>
      <c r="Y74" s="33"/>
      <c r="Z74" s="36" t="str">
        <f>IF((ISERROR((Y74/$H74)*100)), "", IF(AND(NOT(ISERROR((Y74/$H74)*100)),((Y74/$H74)*100) &lt;&gt; 0), (Y74/$H74)*100, ""))</f>
        <v/>
      </c>
      <c r="AA74" s="33"/>
      <c r="AB74" s="36" t="str">
        <f>IF((ISERROR((AA74/$H74)*100)), "", IF(AND(NOT(ISERROR((AA74/$H74)*100)),((AA74/$H74)*100) &lt;&gt; 0), (AA74/$H74)*100, ""))</f>
        <v/>
      </c>
      <c r="AC74" s="33"/>
      <c r="AD74" s="36" t="str">
        <f>IF((ISERROR((AC74/$H74)*100)), "", IF(AND(NOT(ISERROR((AC74/$H74)*100)),((AC74/$H74)*100) &lt;&gt; 0), (AC74/$H74)*100, ""))</f>
        <v/>
      </c>
      <c r="AE74" s="23" t="s">
        <v>409</v>
      </c>
      <c r="AF74" s="23"/>
      <c r="AG74" s="23"/>
      <c r="AH74" s="23"/>
      <c r="AI74" s="23"/>
      <c r="AJ74" s="23"/>
      <c r="AK74" s="23"/>
      <c r="AL74" s="23"/>
      <c r="AM74" s="23"/>
      <c r="AN74" s="23"/>
      <c r="AO74" s="23"/>
      <c r="AP74" s="23"/>
      <c r="AQ74" s="23"/>
      <c r="AR74" s="23"/>
      <c r="AS74" s="23"/>
      <c r="AT74" s="23"/>
      <c r="AU74" s="23"/>
      <c r="AV74" s="23"/>
      <c r="AW74" s="23"/>
      <c r="AX74" s="23"/>
      <c r="AY74" s="23"/>
      <c r="AZ74" s="23"/>
    </row>
    <row r="75" spans="1:52" ht="20" customHeight="1" x14ac:dyDescent="0.2">
      <c r="A75" s="60"/>
      <c r="B75" s="83"/>
      <c r="C75" s="24" t="s">
        <v>85</v>
      </c>
      <c r="D75" s="23" t="s">
        <v>121</v>
      </c>
      <c r="E75" s="23" t="s">
        <v>122</v>
      </c>
      <c r="F75" s="24">
        <v>2002</v>
      </c>
      <c r="G75" s="24">
        <v>73</v>
      </c>
      <c r="H75" s="89">
        <v>49</v>
      </c>
      <c r="I75" s="85" t="s">
        <v>198</v>
      </c>
      <c r="J75" s="86"/>
      <c r="K75" s="33"/>
      <c r="L75" s="36" t="str">
        <f t="shared" si="57"/>
        <v/>
      </c>
      <c r="M75" s="33"/>
      <c r="N75" s="36" t="str">
        <f t="shared" si="58"/>
        <v/>
      </c>
      <c r="O75" s="33"/>
      <c r="P75" s="36" t="str">
        <f t="shared" si="59"/>
        <v/>
      </c>
      <c r="Q75" s="33"/>
      <c r="R75" s="36" t="str">
        <f t="shared" si="60"/>
        <v/>
      </c>
      <c r="S75" s="33"/>
      <c r="T75" s="36" t="str">
        <f t="shared" si="61"/>
        <v/>
      </c>
      <c r="U75" s="76"/>
      <c r="V75" s="36" t="str">
        <f t="shared" si="56"/>
        <v/>
      </c>
      <c r="W75" s="33"/>
      <c r="X75" s="36" t="str">
        <f t="shared" ref="X75:X79" si="62">IF((ISERROR((W75/$H75)*100)), "", IF(AND(NOT(ISERROR((W75/$H75)*100)),((W75/$H75)*100) &lt;&gt; 0), (W75/$H75)*100, ""))</f>
        <v/>
      </c>
      <c r="Y75" s="33"/>
      <c r="Z75" s="36" t="str">
        <f t="shared" ref="Z75:Z79" si="63">IF((ISERROR((Y75/$H75)*100)), "", IF(AND(NOT(ISERROR((Y75/$H75)*100)),((Y75/$H75)*100) &lt;&gt; 0), (Y75/$H75)*100, ""))</f>
        <v/>
      </c>
      <c r="AA75" s="33"/>
      <c r="AB75" s="36" t="str">
        <f t="shared" ref="AB75:AB79" si="64">IF((ISERROR((AA75/$H75)*100)), "", IF(AND(NOT(ISERROR((AA75/$H75)*100)),((AA75/$H75)*100) &lt;&gt; 0), (AA75/$H75)*100, ""))</f>
        <v/>
      </c>
      <c r="AC75" s="33"/>
      <c r="AD75" s="36" t="str">
        <f t="shared" ref="AD75:AD79" si="65">IF((ISERROR((AC75/$H75)*100)), "", IF(AND(NOT(ISERROR((AC75/$H75)*100)),((AC75/$H75)*100) &lt;&gt; 0), (AC75/$H75)*100, ""))</f>
        <v/>
      </c>
      <c r="AE75" s="23" t="s">
        <v>181</v>
      </c>
      <c r="AF75" s="23"/>
      <c r="AG75" s="23"/>
      <c r="AH75" s="23"/>
      <c r="AI75" s="23"/>
      <c r="AJ75" s="23"/>
      <c r="AK75" s="23"/>
      <c r="AL75" s="23"/>
      <c r="AM75" s="23"/>
      <c r="AN75" s="23"/>
      <c r="AO75" s="23"/>
      <c r="AP75" s="23"/>
      <c r="AQ75" s="23"/>
      <c r="AR75" s="23"/>
      <c r="AS75" s="23"/>
      <c r="AT75" s="23"/>
      <c r="AU75" s="23"/>
      <c r="AV75" s="23"/>
      <c r="AW75" s="23"/>
      <c r="AX75" s="23"/>
      <c r="AY75" s="23"/>
      <c r="AZ75" s="23"/>
    </row>
    <row r="76" spans="1:52" ht="20" customHeight="1" x14ac:dyDescent="0.2">
      <c r="A76" s="60"/>
      <c r="B76" s="82"/>
      <c r="C76" s="24" t="s">
        <v>85</v>
      </c>
      <c r="D76" s="23" t="s">
        <v>309</v>
      </c>
      <c r="E76" s="23" t="s">
        <v>310</v>
      </c>
      <c r="F76" s="24">
        <v>2015</v>
      </c>
      <c r="H76" s="89">
        <v>5</v>
      </c>
      <c r="I76" s="85" t="s">
        <v>211</v>
      </c>
      <c r="J76" s="86" t="s">
        <v>188</v>
      </c>
      <c r="K76" s="33"/>
      <c r="L76" s="36" t="str">
        <f t="shared" si="57"/>
        <v/>
      </c>
      <c r="M76" s="33"/>
      <c r="N76" s="36" t="str">
        <f t="shared" si="58"/>
        <v/>
      </c>
      <c r="O76" s="33"/>
      <c r="P76" s="36" t="str">
        <f t="shared" si="59"/>
        <v/>
      </c>
      <c r="Q76" s="33"/>
      <c r="R76" s="36" t="str">
        <f t="shared" si="60"/>
        <v/>
      </c>
      <c r="S76" s="33"/>
      <c r="T76" s="36" t="str">
        <f t="shared" si="61"/>
        <v/>
      </c>
      <c r="U76" s="76"/>
      <c r="V76" s="36" t="str">
        <f t="shared" si="56"/>
        <v/>
      </c>
      <c r="W76" s="33"/>
      <c r="X76" s="36" t="str">
        <f>IF((ISERROR((W76/$H76)*100)), "", IF(AND(NOT(ISERROR((W76/$H76)*100)),((W76/$H76)*100) &lt;&gt; 0), (W76/$H76)*100, ""))</f>
        <v/>
      </c>
      <c r="Y76" s="33"/>
      <c r="Z76" s="36" t="str">
        <f>IF((ISERROR((Y76/$H76)*100)), "", IF(AND(NOT(ISERROR((Y76/$H76)*100)),((Y76/$H76)*100) &lt;&gt; 0), (Y76/$H76)*100, ""))</f>
        <v/>
      </c>
      <c r="AA76" s="33"/>
      <c r="AB76" s="36" t="str">
        <f>IF((ISERROR((AA76/$H76)*100)), "", IF(AND(NOT(ISERROR((AA76/$H76)*100)),((AA76/$H76)*100) &lt;&gt; 0), (AA76/$H76)*100, ""))</f>
        <v/>
      </c>
      <c r="AC76" s="33"/>
      <c r="AD76" s="36" t="str">
        <f>IF((ISERROR((AC76/$H76)*100)), "", IF(AND(NOT(ISERROR((AC76/$H76)*100)),((AC76/$H76)*100) &lt;&gt; 0), (AC76/$H76)*100, ""))</f>
        <v/>
      </c>
      <c r="AE76" s="23" t="s">
        <v>422</v>
      </c>
      <c r="AF76" s="23"/>
      <c r="AG76" s="23"/>
      <c r="AH76" s="23"/>
      <c r="AI76" s="23"/>
      <c r="AJ76" s="23"/>
      <c r="AK76" s="23"/>
      <c r="AL76" s="23"/>
      <c r="AM76" s="23"/>
      <c r="AN76" s="23"/>
      <c r="AO76" s="23"/>
      <c r="AP76" s="23"/>
      <c r="AQ76" s="23"/>
      <c r="AR76" s="23"/>
      <c r="AS76" s="23"/>
      <c r="AT76" s="23"/>
      <c r="AU76" s="23"/>
      <c r="AV76" s="23"/>
      <c r="AW76" s="23"/>
      <c r="AX76" s="23"/>
      <c r="AY76" s="23"/>
      <c r="AZ76" s="23"/>
    </row>
    <row r="77" spans="1:52" ht="20" customHeight="1" x14ac:dyDescent="0.2">
      <c r="A77" s="60"/>
      <c r="B77" s="83"/>
      <c r="C77" s="24" t="s">
        <v>85</v>
      </c>
      <c r="D77" s="23" t="s">
        <v>311</v>
      </c>
      <c r="E77" s="23" t="s">
        <v>312</v>
      </c>
      <c r="F77" s="24">
        <v>2008</v>
      </c>
      <c r="H77" s="89">
        <v>86</v>
      </c>
      <c r="I77" s="85" t="s">
        <v>176</v>
      </c>
      <c r="J77" s="86"/>
      <c r="K77" s="33"/>
      <c r="L77" s="36" t="str">
        <f t="shared" si="57"/>
        <v/>
      </c>
      <c r="M77" s="33"/>
      <c r="N77" s="36" t="str">
        <f t="shared" si="58"/>
        <v/>
      </c>
      <c r="O77" s="33"/>
      <c r="P77" s="36" t="str">
        <f t="shared" si="59"/>
        <v/>
      </c>
      <c r="Q77" s="33"/>
      <c r="R77" s="36" t="str">
        <f t="shared" si="60"/>
        <v/>
      </c>
      <c r="S77" s="33"/>
      <c r="T77" s="36" t="str">
        <f t="shared" si="61"/>
        <v/>
      </c>
      <c r="U77" s="76"/>
      <c r="V77" s="36" t="str">
        <f t="shared" si="56"/>
        <v/>
      </c>
      <c r="W77" s="33"/>
      <c r="X77" s="36" t="str">
        <f>IF((ISERROR((W77/$H77)*100)), "", IF(AND(NOT(ISERROR((W77/$H77)*100)),((W77/$H77)*100) &lt;&gt; 0), (W77/$H77)*100, ""))</f>
        <v/>
      </c>
      <c r="Y77" s="33"/>
      <c r="Z77" s="36" t="str">
        <f>IF((ISERROR((Y77/$H77)*100)), "", IF(AND(NOT(ISERROR((Y77/$H77)*100)),((Y77/$H77)*100) &lt;&gt; 0), (Y77/$H77)*100, ""))</f>
        <v/>
      </c>
      <c r="AA77" s="33"/>
      <c r="AB77" s="36" t="str">
        <f>IF((ISERROR((AA77/$H77)*100)), "", IF(AND(NOT(ISERROR((AA77/$H77)*100)),((AA77/$H77)*100) &lt;&gt; 0), (AA77/$H77)*100, ""))</f>
        <v/>
      </c>
      <c r="AC77" s="33"/>
      <c r="AD77" s="36" t="str">
        <f>IF((ISERROR((AC77/$H77)*100)), "", IF(AND(NOT(ISERROR((AC77/$H77)*100)),((AC77/$H77)*100) &lt;&gt; 0), (AC77/$H77)*100, ""))</f>
        <v/>
      </c>
      <c r="AE77" s="23" t="s">
        <v>369</v>
      </c>
      <c r="AF77" s="23"/>
      <c r="AG77" s="23"/>
      <c r="AH77" s="23"/>
      <c r="AI77" s="23"/>
      <c r="AJ77" s="23"/>
      <c r="AK77" s="23"/>
      <c r="AL77" s="23"/>
      <c r="AM77" s="23"/>
      <c r="AN77" s="23"/>
      <c r="AO77" s="23"/>
      <c r="AP77" s="23"/>
      <c r="AQ77" s="23"/>
      <c r="AR77" s="23"/>
      <c r="AS77" s="23"/>
      <c r="AT77" s="23"/>
      <c r="AU77" s="23"/>
      <c r="AV77" s="23"/>
      <c r="AW77" s="23"/>
      <c r="AX77" s="23"/>
      <c r="AY77" s="23"/>
      <c r="AZ77" s="23"/>
    </row>
    <row r="78" spans="1:52" ht="20" customHeight="1" x14ac:dyDescent="0.2">
      <c r="A78" s="60"/>
      <c r="B78" s="83"/>
      <c r="C78" s="24" t="s">
        <v>85</v>
      </c>
      <c r="D78" s="23" t="s">
        <v>313</v>
      </c>
      <c r="E78" s="23" t="s">
        <v>314</v>
      </c>
      <c r="F78" s="24">
        <v>2012</v>
      </c>
      <c r="H78" s="89"/>
      <c r="I78" s="85" t="s">
        <v>370</v>
      </c>
      <c r="J78" s="86" t="s">
        <v>210</v>
      </c>
      <c r="K78" s="33"/>
      <c r="L78" s="36" t="str">
        <f t="shared" si="57"/>
        <v/>
      </c>
      <c r="M78" s="33"/>
      <c r="N78" s="36" t="str">
        <f t="shared" si="58"/>
        <v/>
      </c>
      <c r="O78" s="33"/>
      <c r="P78" s="36" t="str">
        <f t="shared" si="59"/>
        <v/>
      </c>
      <c r="Q78" s="33"/>
      <c r="R78" s="36" t="str">
        <f t="shared" si="60"/>
        <v/>
      </c>
      <c r="S78" s="33"/>
      <c r="T78" s="36" t="str">
        <f t="shared" si="61"/>
        <v/>
      </c>
      <c r="U78" s="76"/>
      <c r="V78" s="36" t="str">
        <f t="shared" si="56"/>
        <v/>
      </c>
      <c r="W78" s="33"/>
      <c r="X78" s="36" t="str">
        <f>IF((ISERROR((W78/$H78)*100)), "", IF(AND(NOT(ISERROR((W78/$H78)*100)),((W78/$H78)*100) &lt;&gt; 0), (W78/$H78)*100, ""))</f>
        <v/>
      </c>
      <c r="Y78" s="33"/>
      <c r="Z78" s="36" t="str">
        <f>IF((ISERROR((Y78/$H78)*100)), "", IF(AND(NOT(ISERROR((Y78/$H78)*100)),((Y78/$H78)*100) &lt;&gt; 0), (Y78/$H78)*100, ""))</f>
        <v/>
      </c>
      <c r="AA78" s="33"/>
      <c r="AB78" s="36" t="str">
        <f>IF((ISERROR((AA78/$H78)*100)), "", IF(AND(NOT(ISERROR((AA78/$H78)*100)),((AA78/$H78)*100) &lt;&gt; 0), (AA78/$H78)*100, ""))</f>
        <v/>
      </c>
      <c r="AC78" s="33"/>
      <c r="AD78" s="36" t="str">
        <f>IF((ISERROR((AC78/$H78)*100)), "", IF(AND(NOT(ISERROR((AC78/$H78)*100)),((AC78/$H78)*100) &lt;&gt; 0), (AC78/$H78)*100, ""))</f>
        <v/>
      </c>
      <c r="AE78" s="23"/>
      <c r="AF78" s="23"/>
      <c r="AG78" s="23"/>
      <c r="AH78" s="23"/>
      <c r="AI78" s="23"/>
      <c r="AJ78" s="23"/>
      <c r="AK78" s="23"/>
      <c r="AL78" s="23"/>
      <c r="AM78" s="23"/>
      <c r="AN78" s="23"/>
      <c r="AO78" s="23"/>
      <c r="AP78" s="23"/>
      <c r="AQ78" s="23"/>
      <c r="AR78" s="23"/>
      <c r="AS78" s="23"/>
      <c r="AT78" s="23"/>
      <c r="AU78" s="23"/>
      <c r="AV78" s="23"/>
      <c r="AW78" s="23"/>
      <c r="AX78" s="23"/>
      <c r="AY78" s="23"/>
      <c r="AZ78" s="23"/>
    </row>
    <row r="79" spans="1:52" ht="20" customHeight="1" x14ac:dyDescent="0.2">
      <c r="A79" s="61"/>
      <c r="B79" s="24"/>
      <c r="C79" s="50" t="s">
        <v>35</v>
      </c>
      <c r="D79" s="49" t="s">
        <v>123</v>
      </c>
      <c r="E79" s="49" t="s">
        <v>124</v>
      </c>
      <c r="F79" s="50">
        <v>2007</v>
      </c>
      <c r="G79" s="50">
        <v>60</v>
      </c>
      <c r="H79" s="89"/>
      <c r="I79" s="85"/>
      <c r="J79" s="86"/>
      <c r="K79" s="33"/>
      <c r="L79" s="36" t="str">
        <f t="shared" si="57"/>
        <v/>
      </c>
      <c r="M79" s="33"/>
      <c r="N79" s="36" t="str">
        <f t="shared" si="58"/>
        <v/>
      </c>
      <c r="O79" s="33"/>
      <c r="P79" s="36" t="str">
        <f t="shared" si="59"/>
        <v/>
      </c>
      <c r="Q79" s="33"/>
      <c r="R79" s="36" t="str">
        <f t="shared" si="60"/>
        <v/>
      </c>
      <c r="S79" s="33"/>
      <c r="T79" s="36" t="str">
        <f t="shared" si="61"/>
        <v/>
      </c>
      <c r="U79" s="76"/>
      <c r="V79" s="36" t="str">
        <f t="shared" si="56"/>
        <v/>
      </c>
      <c r="W79" s="33"/>
      <c r="X79" s="36" t="str">
        <f t="shared" si="62"/>
        <v/>
      </c>
      <c r="Y79" s="33"/>
      <c r="Z79" s="36" t="str">
        <f t="shared" si="63"/>
        <v/>
      </c>
      <c r="AA79" s="33"/>
      <c r="AB79" s="36" t="str">
        <f t="shared" si="64"/>
        <v/>
      </c>
      <c r="AC79" s="33"/>
      <c r="AD79" s="36" t="str">
        <f t="shared" si="65"/>
        <v/>
      </c>
      <c r="AE79" s="23" t="s">
        <v>391</v>
      </c>
      <c r="AF79" s="23"/>
      <c r="AG79" s="23"/>
      <c r="AH79" s="23"/>
      <c r="AI79" s="23"/>
      <c r="AJ79" s="23"/>
      <c r="AK79" s="23"/>
      <c r="AL79" s="23"/>
      <c r="AM79" s="23"/>
      <c r="AN79" s="23"/>
      <c r="AO79" s="23"/>
      <c r="AP79" s="23"/>
      <c r="AQ79" s="23"/>
      <c r="AR79" s="23"/>
      <c r="AS79" s="23"/>
      <c r="AT79" s="23"/>
      <c r="AU79" s="23"/>
      <c r="AV79" s="23"/>
      <c r="AW79" s="23"/>
      <c r="AX79" s="23"/>
      <c r="AY79" s="23"/>
      <c r="AZ79" s="23"/>
    </row>
    <row r="80" spans="1:52" ht="20" customHeight="1" x14ac:dyDescent="0.2">
      <c r="A80" s="61"/>
      <c r="B80" s="24"/>
      <c r="C80" s="24" t="s">
        <v>85</v>
      </c>
      <c r="D80" s="23" t="s">
        <v>127</v>
      </c>
      <c r="E80" s="23" t="s">
        <v>128</v>
      </c>
      <c r="F80" s="24">
        <v>2000</v>
      </c>
      <c r="G80" s="24">
        <v>252</v>
      </c>
      <c r="H80" s="89">
        <v>30</v>
      </c>
      <c r="I80" s="85" t="s">
        <v>218</v>
      </c>
      <c r="J80" s="86" t="s">
        <v>169</v>
      </c>
      <c r="K80" s="33"/>
      <c r="L80" s="36" t="str">
        <f t="shared" si="57"/>
        <v/>
      </c>
      <c r="M80" s="33"/>
      <c r="N80" s="36" t="str">
        <f t="shared" si="58"/>
        <v/>
      </c>
      <c r="O80" s="33"/>
      <c r="P80" s="36" t="str">
        <f t="shared" si="59"/>
        <v/>
      </c>
      <c r="Q80" s="33"/>
      <c r="R80" s="36" t="str">
        <f t="shared" si="60"/>
        <v/>
      </c>
      <c r="S80" s="33"/>
      <c r="T80" s="36" t="str">
        <f t="shared" si="61"/>
        <v/>
      </c>
      <c r="U80" s="76"/>
      <c r="V80" s="36" t="str">
        <f t="shared" si="56"/>
        <v/>
      </c>
      <c r="W80" s="33"/>
      <c r="X80" s="36" t="str">
        <f>IF((ISERROR((W80/$H80)*100)), "", IF(AND(NOT(ISERROR((W80/$H80)*100)),((W80/$H80)*100) &lt;&gt; 0), (W80/$H80)*100, ""))</f>
        <v/>
      </c>
      <c r="Y80" s="33"/>
      <c r="Z80" s="36" t="str">
        <f>IF((ISERROR((Y80/$H80)*100)), "", IF(AND(NOT(ISERROR((Y80/$H80)*100)),((Y80/$H80)*100) &lt;&gt; 0), (Y80/$H80)*100, ""))</f>
        <v/>
      </c>
      <c r="AA80" s="33"/>
      <c r="AB80" s="36" t="str">
        <f>IF((ISERROR((AA80/$H80)*100)), "", IF(AND(NOT(ISERROR((AA80/$H80)*100)),((AA80/$H80)*100) &lt;&gt; 0), (AA80/$H80)*100, ""))</f>
        <v/>
      </c>
      <c r="AC80" s="33"/>
      <c r="AD80" s="36" t="str">
        <f>IF((ISERROR((AC80/$H80)*100)), "", IF(AND(NOT(ISERROR((AC80/$H80)*100)),((AC80/$H80)*100) &lt;&gt; 0), (AC80/$H80)*100, ""))</f>
        <v/>
      </c>
      <c r="AE80" s="23" t="s">
        <v>423</v>
      </c>
      <c r="AF80" s="23"/>
      <c r="AG80" s="23"/>
      <c r="AH80" s="23"/>
      <c r="AI80" s="23"/>
      <c r="AJ80" s="23"/>
      <c r="AK80" s="23"/>
      <c r="AL80" s="23"/>
      <c r="AM80" s="23"/>
      <c r="AN80" s="23"/>
      <c r="AO80" s="23"/>
      <c r="AP80" s="23"/>
      <c r="AQ80" s="23"/>
      <c r="AR80" s="23"/>
      <c r="AS80" s="23"/>
      <c r="AT80" s="23"/>
      <c r="AU80" s="23"/>
      <c r="AV80" s="23"/>
      <c r="AW80" s="23"/>
      <c r="AX80" s="23"/>
      <c r="AY80" s="23"/>
      <c r="AZ80" s="23"/>
    </row>
    <row r="81" spans="1:52" ht="20" customHeight="1" x14ac:dyDescent="0.2">
      <c r="A81" s="60"/>
      <c r="B81" s="82"/>
      <c r="C81" s="24" t="s">
        <v>85</v>
      </c>
      <c r="D81" s="23" t="s">
        <v>131</v>
      </c>
      <c r="E81" s="23" t="s">
        <v>132</v>
      </c>
      <c r="F81" s="24">
        <v>1998</v>
      </c>
      <c r="G81" s="24">
        <v>213</v>
      </c>
      <c r="H81" s="89">
        <v>6</v>
      </c>
      <c r="I81" s="85" t="s">
        <v>176</v>
      </c>
      <c r="J81" s="86"/>
      <c r="K81" s="33"/>
      <c r="L81" s="36" t="str">
        <f t="shared" si="57"/>
        <v/>
      </c>
      <c r="M81" s="38">
        <v>4</v>
      </c>
      <c r="N81" s="39">
        <f t="shared" si="58"/>
        <v>66.666666666666657</v>
      </c>
      <c r="O81" s="33"/>
      <c r="P81" s="36" t="str">
        <f t="shared" si="59"/>
        <v/>
      </c>
      <c r="Q81" s="33"/>
      <c r="R81" s="36" t="str">
        <f t="shared" si="60"/>
        <v/>
      </c>
      <c r="S81" s="33"/>
      <c r="T81" s="36" t="str">
        <f t="shared" si="61"/>
        <v/>
      </c>
      <c r="U81" s="76"/>
      <c r="V81" s="36" t="str">
        <f t="shared" si="56"/>
        <v/>
      </c>
      <c r="W81" s="33"/>
      <c r="X81" s="36" t="str">
        <f t="shared" ref="X81:X85" si="66">IF((ISERROR((W81/$H81)*100)), "", IF(AND(NOT(ISERROR((W81/$H81)*100)),((W81/$H81)*100) &lt;&gt; 0), (W81/$H81)*100, ""))</f>
        <v/>
      </c>
      <c r="Y81" s="33"/>
      <c r="Z81" s="36" t="str">
        <f t="shared" ref="Z81:Z85" si="67">IF((ISERROR((Y81/$H81)*100)), "", IF(AND(NOT(ISERROR((Y81/$H81)*100)),((Y81/$H81)*100) &lt;&gt; 0), (Y81/$H81)*100, ""))</f>
        <v/>
      </c>
      <c r="AA81" s="33"/>
      <c r="AB81" s="36" t="str">
        <f t="shared" ref="AB81:AB85" si="68">IF((ISERROR((AA81/$H81)*100)), "", IF(AND(NOT(ISERROR((AA81/$H81)*100)),((AA81/$H81)*100) &lt;&gt; 0), (AA81/$H81)*100, ""))</f>
        <v/>
      </c>
      <c r="AC81" s="33"/>
      <c r="AD81" s="36" t="str">
        <f t="shared" ref="AD81:AD85" si="69">IF((ISERROR((AC81/$H81)*100)), "", IF(AND(NOT(ISERROR((AC81/$H81)*100)),((AC81/$H81)*100) &lt;&gt; 0), (AC81/$H81)*100, ""))</f>
        <v/>
      </c>
      <c r="AE81" s="23" t="s">
        <v>219</v>
      </c>
      <c r="AF81" s="23"/>
      <c r="AG81" s="23"/>
      <c r="AH81" s="23"/>
      <c r="AI81" s="23"/>
      <c r="AJ81" s="23"/>
      <c r="AK81" s="23"/>
      <c r="AL81" s="23"/>
      <c r="AM81" s="23"/>
      <c r="AN81" s="23"/>
      <c r="AO81" s="23"/>
      <c r="AP81" s="23"/>
      <c r="AQ81" s="23"/>
      <c r="AR81" s="23"/>
      <c r="AS81" s="23"/>
      <c r="AT81" s="23"/>
      <c r="AU81" s="23"/>
      <c r="AV81" s="23"/>
      <c r="AW81" s="23"/>
      <c r="AX81" s="23"/>
      <c r="AY81" s="23"/>
      <c r="AZ81" s="23"/>
    </row>
    <row r="82" spans="1:52" ht="20" customHeight="1" x14ac:dyDescent="0.2">
      <c r="A82" s="61"/>
      <c r="B82" s="82"/>
      <c r="C82" s="24" t="s">
        <v>85</v>
      </c>
      <c r="D82" s="23" t="s">
        <v>133</v>
      </c>
      <c r="E82" s="23" t="s">
        <v>134</v>
      </c>
      <c r="F82" s="24">
        <v>2001</v>
      </c>
      <c r="G82" s="24">
        <v>192</v>
      </c>
      <c r="H82" s="89"/>
      <c r="I82" s="85" t="s">
        <v>176</v>
      </c>
      <c r="J82" s="86" t="s">
        <v>169</v>
      </c>
      <c r="K82" s="33"/>
      <c r="L82" s="36" t="str">
        <f t="shared" si="57"/>
        <v/>
      </c>
      <c r="M82" s="38">
        <v>1</v>
      </c>
      <c r="N82" s="39" t="str">
        <f t="shared" si="58"/>
        <v/>
      </c>
      <c r="O82" s="33"/>
      <c r="P82" s="36" t="str">
        <f t="shared" si="59"/>
        <v/>
      </c>
      <c r="Q82" s="33"/>
      <c r="R82" s="36" t="str">
        <f t="shared" si="60"/>
        <v/>
      </c>
      <c r="S82" s="33"/>
      <c r="T82" s="36" t="str">
        <f t="shared" si="61"/>
        <v/>
      </c>
      <c r="U82" s="76"/>
      <c r="V82" s="36" t="str">
        <f t="shared" si="56"/>
        <v/>
      </c>
      <c r="W82" s="33"/>
      <c r="X82" s="36" t="str">
        <f>IF((ISERROR((W82/$H82)*100)), "", IF(AND(NOT(ISERROR((W82/$H82)*100)),((W82/$H82)*100) &lt;&gt; 0), (W82/$H82)*100, ""))</f>
        <v/>
      </c>
      <c r="Y82" s="33"/>
      <c r="Z82" s="36" t="str">
        <f>IF((ISERROR((Y82/$H82)*100)), "", IF(AND(NOT(ISERROR((Y82/$H82)*100)),((Y82/$H82)*100) &lt;&gt; 0), (Y82/$H82)*100, ""))</f>
        <v/>
      </c>
      <c r="AA82" s="33"/>
      <c r="AB82" s="36" t="str">
        <f>IF((ISERROR((AA82/$H82)*100)), "", IF(AND(NOT(ISERROR((AA82/$H82)*100)),((AA82/$H82)*100) &lt;&gt; 0), (AA82/$H82)*100, ""))</f>
        <v/>
      </c>
      <c r="AC82" s="33"/>
      <c r="AD82" s="36" t="str">
        <f>IF((ISERROR((AC82/$H82)*100)), "", IF(AND(NOT(ISERROR((AC82/$H82)*100)),((AC82/$H82)*100) &lt;&gt; 0), (AC82/$H82)*100, ""))</f>
        <v/>
      </c>
      <c r="AE82" s="23" t="s">
        <v>392</v>
      </c>
      <c r="AF82" s="23"/>
      <c r="AG82" s="23"/>
      <c r="AH82" s="23"/>
      <c r="AI82" s="23"/>
      <c r="AJ82" s="23"/>
      <c r="AK82" s="23"/>
      <c r="AL82" s="23"/>
      <c r="AM82" s="23"/>
      <c r="AN82" s="23"/>
      <c r="AO82" s="23"/>
      <c r="AP82" s="23"/>
      <c r="AQ82" s="23"/>
      <c r="AR82" s="23"/>
      <c r="AS82" s="23"/>
      <c r="AT82" s="23"/>
      <c r="AU82" s="23"/>
      <c r="AV82" s="23"/>
      <c r="AW82" s="23"/>
      <c r="AX82" s="23"/>
      <c r="AY82" s="23"/>
      <c r="AZ82" s="23"/>
    </row>
    <row r="83" spans="1:52" ht="20" customHeight="1" x14ac:dyDescent="0.2">
      <c r="A83" s="61"/>
      <c r="B83" s="82"/>
      <c r="D83" s="23" t="s">
        <v>151</v>
      </c>
      <c r="E83" s="23" t="s">
        <v>424</v>
      </c>
      <c r="F83" s="24">
        <v>1999</v>
      </c>
      <c r="H83" s="89">
        <v>30</v>
      </c>
      <c r="I83" s="85" t="s">
        <v>425</v>
      </c>
      <c r="J83" s="86" t="s">
        <v>220</v>
      </c>
      <c r="K83" s="33"/>
      <c r="L83" s="36"/>
      <c r="M83" s="33"/>
      <c r="N83" s="36"/>
      <c r="O83" s="33"/>
      <c r="P83" s="36"/>
      <c r="Q83" s="33"/>
      <c r="R83" s="36"/>
      <c r="S83" s="33"/>
      <c r="T83" s="36"/>
      <c r="U83" s="76"/>
      <c r="V83" s="36"/>
      <c r="W83" s="33"/>
      <c r="X83" s="36"/>
      <c r="Y83" s="33"/>
      <c r="Z83" s="36"/>
      <c r="AA83" s="33"/>
      <c r="AB83" s="36"/>
      <c r="AC83" s="33"/>
      <c r="AD83" s="36"/>
      <c r="AE83" s="23" t="s">
        <v>393</v>
      </c>
      <c r="AF83" s="23"/>
      <c r="AG83" s="23"/>
      <c r="AH83" s="23"/>
      <c r="AI83" s="23"/>
      <c r="AJ83" s="23"/>
      <c r="AK83" s="23"/>
      <c r="AL83" s="23"/>
      <c r="AM83" s="23"/>
      <c r="AN83" s="23"/>
      <c r="AO83" s="23"/>
      <c r="AP83" s="23"/>
      <c r="AQ83" s="23"/>
      <c r="AR83" s="23"/>
      <c r="AS83" s="23"/>
      <c r="AT83" s="23"/>
      <c r="AU83" s="23"/>
      <c r="AV83" s="23"/>
      <c r="AW83" s="23"/>
      <c r="AX83" s="23"/>
      <c r="AY83" s="23"/>
      <c r="AZ83" s="23"/>
    </row>
    <row r="84" spans="1:52" ht="20" customHeight="1" x14ac:dyDescent="0.2">
      <c r="A84" s="61"/>
      <c r="B84" s="24"/>
      <c r="C84" s="24" t="s">
        <v>85</v>
      </c>
      <c r="D84" s="23" t="s">
        <v>135</v>
      </c>
      <c r="E84" s="23" t="s">
        <v>136</v>
      </c>
      <c r="F84" s="24">
        <v>2007</v>
      </c>
      <c r="G84" s="24">
        <v>240</v>
      </c>
      <c r="H84" s="89"/>
      <c r="I84" s="85" t="s">
        <v>221</v>
      </c>
      <c r="J84" s="86" t="s">
        <v>169</v>
      </c>
      <c r="K84" s="33"/>
      <c r="L84" s="36" t="str">
        <f t="shared" ref="L84:L94" si="70">IF((ISERROR((K84/$H84)*100)), "", IF(AND(NOT(ISERROR((K84/$H84)*100)),((K84/$H84)*100) &lt;&gt; 0), (K84/$H84)*100, ""))</f>
        <v/>
      </c>
      <c r="M84" s="33"/>
      <c r="N84" s="36" t="str">
        <f t="shared" ref="N84:N94" si="71">IF((ISERROR((M84/$H84)*100)), "", IF(AND(NOT(ISERROR((M84/$H84)*100)),((M84/$H84)*100) &lt;&gt; 0), (M84/$H84)*100, ""))</f>
        <v/>
      </c>
      <c r="O84" s="33"/>
      <c r="P84" s="36" t="str">
        <f t="shared" ref="P84:P94" si="72">IF((ISERROR((O84/$H84)*100)), "", IF(AND(NOT(ISERROR((O84/$H84)*100)),((O84/$H84)*100) &lt;&gt; 0), (O84/$H84)*100, ""))</f>
        <v/>
      </c>
      <c r="Q84" s="33"/>
      <c r="R84" s="36" t="str">
        <f t="shared" ref="R84:R94" si="73">IF((ISERROR((Q84/$H84)*100)), "", IF(AND(NOT(ISERROR((Q84/$H84)*100)),((Q84/$H84)*100) &lt;&gt; 0), (Q84/$H84)*100, ""))</f>
        <v/>
      </c>
      <c r="S84" s="33"/>
      <c r="T84" s="36" t="str">
        <f t="shared" ref="T84:T94" si="74">IF((ISERROR((S84/$H84)*100)), "", IF(AND(NOT(ISERROR((S84/$H84)*100)),((S84/$H84)*100) &lt;&gt; 0), (S84/$H84)*100, ""))</f>
        <v/>
      </c>
      <c r="U84" s="76"/>
      <c r="V84" s="36" t="str">
        <f t="shared" ref="V84:V94" si="75">IF((ISERROR((U84/$H84)*100)), "", IF(AND(NOT(ISERROR((U84/$H84)*100)),((U84/$H84)*100) &lt;&gt; 0), (U84/$H84)*100, ""))</f>
        <v/>
      </c>
      <c r="W84" s="33"/>
      <c r="X84" s="36" t="str">
        <f>IF((ISERROR((W84/$H84)*100)), "", IF(AND(NOT(ISERROR((W84/$H84)*100)),((W84/$H84)*100) &lt;&gt; 0), (W84/$H84)*100, ""))</f>
        <v/>
      </c>
      <c r="Y84" s="33"/>
      <c r="Z84" s="36" t="str">
        <f>IF((ISERROR((Y84/$H84)*100)), "", IF(AND(NOT(ISERROR((Y84/$H84)*100)),((Y84/$H84)*100) &lt;&gt; 0), (Y84/$H84)*100, ""))</f>
        <v/>
      </c>
      <c r="AA84" s="33"/>
      <c r="AB84" s="36" t="str">
        <f>IF((ISERROR((AA84/$H84)*100)), "", IF(AND(NOT(ISERROR((AA84/$H84)*100)),((AA84/$H84)*100) &lt;&gt; 0), (AA84/$H84)*100, ""))</f>
        <v/>
      </c>
      <c r="AC84" s="33"/>
      <c r="AD84" s="36" t="str">
        <f>IF((ISERROR((AC84/$H84)*100)), "", IF(AND(NOT(ISERROR((AC84/$H84)*100)),((AC84/$H84)*100) &lt;&gt; 0), (AC84/$H84)*100, ""))</f>
        <v/>
      </c>
      <c r="AE84" s="23" t="s">
        <v>222</v>
      </c>
      <c r="AF84" s="23"/>
      <c r="AG84" s="23"/>
      <c r="AH84" s="23"/>
      <c r="AI84" s="23"/>
      <c r="AJ84" s="23"/>
      <c r="AK84" s="23"/>
      <c r="AL84" s="23"/>
      <c r="AM84" s="23"/>
      <c r="AN84" s="23"/>
      <c r="AO84" s="23"/>
      <c r="AP84" s="23"/>
      <c r="AQ84" s="23"/>
      <c r="AR84" s="23"/>
      <c r="AS84" s="23"/>
      <c r="AT84" s="23"/>
      <c r="AU84" s="23"/>
      <c r="AV84" s="23"/>
      <c r="AW84" s="23"/>
      <c r="AX84" s="23"/>
      <c r="AY84" s="23"/>
      <c r="AZ84" s="23"/>
    </row>
    <row r="85" spans="1:52" ht="20" customHeight="1" x14ac:dyDescent="0.2">
      <c r="A85" s="60"/>
      <c r="B85" s="82"/>
      <c r="C85" s="24" t="s">
        <v>85</v>
      </c>
      <c r="D85" s="23" t="s">
        <v>137</v>
      </c>
      <c r="E85" s="23" t="s">
        <v>138</v>
      </c>
      <c r="F85" s="24">
        <v>2011</v>
      </c>
      <c r="G85" s="24">
        <v>42</v>
      </c>
      <c r="H85" s="89">
        <v>51</v>
      </c>
      <c r="I85" s="85" t="s">
        <v>223</v>
      </c>
      <c r="J85" s="86" t="s">
        <v>224</v>
      </c>
      <c r="K85" s="33"/>
      <c r="L85" s="36" t="str">
        <f t="shared" si="70"/>
        <v/>
      </c>
      <c r="M85" s="33"/>
      <c r="N85" s="36" t="str">
        <f t="shared" si="71"/>
        <v/>
      </c>
      <c r="O85" s="33"/>
      <c r="P85" s="36" t="str">
        <f t="shared" si="72"/>
        <v/>
      </c>
      <c r="Q85" s="33"/>
      <c r="R85" s="36" t="str">
        <f t="shared" si="73"/>
        <v/>
      </c>
      <c r="S85" s="33"/>
      <c r="T85" s="36" t="str">
        <f t="shared" si="74"/>
        <v/>
      </c>
      <c r="U85" s="40">
        <v>4</v>
      </c>
      <c r="V85" s="39">
        <f t="shared" si="75"/>
        <v>7.8431372549019605</v>
      </c>
      <c r="W85" s="33"/>
      <c r="X85" s="36" t="str">
        <f t="shared" si="66"/>
        <v/>
      </c>
      <c r="Y85" s="33"/>
      <c r="Z85" s="36" t="str">
        <f t="shared" si="67"/>
        <v/>
      </c>
      <c r="AA85" s="33"/>
      <c r="AB85" s="36" t="str">
        <f t="shared" si="68"/>
        <v/>
      </c>
      <c r="AC85" s="38" t="s">
        <v>225</v>
      </c>
      <c r="AD85" s="39" t="str">
        <f t="shared" si="69"/>
        <v/>
      </c>
      <c r="AE85" s="23" t="s">
        <v>394</v>
      </c>
      <c r="AF85" s="23"/>
      <c r="AG85" s="23"/>
      <c r="AH85" s="23"/>
      <c r="AI85" s="23"/>
      <c r="AJ85" s="23"/>
      <c r="AK85" s="23"/>
      <c r="AL85" s="23"/>
      <c r="AM85" s="23"/>
      <c r="AN85" s="23"/>
      <c r="AO85" s="23"/>
      <c r="AP85" s="23"/>
      <c r="AQ85" s="23"/>
      <c r="AR85" s="23"/>
      <c r="AS85" s="23"/>
      <c r="AT85" s="23"/>
      <c r="AU85" s="23"/>
      <c r="AV85" s="23"/>
      <c r="AW85" s="23"/>
      <c r="AX85" s="23"/>
      <c r="AY85" s="23"/>
      <c r="AZ85" s="23"/>
    </row>
    <row r="86" spans="1:52" ht="20" customHeight="1" x14ac:dyDescent="0.2">
      <c r="A86" s="60"/>
      <c r="B86" s="82"/>
      <c r="C86" s="24" t="s">
        <v>85</v>
      </c>
      <c r="D86" s="23" t="s">
        <v>315</v>
      </c>
      <c r="E86" s="23" t="s">
        <v>316</v>
      </c>
      <c r="F86" s="24">
        <v>2010</v>
      </c>
      <c r="H86" s="89">
        <v>53</v>
      </c>
      <c r="I86" s="111" t="s">
        <v>371</v>
      </c>
      <c r="J86" s="86" t="s">
        <v>410</v>
      </c>
      <c r="K86" s="33"/>
      <c r="L86" s="36" t="str">
        <f t="shared" si="70"/>
        <v/>
      </c>
      <c r="M86" s="33"/>
      <c r="N86" s="36" t="str">
        <f t="shared" si="71"/>
        <v/>
      </c>
      <c r="O86" s="33"/>
      <c r="P86" s="36" t="str">
        <f t="shared" si="72"/>
        <v/>
      </c>
      <c r="Q86" s="33"/>
      <c r="R86" s="36" t="str">
        <f t="shared" si="73"/>
        <v/>
      </c>
      <c r="S86" s="33">
        <v>15</v>
      </c>
      <c r="T86" s="36">
        <f t="shared" si="74"/>
        <v>28.30188679245283</v>
      </c>
      <c r="U86" s="76">
        <v>15</v>
      </c>
      <c r="V86" s="36">
        <f t="shared" si="75"/>
        <v>28.30188679245283</v>
      </c>
      <c r="W86" s="33"/>
      <c r="X86" s="36" t="str">
        <f>IF((ISERROR((W86/$H86)*100)), "", IF(AND(NOT(ISERROR((W86/$H86)*100)),((W86/$H86)*100) &lt;&gt; 0), (W86/$H86)*100, ""))</f>
        <v/>
      </c>
      <c r="Y86" s="33"/>
      <c r="Z86" s="36" t="str">
        <f>IF((ISERROR((Y86/$H86)*100)), "", IF(AND(NOT(ISERROR((Y86/$H86)*100)),((Y86/$H86)*100) &lt;&gt; 0), (Y86/$H86)*100, ""))</f>
        <v/>
      </c>
      <c r="AA86" s="33"/>
      <c r="AB86" s="36" t="str">
        <f>IF((ISERROR((AA86/$H86)*100)), "", IF(AND(NOT(ISERROR((AA86/$H86)*100)),((AA86/$H86)*100) &lt;&gt; 0), (AA86/$H86)*100, ""))</f>
        <v/>
      </c>
      <c r="AC86" s="33"/>
      <c r="AD86" s="36" t="str">
        <f>IF((ISERROR((AC86/$H86)*100)), "", IF(AND(NOT(ISERROR((AC86/$H86)*100)),((AC86/$H86)*100) &lt;&gt; 0), (AC86/$H86)*100, ""))</f>
        <v/>
      </c>
      <c r="AE86" s="23" t="s">
        <v>372</v>
      </c>
      <c r="AF86" s="23"/>
      <c r="AG86" s="23"/>
      <c r="AH86" s="23"/>
      <c r="AI86" s="23"/>
      <c r="AJ86" s="23"/>
      <c r="AK86" s="23"/>
      <c r="AL86" s="23"/>
      <c r="AM86" s="23"/>
      <c r="AN86" s="23"/>
      <c r="AO86" s="23"/>
      <c r="AP86" s="23"/>
      <c r="AQ86" s="23"/>
      <c r="AR86" s="23"/>
      <c r="AS86" s="23"/>
      <c r="AT86" s="23"/>
      <c r="AU86" s="23"/>
      <c r="AV86" s="23"/>
      <c r="AW86" s="23"/>
      <c r="AX86" s="23"/>
      <c r="AY86" s="23"/>
      <c r="AZ86" s="23"/>
    </row>
    <row r="87" spans="1:52" ht="20" customHeight="1" x14ac:dyDescent="0.2">
      <c r="A87" s="60"/>
      <c r="B87" s="82"/>
      <c r="C87" s="24" t="s">
        <v>85</v>
      </c>
      <c r="D87" s="23" t="s">
        <v>317</v>
      </c>
      <c r="E87" s="23" t="s">
        <v>318</v>
      </c>
      <c r="F87" s="24">
        <v>2014</v>
      </c>
      <c r="H87" s="89">
        <v>39</v>
      </c>
      <c r="I87" s="85" t="s">
        <v>211</v>
      </c>
      <c r="J87" s="86" t="s">
        <v>373</v>
      </c>
      <c r="K87" s="33"/>
      <c r="L87" s="36" t="str">
        <f t="shared" si="70"/>
        <v/>
      </c>
      <c r="M87" s="33"/>
      <c r="N87" s="36" t="str">
        <f t="shared" si="71"/>
        <v/>
      </c>
      <c r="O87" s="33"/>
      <c r="P87" s="36" t="str">
        <f t="shared" si="72"/>
        <v/>
      </c>
      <c r="Q87" s="33"/>
      <c r="R87" s="36" t="str">
        <f t="shared" si="73"/>
        <v/>
      </c>
      <c r="S87" s="33">
        <v>1</v>
      </c>
      <c r="T87" s="36">
        <f t="shared" si="74"/>
        <v>2.5641025641025639</v>
      </c>
      <c r="U87" s="76">
        <v>6</v>
      </c>
      <c r="V87" s="36">
        <f t="shared" si="75"/>
        <v>15.384615384615385</v>
      </c>
      <c r="W87" s="33">
        <v>2</v>
      </c>
      <c r="X87" s="36">
        <f>IF((ISERROR((W87/$H87)*100)), "", IF(AND(NOT(ISERROR((W87/$H87)*100)),((W87/$H87)*100) &lt;&gt; 0), (W87/$H87)*100, ""))</f>
        <v>5.1282051282051277</v>
      </c>
      <c r="Y87" s="33"/>
      <c r="Z87" s="36" t="str">
        <f>IF((ISERROR((Y87/$H87)*100)), "", IF(AND(NOT(ISERROR((Y87/$H87)*100)),((Y87/$H87)*100) &lt;&gt; 0), (Y87/$H87)*100, ""))</f>
        <v/>
      </c>
      <c r="AA87" s="33"/>
      <c r="AB87" s="36"/>
      <c r="AC87" s="33"/>
      <c r="AD87" s="36" t="str">
        <f>IF((ISERROR((AC87/$H87)*100)), "", IF(AND(NOT(ISERROR((AC87/$H87)*100)),((AC87/$H87)*100) &lt;&gt; 0), (AC87/$H87)*100, ""))</f>
        <v/>
      </c>
      <c r="AE87" s="23" t="s">
        <v>411</v>
      </c>
      <c r="AF87" s="23"/>
      <c r="AG87" s="23"/>
      <c r="AH87" s="23"/>
      <c r="AI87" s="23"/>
      <c r="AJ87" s="23"/>
      <c r="AK87" s="23"/>
      <c r="AL87" s="23"/>
      <c r="AM87" s="23"/>
      <c r="AN87" s="23"/>
      <c r="AO87" s="23"/>
      <c r="AP87" s="23"/>
      <c r="AQ87" s="23"/>
      <c r="AR87" s="23"/>
      <c r="AS87" s="23"/>
      <c r="AT87" s="23"/>
      <c r="AU87" s="23"/>
      <c r="AV87" s="23"/>
      <c r="AW87" s="23"/>
      <c r="AX87" s="23"/>
      <c r="AY87" s="23"/>
      <c r="AZ87" s="23"/>
    </row>
    <row r="88" spans="1:52" ht="20" customHeight="1" x14ac:dyDescent="0.2">
      <c r="A88" s="60"/>
      <c r="B88" s="82"/>
      <c r="C88" s="24" t="s">
        <v>85</v>
      </c>
      <c r="D88" s="23" t="s">
        <v>319</v>
      </c>
      <c r="E88" s="23" t="s">
        <v>320</v>
      </c>
      <c r="F88" s="24">
        <v>2010</v>
      </c>
      <c r="H88" s="89">
        <v>789</v>
      </c>
      <c r="I88" s="85" t="s">
        <v>211</v>
      </c>
      <c r="J88" s="86" t="s">
        <v>375</v>
      </c>
      <c r="K88" s="33"/>
      <c r="L88" s="36" t="str">
        <f t="shared" si="70"/>
        <v/>
      </c>
      <c r="M88" s="33"/>
      <c r="N88" s="36" t="str">
        <f t="shared" si="71"/>
        <v/>
      </c>
      <c r="O88" s="33"/>
      <c r="P88" s="36" t="str">
        <f t="shared" si="72"/>
        <v/>
      </c>
      <c r="Q88" s="33"/>
      <c r="R88" s="36" t="str">
        <f t="shared" si="73"/>
        <v/>
      </c>
      <c r="S88" s="33"/>
      <c r="T88" s="36" t="str">
        <f t="shared" si="74"/>
        <v/>
      </c>
      <c r="U88" s="76"/>
      <c r="V88" s="36" t="str">
        <f t="shared" si="75"/>
        <v/>
      </c>
      <c r="W88" s="33"/>
      <c r="X88" s="36" t="str">
        <f>IF((ISERROR((W88/$H88)*100)), "", IF(AND(NOT(ISERROR((W88/$H88)*100)),((W88/$H88)*100) &lt;&gt; 0), (W88/$H88)*100, ""))</f>
        <v/>
      </c>
      <c r="Y88" s="33"/>
      <c r="Z88" s="36" t="str">
        <f>IF((ISERROR((Y88/$H88)*100)), "", IF(AND(NOT(ISERROR((Y88/$H88)*100)),((Y88/$H88)*100) &lt;&gt; 0), (Y88/$H88)*100, ""))</f>
        <v/>
      </c>
      <c r="AA88" s="33"/>
      <c r="AB88" s="36" t="str">
        <f>IF((ISERROR((AA88/$H88)*100)), "", IF(AND(NOT(ISERROR((AA88/$H88)*100)),((AA88/$H88)*100) &lt;&gt; 0), (AA88/$H88)*100, ""))</f>
        <v/>
      </c>
      <c r="AC88" s="33"/>
      <c r="AD88" s="36" t="str">
        <f>IF((ISERROR((AC88/$H88)*100)), "", IF(AND(NOT(ISERROR((AC88/$H88)*100)),((AC88/$H88)*100) &lt;&gt; 0), (AC88/$H88)*100, ""))</f>
        <v/>
      </c>
      <c r="AE88" s="23" t="s">
        <v>374</v>
      </c>
      <c r="AF88" s="23"/>
      <c r="AG88" s="23"/>
      <c r="AH88" s="23"/>
      <c r="AI88" s="23"/>
      <c r="AJ88" s="23"/>
      <c r="AK88" s="23"/>
      <c r="AL88" s="23"/>
      <c r="AM88" s="23"/>
      <c r="AN88" s="23"/>
      <c r="AO88" s="23"/>
      <c r="AP88" s="23"/>
      <c r="AQ88" s="23"/>
      <c r="AR88" s="23"/>
      <c r="AS88" s="23"/>
      <c r="AT88" s="23"/>
      <c r="AU88" s="23"/>
      <c r="AV88" s="23"/>
      <c r="AW88" s="23"/>
      <c r="AX88" s="23"/>
      <c r="AY88" s="23"/>
      <c r="AZ88" s="23"/>
    </row>
    <row r="89" spans="1:52" ht="20" customHeight="1" x14ac:dyDescent="0.2">
      <c r="A89" s="60"/>
      <c r="B89" s="83"/>
      <c r="C89" s="80" t="s">
        <v>379</v>
      </c>
      <c r="D89" s="23" t="s">
        <v>321</v>
      </c>
      <c r="E89" s="23" t="s">
        <v>322</v>
      </c>
      <c r="F89" s="24">
        <v>2016</v>
      </c>
      <c r="H89" s="89">
        <v>16</v>
      </c>
      <c r="I89" s="85" t="s">
        <v>377</v>
      </c>
      <c r="J89" s="112" t="s">
        <v>378</v>
      </c>
      <c r="K89" s="33"/>
      <c r="L89" s="36" t="str">
        <f t="shared" si="70"/>
        <v/>
      </c>
      <c r="M89" s="33"/>
      <c r="N89" s="36" t="str">
        <f t="shared" si="71"/>
        <v/>
      </c>
      <c r="O89" s="33"/>
      <c r="P89" s="36" t="str">
        <f t="shared" si="72"/>
        <v/>
      </c>
      <c r="Q89" s="33"/>
      <c r="R89" s="36" t="str">
        <f t="shared" si="73"/>
        <v/>
      </c>
      <c r="S89" s="33"/>
      <c r="T89" s="36" t="str">
        <f t="shared" si="74"/>
        <v/>
      </c>
      <c r="U89" s="76"/>
      <c r="V89" s="36" t="str">
        <f t="shared" si="75"/>
        <v/>
      </c>
      <c r="W89" s="33"/>
      <c r="X89" s="36" t="str">
        <f t="shared" ref="X89:X91" si="76">IF((ISERROR((W89/$H89)*100)), "", IF(AND(NOT(ISERROR((W89/$H89)*100)),((W89/$H89)*100) &lt;&gt; 0), (W89/$H89)*100, ""))</f>
        <v/>
      </c>
      <c r="Y89" s="33"/>
      <c r="Z89" s="36" t="str">
        <f t="shared" ref="Z89:Z91" si="77">IF((ISERROR((Y89/$H89)*100)), "", IF(AND(NOT(ISERROR((Y89/$H89)*100)),((Y89/$H89)*100) &lt;&gt; 0), (Y89/$H89)*100, ""))</f>
        <v/>
      </c>
      <c r="AA89" s="33"/>
      <c r="AB89" s="36" t="str">
        <f t="shared" ref="AB89:AB91" si="78">IF((ISERROR((AA89/$H89)*100)), "", IF(AND(NOT(ISERROR((AA89/$H89)*100)),((AA89/$H89)*100) &lt;&gt; 0), (AA89/$H89)*100, ""))</f>
        <v/>
      </c>
      <c r="AC89" s="33"/>
      <c r="AD89" s="36" t="str">
        <f t="shared" ref="AD89:AD91" si="79">IF((ISERROR((AC89/$H89)*100)), "", IF(AND(NOT(ISERROR((AC89/$H89)*100)),((AC89/$H89)*100) &lt;&gt; 0), (AC89/$H89)*100, ""))</f>
        <v/>
      </c>
      <c r="AE89" s="23" t="s">
        <v>380</v>
      </c>
      <c r="AF89" s="23"/>
      <c r="AG89" s="23"/>
      <c r="AH89" s="23"/>
      <c r="AI89" s="23"/>
      <c r="AJ89" s="23"/>
      <c r="AK89" s="23"/>
      <c r="AL89" s="23"/>
      <c r="AM89" s="23"/>
      <c r="AN89" s="23"/>
      <c r="AO89" s="23"/>
      <c r="AP89" s="23"/>
      <c r="AQ89" s="23"/>
      <c r="AR89" s="23"/>
      <c r="AS89" s="23"/>
      <c r="AT89" s="23"/>
      <c r="AU89" s="23"/>
      <c r="AV89" s="23"/>
      <c r="AW89" s="23"/>
      <c r="AX89" s="23"/>
      <c r="AY89" s="23"/>
      <c r="AZ89" s="23"/>
    </row>
    <row r="90" spans="1:52" ht="20" customHeight="1" x14ac:dyDescent="0.2">
      <c r="A90" s="60"/>
      <c r="B90" s="82"/>
      <c r="C90" s="81" t="s">
        <v>381</v>
      </c>
      <c r="D90" s="49" t="s">
        <v>139</v>
      </c>
      <c r="E90" s="49" t="s">
        <v>140</v>
      </c>
      <c r="F90" s="50">
        <v>2005</v>
      </c>
      <c r="G90" s="50">
        <v>21</v>
      </c>
      <c r="H90" s="89"/>
      <c r="I90" s="85" t="s">
        <v>226</v>
      </c>
      <c r="J90" s="86"/>
      <c r="K90" s="33"/>
      <c r="L90" s="36" t="str">
        <f t="shared" si="70"/>
        <v/>
      </c>
      <c r="M90" s="38">
        <v>5</v>
      </c>
      <c r="N90" s="39" t="str">
        <f t="shared" si="71"/>
        <v/>
      </c>
      <c r="O90" s="33"/>
      <c r="P90" s="36" t="str">
        <f t="shared" si="72"/>
        <v/>
      </c>
      <c r="Q90" s="33"/>
      <c r="R90" s="36" t="str">
        <f t="shared" si="73"/>
        <v/>
      </c>
      <c r="S90" s="33"/>
      <c r="T90" s="36" t="str">
        <f t="shared" si="74"/>
        <v/>
      </c>
      <c r="U90" s="40">
        <v>16</v>
      </c>
      <c r="V90" s="39" t="str">
        <f t="shared" si="75"/>
        <v/>
      </c>
      <c r="W90" s="33"/>
      <c r="X90" s="36" t="str">
        <f t="shared" si="76"/>
        <v/>
      </c>
      <c r="Y90" s="33"/>
      <c r="Z90" s="36" t="str">
        <f t="shared" si="77"/>
        <v/>
      </c>
      <c r="AA90" s="33"/>
      <c r="AB90" s="36" t="str">
        <f t="shared" si="78"/>
        <v/>
      </c>
      <c r="AC90" s="33"/>
      <c r="AD90" s="36" t="str">
        <f t="shared" si="79"/>
        <v/>
      </c>
      <c r="AE90" s="23" t="s">
        <v>227</v>
      </c>
      <c r="AF90" s="23"/>
      <c r="AG90" s="23"/>
      <c r="AH90" s="23"/>
      <c r="AI90" s="23"/>
      <c r="AJ90" s="23"/>
      <c r="AK90" s="23"/>
      <c r="AL90" s="23"/>
      <c r="AM90" s="23"/>
      <c r="AN90" s="23"/>
      <c r="AO90" s="23"/>
      <c r="AP90" s="23"/>
      <c r="AQ90" s="23"/>
      <c r="AR90" s="23"/>
      <c r="AS90" s="23"/>
      <c r="AT90" s="23"/>
      <c r="AU90" s="23"/>
      <c r="AV90" s="23"/>
      <c r="AW90" s="23"/>
      <c r="AX90" s="23"/>
      <c r="AY90" s="23"/>
      <c r="AZ90" s="23"/>
    </row>
    <row r="91" spans="1:52" ht="20" customHeight="1" x14ac:dyDescent="0.2">
      <c r="A91" s="61"/>
      <c r="B91" s="24"/>
      <c r="C91" s="24" t="s">
        <v>35</v>
      </c>
      <c r="D91" s="23" t="s">
        <v>141</v>
      </c>
      <c r="E91" s="23" t="s">
        <v>142</v>
      </c>
      <c r="F91" s="24">
        <v>2015</v>
      </c>
      <c r="G91" s="24">
        <v>1</v>
      </c>
      <c r="H91" s="89">
        <v>119</v>
      </c>
      <c r="I91" s="85"/>
      <c r="J91" s="86"/>
      <c r="K91" s="33"/>
      <c r="L91" s="36" t="str">
        <f t="shared" si="70"/>
        <v/>
      </c>
      <c r="M91" s="33"/>
      <c r="N91" s="36" t="str">
        <f t="shared" si="71"/>
        <v/>
      </c>
      <c r="O91" s="33"/>
      <c r="P91" s="36" t="str">
        <f t="shared" si="72"/>
        <v/>
      </c>
      <c r="Q91" s="33"/>
      <c r="R91" s="36" t="str">
        <f t="shared" si="73"/>
        <v/>
      </c>
      <c r="S91" s="33"/>
      <c r="T91" s="36" t="str">
        <f t="shared" si="74"/>
        <v/>
      </c>
      <c r="U91" s="76"/>
      <c r="V91" s="36" t="str">
        <f t="shared" si="75"/>
        <v/>
      </c>
      <c r="W91" s="33"/>
      <c r="X91" s="36" t="str">
        <f t="shared" si="76"/>
        <v/>
      </c>
      <c r="Y91" s="33"/>
      <c r="Z91" s="36" t="str">
        <f t="shared" si="77"/>
        <v/>
      </c>
      <c r="AA91" s="33"/>
      <c r="AB91" s="36" t="str">
        <f t="shared" si="78"/>
        <v/>
      </c>
      <c r="AC91" s="33"/>
      <c r="AD91" s="36" t="str">
        <f t="shared" si="79"/>
        <v/>
      </c>
      <c r="AE91" s="23" t="s">
        <v>228</v>
      </c>
      <c r="AF91" s="23"/>
      <c r="AG91" s="23"/>
      <c r="AH91" s="23"/>
      <c r="AI91" s="23"/>
      <c r="AJ91" s="23"/>
      <c r="AK91" s="23"/>
      <c r="AL91" s="23"/>
      <c r="AM91" s="23"/>
      <c r="AN91" s="23"/>
      <c r="AO91" s="23"/>
      <c r="AP91" s="23"/>
      <c r="AQ91" s="23"/>
      <c r="AR91" s="23"/>
      <c r="AS91" s="23"/>
      <c r="AT91" s="23"/>
      <c r="AU91" s="23"/>
      <c r="AV91" s="23"/>
      <c r="AW91" s="23"/>
      <c r="AX91" s="23"/>
      <c r="AY91" s="23"/>
      <c r="AZ91" s="23"/>
    </row>
    <row r="92" spans="1:52" ht="20" customHeight="1" x14ac:dyDescent="0.2">
      <c r="A92" s="61"/>
      <c r="B92" s="24"/>
      <c r="C92" s="24" t="s">
        <v>85</v>
      </c>
      <c r="D92" s="23" t="s">
        <v>143</v>
      </c>
      <c r="E92" s="23" t="s">
        <v>144</v>
      </c>
      <c r="F92" s="24">
        <v>2008</v>
      </c>
      <c r="G92" s="24">
        <v>156</v>
      </c>
      <c r="H92" s="89">
        <v>50</v>
      </c>
      <c r="I92" s="85" t="s">
        <v>176</v>
      </c>
      <c r="J92" s="86"/>
      <c r="K92" s="33"/>
      <c r="L92" s="36" t="str">
        <f t="shared" si="70"/>
        <v/>
      </c>
      <c r="M92" s="33"/>
      <c r="N92" s="36" t="str">
        <f t="shared" si="71"/>
        <v/>
      </c>
      <c r="O92" s="33"/>
      <c r="P92" s="36" t="str">
        <f t="shared" si="72"/>
        <v/>
      </c>
      <c r="Q92" s="33"/>
      <c r="R92" s="36" t="str">
        <f t="shared" si="73"/>
        <v/>
      </c>
      <c r="S92" s="33"/>
      <c r="T92" s="36" t="str">
        <f t="shared" si="74"/>
        <v/>
      </c>
      <c r="U92" s="76"/>
      <c r="V92" s="36" t="str">
        <f t="shared" si="75"/>
        <v/>
      </c>
      <c r="W92" s="33"/>
      <c r="X92" s="36" t="str">
        <f>IF((ISERROR((W92/$H92)*100)), "", IF(AND(NOT(ISERROR((W92/$H92)*100)),((W92/$H92)*100) &lt;&gt; 0), (W92/$H92)*100, ""))</f>
        <v/>
      </c>
      <c r="Y92" s="33"/>
      <c r="Z92" s="36" t="str">
        <f>IF((ISERROR((Y92/$H92)*100)), "", IF(AND(NOT(ISERROR((Y92/$H92)*100)),((Y92/$H92)*100) &lt;&gt; 0), (Y92/$H92)*100, ""))</f>
        <v/>
      </c>
      <c r="AA92" s="33"/>
      <c r="AB92" s="36" t="str">
        <f>IF((ISERROR((AA92/$H92)*100)), "", IF(AND(NOT(ISERROR((AA92/$H92)*100)),((AA92/$H92)*100) &lt;&gt; 0), (AA92/$H92)*100, ""))</f>
        <v/>
      </c>
      <c r="AC92" s="33"/>
      <c r="AD92" s="36" t="str">
        <f>IF((ISERROR((AC92/$H92)*100)), "", IF(AND(NOT(ISERROR((AC92/$H92)*100)),((AC92/$H92)*100) &lt;&gt; 0), (AC92/$H92)*100, ""))</f>
        <v/>
      </c>
      <c r="AE92" s="23" t="s">
        <v>229</v>
      </c>
      <c r="AF92" s="23"/>
      <c r="AG92" s="23"/>
      <c r="AH92" s="23"/>
      <c r="AI92" s="23"/>
      <c r="AJ92" s="23"/>
      <c r="AK92" s="23"/>
      <c r="AL92" s="23"/>
      <c r="AM92" s="23"/>
      <c r="AN92" s="23"/>
      <c r="AO92" s="23"/>
      <c r="AP92" s="23"/>
      <c r="AQ92" s="23"/>
      <c r="AR92" s="23"/>
      <c r="AS92" s="23"/>
      <c r="AT92" s="23"/>
      <c r="AU92" s="23"/>
      <c r="AV92" s="23"/>
      <c r="AW92" s="23"/>
      <c r="AX92" s="23"/>
      <c r="AY92" s="23"/>
      <c r="AZ92" s="23"/>
    </row>
    <row r="93" spans="1:52" ht="20" customHeight="1" x14ac:dyDescent="0.2">
      <c r="A93" s="60"/>
      <c r="B93" s="83"/>
      <c r="C93" s="24" t="s">
        <v>85</v>
      </c>
      <c r="D93" s="23" t="s">
        <v>323</v>
      </c>
      <c r="E93" s="23" t="s">
        <v>324</v>
      </c>
      <c r="F93" s="24">
        <v>2009</v>
      </c>
      <c r="H93" s="89">
        <v>12</v>
      </c>
      <c r="I93" s="85" t="s">
        <v>214</v>
      </c>
      <c r="J93" s="86" t="s">
        <v>192</v>
      </c>
      <c r="K93" s="73"/>
      <c r="L93" s="74" t="str">
        <f t="shared" si="70"/>
        <v/>
      </c>
      <c r="M93" s="73"/>
      <c r="N93" s="74" t="str">
        <f t="shared" si="71"/>
        <v/>
      </c>
      <c r="O93" s="73"/>
      <c r="P93" s="74" t="str">
        <f t="shared" si="72"/>
        <v/>
      </c>
      <c r="Q93" s="73"/>
      <c r="R93" s="74" t="str">
        <f t="shared" si="73"/>
        <v/>
      </c>
      <c r="S93" s="73"/>
      <c r="T93" s="74" t="str">
        <f t="shared" si="74"/>
        <v/>
      </c>
      <c r="U93" s="75"/>
      <c r="V93" s="74" t="str">
        <f t="shared" si="75"/>
        <v/>
      </c>
      <c r="W93" s="73"/>
      <c r="X93" s="74" t="str">
        <f>IF((ISERROR((W93/$H93)*100)), "", IF(AND(NOT(ISERROR((W93/$H93)*100)),((W93/$H93)*100) &lt;&gt; 0), (W93/$H93)*100, ""))</f>
        <v/>
      </c>
      <c r="Y93" s="73"/>
      <c r="Z93" s="74" t="str">
        <f>IF((ISERROR((Y93/$H93)*100)), "", IF(AND(NOT(ISERROR((Y93/$H93)*100)),((Y93/$H93)*100) &lt;&gt; 0), (Y93/$H93)*100, ""))</f>
        <v/>
      </c>
      <c r="AA93" s="73"/>
      <c r="AB93" s="74" t="str">
        <f>IF((ISERROR((AA93/$H93)*100)), "", IF(AND(NOT(ISERROR((AA93/$H93)*100)),((AA93/$H93)*100) &lt;&gt; 0), (AA93/$H93)*100, ""))</f>
        <v/>
      </c>
      <c r="AC93" s="73"/>
      <c r="AD93" s="74" t="str">
        <f>IF((ISERROR((AC93/$H93)*100)), "", IF(AND(NOT(ISERROR((AC93/$H93)*100)),((AC93/$H93)*100) &lt;&gt; 0), (AC93/$H93)*100, ""))</f>
        <v/>
      </c>
      <c r="AE93" s="23" t="s">
        <v>180</v>
      </c>
      <c r="AF93" s="23"/>
      <c r="AG93" s="23"/>
      <c r="AH93" s="23"/>
      <c r="AI93" s="23"/>
      <c r="AJ93" s="23"/>
      <c r="AK93" s="23"/>
      <c r="AL93" s="23"/>
      <c r="AM93" s="23"/>
      <c r="AN93" s="23"/>
      <c r="AO93" s="23"/>
      <c r="AP93" s="23"/>
      <c r="AQ93" s="23"/>
      <c r="AR93" s="23"/>
      <c r="AS93" s="23"/>
      <c r="AT93" s="23"/>
      <c r="AU93" s="23"/>
      <c r="AV93" s="23"/>
      <c r="AW93" s="23"/>
      <c r="AX93" s="23"/>
      <c r="AY93" s="23"/>
      <c r="AZ93" s="23"/>
    </row>
    <row r="94" spans="1:52" ht="20" customHeight="1" thickBot="1" x14ac:dyDescent="0.25">
      <c r="A94" s="61"/>
      <c r="B94" s="24"/>
      <c r="C94" s="24" t="s">
        <v>85</v>
      </c>
      <c r="D94" s="23" t="s">
        <v>147</v>
      </c>
      <c r="E94" s="23" t="s">
        <v>148</v>
      </c>
      <c r="F94" s="24">
        <v>2011</v>
      </c>
      <c r="G94" s="24">
        <v>112</v>
      </c>
      <c r="H94" s="90">
        <v>22</v>
      </c>
      <c r="I94" s="87" t="s">
        <v>218</v>
      </c>
      <c r="J94" s="88" t="s">
        <v>193</v>
      </c>
      <c r="K94" s="34"/>
      <c r="L94" s="37" t="str">
        <f t="shared" si="70"/>
        <v/>
      </c>
      <c r="M94" s="34"/>
      <c r="N94" s="37" t="str">
        <f t="shared" si="71"/>
        <v/>
      </c>
      <c r="O94" s="34"/>
      <c r="P94" s="37" t="str">
        <f t="shared" si="72"/>
        <v/>
      </c>
      <c r="Q94" s="34"/>
      <c r="R94" s="37" t="str">
        <f t="shared" si="73"/>
        <v/>
      </c>
      <c r="S94" s="34"/>
      <c r="T94" s="37" t="str">
        <f t="shared" si="74"/>
        <v/>
      </c>
      <c r="U94" s="35"/>
      <c r="V94" s="37" t="str">
        <f t="shared" si="75"/>
        <v/>
      </c>
      <c r="W94" s="34"/>
      <c r="X94" s="37" t="str">
        <f>IF((ISERROR((W94/$H94)*100)), "", IF(AND(NOT(ISERROR((W94/$H94)*100)),((W94/$H94)*100) &lt;&gt; 0), (W94/$H94)*100, ""))</f>
        <v/>
      </c>
      <c r="Y94" s="34"/>
      <c r="Z94" s="37" t="str">
        <f>IF((ISERROR((Y94/$H94)*100)), "", IF(AND(NOT(ISERROR((Y94/$H94)*100)),((Y94/$H94)*100) &lt;&gt; 0), (Y94/$H94)*100, ""))</f>
        <v/>
      </c>
      <c r="AA94" s="34"/>
      <c r="AB94" s="37" t="str">
        <f>IF((ISERROR((AA94/$H94)*100)), "", IF(AND(NOT(ISERROR((AA94/$H94)*100)),((AA94/$H94)*100) &lt;&gt; 0), (AA94/$H94)*100, ""))</f>
        <v/>
      </c>
      <c r="AC94" s="34"/>
      <c r="AD94" s="37" t="str">
        <f>IF((ISERROR((AC94/$H94)*100)), "", IF(AND(NOT(ISERROR((AC94/$H94)*100)),((AC94/$H94)*100) &lt;&gt; 0), (AC94/$H94)*100, ""))</f>
        <v/>
      </c>
      <c r="AE94" s="23" t="s">
        <v>231</v>
      </c>
      <c r="AF94" s="23"/>
      <c r="AG94" s="23"/>
      <c r="AH94" s="23"/>
      <c r="AI94" s="23"/>
      <c r="AJ94" s="23"/>
      <c r="AK94" s="23"/>
      <c r="AL94" s="23"/>
      <c r="AM94" s="23"/>
      <c r="AN94" s="23"/>
      <c r="AO94" s="23"/>
      <c r="AP94" s="23"/>
      <c r="AQ94" s="23"/>
      <c r="AR94" s="23"/>
      <c r="AS94" s="23"/>
      <c r="AT94" s="23"/>
      <c r="AU94" s="23"/>
      <c r="AV94" s="23"/>
      <c r="AW94" s="23"/>
      <c r="AX94" s="23"/>
      <c r="AY94" s="23"/>
      <c r="AZ94" s="23"/>
    </row>
    <row r="95" spans="1:52" x14ac:dyDescent="0.2">
      <c r="AE95" s="23"/>
      <c r="AF95" s="23"/>
      <c r="AG95" s="23"/>
      <c r="AH95" s="23"/>
      <c r="AI95" s="23"/>
      <c r="AJ95" s="23"/>
      <c r="AK95" s="23"/>
      <c r="AL95" s="23"/>
      <c r="AM95" s="23"/>
      <c r="AN95" s="23"/>
      <c r="AO95" s="23"/>
      <c r="AP95" s="23"/>
      <c r="AQ95" s="23"/>
      <c r="AR95" s="23"/>
      <c r="AS95" s="23"/>
      <c r="AT95" s="23"/>
      <c r="AU95" s="23"/>
      <c r="AV95" s="23"/>
      <c r="AW95" s="23"/>
      <c r="AX95" s="23"/>
      <c r="AY95" s="23"/>
      <c r="AZ95" s="23"/>
    </row>
    <row r="96" spans="1:52" ht="17" thickBot="1" x14ac:dyDescent="0.25">
      <c r="AE96" s="23"/>
      <c r="AF96" s="23"/>
      <c r="AG96" s="23"/>
      <c r="AH96" s="23"/>
      <c r="AI96" s="23"/>
      <c r="AJ96" s="23"/>
      <c r="AK96" s="23"/>
      <c r="AL96" s="23"/>
      <c r="AM96" s="23"/>
      <c r="AN96" s="23"/>
      <c r="AO96" s="23"/>
      <c r="AP96" s="23"/>
      <c r="AQ96" s="23"/>
      <c r="AR96" s="23"/>
      <c r="AS96" s="23"/>
      <c r="AT96" s="23"/>
      <c r="AU96" s="23"/>
      <c r="AV96" s="23"/>
      <c r="AW96" s="23"/>
      <c r="AX96" s="23"/>
      <c r="AY96" s="23"/>
      <c r="AZ96" s="23"/>
    </row>
    <row r="97" spans="3:52" s="22" customFormat="1" x14ac:dyDescent="0.2">
      <c r="C97" s="41"/>
      <c r="F97" s="24"/>
      <c r="G97" s="43" t="s">
        <v>243</v>
      </c>
      <c r="H97" s="44">
        <f>SUM(H11:H94)</f>
        <v>3245</v>
      </c>
      <c r="I97" s="45" t="s">
        <v>452</v>
      </c>
      <c r="J97" s="46" t="s">
        <v>458</v>
      </c>
      <c r="K97" s="51">
        <f>IF((SUM(K11:K94)&lt;&gt;0), SUMIF($H11:$H94, "&gt;0", K11:K94), "")</f>
        <v>28</v>
      </c>
      <c r="L97" s="52">
        <f>IF(ISERROR((K97/$H97)*100), "", IF(((K97/$H97)*100) &lt;&gt; 0, (K97/$H97)*100, ""))</f>
        <v>0.86286594761171032</v>
      </c>
      <c r="M97" s="51">
        <f>IF((SUM(M11:M94)&lt;&gt;0), SUMIF($H11:$H94, "&gt;0", M11:M94), "")</f>
        <v>7</v>
      </c>
      <c r="N97" s="52">
        <f>IF(ISERROR((M97/$H97)*100), "", IF(((M97/$H97)*100) &lt;&gt; 0, (M97/$H97)*100, ""))</f>
        <v>0.21571648690292758</v>
      </c>
      <c r="O97" s="51">
        <f>IF((SUM(O11:O94)&lt;&gt;0), SUMIF($H11:$H94, "&gt;0", O11:O94), "")</f>
        <v>6</v>
      </c>
      <c r="P97" s="52">
        <f>IF(ISERROR((O97/$H97)*100), "", IF(((O97/$H97)*100) &lt;&gt; 0, (O97/$H97)*100, ""))</f>
        <v>0.18489984591679506</v>
      </c>
      <c r="Q97" s="51">
        <f>IF((SUM(Q11:Q94)&lt;&gt;0), SUMIF($H11:$H94, "&gt;0", Q11:Q94), "")</f>
        <v>2</v>
      </c>
      <c r="R97" s="52">
        <f>IF(ISERROR((Q97/$H97)*100), "", IF(((Q97/$H97)*100) &lt;&gt; 0, (Q97/$H97)*100, ""))</f>
        <v>6.1633281972265024E-2</v>
      </c>
      <c r="S97" s="51">
        <f>IF((SUM(S11:S94)&lt;&gt;0), SUMIF($H11:$H94, "&gt;0", S11:S94), "")</f>
        <v>61</v>
      </c>
      <c r="T97" s="52">
        <f>IF(ISERROR((S97/$H97)*100), "", IF(((S97/$H97)*100) &lt;&gt; 0, (S97/$H97)*100, ""))</f>
        <v>1.8798151001540833</v>
      </c>
      <c r="U97" s="51">
        <f>IF((SUM(U11:U94)&lt;&gt;0), SUMIF($H11:$H94, "&gt;0", U11:U94), "")</f>
        <v>108</v>
      </c>
      <c r="V97" s="52">
        <f>IF(ISERROR((U97/$H97)*100), "", IF(((U97/$H97)*100) &lt;&gt; 0, (U97/$H97)*100, ""))</f>
        <v>3.3281972265023114</v>
      </c>
      <c r="W97" s="51">
        <f>IF((SUM(W11:W94)&lt;&gt;0), SUMIF($H11:$H94, "&gt;0", W11:W94), "")</f>
        <v>35</v>
      </c>
      <c r="X97" s="52">
        <f>IF(ISERROR((W97/$H97)*100), "", IF(((W97/$H97)*100) &lt;&gt; 0, (W97/$H97)*100, ""))</f>
        <v>1.078582434514638</v>
      </c>
      <c r="Y97" s="51">
        <f>IF((SUM(Y11:Y94)&lt;&gt;0), SUMIF($H11:$H94, "&gt;0", Y11:Y94), "")</f>
        <v>1</v>
      </c>
      <c r="Z97" s="52">
        <f>IF(ISERROR((Y97/$H97)*100), "", IF(((Y97/$H97)*100) &lt;&gt; 0, (Y97/$H97)*100, ""))</f>
        <v>3.0816640986132512E-2</v>
      </c>
      <c r="AA97" s="51">
        <f>IF((SUM(AA11:AA94)&lt;&gt;0), SUMIF($H11:$H94, "&gt;0", AA11:AA94), "")</f>
        <v>6</v>
      </c>
      <c r="AB97" s="52">
        <f>IF(ISERROR((AA97/$H97)*100), "", IF(((AA97/$H97)*100) &lt;&gt; 0, (AA97/$H97)*100, ""))</f>
        <v>0.18489984591679506</v>
      </c>
      <c r="AC97" s="51">
        <f>IF((SUM(AC11:AC94)&lt;&gt;0), SUMIF($H11:$H94, "&gt;0", AC11:AC94), "")</f>
        <v>1</v>
      </c>
      <c r="AD97" s="52">
        <f>IF(ISERROR((AC97/$H97)*100), "", IF(((AC97/$H97)*100) &lt;&gt; 0, (AC97/$H97)*100, ""))</f>
        <v>3.0816640986132512E-2</v>
      </c>
    </row>
    <row r="98" spans="3:52" s="22" customFormat="1" ht="18" customHeight="1" x14ac:dyDescent="0.2">
      <c r="C98" s="41"/>
      <c r="F98" s="24"/>
      <c r="G98" s="43" t="s">
        <v>244</v>
      </c>
      <c r="H98" s="42" t="s">
        <v>242</v>
      </c>
      <c r="I98" s="47" t="s">
        <v>459</v>
      </c>
      <c r="J98" s="48" t="s">
        <v>460</v>
      </c>
      <c r="K98" s="53">
        <f>IF(SUMIF(K11:K94, "&gt; 0", $H11:$H94) &gt; 0, SUMIF(K11:K94, "&gt; 0", $H11:$H94), "")</f>
        <v>156</v>
      </c>
      <c r="L98" s="54">
        <f>(K97/K98)*100</f>
        <v>17.948717948717949</v>
      </c>
      <c r="M98" s="53">
        <f>IF(SUMIF(M11:M94, "&gt; 0", $H11:$H94) &gt; 0, SUMIF(M11:M94, "&gt; 0", $H11:$H94), "")</f>
        <v>19</v>
      </c>
      <c r="N98" s="54">
        <f>(M97/M98)*100</f>
        <v>36.84210526315789</v>
      </c>
      <c r="O98" s="53">
        <f>IF(SUMIF(O11:O94, "&gt; 0", $H11:$H94) &gt; 0, SUMIF(O11:O94, "&gt; 0", $H11:$H94), "")</f>
        <v>17</v>
      </c>
      <c r="P98" s="54">
        <f>(O97/O98)*100</f>
        <v>35.294117647058826</v>
      </c>
      <c r="Q98" s="53">
        <f>IF(SUMIF(Q11:Q94, "&gt; 0", $H11:$H94) &gt; 0, SUMIF(Q11:Q94, "&gt; 0", $H11:$H94), "")</f>
        <v>8</v>
      </c>
      <c r="R98" s="54">
        <f>(Q97/Q98)*100</f>
        <v>25</v>
      </c>
      <c r="S98" s="53">
        <f>IF(SUMIF(S11:S94, "&gt; 0", $H11:$H94) &gt; 0, SUMIF(S11:S94, "&gt; 0", $H11:$H94), "")</f>
        <v>381</v>
      </c>
      <c r="T98" s="54">
        <f>(S97/S98)*100</f>
        <v>16.010498687664043</v>
      </c>
      <c r="U98" s="53">
        <f>IF(SUMIF(U11:U94, "&gt; 0", $H11:$H94) &gt; 0, SUMIF(U11:U94, "&gt; 0", $H11:$H94), "")</f>
        <v>537</v>
      </c>
      <c r="V98" s="54">
        <f>(U97/U98)*100</f>
        <v>20.11173184357542</v>
      </c>
      <c r="W98" s="53">
        <f>IF(SUMIF(W11:W94, "&gt; 0", $H11:$H94) &gt; 0, SUMIF(W11:W94, "&gt; 0", $H11:$H94), "")</f>
        <v>250</v>
      </c>
      <c r="X98" s="54">
        <f>(W97/W98)*100</f>
        <v>14.000000000000002</v>
      </c>
      <c r="Y98" s="53">
        <f>IF(SUMIF(Y11:Y94, "&gt; 0", $H11:$H94) &gt; 0, SUMIF(Y11:Y94, "&gt; 0", $H11:$H94), "")</f>
        <v>8</v>
      </c>
      <c r="Z98" s="54">
        <f>(Y97/Y98)*100</f>
        <v>12.5</v>
      </c>
      <c r="AA98" s="53">
        <f>IF(SUMIF(AA11:AA94, "&gt; 0", $H11:$H94) &gt; 0, SUMIF(AA11:AA94, "&gt; 0", $H11:$H94), "")</f>
        <v>37</v>
      </c>
      <c r="AB98" s="54">
        <f>(AA97/AA98)*100</f>
        <v>16.216216216216218</v>
      </c>
      <c r="AC98" s="53">
        <f>IF(SUMIF(AC11:AC94, "&gt; 0", $H11:$H94) &gt; 0, SUMIF(AC11:AC94, "&gt; 0", $H11:$H94), "")</f>
        <v>8</v>
      </c>
      <c r="AD98" s="54">
        <f>(AC97/AC98)*100</f>
        <v>12.5</v>
      </c>
    </row>
    <row r="99" spans="3:52" ht="18" customHeight="1" thickBot="1" x14ac:dyDescent="0.25">
      <c r="H99" s="372" t="s">
        <v>453</v>
      </c>
      <c r="I99" s="375"/>
      <c r="J99" s="376"/>
      <c r="K99" s="351" t="s">
        <v>240</v>
      </c>
      <c r="L99" s="353" t="s">
        <v>241</v>
      </c>
      <c r="M99" s="351" t="s">
        <v>240</v>
      </c>
      <c r="N99" s="353" t="s">
        <v>241</v>
      </c>
      <c r="O99" s="351" t="s">
        <v>240</v>
      </c>
      <c r="P99" s="353" t="s">
        <v>241</v>
      </c>
      <c r="Q99" s="351" t="s">
        <v>240</v>
      </c>
      <c r="R99" s="353" t="s">
        <v>241</v>
      </c>
      <c r="S99" s="351" t="s">
        <v>240</v>
      </c>
      <c r="T99" s="353" t="s">
        <v>241</v>
      </c>
      <c r="U99" s="351" t="s">
        <v>240</v>
      </c>
      <c r="V99" s="353" t="s">
        <v>241</v>
      </c>
      <c r="W99" s="352" t="s">
        <v>240</v>
      </c>
      <c r="X99" s="353" t="s">
        <v>241</v>
      </c>
      <c r="Y99" s="351" t="s">
        <v>240</v>
      </c>
      <c r="Z99" s="353" t="s">
        <v>241</v>
      </c>
      <c r="AA99" s="351" t="s">
        <v>240</v>
      </c>
      <c r="AB99" s="353" t="s">
        <v>241</v>
      </c>
      <c r="AC99" s="351" t="s">
        <v>240</v>
      </c>
      <c r="AD99" s="353" t="s">
        <v>241</v>
      </c>
      <c r="AE99" s="23"/>
      <c r="AF99" s="23"/>
      <c r="AG99" s="23"/>
      <c r="AH99" s="23"/>
      <c r="AI99" s="23"/>
      <c r="AJ99" s="23"/>
      <c r="AK99" s="23"/>
      <c r="AL99" s="23"/>
      <c r="AM99" s="23"/>
      <c r="AN99" s="23"/>
      <c r="AO99" s="23"/>
      <c r="AP99" s="23"/>
      <c r="AQ99" s="23"/>
      <c r="AR99" s="23"/>
      <c r="AS99" s="23"/>
      <c r="AT99" s="23"/>
      <c r="AU99" s="23"/>
      <c r="AV99" s="23"/>
      <c r="AW99" s="23"/>
      <c r="AX99" s="23"/>
      <c r="AY99" s="23"/>
      <c r="AZ99" s="23"/>
    </row>
    <row r="100" spans="3:52" ht="18" customHeight="1" x14ac:dyDescent="0.2">
      <c r="E100" s="55" t="s">
        <v>246</v>
      </c>
      <c r="F100" s="58">
        <v>1</v>
      </c>
      <c r="H100" s="373"/>
      <c r="I100" s="377"/>
      <c r="J100" s="378"/>
      <c r="K100" s="351"/>
      <c r="L100" s="354"/>
      <c r="M100" s="351"/>
      <c r="N100" s="354"/>
      <c r="O100" s="351"/>
      <c r="P100" s="354"/>
      <c r="Q100" s="351"/>
      <c r="R100" s="354"/>
      <c r="S100" s="351"/>
      <c r="T100" s="354"/>
      <c r="U100" s="351"/>
      <c r="V100" s="354"/>
      <c r="W100" s="419"/>
      <c r="X100" s="354"/>
      <c r="Y100" s="351"/>
      <c r="Z100" s="354"/>
      <c r="AA100" s="351"/>
      <c r="AB100" s="354"/>
      <c r="AC100" s="351"/>
      <c r="AD100" s="354"/>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row>
    <row r="101" spans="3:52" ht="18" customHeight="1" x14ac:dyDescent="0.2">
      <c r="E101" s="56"/>
      <c r="F101" s="57"/>
      <c r="H101" s="373"/>
      <c r="I101" s="377"/>
      <c r="J101" s="378"/>
      <c r="K101" s="351"/>
      <c r="L101" s="354"/>
      <c r="M101" s="351"/>
      <c r="N101" s="354"/>
      <c r="O101" s="351"/>
      <c r="P101" s="354"/>
      <c r="Q101" s="351"/>
      <c r="R101" s="354"/>
      <c r="S101" s="351"/>
      <c r="T101" s="354"/>
      <c r="U101" s="351"/>
      <c r="V101" s="354"/>
      <c r="W101" s="419"/>
      <c r="X101" s="354"/>
      <c r="Y101" s="351"/>
      <c r="Z101" s="354"/>
      <c r="AA101" s="351"/>
      <c r="AB101" s="354"/>
      <c r="AC101" s="351"/>
      <c r="AD101" s="354"/>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row>
    <row r="102" spans="3:52" ht="18" customHeight="1" x14ac:dyDescent="0.2">
      <c r="E102" s="386" t="s">
        <v>247</v>
      </c>
      <c r="F102" s="387"/>
      <c r="H102" s="373"/>
      <c r="I102" s="377"/>
      <c r="J102" s="378"/>
      <c r="K102" s="351"/>
      <c r="L102" s="354"/>
      <c r="M102" s="351"/>
      <c r="N102" s="354"/>
      <c r="O102" s="351"/>
      <c r="P102" s="354"/>
      <c r="Q102" s="351"/>
      <c r="R102" s="354"/>
      <c r="S102" s="351"/>
      <c r="T102" s="354"/>
      <c r="U102" s="351"/>
      <c r="V102" s="354"/>
      <c r="W102" s="419"/>
      <c r="X102" s="354"/>
      <c r="Y102" s="351"/>
      <c r="Z102" s="354"/>
      <c r="AA102" s="351"/>
      <c r="AB102" s="354"/>
      <c r="AC102" s="351"/>
      <c r="AD102" s="354"/>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row>
    <row r="103" spans="3:52" ht="18" customHeight="1" x14ac:dyDescent="0.2">
      <c r="E103" s="386"/>
      <c r="F103" s="387"/>
      <c r="H103" s="373"/>
      <c r="I103" s="377"/>
      <c r="J103" s="378"/>
      <c r="K103" s="352"/>
      <c r="L103" s="354"/>
      <c r="M103" s="352"/>
      <c r="N103" s="354"/>
      <c r="O103" s="352"/>
      <c r="P103" s="354"/>
      <c r="Q103" s="352"/>
      <c r="R103" s="354"/>
      <c r="S103" s="352"/>
      <c r="T103" s="354"/>
      <c r="U103" s="352"/>
      <c r="V103" s="354"/>
      <c r="W103" s="355"/>
      <c r="X103" s="420"/>
      <c r="Y103" s="352"/>
      <c r="Z103" s="354"/>
      <c r="AA103" s="352"/>
      <c r="AB103" s="354"/>
      <c r="AC103" s="352"/>
      <c r="AD103" s="354"/>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row>
    <row r="104" spans="3:52" ht="18" customHeight="1" x14ac:dyDescent="0.2">
      <c r="E104" s="386"/>
      <c r="F104" s="387"/>
      <c r="H104" s="373"/>
      <c r="I104" s="377"/>
      <c r="J104" s="378"/>
      <c r="K104" s="385" t="s">
        <v>237</v>
      </c>
      <c r="L104" s="382"/>
      <c r="M104" s="381" t="s">
        <v>160</v>
      </c>
      <c r="N104" s="382"/>
      <c r="O104" s="385" t="s">
        <v>239</v>
      </c>
      <c r="P104" s="382"/>
      <c r="Q104" s="381" t="s">
        <v>172</v>
      </c>
      <c r="R104" s="382"/>
      <c r="S104" s="381" t="s">
        <v>164</v>
      </c>
      <c r="T104" s="382"/>
      <c r="U104" s="401" t="s">
        <v>208</v>
      </c>
      <c r="V104" s="382"/>
      <c r="W104" s="381" t="s">
        <v>173</v>
      </c>
      <c r="X104" s="382"/>
      <c r="Y104" s="381" t="s">
        <v>171</v>
      </c>
      <c r="Z104" s="382"/>
      <c r="AA104" s="381" t="s">
        <v>174</v>
      </c>
      <c r="AB104" s="382"/>
      <c r="AC104" s="381" t="s">
        <v>161</v>
      </c>
      <c r="AD104" s="382"/>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row>
    <row r="105" spans="3:52" ht="18" customHeight="1" x14ac:dyDescent="0.2">
      <c r="E105" s="386"/>
      <c r="F105" s="387"/>
      <c r="H105" s="373"/>
      <c r="I105" s="377"/>
      <c r="J105" s="378"/>
      <c r="K105" s="358"/>
      <c r="L105" s="359"/>
      <c r="M105" s="358"/>
      <c r="N105" s="359"/>
      <c r="O105" s="358"/>
      <c r="P105" s="359"/>
      <c r="Q105" s="358"/>
      <c r="R105" s="359"/>
      <c r="S105" s="358"/>
      <c r="T105" s="359"/>
      <c r="U105" s="402"/>
      <c r="V105" s="359"/>
      <c r="W105" s="358"/>
      <c r="X105" s="359"/>
      <c r="Y105" s="358"/>
      <c r="Z105" s="359"/>
      <c r="AA105" s="358"/>
      <c r="AB105" s="359"/>
      <c r="AC105" s="358"/>
      <c r="AD105" s="359"/>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row>
    <row r="106" spans="3:52" ht="18" customHeight="1" thickBot="1" x14ac:dyDescent="0.25">
      <c r="E106" s="386"/>
      <c r="F106" s="387"/>
      <c r="H106" s="373"/>
      <c r="I106" s="377"/>
      <c r="J106" s="378"/>
      <c r="K106" s="383"/>
      <c r="L106" s="384"/>
      <c r="M106" s="383"/>
      <c r="N106" s="384"/>
      <c r="O106" s="383"/>
      <c r="P106" s="384"/>
      <c r="Q106" s="383"/>
      <c r="R106" s="384"/>
      <c r="S106" s="383"/>
      <c r="T106" s="384"/>
      <c r="U106" s="403"/>
      <c r="V106" s="384"/>
      <c r="W106" s="383"/>
      <c r="X106" s="384"/>
      <c r="Y106" s="383"/>
      <c r="Z106" s="384"/>
      <c r="AA106" s="383"/>
      <c r="AB106" s="384"/>
      <c r="AC106" s="383"/>
      <c r="AD106" s="384"/>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row>
    <row r="107" spans="3:52" ht="20" customHeight="1" thickBot="1" x14ac:dyDescent="0.3">
      <c r="E107" s="388"/>
      <c r="F107" s="389"/>
      <c r="H107" s="374"/>
      <c r="I107" s="379"/>
      <c r="J107" s="380"/>
      <c r="K107" s="393" t="s">
        <v>395</v>
      </c>
      <c r="L107" s="394"/>
      <c r="M107" s="394"/>
      <c r="N107" s="394"/>
      <c r="O107" s="394"/>
      <c r="P107" s="394"/>
      <c r="Q107" s="394"/>
      <c r="R107" s="394"/>
      <c r="S107" s="394"/>
      <c r="T107" s="394"/>
      <c r="U107" s="394"/>
      <c r="V107" s="394"/>
      <c r="W107" s="394"/>
      <c r="X107" s="394"/>
      <c r="Y107" s="394"/>
      <c r="Z107" s="394"/>
      <c r="AA107" s="394"/>
      <c r="AB107" s="394"/>
      <c r="AC107" s="394"/>
      <c r="AD107" s="395"/>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row>
    <row r="108" spans="3:52" x14ac:dyDescent="0.2">
      <c r="H108" s="155" t="s">
        <v>464</v>
      </c>
    </row>
    <row r="109" spans="3:52" x14ac:dyDescent="0.2">
      <c r="H109" s="156" t="s">
        <v>463</v>
      </c>
    </row>
    <row r="110" spans="3:52" x14ac:dyDescent="0.2">
      <c r="H110" s="156" t="s">
        <v>462</v>
      </c>
    </row>
    <row r="112" spans="3:52" ht="17" thickBot="1" x14ac:dyDescent="0.25"/>
    <row r="113" spans="1:53" ht="20" thickBot="1" x14ac:dyDescent="0.3">
      <c r="K113" s="390" t="s">
        <v>398</v>
      </c>
      <c r="L113" s="391"/>
      <c r="M113" s="391"/>
      <c r="N113" s="391"/>
      <c r="O113" s="391"/>
      <c r="P113" s="391"/>
      <c r="Q113" s="391"/>
      <c r="R113" s="391"/>
      <c r="S113" s="391"/>
      <c r="T113" s="391"/>
      <c r="U113" s="391"/>
      <c r="V113" s="391"/>
      <c r="W113" s="391"/>
      <c r="X113" s="391"/>
      <c r="Y113" s="391"/>
      <c r="Z113" s="391"/>
      <c r="AA113" s="391"/>
      <c r="AB113" s="391"/>
      <c r="AC113" s="391"/>
      <c r="AD113" s="391"/>
      <c r="AE113" s="391"/>
      <c r="AF113" s="392"/>
    </row>
    <row r="114" spans="1:53" ht="16" customHeight="1" x14ac:dyDescent="0.2">
      <c r="D114" s="334" t="s">
        <v>397</v>
      </c>
      <c r="K114" s="362" t="s">
        <v>376</v>
      </c>
      <c r="L114" s="396"/>
      <c r="M114" s="356" t="s">
        <v>157</v>
      </c>
      <c r="N114" s="357"/>
      <c r="O114" s="362" t="s">
        <v>236</v>
      </c>
      <c r="P114" s="357"/>
      <c r="Q114" s="356" t="s">
        <v>163</v>
      </c>
      <c r="R114" s="357"/>
      <c r="S114" s="356" t="s">
        <v>207</v>
      </c>
      <c r="T114" s="357"/>
      <c r="U114" s="356" t="s">
        <v>158</v>
      </c>
      <c r="V114" s="357"/>
      <c r="W114" s="362" t="s">
        <v>238</v>
      </c>
      <c r="X114" s="357"/>
      <c r="Y114" s="356" t="s">
        <v>159</v>
      </c>
      <c r="Z114" s="357"/>
      <c r="AA114" s="356" t="s">
        <v>206</v>
      </c>
      <c r="AB114" s="357"/>
      <c r="AC114" s="356" t="s">
        <v>205</v>
      </c>
      <c r="AD114" s="357"/>
      <c r="AE114" s="356" t="s">
        <v>202</v>
      </c>
      <c r="AF114" s="357"/>
      <c r="AG114" s="23"/>
      <c r="AH114" s="23"/>
      <c r="AI114" s="23"/>
      <c r="AJ114" s="23"/>
      <c r="AK114" s="23"/>
      <c r="AL114" s="23"/>
      <c r="AM114" s="23"/>
      <c r="AN114" s="23"/>
      <c r="AO114" s="23"/>
      <c r="AP114" s="23"/>
      <c r="AQ114" s="23"/>
      <c r="AR114" s="23"/>
      <c r="AS114" s="23"/>
      <c r="AT114" s="23"/>
      <c r="AU114" s="23"/>
      <c r="AV114" s="23"/>
      <c r="AW114" s="23"/>
      <c r="AX114" s="23"/>
      <c r="AY114" s="23"/>
      <c r="AZ114" s="23"/>
    </row>
    <row r="115" spans="1:53" ht="20" customHeight="1" x14ac:dyDescent="0.2">
      <c r="B115" s="84"/>
      <c r="D115" s="335"/>
      <c r="K115" s="397"/>
      <c r="L115" s="398"/>
      <c r="M115" s="358"/>
      <c r="N115" s="359"/>
      <c r="O115" s="358"/>
      <c r="P115" s="359"/>
      <c r="Q115" s="358"/>
      <c r="R115" s="359"/>
      <c r="S115" s="358"/>
      <c r="T115" s="359"/>
      <c r="U115" s="358"/>
      <c r="V115" s="359"/>
      <c r="W115" s="358"/>
      <c r="X115" s="359"/>
      <c r="Y115" s="358"/>
      <c r="Z115" s="359"/>
      <c r="AA115" s="358"/>
      <c r="AB115" s="359"/>
      <c r="AC115" s="358"/>
      <c r="AD115" s="359"/>
      <c r="AE115" s="358"/>
      <c r="AF115" s="359"/>
      <c r="AG115" s="23"/>
      <c r="AH115" s="23"/>
      <c r="AI115" s="23"/>
      <c r="AJ115" s="23"/>
      <c r="AK115" s="23"/>
      <c r="AL115" s="23"/>
      <c r="AM115" s="23"/>
      <c r="AN115" s="23"/>
      <c r="AO115" s="23"/>
      <c r="AP115" s="23"/>
      <c r="AQ115" s="23"/>
      <c r="AR115" s="23"/>
      <c r="AS115" s="23"/>
      <c r="AT115" s="23"/>
      <c r="AU115" s="23"/>
      <c r="AV115" s="23"/>
      <c r="AW115" s="23"/>
      <c r="AX115" s="23"/>
      <c r="AY115" s="23"/>
      <c r="AZ115" s="23"/>
    </row>
    <row r="116" spans="1:53" ht="20" customHeight="1" thickBot="1" x14ac:dyDescent="0.25">
      <c r="A116" s="61"/>
      <c r="B116" s="83"/>
      <c r="D116" s="332" t="s">
        <v>245</v>
      </c>
      <c r="I116" s="24"/>
      <c r="J116" s="24"/>
      <c r="K116" s="399"/>
      <c r="L116" s="400"/>
      <c r="M116" s="360"/>
      <c r="N116" s="361"/>
      <c r="O116" s="360"/>
      <c r="P116" s="361"/>
      <c r="Q116" s="360"/>
      <c r="R116" s="361"/>
      <c r="S116" s="360"/>
      <c r="T116" s="361"/>
      <c r="U116" s="360"/>
      <c r="V116" s="361"/>
      <c r="W116" s="360"/>
      <c r="X116" s="361"/>
      <c r="Y116" s="360"/>
      <c r="Z116" s="361"/>
      <c r="AA116" s="360"/>
      <c r="AB116" s="361"/>
      <c r="AC116" s="360"/>
      <c r="AD116" s="361"/>
      <c r="AE116" s="360"/>
      <c r="AF116" s="361"/>
      <c r="AG116" s="23"/>
      <c r="AH116" s="23"/>
      <c r="AI116" s="23"/>
      <c r="AJ116" s="23"/>
      <c r="AK116" s="23"/>
      <c r="AL116" s="23"/>
      <c r="AM116" s="23"/>
      <c r="AN116" s="23"/>
      <c r="AO116" s="23"/>
      <c r="AP116" s="23"/>
      <c r="AQ116" s="23"/>
      <c r="AR116" s="23"/>
      <c r="AS116" s="23"/>
      <c r="AT116" s="23"/>
      <c r="AU116" s="23"/>
      <c r="AV116" s="23"/>
      <c r="AW116" s="23"/>
      <c r="AX116" s="23"/>
      <c r="AY116" s="23"/>
      <c r="AZ116" s="23"/>
    </row>
    <row r="117" spans="1:53" ht="20" customHeight="1" x14ac:dyDescent="0.2">
      <c r="A117" s="60"/>
      <c r="B117" s="82"/>
      <c r="D117" s="332"/>
      <c r="G117" s="328" t="s">
        <v>24</v>
      </c>
      <c r="H117" s="339" t="s">
        <v>327</v>
      </c>
      <c r="I117" s="342" t="s">
        <v>325</v>
      </c>
      <c r="J117" s="704" t="s">
        <v>326</v>
      </c>
      <c r="K117" s="336" t="s">
        <v>240</v>
      </c>
      <c r="L117" s="364" t="s">
        <v>241</v>
      </c>
      <c r="M117" s="348" t="s">
        <v>240</v>
      </c>
      <c r="N117" s="406" t="s">
        <v>241</v>
      </c>
      <c r="O117" s="363" t="s">
        <v>240</v>
      </c>
      <c r="P117" s="364" t="s">
        <v>241</v>
      </c>
      <c r="Q117" s="336" t="s">
        <v>240</v>
      </c>
      <c r="R117" s="364" t="s">
        <v>241</v>
      </c>
      <c r="S117" s="336" t="s">
        <v>240</v>
      </c>
      <c r="T117" s="364" t="s">
        <v>241</v>
      </c>
      <c r="U117" s="336" t="s">
        <v>240</v>
      </c>
      <c r="V117" s="364" t="s">
        <v>241</v>
      </c>
      <c r="W117" s="363" t="s">
        <v>240</v>
      </c>
      <c r="X117" s="364" t="s">
        <v>241</v>
      </c>
      <c r="Y117" s="336" t="s">
        <v>240</v>
      </c>
      <c r="Z117" s="364" t="s">
        <v>241</v>
      </c>
      <c r="AA117" s="336" t="s">
        <v>240</v>
      </c>
      <c r="AB117" s="364" t="s">
        <v>241</v>
      </c>
      <c r="AC117" s="336" t="s">
        <v>240</v>
      </c>
      <c r="AD117" s="364" t="s">
        <v>241</v>
      </c>
      <c r="AE117" s="336" t="s">
        <v>240</v>
      </c>
      <c r="AF117" s="364" t="s">
        <v>241</v>
      </c>
      <c r="AG117" s="23"/>
      <c r="AH117" s="23"/>
      <c r="AI117" s="23"/>
      <c r="AJ117" s="23"/>
      <c r="AK117" s="23"/>
      <c r="AL117" s="23"/>
      <c r="AM117" s="23"/>
      <c r="AN117" s="23"/>
      <c r="AO117" s="23"/>
      <c r="AP117" s="23"/>
      <c r="AQ117" s="23"/>
      <c r="AR117" s="23"/>
      <c r="AS117" s="23"/>
      <c r="AT117" s="23"/>
      <c r="AU117" s="23"/>
      <c r="AV117" s="23"/>
      <c r="AW117" s="23"/>
      <c r="AX117" s="23"/>
      <c r="AY117" s="23"/>
      <c r="AZ117" s="23"/>
    </row>
    <row r="118" spans="1:53" ht="20" customHeight="1" thickBot="1" x14ac:dyDescent="0.25">
      <c r="A118" s="328" t="s">
        <v>248</v>
      </c>
      <c r="B118" s="330" t="s">
        <v>331</v>
      </c>
      <c r="D118" s="333"/>
      <c r="G118" s="328"/>
      <c r="H118" s="340"/>
      <c r="I118" s="343"/>
      <c r="J118" s="705"/>
      <c r="K118" s="336"/>
      <c r="L118" s="364"/>
      <c r="M118" s="349"/>
      <c r="N118" s="407"/>
      <c r="O118" s="336"/>
      <c r="P118" s="364"/>
      <c r="Q118" s="336"/>
      <c r="R118" s="364"/>
      <c r="S118" s="336"/>
      <c r="T118" s="364"/>
      <c r="U118" s="336"/>
      <c r="V118" s="364"/>
      <c r="W118" s="363"/>
      <c r="X118" s="364"/>
      <c r="Y118" s="336"/>
      <c r="Z118" s="364"/>
      <c r="AA118" s="336"/>
      <c r="AB118" s="364"/>
      <c r="AC118" s="336"/>
      <c r="AD118" s="364"/>
      <c r="AE118" s="336"/>
      <c r="AF118" s="364"/>
      <c r="AG118" s="23"/>
      <c r="AH118" s="23"/>
      <c r="AI118" s="23"/>
      <c r="AJ118" s="23"/>
      <c r="AK118" s="23"/>
      <c r="AL118" s="23"/>
      <c r="AM118" s="23"/>
      <c r="AN118" s="23"/>
      <c r="AO118" s="23"/>
      <c r="AP118" s="23"/>
      <c r="AQ118" s="23"/>
      <c r="AR118" s="23"/>
      <c r="AS118" s="23"/>
      <c r="AT118" s="23"/>
      <c r="AU118" s="23"/>
      <c r="AV118" s="23"/>
      <c r="AW118" s="23"/>
      <c r="AX118" s="23"/>
      <c r="AY118" s="23"/>
      <c r="AZ118" s="23"/>
    </row>
    <row r="119" spans="1:53" ht="20" customHeight="1" x14ac:dyDescent="0.2">
      <c r="A119" s="328"/>
      <c r="B119" s="330"/>
      <c r="G119" s="328"/>
      <c r="H119" s="340"/>
      <c r="I119" s="343"/>
      <c r="J119" s="705"/>
      <c r="K119" s="336"/>
      <c r="L119" s="364"/>
      <c r="M119" s="349"/>
      <c r="N119" s="407"/>
      <c r="O119" s="336"/>
      <c r="P119" s="364"/>
      <c r="Q119" s="336"/>
      <c r="R119" s="364"/>
      <c r="S119" s="336"/>
      <c r="T119" s="364"/>
      <c r="U119" s="336"/>
      <c r="V119" s="364"/>
      <c r="W119" s="363"/>
      <c r="X119" s="364"/>
      <c r="Y119" s="336"/>
      <c r="Z119" s="364"/>
      <c r="AA119" s="336"/>
      <c r="AB119" s="364"/>
      <c r="AC119" s="336"/>
      <c r="AD119" s="364"/>
      <c r="AE119" s="336"/>
      <c r="AF119" s="364"/>
      <c r="AG119" s="23"/>
      <c r="AH119" s="23"/>
      <c r="AI119" s="23"/>
      <c r="AJ119" s="23"/>
      <c r="AK119" s="23"/>
      <c r="AL119" s="23"/>
      <c r="AM119" s="23"/>
      <c r="AN119" s="23"/>
      <c r="AO119" s="23"/>
      <c r="AP119" s="23"/>
      <c r="AQ119" s="23"/>
      <c r="AR119" s="23"/>
      <c r="AS119" s="23"/>
      <c r="AT119" s="23"/>
      <c r="AU119" s="23"/>
      <c r="AV119" s="23"/>
      <c r="AW119" s="23"/>
      <c r="AX119" s="23"/>
      <c r="AY119" s="23"/>
      <c r="AZ119" s="23"/>
    </row>
    <row r="120" spans="1:53" ht="20" customHeight="1" x14ac:dyDescent="0.2">
      <c r="A120" s="328"/>
      <c r="B120" s="330"/>
      <c r="G120" s="328"/>
      <c r="H120" s="340"/>
      <c r="I120" s="343"/>
      <c r="J120" s="705"/>
      <c r="K120" s="336"/>
      <c r="L120" s="364"/>
      <c r="M120" s="349"/>
      <c r="N120" s="407"/>
      <c r="O120" s="336"/>
      <c r="P120" s="364"/>
      <c r="Q120" s="336"/>
      <c r="R120" s="364"/>
      <c r="S120" s="336"/>
      <c r="T120" s="364"/>
      <c r="U120" s="336"/>
      <c r="V120" s="364"/>
      <c r="W120" s="363"/>
      <c r="X120" s="364"/>
      <c r="Y120" s="336"/>
      <c r="Z120" s="364"/>
      <c r="AA120" s="336"/>
      <c r="AB120" s="364"/>
      <c r="AC120" s="336"/>
      <c r="AD120" s="364"/>
      <c r="AE120" s="336"/>
      <c r="AF120" s="364"/>
      <c r="AG120" s="23"/>
      <c r="AH120" s="23"/>
      <c r="AI120" s="23"/>
      <c r="AJ120" s="23"/>
      <c r="AK120" s="23"/>
      <c r="AL120" s="23"/>
      <c r="AM120" s="23"/>
      <c r="AN120" s="23"/>
      <c r="AO120" s="23"/>
      <c r="AP120" s="23"/>
      <c r="AQ120" s="23"/>
      <c r="AR120" s="23"/>
      <c r="AS120" s="23"/>
      <c r="AT120" s="23"/>
      <c r="AU120" s="23"/>
      <c r="AV120" s="23"/>
      <c r="AW120" s="23"/>
      <c r="AX120" s="23"/>
      <c r="AY120" s="23"/>
      <c r="AZ120" s="23"/>
    </row>
    <row r="121" spans="1:53" ht="20" customHeight="1" thickBot="1" x14ac:dyDescent="0.25">
      <c r="A121" s="329"/>
      <c r="B121" s="331"/>
      <c r="C121" s="21" t="s">
        <v>20</v>
      </c>
      <c r="D121" s="20" t="s">
        <v>21</v>
      </c>
      <c r="E121" s="20" t="s">
        <v>22</v>
      </c>
      <c r="F121" s="21" t="s">
        <v>23</v>
      </c>
      <c r="G121" s="338"/>
      <c r="H121" s="341"/>
      <c r="I121" s="344"/>
      <c r="J121" s="706"/>
      <c r="K121" s="337"/>
      <c r="L121" s="365"/>
      <c r="M121" s="350"/>
      <c r="N121" s="408"/>
      <c r="O121" s="337"/>
      <c r="P121" s="365"/>
      <c r="Q121" s="337"/>
      <c r="R121" s="365"/>
      <c r="S121" s="337"/>
      <c r="T121" s="365"/>
      <c r="U121" s="337"/>
      <c r="V121" s="365"/>
      <c r="W121" s="368"/>
      <c r="X121" s="365"/>
      <c r="Y121" s="337"/>
      <c r="Z121" s="365"/>
      <c r="AA121" s="337"/>
      <c r="AB121" s="365"/>
      <c r="AC121" s="337"/>
      <c r="AD121" s="365"/>
      <c r="AE121" s="337"/>
      <c r="AF121" s="365"/>
      <c r="AG121" s="20" t="s">
        <v>25</v>
      </c>
      <c r="AH121" s="93"/>
      <c r="AI121" s="93"/>
      <c r="AJ121" s="93"/>
      <c r="AK121" s="93"/>
      <c r="AL121" s="93"/>
      <c r="AM121" s="93"/>
      <c r="AN121" s="93"/>
      <c r="AO121" s="93"/>
      <c r="AP121" s="93"/>
      <c r="AQ121" s="93"/>
      <c r="AR121" s="93"/>
      <c r="AS121" s="93"/>
      <c r="AT121" s="93"/>
      <c r="AU121" s="93"/>
      <c r="AV121" s="93"/>
      <c r="AW121" s="93"/>
      <c r="AX121" s="93"/>
      <c r="AY121" s="93"/>
      <c r="AZ121" s="93"/>
      <c r="BA121" s="93"/>
    </row>
    <row r="122" spans="1:53" ht="20" customHeight="1" x14ac:dyDescent="0.2">
      <c r="A122" s="60"/>
      <c r="B122" s="84"/>
      <c r="C122" s="63" t="s">
        <v>85</v>
      </c>
      <c r="D122" s="62" t="s">
        <v>249</v>
      </c>
      <c r="E122" s="62" t="s">
        <v>250</v>
      </c>
      <c r="F122" s="63">
        <v>2015</v>
      </c>
      <c r="G122" s="63"/>
      <c r="H122" s="114">
        <v>40</v>
      </c>
      <c r="I122" s="109" t="s">
        <v>328</v>
      </c>
      <c r="J122" s="64" t="s">
        <v>329</v>
      </c>
      <c r="K122" s="104"/>
      <c r="L122" s="78" t="str">
        <f t="shared" ref="L122:L152" si="80">IF((ISERROR((K122/$H122)*100)), "", IF(AND(NOT(ISERROR((K122/$H122)*100)),((K122/$H122)*100) &lt;&gt; 0), (K122/$H122)*100, ""))</f>
        <v/>
      </c>
      <c r="M122" s="70"/>
      <c r="N122" s="77" t="str">
        <f t="shared" ref="N122:N152" si="81">IF((ISERROR((M122/$H122)*100)), "", IF(AND(NOT(ISERROR((M122/$H122)*100)),((M122/$H122)*100) &lt;&gt; 0), (M122/$H122)*100, ""))</f>
        <v/>
      </c>
      <c r="O122" s="70"/>
      <c r="P122" s="77" t="str">
        <f t="shared" ref="P122:P152" si="82">IF((ISERROR((O122/$H122)*100)), "", IF(AND(NOT(ISERROR((O122/$H122)*100)),((O122/$H122)*100) &lt;&gt; 0), (O122/$H122)*100, ""))</f>
        <v/>
      </c>
      <c r="Q122" s="70"/>
      <c r="R122" s="77" t="str">
        <f t="shared" ref="R122:R152" si="83">IF((ISERROR((Q122/$H122)*100)), "", IF(AND(NOT(ISERROR((Q122/$H122)*100)),((Q122/$H122)*100) &lt;&gt; 0), (Q122/$H122)*100, ""))</f>
        <v/>
      </c>
      <c r="S122" s="70"/>
      <c r="T122" s="77" t="str">
        <f t="shared" ref="T122:T152" si="84">IF((ISERROR((S122/$H122)*100)), "", IF(AND(NOT(ISERROR((S122/$H122)*100)),((S122/$H122)*100) &lt;&gt; 0), (S122/$H122)*100, ""))</f>
        <v/>
      </c>
      <c r="U122" s="70"/>
      <c r="V122" s="77" t="str">
        <f t="shared" ref="V122:V152" si="85">IF((ISERROR((U122/$H122)*100)), "", IF(AND(NOT(ISERROR((U122/$H122)*100)),((U122/$H122)*100) &lt;&gt; 0), (U122/$H122)*100, ""))</f>
        <v/>
      </c>
      <c r="W122" s="71"/>
      <c r="X122" s="77" t="str">
        <f>IF((ISERROR((W122/$H122)*100)), "", IF(AND(NOT(ISERROR((W122/$H122)*100)),((W122/$H122)*100) &lt;&gt; 0), (W122/$H122)*100, ""))</f>
        <v/>
      </c>
      <c r="Y122" s="70"/>
      <c r="Z122" s="77" t="str">
        <f t="shared" ref="Z122" si="86">IF((ISERROR((Y122/$H122)*100)), "", IF(AND(NOT(ISERROR((Y122/$H122)*100)),((Y122/$H122)*100) &lt;&gt; 0), (Y122/$H122)*100, ""))</f>
        <v/>
      </c>
      <c r="AA122" s="70"/>
      <c r="AB122" s="77" t="str">
        <f t="shared" ref="AB122:AB184" si="87">IF((ISERROR((AA122/$H122)*100)), "", IF(AND(NOT(ISERROR((AA122/$H122)*100)),((AA122/$H122)*100) &lt;&gt; 0), (AA122/$H122)*100, ""))</f>
        <v/>
      </c>
      <c r="AC122" s="70"/>
      <c r="AD122" s="77" t="str">
        <f t="shared" ref="AD122:AD184" si="88">IF((ISERROR((AC122/$H122)*100)), "", IF(AND(NOT(ISERROR((AC122/$H122)*100)),((AC122/$H122)*100) &lt;&gt; 0), (AC122/$H122)*100, ""))</f>
        <v/>
      </c>
      <c r="AE122" s="70"/>
      <c r="AF122" s="77" t="str">
        <f t="shared" ref="AF122:AF184" si="89">IF((ISERROR((AE122/$H122)*100)), "", IF(AND(NOT(ISERROR((AE122/$H122)*100)),((AE122/$H122)*100) &lt;&gt; 0), (AE122/$H122)*100, ""))</f>
        <v/>
      </c>
      <c r="AG122" s="62" t="s">
        <v>330</v>
      </c>
      <c r="AH122" s="23"/>
      <c r="AI122" s="23"/>
      <c r="AJ122" s="23"/>
      <c r="AK122" s="23"/>
      <c r="AL122" s="23"/>
      <c r="AM122" s="23"/>
      <c r="AN122" s="23"/>
      <c r="AO122" s="23"/>
      <c r="AP122" s="23"/>
      <c r="AQ122" s="23"/>
      <c r="AR122" s="23"/>
      <c r="AS122" s="23"/>
      <c r="AT122" s="23"/>
      <c r="AU122" s="23"/>
      <c r="AV122" s="23"/>
      <c r="AW122" s="23"/>
      <c r="AX122" s="23"/>
      <c r="AY122" s="23"/>
      <c r="AZ122" s="23"/>
    </row>
    <row r="123" spans="1:53" ht="20" customHeight="1" x14ac:dyDescent="0.2">
      <c r="A123" s="61"/>
      <c r="B123" s="82"/>
      <c r="C123" s="24" t="s">
        <v>85</v>
      </c>
      <c r="D123" s="23" t="s">
        <v>26</v>
      </c>
      <c r="E123" s="23" t="s">
        <v>27</v>
      </c>
      <c r="F123" s="24">
        <v>2008</v>
      </c>
      <c r="G123" s="24">
        <v>165</v>
      </c>
      <c r="H123" s="114">
        <v>107</v>
      </c>
      <c r="I123" s="109" t="s">
        <v>166</v>
      </c>
      <c r="J123" s="64"/>
      <c r="K123" s="105"/>
      <c r="L123" s="36" t="str">
        <f t="shared" si="80"/>
        <v/>
      </c>
      <c r="M123" s="65"/>
      <c r="N123" s="66" t="str">
        <f t="shared" si="81"/>
        <v/>
      </c>
      <c r="O123" s="67"/>
      <c r="P123" s="68" t="str">
        <f t="shared" si="82"/>
        <v/>
      </c>
      <c r="Q123" s="67"/>
      <c r="R123" s="68" t="str">
        <f t="shared" si="83"/>
        <v/>
      </c>
      <c r="S123" s="65"/>
      <c r="T123" s="66" t="str">
        <f t="shared" si="84"/>
        <v/>
      </c>
      <c r="U123" s="67"/>
      <c r="V123" s="68" t="str">
        <f t="shared" si="85"/>
        <v/>
      </c>
      <c r="W123" s="67"/>
      <c r="X123" s="68" t="str">
        <f t="shared" ref="X123" si="90">IF((ISERROR((W123/$H123)*100)), "", IF(AND(NOT(ISERROR((W123/$H123)*100)),((W123/$H123)*100) &lt;&gt; 0), (W123/$H123)*100, ""))</f>
        <v/>
      </c>
      <c r="Y123" s="67"/>
      <c r="Z123" s="68" t="str">
        <f t="shared" ref="Z123:Z124" si="91">IF((ISERROR((Y123/$H123)*100)), "", IF(AND(NOT(ISERROR((Y123/$H123)*100)),((Y123/$H123)*100) &lt;&gt; 0), (Y123/$H123)*100, ""))</f>
        <v/>
      </c>
      <c r="AA123" s="67"/>
      <c r="AB123" s="68" t="str">
        <f t="shared" si="87"/>
        <v/>
      </c>
      <c r="AC123" s="67"/>
      <c r="AD123" s="68" t="str">
        <f t="shared" si="88"/>
        <v/>
      </c>
      <c r="AE123" s="67"/>
      <c r="AF123" s="68" t="str">
        <f t="shared" si="89"/>
        <v/>
      </c>
      <c r="AG123" s="23" t="s">
        <v>165</v>
      </c>
      <c r="AH123" s="23"/>
      <c r="AI123" s="23"/>
      <c r="AJ123" s="23"/>
      <c r="AK123" s="23"/>
      <c r="AL123" s="23"/>
      <c r="AM123" s="23"/>
      <c r="AN123" s="23"/>
      <c r="AO123" s="23"/>
      <c r="AP123" s="23"/>
      <c r="AQ123" s="23"/>
      <c r="AR123" s="23"/>
      <c r="AS123" s="23"/>
      <c r="AT123" s="23"/>
      <c r="AU123" s="23"/>
      <c r="AV123" s="23"/>
      <c r="AW123" s="23"/>
      <c r="AX123" s="23"/>
      <c r="AY123" s="23"/>
      <c r="AZ123" s="23"/>
    </row>
    <row r="124" spans="1:53" ht="20" customHeight="1" x14ac:dyDescent="0.2">
      <c r="A124" s="61"/>
      <c r="B124" s="83"/>
      <c r="C124" s="24" t="s">
        <v>85</v>
      </c>
      <c r="D124" s="23" t="s">
        <v>251</v>
      </c>
      <c r="E124" s="23" t="s">
        <v>252</v>
      </c>
      <c r="F124" s="24">
        <v>2016</v>
      </c>
      <c r="G124"/>
      <c r="H124" s="89">
        <v>12</v>
      </c>
      <c r="I124" s="85" t="s">
        <v>332</v>
      </c>
      <c r="J124" s="32"/>
      <c r="K124" s="106"/>
      <c r="L124" s="36" t="str">
        <f t="shared" si="80"/>
        <v/>
      </c>
      <c r="M124" s="33"/>
      <c r="N124" s="36" t="str">
        <f t="shared" si="81"/>
        <v/>
      </c>
      <c r="O124" s="33"/>
      <c r="P124" s="36" t="str">
        <f t="shared" si="82"/>
        <v/>
      </c>
      <c r="Q124" s="33"/>
      <c r="R124" s="36" t="str">
        <f t="shared" si="83"/>
        <v/>
      </c>
      <c r="S124" s="33"/>
      <c r="T124" s="36" t="str">
        <f t="shared" si="84"/>
        <v/>
      </c>
      <c r="U124" s="33"/>
      <c r="V124" s="36" t="str">
        <f t="shared" si="85"/>
        <v/>
      </c>
      <c r="W124" s="33"/>
      <c r="X124" s="36" t="str">
        <f>IF((ISERROR((W124/$H124)*100)), "", IF(AND(NOT(ISERROR((W124/$H124)*100)),((W124/$H124)*100) &lt;&gt; 0), (W124/$H124)*100, ""))</f>
        <v/>
      </c>
      <c r="Y124" s="33"/>
      <c r="Z124" s="36" t="str">
        <f t="shared" si="91"/>
        <v/>
      </c>
      <c r="AA124" s="33"/>
      <c r="AB124" s="36" t="str">
        <f t="shared" si="87"/>
        <v/>
      </c>
      <c r="AC124" s="33"/>
      <c r="AD124" s="36" t="str">
        <f t="shared" si="88"/>
        <v/>
      </c>
      <c r="AE124" s="33"/>
      <c r="AF124" s="36" t="str">
        <f t="shared" si="89"/>
        <v/>
      </c>
      <c r="AG124" s="23" t="s">
        <v>333</v>
      </c>
      <c r="AH124" s="23"/>
      <c r="AI124" s="23"/>
      <c r="AJ124" s="23"/>
      <c r="AK124" s="23"/>
      <c r="AL124" s="23"/>
      <c r="AM124" s="23"/>
      <c r="AN124" s="23"/>
      <c r="AO124" s="23"/>
      <c r="AP124" s="23"/>
      <c r="AQ124" s="23"/>
      <c r="AR124" s="23"/>
      <c r="AS124" s="23"/>
      <c r="AT124" s="23"/>
      <c r="AU124" s="23"/>
      <c r="AV124" s="23"/>
      <c r="AW124" s="23"/>
      <c r="AX124" s="23"/>
      <c r="AY124" s="23"/>
      <c r="AZ124" s="23"/>
    </row>
    <row r="125" spans="1:53" ht="20" customHeight="1" x14ac:dyDescent="0.2">
      <c r="A125" s="61"/>
      <c r="B125" s="82"/>
      <c r="C125" s="24" t="s">
        <v>85</v>
      </c>
      <c r="D125" s="23" t="s">
        <v>33</v>
      </c>
      <c r="E125" s="23" t="s">
        <v>34</v>
      </c>
      <c r="F125" s="24">
        <v>2003</v>
      </c>
      <c r="G125" s="24">
        <v>291</v>
      </c>
      <c r="H125" s="89">
        <v>14</v>
      </c>
      <c r="I125" s="85" t="s">
        <v>167</v>
      </c>
      <c r="J125" s="32"/>
      <c r="K125" s="106"/>
      <c r="L125" s="36" t="str">
        <f t="shared" si="80"/>
        <v/>
      </c>
      <c r="M125" s="33">
        <v>2</v>
      </c>
      <c r="N125" s="36">
        <f t="shared" si="81"/>
        <v>14.285714285714285</v>
      </c>
      <c r="O125" s="33"/>
      <c r="P125" s="36" t="str">
        <f t="shared" si="82"/>
        <v/>
      </c>
      <c r="Q125" s="33"/>
      <c r="R125" s="36" t="str">
        <f t="shared" si="83"/>
        <v/>
      </c>
      <c r="S125" s="33"/>
      <c r="T125" s="36" t="str">
        <f t="shared" si="84"/>
        <v/>
      </c>
      <c r="U125" s="33"/>
      <c r="V125" s="36" t="str">
        <f t="shared" si="85"/>
        <v/>
      </c>
      <c r="W125" s="33">
        <v>1</v>
      </c>
      <c r="X125" s="36">
        <f t="shared" ref="X125" si="92">IF((ISERROR((W125/$H125)*100)), "", IF(AND(NOT(ISERROR((W125/$H125)*100)),((W125/$H125)*100) &lt;&gt; 0), (W125/$H125)*100, ""))</f>
        <v>7.1428571428571423</v>
      </c>
      <c r="Y125" s="33"/>
      <c r="Z125" s="36" t="str">
        <f t="shared" ref="Z125:Z139" si="93">IF((ISERROR((Y125/$H125)*100)), "", IF(AND(NOT(ISERROR((Y125/$H125)*100)),((Y125/$H125)*100) &lt;&gt; 0), (Y125/$H125)*100, ""))</f>
        <v/>
      </c>
      <c r="AA125" s="33"/>
      <c r="AB125" s="36" t="str">
        <f t="shared" si="87"/>
        <v/>
      </c>
      <c r="AC125" s="33"/>
      <c r="AD125" s="36" t="str">
        <f t="shared" si="88"/>
        <v/>
      </c>
      <c r="AE125" s="33"/>
      <c r="AF125" s="36" t="str">
        <f t="shared" si="89"/>
        <v/>
      </c>
      <c r="AG125" s="23" t="s">
        <v>334</v>
      </c>
      <c r="AH125" s="23"/>
      <c r="AI125" s="23"/>
      <c r="AJ125" s="23"/>
      <c r="AK125" s="23"/>
      <c r="AL125" s="23"/>
      <c r="AM125" s="23"/>
      <c r="AN125" s="23"/>
      <c r="AO125" s="23"/>
      <c r="AP125" s="23"/>
      <c r="AQ125" s="23"/>
      <c r="AR125" s="23"/>
      <c r="AS125" s="23"/>
      <c r="AT125" s="23"/>
      <c r="AU125" s="23"/>
      <c r="AV125" s="23"/>
      <c r="AW125" s="23"/>
      <c r="AX125" s="23"/>
      <c r="AY125" s="23"/>
      <c r="AZ125" s="23"/>
    </row>
    <row r="126" spans="1:53" ht="20" customHeight="1" x14ac:dyDescent="0.2">
      <c r="A126" s="60"/>
      <c r="B126" s="82"/>
      <c r="C126" s="24" t="s">
        <v>85</v>
      </c>
      <c r="D126" s="23" t="s">
        <v>253</v>
      </c>
      <c r="E126" s="23" t="s">
        <v>254</v>
      </c>
      <c r="F126" s="24">
        <v>2008</v>
      </c>
      <c r="H126" s="89">
        <v>13</v>
      </c>
      <c r="I126" s="85" t="s">
        <v>218</v>
      </c>
      <c r="J126" s="32" t="s">
        <v>335</v>
      </c>
      <c r="K126" s="106"/>
      <c r="L126" s="36" t="str">
        <f t="shared" si="80"/>
        <v/>
      </c>
      <c r="M126" s="33">
        <v>1</v>
      </c>
      <c r="N126" s="36">
        <f t="shared" si="81"/>
        <v>7.6923076923076925</v>
      </c>
      <c r="O126" s="33"/>
      <c r="P126" s="36" t="str">
        <f t="shared" si="82"/>
        <v/>
      </c>
      <c r="Q126" s="33"/>
      <c r="R126" s="36" t="str">
        <f t="shared" si="83"/>
        <v/>
      </c>
      <c r="S126" s="33"/>
      <c r="T126" s="36" t="str">
        <f t="shared" si="84"/>
        <v/>
      </c>
      <c r="U126" s="33"/>
      <c r="V126" s="36" t="str">
        <f t="shared" si="85"/>
        <v/>
      </c>
      <c r="W126" s="33"/>
      <c r="X126" s="36" t="str">
        <f>IF((ISERROR((W126/$H126)*100)), "", IF(AND(NOT(ISERROR((W126/$H126)*100)),((W126/$H126)*100) &lt;&gt; 0), (W126/$H126)*100, ""))</f>
        <v/>
      </c>
      <c r="Y126" s="33"/>
      <c r="Z126" s="36" t="str">
        <f t="shared" si="93"/>
        <v/>
      </c>
      <c r="AA126" s="33"/>
      <c r="AB126" s="36" t="str">
        <f t="shared" si="87"/>
        <v/>
      </c>
      <c r="AC126" s="33"/>
      <c r="AD126" s="36" t="str">
        <f t="shared" si="88"/>
        <v/>
      </c>
      <c r="AE126" s="33"/>
      <c r="AF126" s="36" t="str">
        <f t="shared" si="89"/>
        <v/>
      </c>
      <c r="AG126" s="23"/>
      <c r="AH126" s="23"/>
      <c r="AI126" s="23"/>
      <c r="AJ126" s="23"/>
      <c r="AK126" s="23"/>
      <c r="AL126" s="23"/>
      <c r="AM126" s="23"/>
      <c r="AN126" s="23"/>
      <c r="AO126" s="23"/>
      <c r="AP126" s="23"/>
      <c r="AQ126" s="23"/>
      <c r="AR126" s="23"/>
      <c r="AS126" s="23"/>
      <c r="AT126" s="23"/>
      <c r="AU126" s="23"/>
      <c r="AV126" s="23"/>
      <c r="AW126" s="23"/>
      <c r="AX126" s="23"/>
      <c r="AY126" s="23"/>
      <c r="AZ126" s="23"/>
    </row>
    <row r="127" spans="1:53" ht="20" customHeight="1" x14ac:dyDescent="0.2">
      <c r="A127" s="61"/>
      <c r="B127" s="82"/>
      <c r="C127" s="24" t="s">
        <v>85</v>
      </c>
      <c r="D127" s="23" t="s">
        <v>36</v>
      </c>
      <c r="E127" s="23" t="s">
        <v>37</v>
      </c>
      <c r="F127" s="24">
        <v>2008</v>
      </c>
      <c r="G127" s="24">
        <v>40</v>
      </c>
      <c r="H127" s="89">
        <v>29</v>
      </c>
      <c r="I127" s="85" t="s">
        <v>176</v>
      </c>
      <c r="J127" s="32" t="s">
        <v>169</v>
      </c>
      <c r="K127" s="106"/>
      <c r="L127" s="36" t="str">
        <f t="shared" si="80"/>
        <v/>
      </c>
      <c r="M127" s="33"/>
      <c r="N127" s="36" t="str">
        <f t="shared" si="81"/>
        <v/>
      </c>
      <c r="O127" s="33"/>
      <c r="P127" s="36" t="str">
        <f t="shared" si="82"/>
        <v/>
      </c>
      <c r="Q127" s="33"/>
      <c r="R127" s="36" t="str">
        <f t="shared" si="83"/>
        <v/>
      </c>
      <c r="S127" s="33"/>
      <c r="T127" s="36" t="str">
        <f t="shared" si="84"/>
        <v/>
      </c>
      <c r="U127" s="33"/>
      <c r="V127" s="36" t="str">
        <f t="shared" si="85"/>
        <v/>
      </c>
      <c r="W127" s="33"/>
      <c r="X127" s="36" t="str">
        <f>IF((ISERROR((W127/$H127)*100)), "", IF(AND(NOT(ISERROR((W127/$H127)*100)),((W127/$H127)*100) &lt;&gt; 0), (W127/$H127)*100, ""))</f>
        <v/>
      </c>
      <c r="Y127" s="33"/>
      <c r="Z127" s="36" t="str">
        <f t="shared" si="93"/>
        <v/>
      </c>
      <c r="AA127" s="33"/>
      <c r="AB127" s="36" t="str">
        <f t="shared" si="87"/>
        <v/>
      </c>
      <c r="AC127" s="33"/>
      <c r="AD127" s="36" t="str">
        <f t="shared" si="88"/>
        <v/>
      </c>
      <c r="AE127" s="33"/>
      <c r="AF127" s="36" t="str">
        <f t="shared" si="89"/>
        <v/>
      </c>
      <c r="AG127" s="23" t="s">
        <v>480</v>
      </c>
      <c r="AH127" s="23"/>
      <c r="AI127" s="23"/>
      <c r="AJ127" s="23"/>
      <c r="AK127" s="23"/>
      <c r="AL127" s="23"/>
      <c r="AM127" s="23"/>
      <c r="AN127" s="23"/>
      <c r="AO127" s="23"/>
      <c r="AP127" s="23"/>
      <c r="AQ127" s="23"/>
      <c r="AR127" s="23"/>
      <c r="AS127" s="23"/>
      <c r="AT127" s="23"/>
      <c r="AU127" s="23"/>
      <c r="AV127" s="23"/>
      <c r="AW127" s="23"/>
      <c r="AX127" s="23"/>
      <c r="AY127" s="23"/>
      <c r="AZ127" s="23"/>
    </row>
    <row r="128" spans="1:53" ht="20" customHeight="1" x14ac:dyDescent="0.2">
      <c r="A128" s="60"/>
      <c r="B128" s="82"/>
      <c r="C128" s="24" t="s">
        <v>85</v>
      </c>
      <c r="D128" s="23" t="s">
        <v>41</v>
      </c>
      <c r="E128" s="23" t="s">
        <v>42</v>
      </c>
      <c r="F128" s="24">
        <v>2004</v>
      </c>
      <c r="G128" s="24">
        <v>79</v>
      </c>
      <c r="H128" s="89">
        <v>12</v>
      </c>
      <c r="I128" s="85" t="s">
        <v>168</v>
      </c>
      <c r="J128" s="32" t="s">
        <v>169</v>
      </c>
      <c r="K128" s="106"/>
      <c r="L128" s="36" t="str">
        <f t="shared" si="80"/>
        <v/>
      </c>
      <c r="M128" s="33">
        <v>5</v>
      </c>
      <c r="N128" s="36">
        <f t="shared" si="81"/>
        <v>41.666666666666671</v>
      </c>
      <c r="O128" s="33"/>
      <c r="P128" s="36" t="str">
        <f t="shared" si="82"/>
        <v/>
      </c>
      <c r="Q128" s="33"/>
      <c r="R128" s="36" t="str">
        <f t="shared" si="83"/>
        <v/>
      </c>
      <c r="S128" s="33"/>
      <c r="T128" s="36" t="str">
        <f t="shared" si="84"/>
        <v/>
      </c>
      <c r="U128" s="33"/>
      <c r="V128" s="36" t="str">
        <f t="shared" si="85"/>
        <v/>
      </c>
      <c r="W128" s="33"/>
      <c r="X128" s="36" t="str">
        <f>IF((ISERROR((W128/$H128)*100)), "", IF(AND(NOT(ISERROR((W128/$H128)*100)),((W128/$H128)*100) &lt;&gt; 0), (W128/$H128)*100, ""))</f>
        <v/>
      </c>
      <c r="Y128" s="33"/>
      <c r="Z128" s="36" t="str">
        <f t="shared" si="93"/>
        <v/>
      </c>
      <c r="AA128" s="33"/>
      <c r="AB128" s="36" t="str">
        <f t="shared" si="87"/>
        <v/>
      </c>
      <c r="AC128" s="33"/>
      <c r="AD128" s="36" t="str">
        <f t="shared" si="88"/>
        <v/>
      </c>
      <c r="AE128" s="33"/>
      <c r="AF128" s="36" t="str">
        <f t="shared" si="89"/>
        <v/>
      </c>
      <c r="AG128" s="23" t="s">
        <v>170</v>
      </c>
      <c r="AH128" s="23"/>
      <c r="AI128" s="23"/>
      <c r="AJ128" s="23"/>
      <c r="AK128" s="23"/>
      <c r="AL128" s="23"/>
      <c r="AM128" s="23"/>
      <c r="AN128" s="23"/>
      <c r="AO128" s="23"/>
      <c r="AP128" s="23"/>
      <c r="AQ128" s="23"/>
      <c r="AR128" s="23"/>
      <c r="AS128" s="23"/>
      <c r="AT128" s="23"/>
      <c r="AU128" s="23"/>
      <c r="AV128" s="23"/>
      <c r="AW128" s="23"/>
      <c r="AX128" s="23"/>
      <c r="AY128" s="23"/>
      <c r="AZ128" s="23"/>
    </row>
    <row r="129" spans="1:52" ht="20" customHeight="1" x14ac:dyDescent="0.2">
      <c r="A129" s="60"/>
      <c r="B129" s="82"/>
      <c r="C129" s="24" t="s">
        <v>85</v>
      </c>
      <c r="D129" s="23" t="s">
        <v>43</v>
      </c>
      <c r="E129" s="23" t="s">
        <v>44</v>
      </c>
      <c r="F129" s="24">
        <v>1976</v>
      </c>
      <c r="G129" s="24">
        <v>179</v>
      </c>
      <c r="H129" s="89">
        <v>8</v>
      </c>
      <c r="I129" s="111" t="s">
        <v>336</v>
      </c>
      <c r="J129" s="32"/>
      <c r="K129" s="106"/>
      <c r="L129" s="36" t="str">
        <f t="shared" si="80"/>
        <v/>
      </c>
      <c r="M129" s="33"/>
      <c r="N129" s="36" t="str">
        <f t="shared" si="81"/>
        <v/>
      </c>
      <c r="O129" s="33"/>
      <c r="P129" s="36" t="str">
        <f t="shared" si="82"/>
        <v/>
      </c>
      <c r="Q129" s="38">
        <v>1</v>
      </c>
      <c r="R129" s="39">
        <f t="shared" si="83"/>
        <v>12.5</v>
      </c>
      <c r="S129" s="33"/>
      <c r="T129" s="36" t="str">
        <f t="shared" si="84"/>
        <v/>
      </c>
      <c r="U129" s="33"/>
      <c r="V129" s="36" t="str">
        <f t="shared" si="85"/>
        <v/>
      </c>
      <c r="W129" s="38">
        <v>1</v>
      </c>
      <c r="X129" s="39">
        <f>IF((ISERROR((W129/$H129)*100)), "", IF(AND(NOT(ISERROR((W129/$H129)*100)),((W129/$H129)*100) &lt;&gt; 0), (W129/$H129)*100, ""))</f>
        <v>12.5</v>
      </c>
      <c r="Y129" s="33"/>
      <c r="Z129" s="36" t="str">
        <f t="shared" si="93"/>
        <v/>
      </c>
      <c r="AA129" s="38"/>
      <c r="AB129" s="39" t="str">
        <f t="shared" si="87"/>
        <v/>
      </c>
      <c r="AC129" s="38"/>
      <c r="AD129" s="39" t="str">
        <f t="shared" si="88"/>
        <v/>
      </c>
      <c r="AE129" s="33"/>
      <c r="AF129" s="36" t="str">
        <f t="shared" si="89"/>
        <v/>
      </c>
      <c r="AG129" s="23" t="s">
        <v>183</v>
      </c>
      <c r="AH129" s="23"/>
      <c r="AI129" s="23"/>
      <c r="AJ129" s="23"/>
      <c r="AK129" s="23"/>
      <c r="AL129" s="23"/>
      <c r="AM129" s="23"/>
      <c r="AN129" s="23"/>
      <c r="AO129" s="23"/>
      <c r="AP129" s="23"/>
      <c r="AQ129" s="23"/>
      <c r="AR129" s="23"/>
      <c r="AS129" s="23"/>
      <c r="AT129" s="23"/>
      <c r="AU129" s="23"/>
      <c r="AV129" s="23"/>
      <c r="AW129" s="23"/>
      <c r="AX129" s="23"/>
      <c r="AY129" s="23"/>
      <c r="AZ129" s="23"/>
    </row>
    <row r="130" spans="1:52" ht="20" customHeight="1" x14ac:dyDescent="0.2">
      <c r="A130" s="61"/>
      <c r="B130" s="83"/>
      <c r="C130" s="24" t="s">
        <v>85</v>
      </c>
      <c r="D130" s="23" t="s">
        <v>152</v>
      </c>
      <c r="E130" s="23" t="s">
        <v>153</v>
      </c>
      <c r="F130" s="24">
        <v>2007</v>
      </c>
      <c r="H130" s="89">
        <v>44</v>
      </c>
      <c r="I130" s="85"/>
      <c r="J130" s="32"/>
      <c r="K130" s="106"/>
      <c r="L130" s="36" t="str">
        <f t="shared" si="80"/>
        <v/>
      </c>
      <c r="M130" s="33"/>
      <c r="N130" s="36" t="str">
        <f t="shared" si="81"/>
        <v/>
      </c>
      <c r="O130" s="33"/>
      <c r="P130" s="36" t="str">
        <f t="shared" si="82"/>
        <v/>
      </c>
      <c r="Q130" s="33"/>
      <c r="R130" s="36" t="str">
        <f t="shared" si="83"/>
        <v/>
      </c>
      <c r="S130" s="33"/>
      <c r="T130" s="36" t="str">
        <f t="shared" si="84"/>
        <v/>
      </c>
      <c r="U130" s="33"/>
      <c r="V130" s="36" t="str">
        <f t="shared" si="85"/>
        <v/>
      </c>
      <c r="W130" s="33"/>
      <c r="X130" s="36" t="str">
        <f t="shared" ref="X130:X136" si="94">IF((ISERROR((W130/$H130)*100)), "", IF(AND(NOT(ISERROR((W130/$H130)*100)),((W130/$H130)*100) &lt;&gt; 0), (W130/$H130)*100, ""))</f>
        <v/>
      </c>
      <c r="Y130" s="33"/>
      <c r="Z130" s="36" t="str">
        <f t="shared" si="93"/>
        <v/>
      </c>
      <c r="AA130" s="33"/>
      <c r="AB130" s="36" t="str">
        <f t="shared" si="87"/>
        <v/>
      </c>
      <c r="AC130" s="33"/>
      <c r="AD130" s="36" t="str">
        <f t="shared" si="88"/>
        <v/>
      </c>
      <c r="AE130" s="33"/>
      <c r="AF130" s="36" t="str">
        <f t="shared" si="89"/>
        <v/>
      </c>
      <c r="AG130" s="23" t="s">
        <v>175</v>
      </c>
      <c r="AH130" s="23"/>
      <c r="AI130" s="23"/>
      <c r="AJ130" s="23"/>
      <c r="AK130" s="23"/>
      <c r="AL130" s="23"/>
      <c r="AM130" s="23"/>
      <c r="AN130" s="23"/>
      <c r="AO130" s="23"/>
      <c r="AP130" s="23"/>
      <c r="AQ130" s="23"/>
      <c r="AR130" s="23"/>
      <c r="AS130" s="23"/>
      <c r="AT130" s="23"/>
      <c r="AU130" s="23"/>
      <c r="AV130" s="23"/>
      <c r="AW130" s="23"/>
      <c r="AX130" s="23"/>
      <c r="AY130" s="23"/>
      <c r="AZ130" s="23"/>
    </row>
    <row r="131" spans="1:52" ht="20" customHeight="1" x14ac:dyDescent="0.2">
      <c r="A131" s="60"/>
      <c r="B131" s="83"/>
      <c r="C131" s="24" t="s">
        <v>85</v>
      </c>
      <c r="D131" s="23" t="s">
        <v>255</v>
      </c>
      <c r="E131" s="23" t="s">
        <v>256</v>
      </c>
      <c r="F131" s="24">
        <v>2014</v>
      </c>
      <c r="H131" s="89">
        <v>48</v>
      </c>
      <c r="I131" s="85" t="s">
        <v>214</v>
      </c>
      <c r="J131" s="32" t="s">
        <v>337</v>
      </c>
      <c r="K131" s="106"/>
      <c r="L131" s="36" t="str">
        <f t="shared" si="80"/>
        <v/>
      </c>
      <c r="M131" s="38"/>
      <c r="N131" s="38" t="str">
        <f t="shared" si="81"/>
        <v/>
      </c>
      <c r="O131" s="33"/>
      <c r="P131" s="36" t="str">
        <f t="shared" si="82"/>
        <v/>
      </c>
      <c r="Q131" s="33"/>
      <c r="R131" s="36" t="str">
        <f t="shared" si="83"/>
        <v/>
      </c>
      <c r="S131" s="33"/>
      <c r="T131" s="36" t="str">
        <f t="shared" si="84"/>
        <v/>
      </c>
      <c r="U131" s="33"/>
      <c r="V131" s="36" t="str">
        <f t="shared" si="85"/>
        <v/>
      </c>
      <c r="W131" s="33"/>
      <c r="X131" s="36" t="str">
        <f>IF((ISERROR((W131/$H131)*100)), "", IF(AND(NOT(ISERROR((W131/$H131)*100)),((W131/$H131)*100) &lt;&gt; 0), (W131/$H131)*100, ""))</f>
        <v/>
      </c>
      <c r="Y131" s="33"/>
      <c r="Z131" s="36" t="str">
        <f t="shared" si="93"/>
        <v/>
      </c>
      <c r="AA131" s="33"/>
      <c r="AB131" s="36" t="str">
        <f t="shared" si="87"/>
        <v/>
      </c>
      <c r="AC131" s="33"/>
      <c r="AD131" s="36" t="str">
        <f t="shared" si="88"/>
        <v/>
      </c>
      <c r="AE131" s="33"/>
      <c r="AF131" s="36" t="str">
        <f t="shared" si="89"/>
        <v/>
      </c>
      <c r="AG131" s="23" t="s">
        <v>400</v>
      </c>
      <c r="AH131" s="23"/>
      <c r="AI131" s="23"/>
      <c r="AJ131" s="23"/>
      <c r="AK131" s="23"/>
      <c r="AL131" s="23"/>
      <c r="AM131" s="23"/>
      <c r="AN131" s="23"/>
      <c r="AO131" s="23"/>
      <c r="AP131" s="23"/>
      <c r="AQ131" s="23"/>
      <c r="AR131" s="23"/>
      <c r="AS131" s="23"/>
      <c r="AT131" s="23"/>
      <c r="AU131" s="23"/>
      <c r="AV131" s="23"/>
      <c r="AW131" s="23"/>
      <c r="AX131" s="23"/>
      <c r="AY131" s="23"/>
      <c r="AZ131" s="23"/>
    </row>
    <row r="132" spans="1:52" ht="20" customHeight="1" x14ac:dyDescent="0.2">
      <c r="A132" s="60"/>
      <c r="B132" s="83"/>
      <c r="C132" s="24" t="s">
        <v>85</v>
      </c>
      <c r="D132" s="23" t="s">
        <v>259</v>
      </c>
      <c r="E132" s="23" t="s">
        <v>260</v>
      </c>
      <c r="F132" s="24">
        <v>2012</v>
      </c>
      <c r="H132" s="89">
        <v>80</v>
      </c>
      <c r="I132" s="85" t="s">
        <v>214</v>
      </c>
      <c r="J132" s="32" t="s">
        <v>191</v>
      </c>
      <c r="K132" s="106"/>
      <c r="L132" s="36" t="str">
        <f t="shared" si="80"/>
        <v/>
      </c>
      <c r="M132" s="33"/>
      <c r="N132" s="36" t="str">
        <f t="shared" si="81"/>
        <v/>
      </c>
      <c r="O132" s="33"/>
      <c r="P132" s="36" t="str">
        <f t="shared" si="82"/>
        <v/>
      </c>
      <c r="Q132" s="33"/>
      <c r="R132" s="36" t="str">
        <f t="shared" si="83"/>
        <v/>
      </c>
      <c r="S132" s="33"/>
      <c r="T132" s="36" t="str">
        <f t="shared" si="84"/>
        <v/>
      </c>
      <c r="U132" s="33"/>
      <c r="V132" s="36" t="str">
        <f t="shared" si="85"/>
        <v/>
      </c>
      <c r="W132" s="33"/>
      <c r="X132" s="36" t="str">
        <f>IF((ISERROR((W132/$H132)*100)), "", IF(AND(NOT(ISERROR((W132/$H132)*100)),((W132/$H132)*100) &lt;&gt; 0), (W132/$H132)*100, ""))</f>
        <v/>
      </c>
      <c r="Y132" s="33"/>
      <c r="Z132" s="36" t="str">
        <f t="shared" si="93"/>
        <v/>
      </c>
      <c r="AA132" s="33"/>
      <c r="AB132" s="36" t="str">
        <f t="shared" si="87"/>
        <v/>
      </c>
      <c r="AC132" s="33"/>
      <c r="AD132" s="36" t="str">
        <f t="shared" si="88"/>
        <v/>
      </c>
      <c r="AE132" s="33"/>
      <c r="AF132" s="36" t="str">
        <f t="shared" si="89"/>
        <v/>
      </c>
      <c r="AG132" s="23"/>
      <c r="AH132" s="23"/>
      <c r="AI132" s="23"/>
      <c r="AJ132" s="23"/>
      <c r="AK132" s="23"/>
      <c r="AL132" s="23"/>
      <c r="AM132" s="23"/>
      <c r="AN132" s="23"/>
      <c r="AO132" s="23"/>
      <c r="AP132" s="23"/>
      <c r="AQ132" s="23"/>
      <c r="AR132" s="23"/>
      <c r="AS132" s="23"/>
      <c r="AT132" s="23"/>
      <c r="AU132" s="23"/>
      <c r="AV132" s="23"/>
      <c r="AW132" s="23"/>
      <c r="AX132" s="23"/>
      <c r="AY132" s="23"/>
      <c r="AZ132" s="23"/>
    </row>
    <row r="133" spans="1:52" ht="20" customHeight="1" x14ac:dyDescent="0.2">
      <c r="A133" s="60"/>
      <c r="B133" s="82"/>
      <c r="C133" s="24" t="s">
        <v>85</v>
      </c>
      <c r="D133" s="23" t="s">
        <v>261</v>
      </c>
      <c r="E133" s="23" t="s">
        <v>262</v>
      </c>
      <c r="F133" s="24">
        <v>2013</v>
      </c>
      <c r="H133" s="89">
        <v>12</v>
      </c>
      <c r="I133" s="85" t="s">
        <v>214</v>
      </c>
      <c r="J133" s="32" t="s">
        <v>338</v>
      </c>
      <c r="K133" s="106"/>
      <c r="L133" s="36" t="str">
        <f t="shared" si="80"/>
        <v/>
      </c>
      <c r="M133" s="33"/>
      <c r="N133" s="36" t="str">
        <f t="shared" si="81"/>
        <v/>
      </c>
      <c r="O133" s="33"/>
      <c r="P133" s="36" t="str">
        <f t="shared" si="82"/>
        <v/>
      </c>
      <c r="Q133" s="33"/>
      <c r="R133" s="36" t="str">
        <f t="shared" si="83"/>
        <v/>
      </c>
      <c r="S133" s="33"/>
      <c r="T133" s="36" t="str">
        <f t="shared" si="84"/>
        <v/>
      </c>
      <c r="U133" s="33"/>
      <c r="V133" s="36" t="str">
        <f t="shared" si="85"/>
        <v/>
      </c>
      <c r="W133" s="33"/>
      <c r="X133" s="36" t="str">
        <f>IF((ISERROR((W133/$H133)*100)), "", IF(AND(NOT(ISERROR((W133/$H133)*100)),((W133/$H133)*100) &lt;&gt; 0), (W133/$H133)*100, ""))</f>
        <v/>
      </c>
      <c r="Y133" s="33"/>
      <c r="Z133" s="36" t="str">
        <f t="shared" si="93"/>
        <v/>
      </c>
      <c r="AA133" s="33"/>
      <c r="AB133" s="36" t="str">
        <f t="shared" si="87"/>
        <v/>
      </c>
      <c r="AC133" s="33"/>
      <c r="AD133" s="36" t="str">
        <f t="shared" si="88"/>
        <v/>
      </c>
      <c r="AE133" s="33"/>
      <c r="AF133" s="36" t="str">
        <f t="shared" si="89"/>
        <v/>
      </c>
      <c r="AG133" s="23" t="s">
        <v>401</v>
      </c>
      <c r="AH133" s="23"/>
      <c r="AI133" s="23"/>
      <c r="AJ133" s="23"/>
      <c r="AK133" s="23"/>
      <c r="AL133" s="23"/>
      <c r="AM133" s="23"/>
      <c r="AN133" s="23"/>
      <c r="AO133" s="23"/>
      <c r="AP133" s="23"/>
      <c r="AQ133" s="23"/>
      <c r="AR133" s="23"/>
      <c r="AS133" s="23"/>
      <c r="AT133" s="23"/>
      <c r="AU133" s="23"/>
      <c r="AV133" s="23"/>
      <c r="AW133" s="23"/>
      <c r="AX133" s="23"/>
      <c r="AY133" s="23"/>
      <c r="AZ133" s="23"/>
    </row>
    <row r="134" spans="1:52" ht="20" customHeight="1" x14ac:dyDescent="0.2">
      <c r="A134" s="61"/>
      <c r="B134" s="84"/>
      <c r="C134" s="24" t="s">
        <v>85</v>
      </c>
      <c r="D134" s="23" t="s">
        <v>45</v>
      </c>
      <c r="E134" s="23" t="s">
        <v>46</v>
      </c>
      <c r="F134" s="24">
        <v>1998</v>
      </c>
      <c r="G134" s="24">
        <v>96</v>
      </c>
      <c r="H134" s="89">
        <v>61</v>
      </c>
      <c r="I134" s="85" t="s">
        <v>176</v>
      </c>
      <c r="J134" s="32" t="s">
        <v>188</v>
      </c>
      <c r="K134" s="106"/>
      <c r="L134" s="36" t="str">
        <f t="shared" si="80"/>
        <v/>
      </c>
      <c r="M134" s="33"/>
      <c r="N134" s="36" t="str">
        <f t="shared" si="81"/>
        <v/>
      </c>
      <c r="O134" s="33"/>
      <c r="P134" s="36" t="str">
        <f t="shared" si="82"/>
        <v/>
      </c>
      <c r="Q134" s="33"/>
      <c r="R134" s="36" t="str">
        <f t="shared" si="83"/>
        <v/>
      </c>
      <c r="S134" s="33"/>
      <c r="T134" s="36" t="str">
        <f t="shared" si="84"/>
        <v/>
      </c>
      <c r="U134" s="33"/>
      <c r="V134" s="36" t="str">
        <f t="shared" si="85"/>
        <v/>
      </c>
      <c r="W134" s="33"/>
      <c r="X134" s="36" t="str">
        <f t="shared" si="94"/>
        <v/>
      </c>
      <c r="Y134" s="33"/>
      <c r="Z134" s="36" t="str">
        <f t="shared" si="93"/>
        <v/>
      </c>
      <c r="AA134" s="33"/>
      <c r="AB134" s="36" t="str">
        <f t="shared" si="87"/>
        <v/>
      </c>
      <c r="AC134" s="33"/>
      <c r="AD134" s="36" t="str">
        <f t="shared" si="88"/>
        <v/>
      </c>
      <c r="AE134" s="33"/>
      <c r="AF134" s="36" t="str">
        <f t="shared" si="89"/>
        <v/>
      </c>
      <c r="AG134" s="23" t="s">
        <v>177</v>
      </c>
      <c r="AH134" s="23"/>
      <c r="AI134" s="23"/>
      <c r="AJ134" s="23"/>
      <c r="AK134" s="23"/>
      <c r="AL134" s="23"/>
      <c r="AM134" s="23"/>
      <c r="AN134" s="23"/>
      <c r="AO134" s="23"/>
      <c r="AP134" s="23"/>
      <c r="AQ134" s="23"/>
      <c r="AR134" s="23"/>
      <c r="AS134" s="23"/>
      <c r="AT134" s="23"/>
      <c r="AU134" s="23"/>
      <c r="AV134" s="23"/>
      <c r="AW134" s="23"/>
      <c r="AX134" s="23"/>
      <c r="AY134" s="23"/>
      <c r="AZ134" s="23"/>
    </row>
    <row r="135" spans="1:52" ht="20" customHeight="1" x14ac:dyDescent="0.2">
      <c r="A135" s="60"/>
      <c r="B135" s="82"/>
      <c r="C135" s="24" t="s">
        <v>85</v>
      </c>
      <c r="D135" s="23" t="s">
        <v>263</v>
      </c>
      <c r="E135" s="23" t="s">
        <v>264</v>
      </c>
      <c r="F135" s="24">
        <v>2000</v>
      </c>
      <c r="H135" s="89">
        <v>9</v>
      </c>
      <c r="I135" s="85" t="s">
        <v>218</v>
      </c>
      <c r="J135" s="32" t="s">
        <v>169</v>
      </c>
      <c r="K135" s="106"/>
      <c r="L135" s="36" t="str">
        <f t="shared" si="80"/>
        <v/>
      </c>
      <c r="M135" s="33"/>
      <c r="N135" s="36" t="str">
        <f t="shared" si="81"/>
        <v/>
      </c>
      <c r="O135" s="33"/>
      <c r="P135" s="36" t="str">
        <f t="shared" si="82"/>
        <v/>
      </c>
      <c r="Q135" s="33"/>
      <c r="R135" s="36" t="str">
        <f t="shared" si="83"/>
        <v/>
      </c>
      <c r="S135" s="33"/>
      <c r="T135" s="36" t="str">
        <f t="shared" si="84"/>
        <v/>
      </c>
      <c r="U135" s="33"/>
      <c r="V135" s="36" t="str">
        <f t="shared" si="85"/>
        <v/>
      </c>
      <c r="W135" s="33"/>
      <c r="X135" s="36" t="str">
        <f t="shared" si="94"/>
        <v/>
      </c>
      <c r="Y135" s="33"/>
      <c r="Z135" s="36" t="str">
        <f t="shared" si="93"/>
        <v/>
      </c>
      <c r="AA135" s="33"/>
      <c r="AB135" s="36" t="str">
        <f t="shared" si="87"/>
        <v/>
      </c>
      <c r="AC135" s="33"/>
      <c r="AD135" s="36" t="str">
        <f t="shared" si="88"/>
        <v/>
      </c>
      <c r="AE135" s="33"/>
      <c r="AF135" s="36" t="str">
        <f t="shared" si="89"/>
        <v/>
      </c>
      <c r="AG135" s="23" t="s">
        <v>339</v>
      </c>
      <c r="AH135" s="23"/>
      <c r="AI135" s="23"/>
      <c r="AJ135" s="23"/>
      <c r="AK135" s="23"/>
      <c r="AL135" s="23"/>
      <c r="AM135" s="23"/>
      <c r="AN135" s="23"/>
      <c r="AO135" s="23"/>
      <c r="AP135" s="23"/>
      <c r="AQ135" s="23"/>
      <c r="AR135" s="23"/>
      <c r="AS135" s="23"/>
      <c r="AT135" s="23"/>
      <c r="AU135" s="23"/>
      <c r="AV135" s="23"/>
      <c r="AW135" s="23"/>
      <c r="AX135" s="23"/>
      <c r="AY135" s="23"/>
      <c r="AZ135" s="23"/>
    </row>
    <row r="136" spans="1:52" ht="20" customHeight="1" x14ac:dyDescent="0.2">
      <c r="A136" s="60"/>
      <c r="B136" s="83"/>
      <c r="C136" s="24" t="s">
        <v>85</v>
      </c>
      <c r="D136" s="23" t="s">
        <v>265</v>
      </c>
      <c r="E136" s="23" t="s">
        <v>266</v>
      </c>
      <c r="F136" s="24">
        <v>2003</v>
      </c>
      <c r="H136" s="89">
        <v>10</v>
      </c>
      <c r="I136" s="85" t="s">
        <v>185</v>
      </c>
      <c r="J136" s="32" t="s">
        <v>190</v>
      </c>
      <c r="K136" s="106"/>
      <c r="L136" s="36" t="str">
        <f t="shared" si="80"/>
        <v/>
      </c>
      <c r="M136" s="33"/>
      <c r="N136" s="36" t="str">
        <f t="shared" si="81"/>
        <v/>
      </c>
      <c r="O136" s="33"/>
      <c r="P136" s="36" t="str">
        <f t="shared" si="82"/>
        <v/>
      </c>
      <c r="Q136" s="33"/>
      <c r="R136" s="36" t="str">
        <f t="shared" si="83"/>
        <v/>
      </c>
      <c r="S136" s="33"/>
      <c r="T136" s="36" t="str">
        <f t="shared" si="84"/>
        <v/>
      </c>
      <c r="U136" s="33"/>
      <c r="V136" s="36" t="str">
        <f t="shared" si="85"/>
        <v/>
      </c>
      <c r="W136" s="33"/>
      <c r="X136" s="36" t="str">
        <f t="shared" si="94"/>
        <v/>
      </c>
      <c r="Y136" s="33"/>
      <c r="Z136" s="36" t="str">
        <f t="shared" si="93"/>
        <v/>
      </c>
      <c r="AA136" s="33"/>
      <c r="AB136" s="36" t="str">
        <f t="shared" si="87"/>
        <v/>
      </c>
      <c r="AC136" s="33"/>
      <c r="AD136" s="36" t="str">
        <f t="shared" si="88"/>
        <v/>
      </c>
      <c r="AE136" s="33"/>
      <c r="AF136" s="36" t="str">
        <f t="shared" si="89"/>
        <v/>
      </c>
      <c r="AG136" s="23" t="s">
        <v>200</v>
      </c>
      <c r="AH136" s="23"/>
      <c r="AI136" s="23"/>
      <c r="AJ136" s="23"/>
      <c r="AK136" s="23"/>
      <c r="AL136" s="23"/>
      <c r="AM136" s="23"/>
      <c r="AN136" s="23"/>
      <c r="AO136" s="23"/>
      <c r="AP136" s="23"/>
      <c r="AQ136" s="23"/>
      <c r="AR136" s="23"/>
      <c r="AS136" s="23"/>
      <c r="AT136" s="23"/>
      <c r="AU136" s="23"/>
      <c r="AV136" s="23"/>
      <c r="AW136" s="23"/>
      <c r="AX136" s="23"/>
      <c r="AY136" s="23"/>
      <c r="AZ136" s="23"/>
    </row>
    <row r="137" spans="1:52" ht="20" customHeight="1" x14ac:dyDescent="0.2">
      <c r="A137" s="60"/>
      <c r="B137" s="82"/>
      <c r="C137" s="24" t="s">
        <v>85</v>
      </c>
      <c r="D137" s="23" t="s">
        <v>402</v>
      </c>
      <c r="E137" s="23" t="s">
        <v>403</v>
      </c>
      <c r="F137" s="24">
        <v>2013</v>
      </c>
      <c r="H137" s="89">
        <v>38</v>
      </c>
      <c r="I137" s="85" t="s">
        <v>404</v>
      </c>
      <c r="J137" s="32" t="s">
        <v>169</v>
      </c>
      <c r="K137" s="106">
        <v>37</v>
      </c>
      <c r="L137" s="36">
        <f t="shared" si="80"/>
        <v>97.368421052631575</v>
      </c>
      <c r="M137" s="33"/>
      <c r="N137" s="36" t="str">
        <f t="shared" si="81"/>
        <v/>
      </c>
      <c r="O137" s="33"/>
      <c r="P137" s="36" t="str">
        <f t="shared" si="82"/>
        <v/>
      </c>
      <c r="Q137" s="33"/>
      <c r="R137" s="36" t="str">
        <f t="shared" si="83"/>
        <v/>
      </c>
      <c r="S137" s="33"/>
      <c r="T137" s="36" t="str">
        <f t="shared" si="84"/>
        <v/>
      </c>
      <c r="U137" s="33"/>
      <c r="V137" s="36" t="str">
        <f t="shared" si="85"/>
        <v/>
      </c>
      <c r="W137" s="33"/>
      <c r="X137" s="36" t="str">
        <f>IF((ISERROR((W137/$H137)*100)), "", IF(AND(NOT(ISERROR((W137/$H137)*100)),((W137/$H137)*100) &lt;&gt; 0), (W137/$H137)*100, ""))</f>
        <v/>
      </c>
      <c r="Y137" s="33"/>
      <c r="Z137" s="36" t="str">
        <f t="shared" si="93"/>
        <v/>
      </c>
      <c r="AA137" s="33"/>
      <c r="AB137" s="36" t="str">
        <f t="shared" si="87"/>
        <v/>
      </c>
      <c r="AC137" s="33"/>
      <c r="AD137" s="36" t="str">
        <f t="shared" si="88"/>
        <v/>
      </c>
      <c r="AE137" s="33"/>
      <c r="AF137" s="36" t="str">
        <f t="shared" si="89"/>
        <v/>
      </c>
      <c r="AG137" s="23" t="s">
        <v>412</v>
      </c>
      <c r="AH137" s="23"/>
      <c r="AI137" s="23"/>
      <c r="AJ137" s="23"/>
      <c r="AK137" s="23"/>
      <c r="AL137" s="23"/>
      <c r="AM137" s="23"/>
      <c r="AN137" s="23"/>
      <c r="AO137" s="23"/>
      <c r="AP137" s="23"/>
      <c r="AQ137" s="23"/>
      <c r="AR137" s="23"/>
      <c r="AS137" s="23"/>
      <c r="AT137" s="23"/>
      <c r="AU137" s="23"/>
      <c r="AV137" s="23"/>
      <c r="AW137" s="23"/>
      <c r="AX137" s="23"/>
      <c r="AY137" s="23"/>
      <c r="AZ137" s="23"/>
    </row>
    <row r="138" spans="1:52" ht="20" customHeight="1" x14ac:dyDescent="0.2">
      <c r="A138" s="61"/>
      <c r="B138" s="83"/>
      <c r="C138" s="24" t="s">
        <v>85</v>
      </c>
      <c r="D138" s="23" t="s">
        <v>52</v>
      </c>
      <c r="E138" s="23" t="s">
        <v>53</v>
      </c>
      <c r="F138" s="24">
        <v>2001</v>
      </c>
      <c r="G138" s="24">
        <v>118</v>
      </c>
      <c r="H138" s="89">
        <v>20</v>
      </c>
      <c r="I138" s="85"/>
      <c r="J138" s="32" t="s">
        <v>188</v>
      </c>
      <c r="K138" s="106"/>
      <c r="L138" s="36" t="str">
        <f t="shared" si="80"/>
        <v/>
      </c>
      <c r="M138" s="33"/>
      <c r="N138" s="36" t="str">
        <f t="shared" si="81"/>
        <v/>
      </c>
      <c r="O138" s="33"/>
      <c r="P138" s="36" t="str">
        <f t="shared" si="82"/>
        <v/>
      </c>
      <c r="Q138" s="33"/>
      <c r="R138" s="36" t="str">
        <f t="shared" si="83"/>
        <v/>
      </c>
      <c r="S138" s="33"/>
      <c r="T138" s="36" t="str">
        <f t="shared" si="84"/>
        <v/>
      </c>
      <c r="U138" s="33"/>
      <c r="V138" s="36" t="str">
        <f t="shared" si="85"/>
        <v/>
      </c>
      <c r="W138" s="33"/>
      <c r="X138" s="36" t="str">
        <f>IF((ISERROR((W138/$H138)*100)), "", IF(AND(NOT(ISERROR((W138/$H138)*100)),((W138/$H138)*100) &lt;&gt; 0), (W138/$H138)*100, ""))</f>
        <v/>
      </c>
      <c r="Y138" s="33"/>
      <c r="Z138" s="36" t="str">
        <f t="shared" si="93"/>
        <v/>
      </c>
      <c r="AA138" s="33"/>
      <c r="AB138" s="36" t="str">
        <f t="shared" si="87"/>
        <v/>
      </c>
      <c r="AC138" s="33"/>
      <c r="AD138" s="36" t="str">
        <f t="shared" si="88"/>
        <v/>
      </c>
      <c r="AE138" s="33"/>
      <c r="AF138" s="36" t="str">
        <f t="shared" si="89"/>
        <v/>
      </c>
      <c r="AG138" s="23" t="s">
        <v>180</v>
      </c>
      <c r="AH138" s="23"/>
      <c r="AI138" s="23"/>
      <c r="AJ138" s="23"/>
      <c r="AK138" s="23"/>
      <c r="AL138" s="23"/>
      <c r="AM138" s="23"/>
      <c r="AN138" s="23"/>
      <c r="AO138" s="23"/>
      <c r="AP138" s="23"/>
      <c r="AQ138" s="23"/>
      <c r="AR138" s="23"/>
      <c r="AS138" s="23"/>
      <c r="AT138" s="23"/>
      <c r="AU138" s="23"/>
      <c r="AV138" s="23"/>
      <c r="AW138" s="23"/>
      <c r="AX138" s="23"/>
      <c r="AY138" s="23"/>
      <c r="AZ138" s="23"/>
    </row>
    <row r="139" spans="1:52" ht="20" customHeight="1" x14ac:dyDescent="0.2">
      <c r="A139" s="60"/>
      <c r="B139" s="82"/>
      <c r="C139" s="24" t="s">
        <v>85</v>
      </c>
      <c r="D139" s="23" t="s">
        <v>267</v>
      </c>
      <c r="E139" s="23" t="s">
        <v>268</v>
      </c>
      <c r="F139" s="24">
        <v>1994</v>
      </c>
      <c r="H139" s="89">
        <v>20</v>
      </c>
      <c r="I139" s="85" t="s">
        <v>340</v>
      </c>
      <c r="J139" s="32"/>
      <c r="K139" s="106"/>
      <c r="L139" s="36" t="str">
        <f t="shared" si="80"/>
        <v/>
      </c>
      <c r="M139" s="33"/>
      <c r="N139" s="36" t="str">
        <f t="shared" si="81"/>
        <v/>
      </c>
      <c r="O139" s="33"/>
      <c r="P139" s="36" t="str">
        <f t="shared" si="82"/>
        <v/>
      </c>
      <c r="Q139" s="33"/>
      <c r="R139" s="36" t="str">
        <f t="shared" si="83"/>
        <v/>
      </c>
      <c r="S139" s="33"/>
      <c r="T139" s="36" t="str">
        <f t="shared" si="84"/>
        <v/>
      </c>
      <c r="U139" s="33"/>
      <c r="V139" s="36" t="str">
        <f t="shared" si="85"/>
        <v/>
      </c>
      <c r="W139" s="33"/>
      <c r="X139" s="36" t="str">
        <f>IF((ISERROR((W139/$H139)*100)), "", IF(AND(NOT(ISERROR((W139/$H139)*100)),((W139/$H139)*100) &lt;&gt; 0), (W139/$H139)*100, ""))</f>
        <v/>
      </c>
      <c r="Y139" s="33"/>
      <c r="Z139" s="36" t="str">
        <f t="shared" si="93"/>
        <v/>
      </c>
      <c r="AA139" s="33"/>
      <c r="AB139" s="36" t="str">
        <f t="shared" si="87"/>
        <v/>
      </c>
      <c r="AC139" s="33"/>
      <c r="AD139" s="36" t="str">
        <f t="shared" si="88"/>
        <v/>
      </c>
      <c r="AE139" s="33"/>
      <c r="AF139" s="36" t="str">
        <f t="shared" si="89"/>
        <v/>
      </c>
      <c r="AG139" s="23" t="s">
        <v>405</v>
      </c>
      <c r="AH139" s="23"/>
      <c r="AI139" s="23"/>
      <c r="AJ139" s="23"/>
      <c r="AK139" s="23"/>
      <c r="AL139" s="23"/>
      <c r="AM139" s="23"/>
      <c r="AN139" s="23"/>
      <c r="AO139" s="23"/>
      <c r="AP139" s="23"/>
      <c r="AQ139" s="23"/>
      <c r="AR139" s="23"/>
      <c r="AS139" s="23"/>
      <c r="AT139" s="23"/>
      <c r="AU139" s="23"/>
      <c r="AV139" s="23"/>
      <c r="AW139" s="23"/>
      <c r="AX139" s="23"/>
      <c r="AY139" s="23"/>
      <c r="AZ139" s="23"/>
    </row>
    <row r="140" spans="1:52" ht="20" customHeight="1" x14ac:dyDescent="0.2">
      <c r="A140" s="60"/>
      <c r="B140" s="83"/>
      <c r="C140" s="24" t="s">
        <v>85</v>
      </c>
      <c r="D140" s="23" t="s">
        <v>341</v>
      </c>
      <c r="E140" s="23" t="s">
        <v>342</v>
      </c>
      <c r="F140" s="24">
        <v>2008</v>
      </c>
      <c r="H140" s="89">
        <v>16</v>
      </c>
      <c r="I140" s="85" t="s">
        <v>176</v>
      </c>
      <c r="J140" s="32" t="s">
        <v>343</v>
      </c>
      <c r="K140" s="106"/>
      <c r="L140" s="36" t="str">
        <f t="shared" si="80"/>
        <v/>
      </c>
      <c r="M140" s="33"/>
      <c r="N140" s="36" t="str">
        <f t="shared" si="81"/>
        <v/>
      </c>
      <c r="O140" s="33"/>
      <c r="P140" s="36" t="str">
        <f t="shared" si="82"/>
        <v/>
      </c>
      <c r="Q140" s="33"/>
      <c r="R140" s="36" t="str">
        <f t="shared" si="83"/>
        <v/>
      </c>
      <c r="S140" s="33"/>
      <c r="T140" s="36" t="str">
        <f t="shared" si="84"/>
        <v/>
      </c>
      <c r="U140" s="33"/>
      <c r="V140" s="36" t="str">
        <f t="shared" si="85"/>
        <v/>
      </c>
      <c r="W140" s="33"/>
      <c r="X140" s="36" t="str">
        <f>IF((ISERROR((W140/$H140)*100)), "", IF(AND(NOT(ISERROR((W140/$H140)*100)),((W140/$H140)*100) &lt;&gt; 0), (W140/$H140)*100, ""))</f>
        <v/>
      </c>
      <c r="Y140" s="33"/>
      <c r="Z140" s="36" t="str">
        <f t="shared" ref="Z140:Z155" si="95">IF((ISERROR((Y140/$H140)*100)), "", IF(AND(NOT(ISERROR((Y140/$H140)*100)),((Y140/$H140)*100) &lt;&gt; 0), (Y140/$H140)*100, ""))</f>
        <v/>
      </c>
      <c r="AA140" s="33"/>
      <c r="AB140" s="36" t="str">
        <f t="shared" si="87"/>
        <v/>
      </c>
      <c r="AC140" s="33"/>
      <c r="AD140" s="36" t="str">
        <f t="shared" si="88"/>
        <v/>
      </c>
      <c r="AE140" s="33"/>
      <c r="AF140" s="36" t="str">
        <f t="shared" si="89"/>
        <v/>
      </c>
      <c r="AG140" s="23" t="s">
        <v>413</v>
      </c>
      <c r="AH140" s="23"/>
      <c r="AI140" s="23"/>
      <c r="AJ140" s="23"/>
      <c r="AK140" s="23"/>
      <c r="AL140" s="23"/>
      <c r="AM140" s="23"/>
      <c r="AN140" s="23"/>
      <c r="AO140" s="23"/>
      <c r="AP140" s="23"/>
      <c r="AQ140" s="23"/>
      <c r="AR140" s="23"/>
      <c r="AS140" s="23"/>
      <c r="AT140" s="23"/>
      <c r="AU140" s="23"/>
      <c r="AV140" s="23"/>
      <c r="AW140" s="23"/>
      <c r="AX140" s="23"/>
      <c r="AY140" s="23"/>
      <c r="AZ140" s="23"/>
    </row>
    <row r="141" spans="1:52" ht="20" customHeight="1" x14ac:dyDescent="0.2">
      <c r="A141" s="60"/>
      <c r="B141" s="82"/>
      <c r="C141" s="24" t="s">
        <v>85</v>
      </c>
      <c r="D141" s="23" t="s">
        <v>54</v>
      </c>
      <c r="E141" s="23" t="s">
        <v>55</v>
      </c>
      <c r="F141" s="24">
        <v>1996</v>
      </c>
      <c r="G141" s="24">
        <v>82</v>
      </c>
      <c r="H141" s="89">
        <v>15</v>
      </c>
      <c r="I141" s="85" t="s">
        <v>176</v>
      </c>
      <c r="J141" s="32" t="s">
        <v>178</v>
      </c>
      <c r="K141" s="106"/>
      <c r="L141" s="36" t="str">
        <f t="shared" si="80"/>
        <v/>
      </c>
      <c r="M141" s="33">
        <v>3</v>
      </c>
      <c r="N141" s="36">
        <f t="shared" si="81"/>
        <v>20</v>
      </c>
      <c r="O141" s="33">
        <v>1</v>
      </c>
      <c r="P141" s="36">
        <f t="shared" si="82"/>
        <v>6.666666666666667</v>
      </c>
      <c r="Q141" s="33"/>
      <c r="R141" s="36" t="str">
        <f t="shared" si="83"/>
        <v/>
      </c>
      <c r="S141" s="33"/>
      <c r="T141" s="36" t="str">
        <f t="shared" si="84"/>
        <v/>
      </c>
      <c r="U141" s="33"/>
      <c r="V141" s="36" t="str">
        <f t="shared" si="85"/>
        <v/>
      </c>
      <c r="W141" s="33"/>
      <c r="X141" s="36" t="str">
        <f>IF((ISERROR((W141/$H141)*100)), "", IF(AND(NOT(ISERROR((W141/$H141)*100)),((W141/$H141)*100) &lt;&gt; 0), (W141/$H141)*100, ""))</f>
        <v/>
      </c>
      <c r="Y141" s="33"/>
      <c r="Z141" s="36" t="str">
        <f t="shared" si="95"/>
        <v/>
      </c>
      <c r="AA141" s="33"/>
      <c r="AB141" s="36" t="str">
        <f t="shared" si="87"/>
        <v/>
      </c>
      <c r="AC141" s="33"/>
      <c r="AD141" s="36" t="str">
        <f t="shared" si="88"/>
        <v/>
      </c>
      <c r="AE141" s="33"/>
      <c r="AF141" s="36" t="str">
        <f t="shared" si="89"/>
        <v/>
      </c>
      <c r="AG141" s="23" t="s">
        <v>344</v>
      </c>
      <c r="AH141" s="23"/>
      <c r="AI141" s="23"/>
      <c r="AJ141" s="23"/>
      <c r="AK141" s="23"/>
      <c r="AL141" s="23"/>
      <c r="AM141" s="23"/>
      <c r="AN141" s="23"/>
      <c r="AO141" s="23"/>
      <c r="AP141" s="23"/>
      <c r="AQ141" s="23"/>
      <c r="AR141" s="23"/>
      <c r="AS141" s="23"/>
      <c r="AT141" s="23"/>
      <c r="AU141" s="23"/>
      <c r="AV141" s="23"/>
      <c r="AW141" s="23"/>
      <c r="AX141" s="23"/>
      <c r="AY141" s="23"/>
      <c r="AZ141" s="23"/>
    </row>
    <row r="142" spans="1:52" ht="20" customHeight="1" x14ac:dyDescent="0.2">
      <c r="A142" s="60"/>
      <c r="B142" s="83"/>
      <c r="C142" s="24" t="s">
        <v>85</v>
      </c>
      <c r="D142" s="23" t="s">
        <v>269</v>
      </c>
      <c r="E142" s="23" t="s">
        <v>270</v>
      </c>
      <c r="F142" s="24">
        <v>2016</v>
      </c>
      <c r="H142" s="89">
        <v>49</v>
      </c>
      <c r="I142" s="85" t="s">
        <v>345</v>
      </c>
      <c r="J142" s="32" t="s">
        <v>193</v>
      </c>
      <c r="K142" s="106"/>
      <c r="L142" s="36" t="str">
        <f t="shared" si="80"/>
        <v/>
      </c>
      <c r="M142" s="33"/>
      <c r="N142" s="36" t="str">
        <f t="shared" si="81"/>
        <v/>
      </c>
      <c r="O142" s="33"/>
      <c r="P142" s="36" t="str">
        <f t="shared" si="82"/>
        <v/>
      </c>
      <c r="Q142" s="33"/>
      <c r="R142" s="36" t="str">
        <f t="shared" si="83"/>
        <v/>
      </c>
      <c r="S142" s="33"/>
      <c r="T142" s="36" t="str">
        <f t="shared" si="84"/>
        <v/>
      </c>
      <c r="U142" s="33"/>
      <c r="V142" s="36" t="str">
        <f t="shared" si="85"/>
        <v/>
      </c>
      <c r="W142" s="33"/>
      <c r="X142" s="36" t="str">
        <f t="shared" ref="X142:X147" si="96">IF((ISERROR((W142/$H142)*100)), "", IF(AND(NOT(ISERROR((W142/$H142)*100)),((W142/$H142)*100) &lt;&gt; 0), (W142/$H142)*100, ""))</f>
        <v/>
      </c>
      <c r="Y142" s="33"/>
      <c r="Z142" s="36" t="str">
        <f t="shared" si="95"/>
        <v/>
      </c>
      <c r="AA142" s="33"/>
      <c r="AB142" s="36" t="str">
        <f t="shared" si="87"/>
        <v/>
      </c>
      <c r="AC142" s="33"/>
      <c r="AD142" s="36" t="str">
        <f t="shared" si="88"/>
        <v/>
      </c>
      <c r="AE142" s="33"/>
      <c r="AF142" s="36" t="str">
        <f t="shared" si="89"/>
        <v/>
      </c>
      <c r="AG142" s="23" t="s">
        <v>346</v>
      </c>
      <c r="AH142" s="23"/>
      <c r="AI142" s="23"/>
      <c r="AJ142" s="23"/>
      <c r="AK142" s="23"/>
      <c r="AL142" s="23"/>
      <c r="AM142" s="23"/>
      <c r="AN142" s="23"/>
      <c r="AO142" s="23"/>
      <c r="AP142" s="23"/>
      <c r="AQ142" s="23"/>
      <c r="AR142" s="23"/>
      <c r="AS142" s="23"/>
      <c r="AT142" s="23"/>
      <c r="AU142" s="23"/>
      <c r="AV142" s="23"/>
      <c r="AW142" s="23"/>
      <c r="AX142" s="23"/>
      <c r="AY142" s="23"/>
      <c r="AZ142" s="23"/>
    </row>
    <row r="143" spans="1:52" ht="20" customHeight="1" x14ac:dyDescent="0.2">
      <c r="A143" s="61"/>
      <c r="B143" s="83"/>
      <c r="C143" s="24" t="s">
        <v>85</v>
      </c>
      <c r="D143" s="23" t="s">
        <v>86</v>
      </c>
      <c r="E143" s="23" t="s">
        <v>56</v>
      </c>
      <c r="F143" s="24">
        <v>2014</v>
      </c>
      <c r="G143" s="24">
        <v>41</v>
      </c>
      <c r="H143" s="89">
        <v>20</v>
      </c>
      <c r="I143" s="85" t="s">
        <v>179</v>
      </c>
      <c r="J143" s="32"/>
      <c r="K143" s="106"/>
      <c r="L143" s="36" t="str">
        <f t="shared" si="80"/>
        <v/>
      </c>
      <c r="M143" s="33"/>
      <c r="N143" s="36" t="str">
        <f t="shared" si="81"/>
        <v/>
      </c>
      <c r="O143" s="33"/>
      <c r="P143" s="36" t="str">
        <f t="shared" si="82"/>
        <v/>
      </c>
      <c r="Q143" s="33"/>
      <c r="R143" s="36" t="str">
        <f t="shared" si="83"/>
        <v/>
      </c>
      <c r="S143" s="33"/>
      <c r="T143" s="36" t="str">
        <f t="shared" si="84"/>
        <v/>
      </c>
      <c r="U143" s="33"/>
      <c r="V143" s="36" t="str">
        <f t="shared" si="85"/>
        <v/>
      </c>
      <c r="W143" s="33"/>
      <c r="X143" s="36" t="str">
        <f t="shared" si="96"/>
        <v/>
      </c>
      <c r="Y143" s="33"/>
      <c r="Z143" s="36" t="str">
        <f t="shared" si="95"/>
        <v/>
      </c>
      <c r="AA143" s="33"/>
      <c r="AB143" s="36" t="str">
        <f t="shared" si="87"/>
        <v/>
      </c>
      <c r="AC143" s="33"/>
      <c r="AD143" s="36" t="str">
        <f t="shared" si="88"/>
        <v/>
      </c>
      <c r="AE143" s="33"/>
      <c r="AF143" s="36" t="str">
        <f t="shared" si="89"/>
        <v/>
      </c>
      <c r="AG143" s="23" t="s">
        <v>347</v>
      </c>
      <c r="AH143" s="23"/>
      <c r="AI143" s="23"/>
      <c r="AJ143" s="23"/>
      <c r="AK143" s="23"/>
      <c r="AL143" s="23"/>
      <c r="AM143" s="23"/>
      <c r="AN143" s="23"/>
      <c r="AO143" s="23"/>
      <c r="AP143" s="23"/>
      <c r="AQ143" s="23"/>
      <c r="AR143" s="23"/>
      <c r="AS143" s="23"/>
      <c r="AT143" s="23"/>
      <c r="AU143" s="23"/>
      <c r="AV143" s="23"/>
      <c r="AW143" s="23"/>
      <c r="AX143" s="23"/>
      <c r="AY143" s="23"/>
      <c r="AZ143" s="23"/>
    </row>
    <row r="144" spans="1:52" ht="20" customHeight="1" x14ac:dyDescent="0.2">
      <c r="A144" s="61"/>
      <c r="B144" s="84"/>
      <c r="C144" s="24" t="s">
        <v>85</v>
      </c>
      <c r="D144" s="23" t="s">
        <v>57</v>
      </c>
      <c r="E144" s="23" t="s">
        <v>58</v>
      </c>
      <c r="F144" s="24">
        <v>2006</v>
      </c>
      <c r="G144" s="24">
        <v>132</v>
      </c>
      <c r="H144" s="89">
        <v>7</v>
      </c>
      <c r="I144" s="85" t="s">
        <v>176</v>
      </c>
      <c r="J144" s="86" t="s">
        <v>169</v>
      </c>
      <c r="K144" s="106"/>
      <c r="L144" s="36" t="str">
        <f t="shared" si="80"/>
        <v/>
      </c>
      <c r="M144" s="33"/>
      <c r="N144" s="36" t="str">
        <f t="shared" si="81"/>
        <v/>
      </c>
      <c r="O144" s="33"/>
      <c r="P144" s="36" t="str">
        <f t="shared" si="82"/>
        <v/>
      </c>
      <c r="Q144" s="33"/>
      <c r="R144" s="36" t="str">
        <f t="shared" si="83"/>
        <v/>
      </c>
      <c r="S144" s="33"/>
      <c r="T144" s="36" t="str">
        <f t="shared" si="84"/>
        <v/>
      </c>
      <c r="U144" s="33"/>
      <c r="V144" s="36" t="str">
        <f t="shared" si="85"/>
        <v/>
      </c>
      <c r="W144" s="33"/>
      <c r="X144" s="36" t="str">
        <f>IF((ISERROR((W144/$H144)*100)), "", IF(AND(NOT(ISERROR((W144/$H144)*100)),((W144/$H144)*100) &lt;&gt; 0), (W144/$H144)*100, ""))</f>
        <v/>
      </c>
      <c r="Y144" s="33"/>
      <c r="Z144" s="36" t="str">
        <f t="shared" si="95"/>
        <v/>
      </c>
      <c r="AA144" s="33"/>
      <c r="AB144" s="36" t="str">
        <f t="shared" si="87"/>
        <v/>
      </c>
      <c r="AC144" s="33"/>
      <c r="AD144" s="36" t="str">
        <f t="shared" si="88"/>
        <v/>
      </c>
      <c r="AE144" s="33"/>
      <c r="AF144" s="36" t="str">
        <f t="shared" si="89"/>
        <v/>
      </c>
      <c r="AG144" s="23" t="s">
        <v>348</v>
      </c>
      <c r="AH144" s="23"/>
      <c r="AI144" s="23"/>
      <c r="AJ144" s="23"/>
      <c r="AK144" s="23"/>
      <c r="AL144" s="23"/>
      <c r="AM144" s="23"/>
      <c r="AN144" s="23"/>
      <c r="AO144" s="23"/>
      <c r="AP144" s="23"/>
      <c r="AQ144" s="23"/>
      <c r="AR144" s="23"/>
      <c r="AS144" s="23"/>
      <c r="AT144" s="23"/>
      <c r="AU144" s="23"/>
      <c r="AV144" s="23"/>
      <c r="AW144" s="23"/>
      <c r="AX144" s="23"/>
      <c r="AY144" s="23"/>
      <c r="AZ144" s="23"/>
    </row>
    <row r="145" spans="1:52" ht="20" customHeight="1" x14ac:dyDescent="0.2">
      <c r="A145" s="60"/>
      <c r="B145" s="83"/>
      <c r="C145" s="24" t="s">
        <v>85</v>
      </c>
      <c r="D145" s="23" t="s">
        <v>59</v>
      </c>
      <c r="E145" s="23" t="s">
        <v>60</v>
      </c>
      <c r="F145" s="24">
        <v>2009</v>
      </c>
      <c r="G145" s="24">
        <v>49</v>
      </c>
      <c r="H145" s="89">
        <v>22</v>
      </c>
      <c r="I145" s="85" t="s">
        <v>176</v>
      </c>
      <c r="J145" s="32" t="s">
        <v>189</v>
      </c>
      <c r="K145" s="106"/>
      <c r="L145" s="36" t="str">
        <f t="shared" si="80"/>
        <v/>
      </c>
      <c r="M145" s="33"/>
      <c r="N145" s="36" t="str">
        <f t="shared" si="81"/>
        <v/>
      </c>
      <c r="O145" s="33"/>
      <c r="P145" s="36" t="str">
        <f t="shared" si="82"/>
        <v/>
      </c>
      <c r="Q145" s="33"/>
      <c r="R145" s="36" t="str">
        <f t="shared" si="83"/>
        <v/>
      </c>
      <c r="S145" s="33"/>
      <c r="T145" s="36" t="str">
        <f t="shared" si="84"/>
        <v/>
      </c>
      <c r="U145" s="33"/>
      <c r="V145" s="36" t="str">
        <f t="shared" si="85"/>
        <v/>
      </c>
      <c r="W145" s="33"/>
      <c r="X145" s="36" t="str">
        <f>IF((ISERROR((W145/$H145)*100)), "", IF(AND(NOT(ISERROR((W145/$H145)*100)),((W145/$H145)*100) &lt;&gt; 0), (W145/$H145)*100, ""))</f>
        <v/>
      </c>
      <c r="Y145" s="33"/>
      <c r="Z145" s="36" t="str">
        <f t="shared" si="95"/>
        <v/>
      </c>
      <c r="AA145" s="33"/>
      <c r="AB145" s="36" t="str">
        <f t="shared" si="87"/>
        <v/>
      </c>
      <c r="AC145" s="33"/>
      <c r="AD145" s="36" t="str">
        <f t="shared" si="88"/>
        <v/>
      </c>
      <c r="AE145" s="33"/>
      <c r="AF145" s="36" t="str">
        <f t="shared" si="89"/>
        <v/>
      </c>
      <c r="AG145" s="23" t="s">
        <v>406</v>
      </c>
      <c r="AH145" s="23"/>
      <c r="AI145" s="23"/>
      <c r="AJ145" s="23"/>
      <c r="AK145" s="23"/>
      <c r="AL145" s="23"/>
      <c r="AM145" s="23"/>
      <c r="AN145" s="23"/>
      <c r="AO145" s="23"/>
      <c r="AP145" s="23"/>
      <c r="AQ145" s="23"/>
      <c r="AR145" s="23"/>
      <c r="AS145" s="23"/>
      <c r="AT145" s="23"/>
      <c r="AU145" s="23"/>
      <c r="AV145" s="23"/>
      <c r="AW145" s="23"/>
      <c r="AX145" s="23"/>
      <c r="AY145" s="23"/>
      <c r="AZ145" s="23"/>
    </row>
    <row r="146" spans="1:52" ht="20" customHeight="1" x14ac:dyDescent="0.2">
      <c r="A146" s="61"/>
      <c r="B146" s="83"/>
      <c r="C146" s="24" t="s">
        <v>85</v>
      </c>
      <c r="D146" s="23" t="s">
        <v>61</v>
      </c>
      <c r="E146" s="23" t="s">
        <v>62</v>
      </c>
      <c r="F146" s="24">
        <v>2006</v>
      </c>
      <c r="G146" s="24">
        <v>144</v>
      </c>
      <c r="H146" s="89">
        <v>25</v>
      </c>
      <c r="I146" s="85"/>
      <c r="J146" s="32" t="s">
        <v>190</v>
      </c>
      <c r="K146" s="106"/>
      <c r="L146" s="36" t="str">
        <f t="shared" si="80"/>
        <v/>
      </c>
      <c r="M146" s="33"/>
      <c r="N146" s="36" t="str">
        <f t="shared" si="81"/>
        <v/>
      </c>
      <c r="O146" s="33"/>
      <c r="P146" s="36" t="str">
        <f t="shared" si="82"/>
        <v/>
      </c>
      <c r="Q146" s="33"/>
      <c r="R146" s="36" t="str">
        <f t="shared" si="83"/>
        <v/>
      </c>
      <c r="S146" s="33"/>
      <c r="T146" s="36" t="str">
        <f t="shared" si="84"/>
        <v/>
      </c>
      <c r="U146" s="33"/>
      <c r="V146" s="36" t="str">
        <f t="shared" si="85"/>
        <v/>
      </c>
      <c r="W146" s="33"/>
      <c r="X146" s="36" t="str">
        <f t="shared" si="96"/>
        <v/>
      </c>
      <c r="Y146" s="33"/>
      <c r="Z146" s="36" t="str">
        <f t="shared" si="95"/>
        <v/>
      </c>
      <c r="AA146" s="33"/>
      <c r="AB146" s="36" t="str">
        <f t="shared" si="87"/>
        <v/>
      </c>
      <c r="AC146" s="33"/>
      <c r="AD146" s="36" t="str">
        <f t="shared" si="88"/>
        <v/>
      </c>
      <c r="AE146" s="33"/>
      <c r="AF146" s="36" t="str">
        <f t="shared" si="89"/>
        <v/>
      </c>
      <c r="AG146" s="23" t="s">
        <v>181</v>
      </c>
      <c r="AH146" s="23"/>
      <c r="AI146" s="23"/>
      <c r="AJ146" s="23"/>
      <c r="AK146" s="23"/>
      <c r="AL146" s="23"/>
      <c r="AM146" s="23"/>
      <c r="AN146" s="23"/>
      <c r="AO146" s="23"/>
      <c r="AP146" s="23"/>
      <c r="AQ146" s="23"/>
      <c r="AR146" s="23"/>
      <c r="AS146" s="23"/>
      <c r="AT146" s="23"/>
      <c r="AU146" s="23"/>
      <c r="AV146" s="23"/>
      <c r="AW146" s="23"/>
      <c r="AX146" s="23"/>
      <c r="AY146" s="23"/>
      <c r="AZ146" s="23"/>
    </row>
    <row r="147" spans="1:52" ht="20" customHeight="1" x14ac:dyDescent="0.2">
      <c r="A147" s="61"/>
      <c r="B147" s="24"/>
      <c r="D147" s="23" t="s">
        <v>271</v>
      </c>
      <c r="E147" s="23" t="s">
        <v>272</v>
      </c>
      <c r="F147" s="24">
        <v>2004</v>
      </c>
      <c r="H147" s="89"/>
      <c r="I147" s="85"/>
      <c r="J147" s="32"/>
      <c r="K147" s="106"/>
      <c r="L147" s="36" t="str">
        <f t="shared" si="80"/>
        <v/>
      </c>
      <c r="M147" s="33"/>
      <c r="N147" s="36" t="str">
        <f t="shared" si="81"/>
        <v/>
      </c>
      <c r="O147" s="33"/>
      <c r="P147" s="36" t="str">
        <f t="shared" si="82"/>
        <v/>
      </c>
      <c r="Q147" s="33"/>
      <c r="R147" s="36" t="str">
        <f t="shared" si="83"/>
        <v/>
      </c>
      <c r="S147" s="33"/>
      <c r="T147" s="36" t="str">
        <f t="shared" si="84"/>
        <v/>
      </c>
      <c r="U147" s="33"/>
      <c r="V147" s="36" t="str">
        <f t="shared" si="85"/>
        <v/>
      </c>
      <c r="W147" s="33"/>
      <c r="X147" s="36" t="str">
        <f t="shared" si="96"/>
        <v/>
      </c>
      <c r="Y147" s="33"/>
      <c r="Z147" s="36" t="str">
        <f t="shared" si="95"/>
        <v/>
      </c>
      <c r="AA147" s="33"/>
      <c r="AB147" s="36" t="str">
        <f t="shared" si="87"/>
        <v/>
      </c>
      <c r="AC147" s="33"/>
      <c r="AD147" s="36" t="str">
        <f t="shared" si="88"/>
        <v/>
      </c>
      <c r="AE147" s="33"/>
      <c r="AF147" s="36" t="str">
        <f t="shared" si="89"/>
        <v/>
      </c>
      <c r="AG147" s="23"/>
      <c r="AH147" s="23"/>
      <c r="AI147" s="23"/>
      <c r="AJ147" s="23"/>
      <c r="AK147" s="23"/>
      <c r="AL147" s="23"/>
      <c r="AM147" s="23"/>
      <c r="AN147" s="23"/>
      <c r="AO147" s="23"/>
      <c r="AP147" s="23"/>
      <c r="AQ147" s="23"/>
      <c r="AR147" s="23"/>
      <c r="AS147" s="23"/>
      <c r="AT147" s="23"/>
      <c r="AU147" s="23"/>
      <c r="AV147" s="23"/>
      <c r="AW147" s="23"/>
      <c r="AX147" s="23"/>
      <c r="AY147" s="23"/>
      <c r="AZ147" s="23"/>
    </row>
    <row r="148" spans="1:52" ht="20" customHeight="1" x14ac:dyDescent="0.2">
      <c r="A148" s="60"/>
      <c r="B148" s="82"/>
      <c r="C148" s="24" t="s">
        <v>85</v>
      </c>
      <c r="D148" s="23" t="s">
        <v>273</v>
      </c>
      <c r="E148" s="23" t="s">
        <v>274</v>
      </c>
      <c r="F148" s="24">
        <v>2014</v>
      </c>
      <c r="H148" s="89">
        <v>39</v>
      </c>
      <c r="I148" s="85" t="s">
        <v>407</v>
      </c>
      <c r="J148" s="32" t="s">
        <v>343</v>
      </c>
      <c r="K148" s="106"/>
      <c r="L148" s="36" t="str">
        <f t="shared" si="80"/>
        <v/>
      </c>
      <c r="M148" s="33"/>
      <c r="N148" s="36" t="str">
        <f t="shared" si="81"/>
        <v/>
      </c>
      <c r="O148" s="33"/>
      <c r="P148" s="36" t="str">
        <f t="shared" si="82"/>
        <v/>
      </c>
      <c r="Q148" s="33"/>
      <c r="R148" s="36" t="str">
        <f t="shared" si="83"/>
        <v/>
      </c>
      <c r="S148" s="33"/>
      <c r="T148" s="36" t="str">
        <f t="shared" si="84"/>
        <v/>
      </c>
      <c r="U148" s="33">
        <v>8</v>
      </c>
      <c r="V148" s="36">
        <f t="shared" si="85"/>
        <v>20.512820512820511</v>
      </c>
      <c r="W148" s="33"/>
      <c r="X148" s="36" t="str">
        <f t="shared" ref="X148:X153" si="97">IF((ISERROR((W148/$H148)*100)), "", IF(AND(NOT(ISERROR((W148/$H148)*100)),((W148/$H148)*100) &lt;&gt; 0), (W148/$H148)*100, ""))</f>
        <v/>
      </c>
      <c r="Y148" s="33">
        <v>3</v>
      </c>
      <c r="Z148" s="36">
        <f t="shared" si="95"/>
        <v>7.6923076923076925</v>
      </c>
      <c r="AA148" s="33"/>
      <c r="AB148" s="36" t="str">
        <f t="shared" si="87"/>
        <v/>
      </c>
      <c r="AC148" s="33"/>
      <c r="AD148" s="36" t="str">
        <f t="shared" si="88"/>
        <v/>
      </c>
      <c r="AE148" s="33"/>
      <c r="AF148" s="36" t="str">
        <f t="shared" si="89"/>
        <v/>
      </c>
      <c r="AG148" s="23" t="s">
        <v>349</v>
      </c>
      <c r="AH148" s="23"/>
      <c r="AI148" s="23"/>
      <c r="AJ148" s="23"/>
      <c r="AK148" s="23"/>
      <c r="AL148" s="23"/>
      <c r="AM148" s="23"/>
      <c r="AN148" s="23"/>
      <c r="AO148" s="23"/>
      <c r="AP148" s="23"/>
      <c r="AQ148" s="23"/>
      <c r="AR148" s="23"/>
      <c r="AS148" s="23"/>
      <c r="AT148" s="23"/>
      <c r="AU148" s="23"/>
      <c r="AV148" s="23"/>
      <c r="AW148" s="23"/>
      <c r="AX148" s="23"/>
      <c r="AY148" s="23"/>
      <c r="AZ148" s="23"/>
    </row>
    <row r="149" spans="1:52" ht="20" customHeight="1" x14ac:dyDescent="0.2">
      <c r="A149" s="60"/>
      <c r="B149" s="24"/>
      <c r="C149" s="24" t="s">
        <v>85</v>
      </c>
      <c r="D149" s="23" t="s">
        <v>275</v>
      </c>
      <c r="E149" s="23" t="s">
        <v>276</v>
      </c>
      <c r="F149" s="24">
        <v>2015</v>
      </c>
      <c r="H149" s="89">
        <v>8</v>
      </c>
      <c r="I149" s="85" t="s">
        <v>214</v>
      </c>
      <c r="J149" s="32" t="s">
        <v>350</v>
      </c>
      <c r="K149" s="106"/>
      <c r="L149" s="36" t="str">
        <f t="shared" si="80"/>
        <v/>
      </c>
      <c r="M149" s="33"/>
      <c r="N149" s="36" t="str">
        <f t="shared" si="81"/>
        <v/>
      </c>
      <c r="O149" s="33"/>
      <c r="P149" s="36" t="str">
        <f t="shared" si="82"/>
        <v/>
      </c>
      <c r="Q149" s="33"/>
      <c r="R149" s="36" t="str">
        <f t="shared" si="83"/>
        <v/>
      </c>
      <c r="S149" s="33"/>
      <c r="T149" s="36" t="str">
        <f t="shared" si="84"/>
        <v/>
      </c>
      <c r="U149" s="33"/>
      <c r="V149" s="36" t="str">
        <f t="shared" si="85"/>
        <v/>
      </c>
      <c r="W149" s="33"/>
      <c r="X149" s="36" t="str">
        <f t="shared" si="97"/>
        <v/>
      </c>
      <c r="Y149" s="33"/>
      <c r="Z149" s="36" t="str">
        <f t="shared" si="95"/>
        <v/>
      </c>
      <c r="AA149" s="33"/>
      <c r="AB149" s="36" t="str">
        <f t="shared" si="87"/>
        <v/>
      </c>
      <c r="AC149" s="33"/>
      <c r="AD149" s="36" t="str">
        <f t="shared" si="88"/>
        <v/>
      </c>
      <c r="AE149" s="33"/>
      <c r="AF149" s="36" t="str">
        <f t="shared" si="89"/>
        <v/>
      </c>
      <c r="AG149" s="23" t="s">
        <v>408</v>
      </c>
      <c r="AH149" s="23"/>
      <c r="AI149" s="23"/>
      <c r="AJ149" s="23"/>
      <c r="AK149" s="23"/>
      <c r="AL149" s="23"/>
      <c r="AM149" s="23"/>
      <c r="AN149" s="23"/>
      <c r="AO149" s="23"/>
      <c r="AP149" s="23"/>
      <c r="AQ149" s="23"/>
      <c r="AR149" s="23"/>
      <c r="AS149" s="23"/>
      <c r="AT149" s="23"/>
      <c r="AU149" s="23"/>
      <c r="AV149" s="23"/>
      <c r="AW149" s="23"/>
      <c r="AX149" s="23"/>
      <c r="AY149" s="23"/>
      <c r="AZ149" s="23"/>
    </row>
    <row r="150" spans="1:52" ht="20" customHeight="1" x14ac:dyDescent="0.2">
      <c r="A150" s="61"/>
      <c r="B150" s="82"/>
      <c r="C150" s="24" t="s">
        <v>85</v>
      </c>
      <c r="D150" s="23" t="s">
        <v>277</v>
      </c>
      <c r="E150" s="23" t="s">
        <v>278</v>
      </c>
      <c r="F150" s="24">
        <v>2001</v>
      </c>
      <c r="H150" s="89">
        <v>9</v>
      </c>
      <c r="I150" s="85"/>
      <c r="J150" s="32" t="s">
        <v>351</v>
      </c>
      <c r="K150" s="106"/>
      <c r="L150" s="36" t="str">
        <f t="shared" si="80"/>
        <v/>
      </c>
      <c r="M150" s="33"/>
      <c r="N150" s="36" t="str">
        <f t="shared" si="81"/>
        <v/>
      </c>
      <c r="O150" s="33"/>
      <c r="P150" s="36" t="str">
        <f t="shared" si="82"/>
        <v/>
      </c>
      <c r="Q150" s="33"/>
      <c r="R150" s="36" t="str">
        <f t="shared" si="83"/>
        <v/>
      </c>
      <c r="S150" s="33"/>
      <c r="T150" s="36" t="str">
        <f t="shared" si="84"/>
        <v/>
      </c>
      <c r="U150" s="33"/>
      <c r="V150" s="36" t="str">
        <f t="shared" si="85"/>
        <v/>
      </c>
      <c r="W150" s="33"/>
      <c r="X150" s="36" t="str">
        <f t="shared" si="97"/>
        <v/>
      </c>
      <c r="Y150" s="33"/>
      <c r="Z150" s="36" t="str">
        <f t="shared" si="95"/>
        <v/>
      </c>
      <c r="AA150" s="33"/>
      <c r="AB150" s="36" t="str">
        <f t="shared" si="87"/>
        <v/>
      </c>
      <c r="AC150" s="33"/>
      <c r="AD150" s="36" t="str">
        <f t="shared" si="88"/>
        <v/>
      </c>
      <c r="AE150" s="33"/>
      <c r="AF150" s="36" t="str">
        <f t="shared" si="89"/>
        <v/>
      </c>
      <c r="AG150" s="23" t="s">
        <v>352</v>
      </c>
      <c r="AH150" s="23"/>
      <c r="AI150" s="23"/>
      <c r="AJ150" s="23"/>
      <c r="AK150" s="23"/>
      <c r="AL150" s="23"/>
      <c r="AM150" s="23"/>
      <c r="AN150" s="23"/>
      <c r="AO150" s="23"/>
      <c r="AP150" s="23"/>
      <c r="AQ150" s="23"/>
      <c r="AR150" s="23"/>
      <c r="AS150" s="23"/>
      <c r="AT150" s="23"/>
      <c r="AU150" s="23"/>
      <c r="AV150" s="23"/>
      <c r="AW150" s="23"/>
      <c r="AX150" s="23"/>
      <c r="AY150" s="23"/>
      <c r="AZ150" s="23"/>
    </row>
    <row r="151" spans="1:52" ht="20" customHeight="1" x14ac:dyDescent="0.2">
      <c r="A151" s="60"/>
      <c r="B151" s="82"/>
      <c r="C151" s="24" t="s">
        <v>85</v>
      </c>
      <c r="D151" s="23" t="s">
        <v>63</v>
      </c>
      <c r="E151" s="23" t="s">
        <v>64</v>
      </c>
      <c r="F151" s="24">
        <v>2012</v>
      </c>
      <c r="G151" s="24">
        <v>83</v>
      </c>
      <c r="H151" s="89">
        <v>70</v>
      </c>
      <c r="I151" s="85" t="s">
        <v>182</v>
      </c>
      <c r="J151" s="32" t="s">
        <v>191</v>
      </c>
      <c r="K151" s="106">
        <v>1</v>
      </c>
      <c r="L151" s="36">
        <f t="shared" si="80"/>
        <v>1.4285714285714286</v>
      </c>
      <c r="M151" s="33">
        <v>10</v>
      </c>
      <c r="N151" s="36">
        <f t="shared" si="81"/>
        <v>14.285714285714285</v>
      </c>
      <c r="O151" s="33"/>
      <c r="P151" s="36" t="str">
        <f t="shared" si="82"/>
        <v/>
      </c>
      <c r="Q151" s="33"/>
      <c r="R151" s="36" t="str">
        <f t="shared" si="83"/>
        <v/>
      </c>
      <c r="S151" s="33"/>
      <c r="T151" s="36" t="str">
        <f t="shared" si="84"/>
        <v/>
      </c>
      <c r="U151" s="33">
        <v>1</v>
      </c>
      <c r="V151" s="36">
        <f t="shared" si="85"/>
        <v>1.4285714285714286</v>
      </c>
      <c r="W151" s="33"/>
      <c r="X151" s="36" t="str">
        <f t="shared" si="97"/>
        <v/>
      </c>
      <c r="Y151" s="33">
        <v>3</v>
      </c>
      <c r="Z151" s="36">
        <f t="shared" si="95"/>
        <v>4.2857142857142856</v>
      </c>
      <c r="AA151" s="33"/>
      <c r="AB151" s="36" t="str">
        <f t="shared" si="87"/>
        <v/>
      </c>
      <c r="AC151" s="33"/>
      <c r="AD151" s="36" t="str">
        <f t="shared" si="88"/>
        <v/>
      </c>
      <c r="AE151" s="33"/>
      <c r="AF151" s="36" t="str">
        <f t="shared" si="89"/>
        <v/>
      </c>
      <c r="AG151" s="23" t="s">
        <v>414</v>
      </c>
      <c r="AH151" s="23"/>
      <c r="AI151" s="23"/>
      <c r="AJ151" s="23"/>
      <c r="AK151" s="23"/>
      <c r="AL151" s="23"/>
      <c r="AM151" s="23"/>
      <c r="AN151" s="23"/>
      <c r="AO151" s="23"/>
      <c r="AP151" s="23"/>
      <c r="AQ151" s="23"/>
      <c r="AR151" s="23"/>
      <c r="AS151" s="23"/>
      <c r="AT151" s="23"/>
      <c r="AU151" s="23"/>
      <c r="AV151" s="23"/>
      <c r="AW151" s="23"/>
      <c r="AX151" s="23"/>
      <c r="AY151" s="23"/>
      <c r="AZ151" s="23"/>
    </row>
    <row r="152" spans="1:52" ht="20" customHeight="1" x14ac:dyDescent="0.2">
      <c r="A152" s="60"/>
      <c r="B152" s="84"/>
      <c r="C152" s="24" t="s">
        <v>85</v>
      </c>
      <c r="D152" s="23" t="s">
        <v>69</v>
      </c>
      <c r="E152" s="23" t="s">
        <v>70</v>
      </c>
      <c r="F152" s="24">
        <v>2004</v>
      </c>
      <c r="G152" s="24">
        <v>61</v>
      </c>
      <c r="H152" s="89">
        <v>15</v>
      </c>
      <c r="I152" s="85" t="s">
        <v>184</v>
      </c>
      <c r="J152" s="32" t="s">
        <v>192</v>
      </c>
      <c r="K152" s="106"/>
      <c r="L152" s="36" t="str">
        <f t="shared" si="80"/>
        <v/>
      </c>
      <c r="M152" s="33"/>
      <c r="N152" s="36" t="str">
        <f t="shared" si="81"/>
        <v/>
      </c>
      <c r="O152" s="33"/>
      <c r="P152" s="36" t="str">
        <f t="shared" si="82"/>
        <v/>
      </c>
      <c r="Q152" s="33"/>
      <c r="R152" s="36" t="str">
        <f t="shared" si="83"/>
        <v/>
      </c>
      <c r="S152" s="33"/>
      <c r="T152" s="36" t="str">
        <f t="shared" si="84"/>
        <v/>
      </c>
      <c r="U152" s="33"/>
      <c r="V152" s="36" t="str">
        <f t="shared" si="85"/>
        <v/>
      </c>
      <c r="W152" s="33"/>
      <c r="X152" s="36" t="str">
        <f t="shared" si="97"/>
        <v/>
      </c>
      <c r="Y152" s="33"/>
      <c r="Z152" s="36" t="str">
        <f t="shared" si="95"/>
        <v/>
      </c>
      <c r="AA152" s="33"/>
      <c r="AB152" s="36" t="str">
        <f t="shared" si="87"/>
        <v/>
      </c>
      <c r="AC152" s="33"/>
      <c r="AD152" s="36" t="str">
        <f t="shared" si="88"/>
        <v/>
      </c>
      <c r="AE152" s="33"/>
      <c r="AF152" s="36" t="str">
        <f t="shared" si="89"/>
        <v/>
      </c>
      <c r="AG152" s="23" t="s">
        <v>415</v>
      </c>
      <c r="AH152" s="23"/>
      <c r="AI152" s="23"/>
      <c r="AJ152" s="23"/>
      <c r="AK152" s="23"/>
      <c r="AL152" s="23"/>
      <c r="AM152" s="23"/>
      <c r="AN152" s="23"/>
      <c r="AO152" s="23"/>
      <c r="AP152" s="23"/>
      <c r="AQ152" s="23"/>
      <c r="AR152" s="23"/>
      <c r="AS152" s="23"/>
      <c r="AT152" s="23"/>
      <c r="AU152" s="23"/>
      <c r="AV152" s="23"/>
      <c r="AW152" s="23"/>
      <c r="AX152" s="23"/>
      <c r="AY152" s="23"/>
      <c r="AZ152" s="23"/>
    </row>
    <row r="153" spans="1:52" ht="20" customHeight="1" x14ac:dyDescent="0.2">
      <c r="A153" s="60"/>
      <c r="B153" s="83"/>
      <c r="C153" s="24" t="s">
        <v>85</v>
      </c>
      <c r="D153" s="23" t="s">
        <v>71</v>
      </c>
      <c r="E153" s="23" t="s">
        <v>70</v>
      </c>
      <c r="F153" s="24">
        <v>2004</v>
      </c>
      <c r="G153" s="24">
        <v>45</v>
      </c>
      <c r="H153" s="89">
        <v>15</v>
      </c>
      <c r="I153" s="85" t="s">
        <v>184</v>
      </c>
      <c r="J153" s="32" t="s">
        <v>192</v>
      </c>
      <c r="K153" s="106"/>
      <c r="L153" s="36" t="str">
        <f t="shared" ref="L153:L184" si="98">IF((ISERROR((K153/$H153)*100)), "", IF(AND(NOT(ISERROR((K153/$H153)*100)),((K153/$H153)*100) &lt;&gt; 0), (K153/$H153)*100, ""))</f>
        <v/>
      </c>
      <c r="M153" s="33"/>
      <c r="N153" s="36" t="str">
        <f t="shared" ref="N153:N184" si="99">IF((ISERROR((M153/$H153)*100)), "", IF(AND(NOT(ISERROR((M153/$H153)*100)),((M153/$H153)*100) &lt;&gt; 0), (M153/$H153)*100, ""))</f>
        <v/>
      </c>
      <c r="O153" s="33"/>
      <c r="P153" s="36" t="str">
        <f t="shared" ref="P153:P184" si="100">IF((ISERROR((O153/$H153)*100)), "", IF(AND(NOT(ISERROR((O153/$H153)*100)),((O153/$H153)*100) &lt;&gt; 0), (O153/$H153)*100, ""))</f>
        <v/>
      </c>
      <c r="Q153" s="33"/>
      <c r="R153" s="36" t="str">
        <f t="shared" ref="R153:R184" si="101">IF((ISERROR((Q153/$H153)*100)), "", IF(AND(NOT(ISERROR((Q153/$H153)*100)),((Q153/$H153)*100) &lt;&gt; 0), (Q153/$H153)*100, ""))</f>
        <v/>
      </c>
      <c r="S153" s="33"/>
      <c r="T153" s="36" t="str">
        <f t="shared" ref="T153:T184" si="102">IF((ISERROR((S153/$H153)*100)), "", IF(AND(NOT(ISERROR((S153/$H153)*100)),((S153/$H153)*100) &lt;&gt; 0), (S153/$H153)*100, ""))</f>
        <v/>
      </c>
      <c r="U153" s="33"/>
      <c r="V153" s="36" t="str">
        <f t="shared" ref="V153:V184" si="103">IF((ISERROR((U153/$H153)*100)), "", IF(AND(NOT(ISERROR((U153/$H153)*100)),((U153/$H153)*100) &lt;&gt; 0), (U153/$H153)*100, ""))</f>
        <v/>
      </c>
      <c r="W153" s="33"/>
      <c r="X153" s="36" t="str">
        <f t="shared" si="97"/>
        <v/>
      </c>
      <c r="Y153" s="33"/>
      <c r="Z153" s="36" t="str">
        <f t="shared" si="95"/>
        <v/>
      </c>
      <c r="AA153" s="33"/>
      <c r="AB153" s="36" t="str">
        <f t="shared" si="87"/>
        <v/>
      </c>
      <c r="AC153" s="33"/>
      <c r="AD153" s="36" t="str">
        <f t="shared" si="88"/>
        <v/>
      </c>
      <c r="AE153" s="33"/>
      <c r="AF153" s="36" t="str">
        <f t="shared" si="89"/>
        <v/>
      </c>
      <c r="AG153" s="23" t="s">
        <v>416</v>
      </c>
      <c r="AH153" s="23"/>
      <c r="AI153" s="23"/>
      <c r="AJ153" s="23"/>
      <c r="AK153" s="23"/>
      <c r="AL153" s="23"/>
      <c r="AM153" s="23"/>
      <c r="AN153" s="23"/>
      <c r="AO153" s="23"/>
      <c r="AP153" s="23"/>
      <c r="AQ153" s="23"/>
      <c r="AR153" s="23"/>
      <c r="AS153" s="23"/>
      <c r="AT153" s="23"/>
      <c r="AU153" s="23"/>
      <c r="AV153" s="23"/>
      <c r="AW153" s="23"/>
      <c r="AX153" s="23"/>
      <c r="AY153" s="23"/>
      <c r="AZ153" s="23"/>
    </row>
    <row r="154" spans="1:52" ht="20" customHeight="1" x14ac:dyDescent="0.2">
      <c r="A154" s="60"/>
      <c r="B154" s="82"/>
      <c r="D154" s="23" t="s">
        <v>279</v>
      </c>
      <c r="E154" s="23" t="s">
        <v>282</v>
      </c>
      <c r="F154" s="24">
        <v>2008</v>
      </c>
      <c r="H154" s="89"/>
      <c r="I154" s="85"/>
      <c r="J154" s="32" t="s">
        <v>353</v>
      </c>
      <c r="K154" s="106"/>
      <c r="L154" s="36" t="str">
        <f t="shared" si="98"/>
        <v/>
      </c>
      <c r="M154" s="33"/>
      <c r="N154" s="36" t="str">
        <f t="shared" si="99"/>
        <v/>
      </c>
      <c r="O154" s="33"/>
      <c r="P154" s="36" t="str">
        <f t="shared" si="100"/>
        <v/>
      </c>
      <c r="Q154" s="33"/>
      <c r="R154" s="36" t="str">
        <f t="shared" si="101"/>
        <v/>
      </c>
      <c r="S154" s="33"/>
      <c r="T154" s="36" t="str">
        <f t="shared" si="102"/>
        <v/>
      </c>
      <c r="U154" s="33"/>
      <c r="V154" s="36" t="str">
        <f t="shared" si="103"/>
        <v/>
      </c>
      <c r="W154" s="33"/>
      <c r="X154" s="36" t="str">
        <f t="shared" ref="X154" si="104">IF((ISERROR((W154/$H154)*100)), "", IF(AND(NOT(ISERROR((W154/$H154)*100)),((W154/$H154)*100) &lt;&gt; 0), (W154/$H154)*100, ""))</f>
        <v/>
      </c>
      <c r="Y154" s="33"/>
      <c r="Z154" s="36" t="str">
        <f t="shared" si="95"/>
        <v/>
      </c>
      <c r="AA154" s="33"/>
      <c r="AB154" s="36" t="str">
        <f t="shared" si="87"/>
        <v/>
      </c>
      <c r="AC154" s="33"/>
      <c r="AD154" s="36" t="str">
        <f t="shared" si="88"/>
        <v/>
      </c>
      <c r="AE154" s="33"/>
      <c r="AF154" s="36" t="str">
        <f t="shared" si="89"/>
        <v/>
      </c>
      <c r="AG154" s="23"/>
      <c r="AH154" s="23"/>
      <c r="AI154" s="23"/>
      <c r="AJ154" s="23"/>
      <c r="AK154" s="23"/>
      <c r="AL154" s="23"/>
      <c r="AM154" s="23"/>
      <c r="AN154" s="23"/>
      <c r="AO154" s="23"/>
      <c r="AP154" s="23"/>
      <c r="AQ154" s="23"/>
      <c r="AR154" s="23"/>
      <c r="AS154" s="23"/>
      <c r="AT154" s="23"/>
      <c r="AU154" s="23"/>
      <c r="AV154" s="23"/>
      <c r="AW154" s="23"/>
      <c r="AX154" s="23"/>
      <c r="AY154" s="23"/>
      <c r="AZ154" s="23"/>
    </row>
    <row r="155" spans="1:52" ht="20" customHeight="1" x14ac:dyDescent="0.2">
      <c r="A155" s="60"/>
      <c r="B155" s="83"/>
      <c r="C155" s="24" t="s">
        <v>85</v>
      </c>
      <c r="D155" s="23" t="s">
        <v>280</v>
      </c>
      <c r="E155" s="23" t="s">
        <v>281</v>
      </c>
      <c r="F155" s="24">
        <v>2013</v>
      </c>
      <c r="H155" s="89">
        <v>23</v>
      </c>
      <c r="I155" s="85"/>
      <c r="J155" s="32"/>
      <c r="K155" s="106"/>
      <c r="L155" s="36" t="str">
        <f t="shared" si="98"/>
        <v/>
      </c>
      <c r="M155" s="33"/>
      <c r="N155" s="36" t="str">
        <f t="shared" si="99"/>
        <v/>
      </c>
      <c r="O155" s="33"/>
      <c r="P155" s="36" t="str">
        <f t="shared" si="100"/>
        <v/>
      </c>
      <c r="Q155" s="33"/>
      <c r="R155" s="36" t="str">
        <f t="shared" si="101"/>
        <v/>
      </c>
      <c r="S155" s="33"/>
      <c r="T155" s="36" t="str">
        <f t="shared" si="102"/>
        <v/>
      </c>
      <c r="U155" s="33"/>
      <c r="V155" s="36" t="str">
        <f t="shared" si="103"/>
        <v/>
      </c>
      <c r="W155" s="33"/>
      <c r="X155" s="36" t="str">
        <f>IF((ISERROR((W155/$H155)*100)), "", IF(AND(NOT(ISERROR((W155/$H155)*100)),((W155/$H155)*100) &lt;&gt; 0), (W155/$H155)*100, ""))</f>
        <v/>
      </c>
      <c r="Y155" s="33"/>
      <c r="Z155" s="36" t="str">
        <f t="shared" si="95"/>
        <v/>
      </c>
      <c r="AA155" s="33"/>
      <c r="AB155" s="36" t="str">
        <f t="shared" si="87"/>
        <v/>
      </c>
      <c r="AC155" s="33"/>
      <c r="AD155" s="36" t="str">
        <f t="shared" si="88"/>
        <v/>
      </c>
      <c r="AE155" s="33"/>
      <c r="AF155" s="36" t="str">
        <f t="shared" si="89"/>
        <v/>
      </c>
      <c r="AG155" s="23" t="s">
        <v>417</v>
      </c>
      <c r="AH155" s="23"/>
      <c r="AI155" s="23"/>
      <c r="AJ155" s="23"/>
      <c r="AK155" s="23"/>
      <c r="AL155" s="23"/>
      <c r="AM155" s="23"/>
      <c r="AN155" s="23"/>
      <c r="AO155" s="23"/>
      <c r="AP155" s="23"/>
      <c r="AQ155" s="23"/>
      <c r="AR155" s="23"/>
      <c r="AS155" s="23"/>
      <c r="AT155" s="23"/>
      <c r="AU155" s="23"/>
      <c r="AV155" s="23"/>
      <c r="AW155" s="23"/>
      <c r="AX155" s="23"/>
      <c r="AY155" s="23"/>
      <c r="AZ155" s="23"/>
    </row>
    <row r="156" spans="1:52" ht="20" customHeight="1" x14ac:dyDescent="0.2">
      <c r="A156" s="61"/>
      <c r="B156" s="24"/>
      <c r="C156" s="24" t="s">
        <v>85</v>
      </c>
      <c r="D156" s="23" t="s">
        <v>354</v>
      </c>
      <c r="E156" s="23" t="s">
        <v>72</v>
      </c>
      <c r="F156" s="24">
        <v>2014</v>
      </c>
      <c r="G156" s="24">
        <v>23</v>
      </c>
      <c r="H156" s="89">
        <v>28</v>
      </c>
      <c r="I156" s="85" t="s">
        <v>185</v>
      </c>
      <c r="J156" s="32" t="s">
        <v>193</v>
      </c>
      <c r="K156" s="106"/>
      <c r="L156" s="36" t="str">
        <f t="shared" si="98"/>
        <v/>
      </c>
      <c r="M156" s="33"/>
      <c r="N156" s="36" t="str">
        <f t="shared" si="99"/>
        <v/>
      </c>
      <c r="O156" s="33"/>
      <c r="P156" s="36" t="str">
        <f t="shared" si="100"/>
        <v/>
      </c>
      <c r="Q156" s="33"/>
      <c r="R156" s="36" t="str">
        <f t="shared" si="101"/>
        <v/>
      </c>
      <c r="S156" s="33"/>
      <c r="T156" s="36" t="str">
        <f t="shared" si="102"/>
        <v/>
      </c>
      <c r="U156" s="33"/>
      <c r="V156" s="36" t="str">
        <f t="shared" si="103"/>
        <v/>
      </c>
      <c r="W156" s="33"/>
      <c r="X156" s="36" t="str">
        <f>IF((ISERROR((W156/$H156)*100)), "", IF(AND(NOT(ISERROR((W156/$H156)*100)),((W156/$H156)*100) &lt;&gt; 0), (W156/$H156)*100, ""))</f>
        <v/>
      </c>
      <c r="Y156" s="33"/>
      <c r="Z156" s="36" t="str">
        <f t="shared" ref="Z156:Z157" si="105">IF((ISERROR((Y156/$H156)*100)), "", IF(AND(NOT(ISERROR((Y156/$H156)*100)),((Y156/$H156)*100) &lt;&gt; 0), (Y156/$H156)*100, ""))</f>
        <v/>
      </c>
      <c r="AA156" s="33"/>
      <c r="AB156" s="36" t="str">
        <f t="shared" si="87"/>
        <v/>
      </c>
      <c r="AC156" s="33"/>
      <c r="AD156" s="36" t="str">
        <f t="shared" si="88"/>
        <v/>
      </c>
      <c r="AE156" s="33"/>
      <c r="AF156" s="36" t="str">
        <f t="shared" si="89"/>
        <v/>
      </c>
      <c r="AG156" s="23" t="s">
        <v>418</v>
      </c>
      <c r="AH156" s="23"/>
      <c r="AI156" s="23"/>
      <c r="AJ156" s="23"/>
      <c r="AK156" s="23"/>
      <c r="AL156" s="23"/>
      <c r="AM156" s="23"/>
      <c r="AN156" s="23"/>
      <c r="AO156" s="23"/>
      <c r="AP156" s="23"/>
      <c r="AQ156" s="23"/>
      <c r="AR156" s="23"/>
      <c r="AS156" s="23"/>
      <c r="AT156" s="23"/>
      <c r="AU156" s="23"/>
      <c r="AV156" s="23"/>
      <c r="AW156" s="23"/>
      <c r="AX156" s="23"/>
      <c r="AY156" s="23"/>
      <c r="AZ156" s="23"/>
    </row>
    <row r="157" spans="1:52" ht="20" customHeight="1" x14ac:dyDescent="0.2">
      <c r="A157" s="60"/>
      <c r="B157" s="82"/>
      <c r="C157" s="24" t="s">
        <v>85</v>
      </c>
      <c r="D157" s="23" t="s">
        <v>283</v>
      </c>
      <c r="E157" s="23" t="s">
        <v>284</v>
      </c>
      <c r="F157" s="24">
        <v>2014</v>
      </c>
      <c r="H157" s="89">
        <v>28</v>
      </c>
      <c r="I157" s="85" t="s">
        <v>185</v>
      </c>
      <c r="J157" s="32" t="s">
        <v>193</v>
      </c>
      <c r="K157" s="106">
        <v>5</v>
      </c>
      <c r="L157" s="36">
        <f t="shared" si="98"/>
        <v>17.857142857142858</v>
      </c>
      <c r="M157" s="33">
        <v>3</v>
      </c>
      <c r="N157" s="36">
        <f t="shared" si="99"/>
        <v>10.714285714285714</v>
      </c>
      <c r="O157" s="33"/>
      <c r="P157" s="36" t="str">
        <f t="shared" si="100"/>
        <v/>
      </c>
      <c r="Q157" s="33"/>
      <c r="R157" s="36" t="str">
        <f t="shared" si="101"/>
        <v/>
      </c>
      <c r="S157" s="33"/>
      <c r="T157" s="36" t="str">
        <f t="shared" si="102"/>
        <v/>
      </c>
      <c r="U157" s="33">
        <v>4</v>
      </c>
      <c r="V157" s="36">
        <f t="shared" si="103"/>
        <v>14.285714285714285</v>
      </c>
      <c r="W157" s="33"/>
      <c r="X157" s="36" t="str">
        <f>IF((ISERROR((W157/$H157)*100)), "", IF(AND(NOT(ISERROR((W157/$H157)*100)),((W157/$H157)*100) &lt;&gt; 0), (W157/$H157)*100, ""))</f>
        <v/>
      </c>
      <c r="Y157" s="33"/>
      <c r="Z157" s="36" t="str">
        <f t="shared" si="105"/>
        <v/>
      </c>
      <c r="AA157" s="33"/>
      <c r="AB157" s="36" t="str">
        <f t="shared" si="87"/>
        <v/>
      </c>
      <c r="AC157" s="33"/>
      <c r="AD157" s="36" t="str">
        <f t="shared" si="88"/>
        <v/>
      </c>
      <c r="AE157" s="33"/>
      <c r="AF157" s="36" t="str">
        <f t="shared" si="89"/>
        <v/>
      </c>
      <c r="AG157" s="23" t="s">
        <v>355</v>
      </c>
      <c r="AH157" s="23"/>
      <c r="AI157" s="23"/>
      <c r="AJ157" s="23"/>
      <c r="AK157" s="23"/>
      <c r="AL157" s="23"/>
      <c r="AM157" s="23"/>
      <c r="AN157" s="23"/>
      <c r="AO157" s="23"/>
      <c r="AP157" s="23"/>
      <c r="AQ157" s="23"/>
      <c r="AR157" s="23"/>
      <c r="AS157" s="23"/>
      <c r="AT157" s="23"/>
      <c r="AU157" s="23"/>
      <c r="AV157" s="23"/>
      <c r="AW157" s="23"/>
      <c r="AX157" s="23"/>
      <c r="AY157" s="23"/>
      <c r="AZ157" s="23"/>
    </row>
    <row r="158" spans="1:52" ht="20" customHeight="1" x14ac:dyDescent="0.2">
      <c r="A158" s="60"/>
      <c r="B158" s="82"/>
      <c r="C158" s="24" t="s">
        <v>484</v>
      </c>
      <c r="D158" s="23" t="s">
        <v>77</v>
      </c>
      <c r="E158" s="23" t="s">
        <v>78</v>
      </c>
      <c r="F158" s="24">
        <v>2009</v>
      </c>
      <c r="G158" s="24">
        <v>134</v>
      </c>
      <c r="H158" s="89">
        <v>94</v>
      </c>
      <c r="I158" s="85" t="s">
        <v>482</v>
      </c>
      <c r="J158" s="86" t="s">
        <v>483</v>
      </c>
      <c r="K158" s="106"/>
      <c r="L158" s="36" t="str">
        <f t="shared" si="98"/>
        <v/>
      </c>
      <c r="M158" s="33">
        <v>2</v>
      </c>
      <c r="N158" s="36">
        <f t="shared" si="99"/>
        <v>2.1276595744680851</v>
      </c>
      <c r="O158" s="33"/>
      <c r="P158" s="36" t="str">
        <f t="shared" si="100"/>
        <v/>
      </c>
      <c r="Q158" s="33">
        <v>3</v>
      </c>
      <c r="R158" s="36">
        <f t="shared" si="101"/>
        <v>3.1914893617021276</v>
      </c>
      <c r="S158" s="33"/>
      <c r="T158" s="36" t="str">
        <f t="shared" si="102"/>
        <v/>
      </c>
      <c r="U158" s="33">
        <v>4</v>
      </c>
      <c r="V158" s="36">
        <f t="shared" si="103"/>
        <v>4.2553191489361701</v>
      </c>
      <c r="W158" s="33"/>
      <c r="X158" s="36" t="str">
        <f t="shared" ref="X158:X166" si="106">IF((ISERROR((W158/$H158)*100)), "", IF(AND(NOT(ISERROR((W158/$H158)*100)),((W158/$H158)*100) &lt;&gt; 0), (W158/$H158)*100, ""))</f>
        <v/>
      </c>
      <c r="Y158" s="33">
        <v>2</v>
      </c>
      <c r="Z158" s="36">
        <f t="shared" ref="Z158:Z170" si="107">IF((ISERROR((Y158/$H158)*100)), "", IF(AND(NOT(ISERROR((Y158/$H158)*100)),((Y158/$H158)*100) &lt;&gt; 0), (Y158/$H158)*100, ""))</f>
        <v>2.1276595744680851</v>
      </c>
      <c r="AA158" s="33">
        <v>2</v>
      </c>
      <c r="AB158" s="36">
        <f t="shared" si="87"/>
        <v>2.1276595744680851</v>
      </c>
      <c r="AC158" s="33"/>
      <c r="AD158" s="36" t="str">
        <f t="shared" si="88"/>
        <v/>
      </c>
      <c r="AE158" s="33"/>
      <c r="AF158" s="36" t="str">
        <f t="shared" si="89"/>
        <v/>
      </c>
      <c r="AG158" s="23" t="s">
        <v>485</v>
      </c>
      <c r="AH158" s="23"/>
      <c r="AI158" s="23"/>
      <c r="AJ158" s="23"/>
      <c r="AK158" s="23"/>
      <c r="AL158" s="23"/>
      <c r="AM158" s="23"/>
      <c r="AN158" s="23"/>
      <c r="AO158" s="23"/>
      <c r="AP158" s="23"/>
      <c r="AQ158" s="23"/>
      <c r="AR158" s="23"/>
      <c r="AS158" s="23"/>
      <c r="AT158" s="23"/>
      <c r="AU158" s="23"/>
      <c r="AV158" s="23"/>
      <c r="AW158" s="23"/>
      <c r="AX158" s="23"/>
      <c r="AY158" s="23"/>
      <c r="AZ158" s="23"/>
    </row>
    <row r="159" spans="1:52" ht="20" customHeight="1" x14ac:dyDescent="0.2">
      <c r="A159" s="60"/>
      <c r="B159" s="83"/>
      <c r="C159" s="24" t="s">
        <v>85</v>
      </c>
      <c r="D159" s="23" t="s">
        <v>285</v>
      </c>
      <c r="E159" s="23" t="s">
        <v>286</v>
      </c>
      <c r="F159" s="24">
        <v>2011</v>
      </c>
      <c r="H159" s="89">
        <v>4</v>
      </c>
      <c r="I159" s="85"/>
      <c r="J159" s="32"/>
      <c r="K159" s="106"/>
      <c r="L159" s="36" t="str">
        <f t="shared" si="98"/>
        <v/>
      </c>
      <c r="M159" s="33"/>
      <c r="N159" s="36" t="str">
        <f t="shared" si="99"/>
        <v/>
      </c>
      <c r="O159" s="33"/>
      <c r="P159" s="36" t="str">
        <f t="shared" si="100"/>
        <v/>
      </c>
      <c r="Q159" s="33"/>
      <c r="R159" s="36" t="str">
        <f t="shared" si="101"/>
        <v/>
      </c>
      <c r="S159" s="33"/>
      <c r="T159" s="36" t="str">
        <f t="shared" si="102"/>
        <v/>
      </c>
      <c r="U159" s="33"/>
      <c r="V159" s="36" t="str">
        <f t="shared" si="103"/>
        <v/>
      </c>
      <c r="W159" s="33"/>
      <c r="X159" s="36" t="str">
        <f t="shared" si="106"/>
        <v/>
      </c>
      <c r="Y159" s="33"/>
      <c r="Z159" s="36" t="str">
        <f t="shared" si="107"/>
        <v/>
      </c>
      <c r="AA159" s="33"/>
      <c r="AB159" s="36" t="str">
        <f t="shared" si="87"/>
        <v/>
      </c>
      <c r="AC159" s="33"/>
      <c r="AD159" s="36" t="str">
        <f t="shared" si="88"/>
        <v/>
      </c>
      <c r="AE159" s="33"/>
      <c r="AF159" s="36" t="str">
        <f t="shared" si="89"/>
        <v/>
      </c>
      <c r="AG159" s="23"/>
      <c r="AH159" s="23"/>
      <c r="AI159" s="23"/>
      <c r="AJ159" s="23"/>
      <c r="AK159" s="23"/>
      <c r="AL159" s="23"/>
      <c r="AM159" s="23"/>
      <c r="AN159" s="23"/>
      <c r="AO159" s="23"/>
      <c r="AP159" s="23"/>
      <c r="AQ159" s="23"/>
      <c r="AR159" s="23"/>
      <c r="AS159" s="23"/>
      <c r="AT159" s="23"/>
      <c r="AU159" s="23"/>
      <c r="AV159" s="23"/>
      <c r="AW159" s="23"/>
      <c r="AX159" s="23"/>
      <c r="AY159" s="23"/>
      <c r="AZ159" s="23"/>
    </row>
    <row r="160" spans="1:52" ht="20" customHeight="1" x14ac:dyDescent="0.2">
      <c r="A160" s="60"/>
      <c r="B160" s="83"/>
      <c r="C160" s="24" t="s">
        <v>85</v>
      </c>
      <c r="D160" s="23" t="s">
        <v>287</v>
      </c>
      <c r="E160" s="23" t="s">
        <v>288</v>
      </c>
      <c r="F160" s="24">
        <v>2015</v>
      </c>
      <c r="H160" s="89">
        <v>10</v>
      </c>
      <c r="I160" s="85" t="s">
        <v>345</v>
      </c>
      <c r="J160" s="32" t="s">
        <v>356</v>
      </c>
      <c r="K160" s="106"/>
      <c r="L160" s="36" t="str">
        <f t="shared" si="98"/>
        <v/>
      </c>
      <c r="M160" s="33"/>
      <c r="N160" s="36" t="str">
        <f t="shared" si="99"/>
        <v/>
      </c>
      <c r="O160" s="33"/>
      <c r="P160" s="36" t="str">
        <f t="shared" si="100"/>
        <v/>
      </c>
      <c r="Q160" s="33"/>
      <c r="R160" s="36" t="str">
        <f t="shared" si="101"/>
        <v/>
      </c>
      <c r="S160" s="33"/>
      <c r="T160" s="36" t="str">
        <f t="shared" si="102"/>
        <v/>
      </c>
      <c r="U160" s="33"/>
      <c r="V160" s="36" t="str">
        <f t="shared" si="103"/>
        <v/>
      </c>
      <c r="W160" s="33"/>
      <c r="X160" s="36" t="str">
        <f>IF((ISERROR((W160/$H160)*100)), "", IF(AND(NOT(ISERROR((W160/$H160)*100)),((W160/$H160)*100) &lt;&gt; 0), (W160/$H160)*100, ""))</f>
        <v/>
      </c>
      <c r="Y160" s="33"/>
      <c r="Z160" s="36" t="str">
        <f t="shared" si="107"/>
        <v/>
      </c>
      <c r="AA160" s="33"/>
      <c r="AB160" s="36" t="str">
        <f t="shared" si="87"/>
        <v/>
      </c>
      <c r="AC160" s="33"/>
      <c r="AD160" s="36" t="str">
        <f t="shared" si="88"/>
        <v/>
      </c>
      <c r="AE160" s="33"/>
      <c r="AF160" s="36" t="str">
        <f t="shared" si="89"/>
        <v/>
      </c>
      <c r="AG160" s="23"/>
      <c r="AH160" s="23"/>
      <c r="AI160" s="23"/>
      <c r="AJ160" s="23"/>
      <c r="AK160" s="23"/>
      <c r="AL160" s="23"/>
      <c r="AM160" s="23"/>
      <c r="AN160" s="23"/>
      <c r="AO160" s="23"/>
      <c r="AP160" s="23"/>
      <c r="AQ160" s="23"/>
      <c r="AR160" s="23"/>
      <c r="AS160" s="23"/>
      <c r="AT160" s="23"/>
      <c r="AU160" s="23"/>
      <c r="AV160" s="23"/>
      <c r="AW160" s="23"/>
      <c r="AX160" s="23"/>
      <c r="AY160" s="23"/>
      <c r="AZ160" s="23"/>
    </row>
    <row r="161" spans="1:52" ht="20" customHeight="1" x14ac:dyDescent="0.2">
      <c r="A161" s="60"/>
      <c r="B161" s="82"/>
      <c r="C161" s="24" t="s">
        <v>85</v>
      </c>
      <c r="D161" s="23" t="s">
        <v>79</v>
      </c>
      <c r="E161" s="23" t="s">
        <v>80</v>
      </c>
      <c r="F161" s="24">
        <v>2015</v>
      </c>
      <c r="G161" s="24">
        <v>10</v>
      </c>
      <c r="H161" s="89">
        <v>11</v>
      </c>
      <c r="I161" s="85" t="s">
        <v>195</v>
      </c>
      <c r="J161" s="32" t="s">
        <v>169</v>
      </c>
      <c r="K161" s="106">
        <v>3</v>
      </c>
      <c r="L161" s="36">
        <f t="shared" si="98"/>
        <v>27.27272727272727</v>
      </c>
      <c r="M161" s="38">
        <v>1</v>
      </c>
      <c r="N161" s="39">
        <f t="shared" si="99"/>
        <v>9.0909090909090917</v>
      </c>
      <c r="O161" s="33"/>
      <c r="P161" s="36" t="str">
        <f t="shared" si="100"/>
        <v/>
      </c>
      <c r="Q161" s="33"/>
      <c r="R161" s="36" t="str">
        <f t="shared" si="101"/>
        <v/>
      </c>
      <c r="S161" s="33"/>
      <c r="T161" s="36" t="str">
        <f t="shared" si="102"/>
        <v/>
      </c>
      <c r="U161" s="33"/>
      <c r="V161" s="36" t="str">
        <f t="shared" si="103"/>
        <v/>
      </c>
      <c r="W161" s="33"/>
      <c r="X161" s="36" t="str">
        <f>IF((ISERROR((W161/$H161)*100)), "", IF(AND(NOT(ISERROR((W161/$H161)*100)),((W161/$H161)*100) &lt;&gt; 0), (W161/$H161)*100, ""))</f>
        <v/>
      </c>
      <c r="Y161" s="33"/>
      <c r="Z161" s="36" t="str">
        <f t="shared" si="107"/>
        <v/>
      </c>
      <c r="AA161" s="33"/>
      <c r="AB161" s="36" t="str">
        <f t="shared" si="87"/>
        <v/>
      </c>
      <c r="AC161" s="33"/>
      <c r="AD161" s="36" t="str">
        <f t="shared" si="88"/>
        <v/>
      </c>
      <c r="AE161" s="33"/>
      <c r="AF161" s="36" t="str">
        <f t="shared" si="89"/>
        <v/>
      </c>
      <c r="AG161" s="23" t="s">
        <v>194</v>
      </c>
      <c r="AH161" s="23"/>
      <c r="AI161" s="23"/>
      <c r="AJ161" s="23"/>
      <c r="AK161" s="23"/>
      <c r="AL161" s="23"/>
      <c r="AM161" s="23"/>
      <c r="AN161" s="23"/>
      <c r="AO161" s="23"/>
      <c r="AP161" s="23"/>
      <c r="AQ161" s="23"/>
      <c r="AR161" s="23"/>
      <c r="AS161" s="23"/>
      <c r="AT161" s="23"/>
      <c r="AU161" s="23"/>
      <c r="AV161" s="23"/>
      <c r="AW161" s="23"/>
      <c r="AX161" s="23"/>
      <c r="AY161" s="23"/>
      <c r="AZ161" s="23"/>
    </row>
    <row r="162" spans="1:52" ht="20" customHeight="1" x14ac:dyDescent="0.2">
      <c r="A162" s="61"/>
      <c r="B162" s="83"/>
      <c r="C162" s="24" t="s">
        <v>85</v>
      </c>
      <c r="D162" s="23" t="s">
        <v>81</v>
      </c>
      <c r="E162" s="23" t="s">
        <v>82</v>
      </c>
      <c r="F162" s="24">
        <v>1994</v>
      </c>
      <c r="G162" s="24">
        <v>292</v>
      </c>
      <c r="H162" s="89">
        <v>15</v>
      </c>
      <c r="I162" s="85" t="s">
        <v>196</v>
      </c>
      <c r="J162" s="32"/>
      <c r="K162" s="106"/>
      <c r="L162" s="36" t="str">
        <f t="shared" si="98"/>
        <v/>
      </c>
      <c r="M162" s="33"/>
      <c r="N162" s="36" t="str">
        <f t="shared" si="99"/>
        <v/>
      </c>
      <c r="O162" s="33"/>
      <c r="P162" s="36" t="str">
        <f t="shared" si="100"/>
        <v/>
      </c>
      <c r="Q162" s="33"/>
      <c r="R162" s="36" t="str">
        <f t="shared" si="101"/>
        <v/>
      </c>
      <c r="S162" s="33"/>
      <c r="T162" s="36" t="str">
        <f t="shared" si="102"/>
        <v/>
      </c>
      <c r="U162" s="33"/>
      <c r="V162" s="36" t="str">
        <f t="shared" si="103"/>
        <v/>
      </c>
      <c r="W162" s="33"/>
      <c r="X162" s="36" t="str">
        <f t="shared" si="106"/>
        <v/>
      </c>
      <c r="Y162" s="33"/>
      <c r="Z162" s="36" t="str">
        <f t="shared" si="107"/>
        <v/>
      </c>
      <c r="AA162" s="33"/>
      <c r="AB162" s="36" t="str">
        <f t="shared" si="87"/>
        <v/>
      </c>
      <c r="AC162" s="33"/>
      <c r="AD162" s="36" t="str">
        <f t="shared" si="88"/>
        <v/>
      </c>
      <c r="AE162" s="33"/>
      <c r="AF162" s="36" t="str">
        <f t="shared" si="89"/>
        <v/>
      </c>
      <c r="AG162" s="23" t="s">
        <v>197</v>
      </c>
      <c r="AH162" s="23"/>
      <c r="AI162" s="23"/>
      <c r="AJ162" s="23"/>
      <c r="AK162" s="23"/>
      <c r="AL162" s="23"/>
      <c r="AM162" s="23"/>
      <c r="AN162" s="23"/>
      <c r="AO162" s="23"/>
      <c r="AP162" s="23"/>
      <c r="AQ162" s="23"/>
      <c r="AR162" s="23"/>
      <c r="AS162" s="23"/>
      <c r="AT162" s="23"/>
      <c r="AU162" s="23"/>
      <c r="AV162" s="23"/>
      <c r="AW162" s="23"/>
      <c r="AX162" s="23"/>
      <c r="AY162" s="23"/>
      <c r="AZ162" s="23"/>
    </row>
    <row r="163" spans="1:52" ht="20" customHeight="1" x14ac:dyDescent="0.2">
      <c r="A163" s="60"/>
      <c r="B163" s="82"/>
      <c r="C163" s="24" t="s">
        <v>85</v>
      </c>
      <c r="D163" s="23" t="s">
        <v>83</v>
      </c>
      <c r="E163" s="23" t="s">
        <v>84</v>
      </c>
      <c r="F163" s="24">
        <v>2000</v>
      </c>
      <c r="G163" s="24">
        <v>146</v>
      </c>
      <c r="H163" s="89">
        <v>42</v>
      </c>
      <c r="I163" s="85" t="s">
        <v>357</v>
      </c>
      <c r="J163" s="32"/>
      <c r="K163" s="106"/>
      <c r="L163" s="36" t="str">
        <f t="shared" si="98"/>
        <v/>
      </c>
      <c r="M163" s="33"/>
      <c r="N163" s="36" t="str">
        <f t="shared" si="99"/>
        <v/>
      </c>
      <c r="O163" s="33"/>
      <c r="P163" s="36" t="str">
        <f t="shared" si="100"/>
        <v/>
      </c>
      <c r="Q163" s="33"/>
      <c r="R163" s="36" t="str">
        <f t="shared" si="101"/>
        <v/>
      </c>
      <c r="S163" s="33"/>
      <c r="T163" s="36" t="str">
        <f t="shared" si="102"/>
        <v/>
      </c>
      <c r="U163" s="33"/>
      <c r="V163" s="36" t="str">
        <f t="shared" si="103"/>
        <v/>
      </c>
      <c r="W163" s="33"/>
      <c r="X163" s="36" t="str">
        <f t="shared" si="106"/>
        <v/>
      </c>
      <c r="Y163" s="33"/>
      <c r="Z163" s="36" t="str">
        <f t="shared" si="107"/>
        <v/>
      </c>
      <c r="AA163" s="33"/>
      <c r="AB163" s="36" t="str">
        <f t="shared" si="87"/>
        <v/>
      </c>
      <c r="AC163" s="33"/>
      <c r="AD163" s="36" t="str">
        <f t="shared" si="88"/>
        <v/>
      </c>
      <c r="AE163" s="33"/>
      <c r="AF163" s="36" t="str">
        <f t="shared" si="89"/>
        <v/>
      </c>
      <c r="AG163" s="23" t="s">
        <v>486</v>
      </c>
      <c r="AH163" s="23"/>
      <c r="AI163" s="23"/>
      <c r="AJ163" s="23"/>
      <c r="AK163" s="23"/>
      <c r="AL163" s="23"/>
      <c r="AM163" s="23"/>
      <c r="AN163" s="23"/>
      <c r="AO163" s="23"/>
      <c r="AP163" s="23"/>
      <c r="AQ163" s="23"/>
      <c r="AR163" s="23"/>
      <c r="AS163" s="23"/>
      <c r="AT163" s="23"/>
      <c r="AU163" s="23"/>
      <c r="AV163" s="23"/>
      <c r="AW163" s="23"/>
      <c r="AX163" s="23"/>
      <c r="AY163" s="23"/>
      <c r="AZ163" s="23"/>
    </row>
    <row r="164" spans="1:52" ht="20" customHeight="1" x14ac:dyDescent="0.2">
      <c r="A164" s="61"/>
      <c r="B164" s="83"/>
      <c r="C164" s="50" t="s">
        <v>35</v>
      </c>
      <c r="D164" s="49" t="s">
        <v>87</v>
      </c>
      <c r="E164" s="49" t="s">
        <v>88</v>
      </c>
      <c r="F164" s="50">
        <v>1996</v>
      </c>
      <c r="G164" s="50">
        <v>187</v>
      </c>
      <c r="H164" s="89">
        <v>100</v>
      </c>
      <c r="I164" s="85" t="s">
        <v>198</v>
      </c>
      <c r="J164" s="32"/>
      <c r="K164" s="106"/>
      <c r="L164" s="36" t="str">
        <f t="shared" si="98"/>
        <v/>
      </c>
      <c r="M164" s="33"/>
      <c r="N164" s="36" t="str">
        <f t="shared" si="99"/>
        <v/>
      </c>
      <c r="O164" s="33"/>
      <c r="P164" s="36" t="str">
        <f t="shared" si="100"/>
        <v/>
      </c>
      <c r="Q164" s="33"/>
      <c r="R164" s="36" t="str">
        <f t="shared" si="101"/>
        <v/>
      </c>
      <c r="S164" s="33"/>
      <c r="T164" s="36" t="str">
        <f t="shared" si="102"/>
        <v/>
      </c>
      <c r="U164" s="33"/>
      <c r="V164" s="36" t="str">
        <f t="shared" si="103"/>
        <v/>
      </c>
      <c r="W164" s="33"/>
      <c r="X164" s="36" t="str">
        <f t="shared" si="106"/>
        <v/>
      </c>
      <c r="Y164" s="33"/>
      <c r="Z164" s="36" t="str">
        <f t="shared" si="107"/>
        <v/>
      </c>
      <c r="AA164" s="33"/>
      <c r="AB164" s="36" t="str">
        <f t="shared" si="87"/>
        <v/>
      </c>
      <c r="AC164" s="33"/>
      <c r="AD164" s="36" t="str">
        <f t="shared" si="88"/>
        <v/>
      </c>
      <c r="AE164" s="33"/>
      <c r="AF164" s="36" t="str">
        <f t="shared" si="89"/>
        <v/>
      </c>
      <c r="AG164" s="23" t="s">
        <v>199</v>
      </c>
      <c r="AH164" s="23"/>
      <c r="AI164" s="23"/>
      <c r="AJ164" s="23"/>
      <c r="AK164" s="23"/>
      <c r="AL164" s="23"/>
      <c r="AM164" s="23"/>
      <c r="AN164" s="23"/>
      <c r="AO164" s="23"/>
      <c r="AP164" s="23"/>
      <c r="AQ164" s="23"/>
      <c r="AR164" s="23"/>
      <c r="AS164" s="23"/>
      <c r="AT164" s="23"/>
      <c r="AU164" s="23"/>
      <c r="AV164" s="23"/>
      <c r="AW164" s="23"/>
      <c r="AX164" s="23"/>
      <c r="AY164" s="23"/>
      <c r="AZ164" s="23"/>
    </row>
    <row r="165" spans="1:52" ht="20" customHeight="1" x14ac:dyDescent="0.2">
      <c r="A165" s="61"/>
      <c r="B165" s="83"/>
      <c r="C165" s="24" t="s">
        <v>85</v>
      </c>
      <c r="D165" s="23" t="s">
        <v>89</v>
      </c>
      <c r="E165" s="23" t="s">
        <v>90</v>
      </c>
      <c r="F165" s="24">
        <v>2000</v>
      </c>
      <c r="G165" s="24">
        <v>79</v>
      </c>
      <c r="H165" s="89">
        <v>10</v>
      </c>
      <c r="I165" s="85" t="s">
        <v>168</v>
      </c>
      <c r="J165" s="32"/>
      <c r="K165" s="106"/>
      <c r="L165" s="36" t="str">
        <f t="shared" si="98"/>
        <v/>
      </c>
      <c r="M165" s="33"/>
      <c r="N165" s="36" t="str">
        <f t="shared" si="99"/>
        <v/>
      </c>
      <c r="O165" s="33"/>
      <c r="P165" s="36" t="str">
        <f t="shared" si="100"/>
        <v/>
      </c>
      <c r="Q165" s="33"/>
      <c r="R165" s="36" t="str">
        <f t="shared" si="101"/>
        <v/>
      </c>
      <c r="S165" s="33"/>
      <c r="T165" s="36" t="str">
        <f t="shared" si="102"/>
        <v/>
      </c>
      <c r="U165" s="33"/>
      <c r="V165" s="36" t="str">
        <f t="shared" si="103"/>
        <v/>
      </c>
      <c r="W165" s="33"/>
      <c r="X165" s="36" t="str">
        <f t="shared" si="106"/>
        <v/>
      </c>
      <c r="Y165" s="33"/>
      <c r="Z165" s="36" t="str">
        <f t="shared" si="107"/>
        <v/>
      </c>
      <c r="AA165" s="33"/>
      <c r="AB165" s="36" t="str">
        <f t="shared" si="87"/>
        <v/>
      </c>
      <c r="AC165" s="33"/>
      <c r="AD165" s="36" t="str">
        <f t="shared" si="88"/>
        <v/>
      </c>
      <c r="AE165" s="33"/>
      <c r="AF165" s="36" t="str">
        <f t="shared" si="89"/>
        <v/>
      </c>
      <c r="AG165" s="23" t="s">
        <v>200</v>
      </c>
      <c r="AH165" s="23"/>
      <c r="AI165" s="23"/>
      <c r="AJ165" s="23"/>
      <c r="AK165" s="23"/>
      <c r="AL165" s="23"/>
      <c r="AM165" s="23"/>
      <c r="AN165" s="23"/>
      <c r="AO165" s="23"/>
      <c r="AP165" s="23"/>
      <c r="AQ165" s="23"/>
      <c r="AR165" s="23"/>
      <c r="AS165" s="23"/>
      <c r="AT165" s="23"/>
      <c r="AU165" s="23"/>
      <c r="AV165" s="23"/>
      <c r="AW165" s="23"/>
      <c r="AX165" s="23"/>
      <c r="AY165" s="23"/>
      <c r="AZ165" s="23"/>
    </row>
    <row r="166" spans="1:52" ht="20" customHeight="1" x14ac:dyDescent="0.2">
      <c r="A166" s="60"/>
      <c r="B166" s="82"/>
      <c r="D166" s="23" t="s">
        <v>289</v>
      </c>
      <c r="E166" s="23" t="s">
        <v>290</v>
      </c>
      <c r="F166" s="24">
        <v>2005</v>
      </c>
      <c r="H166" s="89">
        <v>13</v>
      </c>
      <c r="I166" s="85" t="s">
        <v>358</v>
      </c>
      <c r="J166" s="32"/>
      <c r="K166" s="106"/>
      <c r="L166" s="36" t="str">
        <f t="shared" si="98"/>
        <v/>
      </c>
      <c r="M166" s="33"/>
      <c r="N166" s="36" t="str">
        <f t="shared" si="99"/>
        <v/>
      </c>
      <c r="O166" s="33"/>
      <c r="P166" s="36" t="str">
        <f t="shared" si="100"/>
        <v/>
      </c>
      <c r="Q166" s="33"/>
      <c r="R166" s="36" t="str">
        <f t="shared" si="101"/>
        <v/>
      </c>
      <c r="S166" s="33"/>
      <c r="T166" s="36" t="str">
        <f t="shared" si="102"/>
        <v/>
      </c>
      <c r="U166" s="33"/>
      <c r="V166" s="36" t="str">
        <f t="shared" si="103"/>
        <v/>
      </c>
      <c r="W166" s="33"/>
      <c r="X166" s="36" t="str">
        <f t="shared" si="106"/>
        <v/>
      </c>
      <c r="Y166" s="33"/>
      <c r="Z166" s="36" t="str">
        <f t="shared" si="107"/>
        <v/>
      </c>
      <c r="AA166" s="33"/>
      <c r="AB166" s="36" t="str">
        <f t="shared" si="87"/>
        <v/>
      </c>
      <c r="AC166" s="33"/>
      <c r="AD166" s="36" t="str">
        <f t="shared" si="88"/>
        <v/>
      </c>
      <c r="AE166" s="33"/>
      <c r="AF166" s="36" t="str">
        <f t="shared" si="89"/>
        <v/>
      </c>
      <c r="AG166" s="23" t="s">
        <v>359</v>
      </c>
      <c r="AH166" s="23"/>
      <c r="AI166" s="23"/>
      <c r="AJ166" s="23"/>
      <c r="AK166" s="23"/>
      <c r="AL166" s="23"/>
      <c r="AM166" s="23"/>
      <c r="AN166" s="23"/>
      <c r="AO166" s="23"/>
      <c r="AP166" s="23"/>
      <c r="AQ166" s="23"/>
      <c r="AR166" s="23"/>
      <c r="AS166" s="23"/>
      <c r="AT166" s="23"/>
      <c r="AU166" s="23"/>
      <c r="AV166" s="23"/>
      <c r="AW166" s="23"/>
      <c r="AX166" s="23"/>
      <c r="AY166" s="23"/>
      <c r="AZ166" s="23"/>
    </row>
    <row r="167" spans="1:52" ht="20" customHeight="1" x14ac:dyDescent="0.2">
      <c r="A167" s="61"/>
      <c r="B167" s="83"/>
      <c r="C167" s="24" t="s">
        <v>85</v>
      </c>
      <c r="D167" s="23" t="s">
        <v>91</v>
      </c>
      <c r="E167" s="23" t="s">
        <v>92</v>
      </c>
      <c r="F167" s="24">
        <v>2001</v>
      </c>
      <c r="G167" s="24">
        <v>170</v>
      </c>
      <c r="H167" s="89">
        <v>22</v>
      </c>
      <c r="I167" s="85" t="s">
        <v>176</v>
      </c>
      <c r="J167" s="32" t="s">
        <v>169</v>
      </c>
      <c r="K167" s="106"/>
      <c r="L167" s="36" t="str">
        <f t="shared" si="98"/>
        <v/>
      </c>
      <c r="M167" s="33"/>
      <c r="N167" s="36" t="str">
        <f t="shared" si="99"/>
        <v/>
      </c>
      <c r="O167" s="33"/>
      <c r="P167" s="36" t="str">
        <f t="shared" si="100"/>
        <v/>
      </c>
      <c r="Q167" s="33"/>
      <c r="R167" s="36" t="str">
        <f t="shared" si="101"/>
        <v/>
      </c>
      <c r="S167" s="33"/>
      <c r="T167" s="36" t="str">
        <f t="shared" si="102"/>
        <v/>
      </c>
      <c r="U167" s="33"/>
      <c r="V167" s="36" t="str">
        <f t="shared" si="103"/>
        <v/>
      </c>
      <c r="W167" s="33"/>
      <c r="X167" s="36" t="str">
        <f>IF((ISERROR((W167/$H167)*100)), "", IF(AND(NOT(ISERROR((W167/$H167)*100)),((W167/$H167)*100) &lt;&gt; 0), (W167/$H167)*100, ""))</f>
        <v/>
      </c>
      <c r="Y167" s="33"/>
      <c r="Z167" s="36" t="str">
        <f t="shared" si="107"/>
        <v/>
      </c>
      <c r="AA167" s="33"/>
      <c r="AB167" s="36" t="str">
        <f t="shared" si="87"/>
        <v/>
      </c>
      <c r="AC167" s="33"/>
      <c r="AD167" s="36" t="str">
        <f t="shared" si="88"/>
        <v/>
      </c>
      <c r="AE167" s="33"/>
      <c r="AF167" s="36" t="str">
        <f t="shared" si="89"/>
        <v/>
      </c>
      <c r="AG167" s="23" t="s">
        <v>181</v>
      </c>
      <c r="AH167" s="23"/>
      <c r="AI167" s="23"/>
      <c r="AJ167" s="23"/>
      <c r="AK167" s="23"/>
      <c r="AL167" s="23"/>
      <c r="AM167" s="23"/>
      <c r="AN167" s="23"/>
      <c r="AO167" s="23"/>
      <c r="AP167" s="23"/>
      <c r="AQ167" s="23"/>
      <c r="AR167" s="23"/>
      <c r="AS167" s="23"/>
      <c r="AT167" s="23"/>
      <c r="AU167" s="23"/>
      <c r="AV167" s="23"/>
      <c r="AW167" s="23"/>
      <c r="AX167" s="23"/>
      <c r="AY167" s="23"/>
      <c r="AZ167" s="23"/>
    </row>
    <row r="168" spans="1:52" ht="20" customHeight="1" x14ac:dyDescent="0.2">
      <c r="A168" s="60"/>
      <c r="B168" s="83"/>
      <c r="C168" s="24" t="s">
        <v>85</v>
      </c>
      <c r="D168" s="23" t="s">
        <v>291</v>
      </c>
      <c r="E168" s="23" t="s">
        <v>292</v>
      </c>
      <c r="F168" s="24">
        <v>2009</v>
      </c>
      <c r="H168" s="89">
        <v>20</v>
      </c>
      <c r="I168" s="85" t="s">
        <v>214</v>
      </c>
      <c r="J168" s="32" t="s">
        <v>191</v>
      </c>
      <c r="K168" s="106"/>
      <c r="L168" s="36" t="str">
        <f t="shared" si="98"/>
        <v/>
      </c>
      <c r="M168" s="33"/>
      <c r="N168" s="36" t="str">
        <f t="shared" si="99"/>
        <v/>
      </c>
      <c r="O168" s="33"/>
      <c r="P168" s="36" t="str">
        <f t="shared" si="100"/>
        <v/>
      </c>
      <c r="Q168" s="33"/>
      <c r="R168" s="36" t="str">
        <f t="shared" si="101"/>
        <v/>
      </c>
      <c r="S168" s="33"/>
      <c r="T168" s="36" t="str">
        <f t="shared" si="102"/>
        <v/>
      </c>
      <c r="U168" s="33"/>
      <c r="V168" s="36" t="str">
        <f t="shared" si="103"/>
        <v/>
      </c>
      <c r="W168" s="33"/>
      <c r="X168" s="36" t="str">
        <f>IF((ISERROR((W168/$H168)*100)), "", IF(AND(NOT(ISERROR((W168/$H168)*100)),((W168/$H168)*100) &lt;&gt; 0), (W168/$H168)*100, ""))</f>
        <v/>
      </c>
      <c r="Y168" s="33"/>
      <c r="Z168" s="36" t="str">
        <f t="shared" si="107"/>
        <v/>
      </c>
      <c r="AA168" s="33"/>
      <c r="AB168" s="36" t="str">
        <f t="shared" si="87"/>
        <v/>
      </c>
      <c r="AC168" s="33"/>
      <c r="AD168" s="36" t="str">
        <f t="shared" si="88"/>
        <v/>
      </c>
      <c r="AE168" s="33"/>
      <c r="AF168" s="36" t="str">
        <f t="shared" si="89"/>
        <v/>
      </c>
      <c r="AG168" s="23" t="s">
        <v>360</v>
      </c>
      <c r="AH168" s="23"/>
      <c r="AI168" s="23"/>
      <c r="AJ168" s="23"/>
      <c r="AK168" s="23"/>
      <c r="AL168" s="23"/>
      <c r="AM168" s="23"/>
      <c r="AN168" s="23"/>
      <c r="AO168" s="23"/>
      <c r="AP168" s="23"/>
      <c r="AQ168" s="23"/>
      <c r="AR168" s="23"/>
      <c r="AS168" s="23"/>
      <c r="AT168" s="23"/>
      <c r="AU168" s="23"/>
      <c r="AV168" s="23"/>
      <c r="AW168" s="23"/>
      <c r="AX168" s="23"/>
      <c r="AY168" s="23"/>
      <c r="AZ168" s="23"/>
    </row>
    <row r="169" spans="1:52" ht="20" customHeight="1" x14ac:dyDescent="0.2">
      <c r="A169" s="60"/>
      <c r="B169" s="24"/>
      <c r="C169" s="24" t="s">
        <v>85</v>
      </c>
      <c r="D169" s="23" t="s">
        <v>293</v>
      </c>
      <c r="E169" s="23" t="s">
        <v>294</v>
      </c>
      <c r="F169" s="24">
        <v>2006</v>
      </c>
      <c r="H169" s="89">
        <v>10</v>
      </c>
      <c r="I169" s="85" t="s">
        <v>361</v>
      </c>
      <c r="J169" s="32" t="s">
        <v>169</v>
      </c>
      <c r="K169" s="106"/>
      <c r="L169" s="36" t="str">
        <f t="shared" si="98"/>
        <v/>
      </c>
      <c r="M169" s="33"/>
      <c r="N169" s="36" t="str">
        <f t="shared" si="99"/>
        <v/>
      </c>
      <c r="O169" s="33"/>
      <c r="P169" s="36" t="str">
        <f t="shared" si="100"/>
        <v/>
      </c>
      <c r="Q169" s="33"/>
      <c r="R169" s="36" t="str">
        <f t="shared" si="101"/>
        <v/>
      </c>
      <c r="S169" s="33"/>
      <c r="T169" s="36" t="str">
        <f t="shared" si="102"/>
        <v/>
      </c>
      <c r="U169" s="33"/>
      <c r="V169" s="36" t="str">
        <f t="shared" si="103"/>
        <v/>
      </c>
      <c r="W169" s="33"/>
      <c r="X169" s="36" t="str">
        <f>IF((ISERROR((W169/$H169)*100)), "", IF(AND(NOT(ISERROR((W169/$H169)*100)),((W169/$H169)*100) &lt;&gt; 0), (W169/$H169)*100, ""))</f>
        <v/>
      </c>
      <c r="Y169" s="33"/>
      <c r="Z169" s="36" t="str">
        <f t="shared" si="107"/>
        <v/>
      </c>
      <c r="AA169" s="33"/>
      <c r="AB169" s="36" t="str">
        <f t="shared" si="87"/>
        <v/>
      </c>
      <c r="AC169" s="33"/>
      <c r="AD169" s="36" t="str">
        <f t="shared" si="88"/>
        <v/>
      </c>
      <c r="AE169" s="33"/>
      <c r="AF169" s="36" t="str">
        <f t="shared" si="89"/>
        <v/>
      </c>
      <c r="AG169" s="23" t="s">
        <v>362</v>
      </c>
      <c r="AH169" s="23"/>
      <c r="AI169" s="23"/>
      <c r="AJ169" s="23"/>
      <c r="AK169" s="23"/>
      <c r="AL169" s="23"/>
      <c r="AM169" s="23"/>
      <c r="AN169" s="23"/>
      <c r="AO169" s="23"/>
      <c r="AP169" s="23"/>
      <c r="AQ169" s="23"/>
      <c r="AR169" s="23"/>
      <c r="AS169" s="23"/>
      <c r="AT169" s="23"/>
      <c r="AU169" s="23"/>
      <c r="AV169" s="23"/>
      <c r="AW169" s="23"/>
      <c r="AX169" s="23"/>
      <c r="AY169" s="23"/>
      <c r="AZ169" s="23"/>
    </row>
    <row r="170" spans="1:52" ht="20" customHeight="1" x14ac:dyDescent="0.2">
      <c r="A170" s="61"/>
      <c r="B170" s="24"/>
      <c r="C170" s="24" t="s">
        <v>85</v>
      </c>
      <c r="D170" s="23" t="s">
        <v>297</v>
      </c>
      <c r="E170" s="23" t="s">
        <v>298</v>
      </c>
      <c r="F170" s="24">
        <v>2016</v>
      </c>
      <c r="H170" s="89">
        <v>25</v>
      </c>
      <c r="I170" s="85" t="s">
        <v>214</v>
      </c>
      <c r="J170" s="32" t="s">
        <v>192</v>
      </c>
      <c r="K170" s="106"/>
      <c r="L170" s="36" t="str">
        <f t="shared" si="98"/>
        <v/>
      </c>
      <c r="M170" s="33"/>
      <c r="N170" s="36" t="str">
        <f t="shared" si="99"/>
        <v/>
      </c>
      <c r="O170" s="33"/>
      <c r="P170" s="36" t="str">
        <f t="shared" si="100"/>
        <v/>
      </c>
      <c r="Q170" s="33"/>
      <c r="R170" s="36" t="str">
        <f t="shared" si="101"/>
        <v/>
      </c>
      <c r="S170" s="33"/>
      <c r="T170" s="36" t="str">
        <f t="shared" si="102"/>
        <v/>
      </c>
      <c r="U170" s="33"/>
      <c r="V170" s="36" t="str">
        <f t="shared" si="103"/>
        <v/>
      </c>
      <c r="W170" s="33"/>
      <c r="X170" s="36" t="str">
        <f>IF((ISERROR((W170/$H170)*100)), "", IF(AND(NOT(ISERROR((W170/$H170)*100)),((W170/$H170)*100) &lt;&gt; 0), (W170/$H170)*100, ""))</f>
        <v/>
      </c>
      <c r="Y170" s="33"/>
      <c r="Z170" s="36" t="str">
        <f t="shared" si="107"/>
        <v/>
      </c>
      <c r="AA170" s="33"/>
      <c r="AB170" s="36" t="str">
        <f t="shared" si="87"/>
        <v/>
      </c>
      <c r="AC170" s="33"/>
      <c r="AD170" s="36" t="str">
        <f t="shared" si="88"/>
        <v/>
      </c>
      <c r="AE170" s="33"/>
      <c r="AF170" s="36" t="str">
        <f t="shared" si="89"/>
        <v/>
      </c>
      <c r="AG170" s="23"/>
      <c r="AH170" s="23"/>
      <c r="AI170" s="23"/>
      <c r="AJ170" s="23"/>
      <c r="AK170" s="23"/>
      <c r="AL170" s="23"/>
      <c r="AM170" s="23"/>
      <c r="AN170" s="23"/>
      <c r="AO170" s="23"/>
      <c r="AP170" s="23"/>
      <c r="AQ170" s="23"/>
      <c r="AR170" s="23"/>
      <c r="AS170" s="23"/>
      <c r="AT170" s="23"/>
      <c r="AU170" s="23"/>
      <c r="AV170" s="23"/>
      <c r="AW170" s="23"/>
      <c r="AX170" s="23"/>
      <c r="AY170" s="23"/>
      <c r="AZ170" s="23"/>
    </row>
    <row r="171" spans="1:52" ht="20" customHeight="1" x14ac:dyDescent="0.2">
      <c r="A171" s="60"/>
      <c r="B171" s="82"/>
      <c r="C171" s="24" t="s">
        <v>85</v>
      </c>
      <c r="D171" s="23" t="s">
        <v>295</v>
      </c>
      <c r="E171" s="23" t="s">
        <v>296</v>
      </c>
      <c r="F171" s="24">
        <v>2011</v>
      </c>
      <c r="H171" s="89">
        <v>244</v>
      </c>
      <c r="I171" s="85" t="s">
        <v>211</v>
      </c>
      <c r="J171" s="32" t="s">
        <v>190</v>
      </c>
      <c r="K171" s="106"/>
      <c r="L171" s="36" t="str">
        <f t="shared" si="98"/>
        <v/>
      </c>
      <c r="M171" s="33">
        <v>3</v>
      </c>
      <c r="N171" s="36">
        <f t="shared" si="99"/>
        <v>1.2295081967213115</v>
      </c>
      <c r="O171" s="33"/>
      <c r="P171" s="36" t="str">
        <f t="shared" si="100"/>
        <v/>
      </c>
      <c r="Q171" s="33"/>
      <c r="R171" s="36" t="str">
        <f t="shared" si="101"/>
        <v/>
      </c>
      <c r="S171" s="33"/>
      <c r="T171" s="36" t="str">
        <f t="shared" si="102"/>
        <v/>
      </c>
      <c r="U171" s="33">
        <v>4</v>
      </c>
      <c r="V171" s="36">
        <f t="shared" si="103"/>
        <v>1.639344262295082</v>
      </c>
      <c r="W171" s="33"/>
      <c r="X171" s="36" t="str">
        <f t="shared" ref="X171" si="108">IF((ISERROR((W171/$H171)*100)), "", IF(AND(NOT(ISERROR((W171/$H171)*100)),((W171/$H171)*100) &lt;&gt; 0), (W171/$H171)*100, ""))</f>
        <v/>
      </c>
      <c r="Y171" s="33"/>
      <c r="Z171" s="36" t="str">
        <f t="shared" ref="Z171:Z172" si="109">IF((ISERROR((Y171/$H171)*100)), "", IF(AND(NOT(ISERROR((Y171/$H171)*100)),((Y171/$H171)*100) &lt;&gt; 0), (Y171/$H171)*100, ""))</f>
        <v/>
      </c>
      <c r="AA171" s="33"/>
      <c r="AB171" s="36" t="str">
        <f t="shared" si="87"/>
        <v/>
      </c>
      <c r="AC171" s="33"/>
      <c r="AD171" s="36" t="str">
        <f t="shared" si="88"/>
        <v/>
      </c>
      <c r="AE171" s="33"/>
      <c r="AF171" s="36" t="str">
        <f t="shared" si="89"/>
        <v/>
      </c>
      <c r="AG171" s="23"/>
      <c r="AH171" s="23"/>
      <c r="AI171" s="23"/>
      <c r="AJ171" s="23"/>
      <c r="AK171" s="23"/>
      <c r="AL171" s="23"/>
      <c r="AM171" s="23"/>
      <c r="AN171" s="23"/>
      <c r="AO171" s="23"/>
      <c r="AP171" s="23"/>
      <c r="AQ171" s="23"/>
      <c r="AR171" s="23"/>
      <c r="AS171" s="23"/>
      <c r="AT171" s="23"/>
      <c r="AU171" s="23"/>
      <c r="AV171" s="23"/>
      <c r="AW171" s="23"/>
      <c r="AX171" s="23"/>
      <c r="AY171" s="23"/>
      <c r="AZ171" s="23"/>
    </row>
    <row r="172" spans="1:52" ht="20" customHeight="1" x14ac:dyDescent="0.2">
      <c r="A172" s="60"/>
      <c r="B172" s="82"/>
      <c r="C172" s="24" t="s">
        <v>85</v>
      </c>
      <c r="D172" s="23" t="s">
        <v>99</v>
      </c>
      <c r="E172" s="23" t="s">
        <v>100</v>
      </c>
      <c r="F172" s="24">
        <v>2002</v>
      </c>
      <c r="G172" s="24">
        <v>103</v>
      </c>
      <c r="H172" s="89">
        <v>8</v>
      </c>
      <c r="I172" s="85"/>
      <c r="J172" s="32"/>
      <c r="K172" s="106"/>
      <c r="L172" s="36" t="str">
        <f t="shared" si="98"/>
        <v/>
      </c>
      <c r="M172" s="33"/>
      <c r="N172" s="36" t="str">
        <f t="shared" si="99"/>
        <v/>
      </c>
      <c r="O172" s="33"/>
      <c r="P172" s="36" t="str">
        <f t="shared" si="100"/>
        <v/>
      </c>
      <c r="Q172" s="33"/>
      <c r="R172" s="36" t="str">
        <f t="shared" si="101"/>
        <v/>
      </c>
      <c r="S172" s="33"/>
      <c r="T172" s="36" t="str">
        <f t="shared" si="102"/>
        <v/>
      </c>
      <c r="U172" s="33"/>
      <c r="V172" s="36" t="str">
        <f t="shared" si="103"/>
        <v/>
      </c>
      <c r="W172" s="33"/>
      <c r="X172" s="36" t="str">
        <f>IF((ISERROR((W172/$H172)*100)), "", IF(AND(NOT(ISERROR((W172/$H172)*100)),((W172/$H172)*100) &lt;&gt; 0), (W172/$H172)*100, ""))</f>
        <v/>
      </c>
      <c r="Y172" s="33"/>
      <c r="Z172" s="36" t="str">
        <f t="shared" si="109"/>
        <v/>
      </c>
      <c r="AA172" s="33"/>
      <c r="AB172" s="36" t="str">
        <f t="shared" si="87"/>
        <v/>
      </c>
      <c r="AC172" s="33"/>
      <c r="AD172" s="36" t="str">
        <f t="shared" si="88"/>
        <v/>
      </c>
      <c r="AE172" s="33"/>
      <c r="AF172" s="36" t="str">
        <f t="shared" si="89"/>
        <v/>
      </c>
      <c r="AG172" s="23" t="s">
        <v>201</v>
      </c>
      <c r="AH172" s="23"/>
      <c r="AI172" s="23"/>
      <c r="AJ172" s="23"/>
      <c r="AK172" s="23"/>
      <c r="AL172" s="23"/>
      <c r="AM172" s="23"/>
      <c r="AN172" s="23"/>
      <c r="AO172" s="23"/>
      <c r="AP172" s="23"/>
      <c r="AQ172" s="23"/>
      <c r="AR172" s="23"/>
      <c r="AS172" s="23"/>
      <c r="AT172" s="23"/>
      <c r="AU172" s="23"/>
      <c r="AV172" s="23"/>
      <c r="AW172" s="23"/>
      <c r="AX172" s="23"/>
      <c r="AY172" s="23"/>
      <c r="AZ172" s="23"/>
    </row>
    <row r="173" spans="1:52" ht="20" customHeight="1" x14ac:dyDescent="0.2">
      <c r="A173" s="60"/>
      <c r="B173" s="83"/>
      <c r="D173" s="23" t="s">
        <v>299</v>
      </c>
      <c r="E173" s="23" t="s">
        <v>300</v>
      </c>
      <c r="F173" s="24">
        <v>2013</v>
      </c>
      <c r="H173" s="89">
        <v>18</v>
      </c>
      <c r="I173" s="85"/>
      <c r="J173" s="32"/>
      <c r="K173" s="106"/>
      <c r="L173" s="36" t="str">
        <f t="shared" si="98"/>
        <v/>
      </c>
      <c r="M173" s="33"/>
      <c r="N173" s="36" t="str">
        <f t="shared" si="99"/>
        <v/>
      </c>
      <c r="O173" s="33"/>
      <c r="P173" s="36" t="str">
        <f t="shared" si="100"/>
        <v/>
      </c>
      <c r="Q173" s="33"/>
      <c r="R173" s="36" t="str">
        <f t="shared" si="101"/>
        <v/>
      </c>
      <c r="S173" s="33"/>
      <c r="T173" s="36" t="str">
        <f t="shared" si="102"/>
        <v/>
      </c>
      <c r="U173" s="33"/>
      <c r="V173" s="36" t="str">
        <f t="shared" si="103"/>
        <v/>
      </c>
      <c r="W173" s="33"/>
      <c r="X173" s="36" t="str">
        <f t="shared" ref="X173:X184" si="110">IF((ISERROR((W173/$H173)*100)), "", IF(AND(NOT(ISERROR((W173/$H173)*100)),((W173/$H173)*100) &lt;&gt; 0), (W173/$H173)*100, ""))</f>
        <v/>
      </c>
      <c r="Y173" s="33"/>
      <c r="Z173" s="36" t="str">
        <f t="shared" ref="Z173:Z188" si="111">IF((ISERROR((Y173/$H173)*100)), "", IF(AND(NOT(ISERROR((Y173/$H173)*100)),((Y173/$H173)*100) &lt;&gt; 0), (Y173/$H173)*100, ""))</f>
        <v/>
      </c>
      <c r="AA173" s="33"/>
      <c r="AB173" s="36" t="str">
        <f t="shared" si="87"/>
        <v/>
      </c>
      <c r="AC173" s="33"/>
      <c r="AD173" s="36" t="str">
        <f t="shared" si="88"/>
        <v/>
      </c>
      <c r="AE173" s="33"/>
      <c r="AF173" s="36" t="str">
        <f t="shared" si="89"/>
        <v/>
      </c>
      <c r="AG173" s="23" t="s">
        <v>363</v>
      </c>
      <c r="AH173" s="23"/>
      <c r="AI173" s="23"/>
      <c r="AJ173" s="23"/>
      <c r="AK173" s="23"/>
      <c r="AL173" s="23"/>
      <c r="AM173" s="23"/>
      <c r="AN173" s="23"/>
      <c r="AO173" s="23"/>
      <c r="AP173" s="23"/>
      <c r="AQ173" s="23"/>
      <c r="AR173" s="23"/>
      <c r="AS173" s="23"/>
      <c r="AT173" s="23"/>
      <c r="AU173" s="23"/>
      <c r="AV173" s="23"/>
      <c r="AW173" s="23"/>
      <c r="AX173" s="23"/>
      <c r="AY173" s="23"/>
      <c r="AZ173" s="23"/>
    </row>
    <row r="174" spans="1:52" ht="20" customHeight="1" x14ac:dyDescent="0.2">
      <c r="A174" s="60"/>
      <c r="B174" s="83"/>
      <c r="C174" s="24" t="s">
        <v>85</v>
      </c>
      <c r="D174" s="23" t="s">
        <v>301</v>
      </c>
      <c r="E174" s="23" t="s">
        <v>302</v>
      </c>
      <c r="F174" s="24">
        <v>2015</v>
      </c>
      <c r="H174" s="89">
        <v>41</v>
      </c>
      <c r="I174" s="85" t="s">
        <v>185</v>
      </c>
      <c r="J174" s="32"/>
      <c r="K174" s="106"/>
      <c r="L174" s="36" t="str">
        <f t="shared" si="98"/>
        <v/>
      </c>
      <c r="M174" s="33"/>
      <c r="N174" s="36" t="str">
        <f t="shared" si="99"/>
        <v/>
      </c>
      <c r="O174" s="33"/>
      <c r="P174" s="36" t="str">
        <f t="shared" si="100"/>
        <v/>
      </c>
      <c r="Q174" s="33"/>
      <c r="R174" s="36" t="str">
        <f t="shared" si="101"/>
        <v/>
      </c>
      <c r="S174" s="33"/>
      <c r="T174" s="36" t="str">
        <f t="shared" si="102"/>
        <v/>
      </c>
      <c r="U174" s="33"/>
      <c r="V174" s="36" t="str">
        <f t="shared" si="103"/>
        <v/>
      </c>
      <c r="W174" s="33"/>
      <c r="X174" s="36" t="str">
        <f>IF((ISERROR((W174/$H174)*100)), "", IF(AND(NOT(ISERROR((W174/$H174)*100)),((W174/$H174)*100) &lt;&gt; 0), (W174/$H174)*100, ""))</f>
        <v/>
      </c>
      <c r="Y174" s="33"/>
      <c r="Z174" s="36" t="str">
        <f t="shared" si="111"/>
        <v/>
      </c>
      <c r="AA174" s="33"/>
      <c r="AB174" s="36" t="str">
        <f t="shared" si="87"/>
        <v/>
      </c>
      <c r="AC174" s="33"/>
      <c r="AD174" s="36" t="str">
        <f t="shared" si="88"/>
        <v/>
      </c>
      <c r="AE174" s="33"/>
      <c r="AF174" s="36" t="str">
        <f t="shared" si="89"/>
        <v/>
      </c>
      <c r="AG174" s="23" t="s">
        <v>364</v>
      </c>
      <c r="AH174" s="23"/>
      <c r="AI174" s="23"/>
      <c r="AJ174" s="23"/>
      <c r="AK174" s="23"/>
      <c r="AL174" s="23"/>
      <c r="AM174" s="23"/>
      <c r="AN174" s="23"/>
      <c r="AO174" s="23"/>
      <c r="AP174" s="23"/>
      <c r="AQ174" s="23"/>
      <c r="AR174" s="23"/>
      <c r="AS174" s="23"/>
      <c r="AT174" s="23"/>
      <c r="AU174" s="23"/>
      <c r="AV174" s="23"/>
      <c r="AW174" s="23"/>
      <c r="AX174" s="23"/>
      <c r="AY174" s="23"/>
      <c r="AZ174" s="23"/>
    </row>
    <row r="175" spans="1:52" ht="20" customHeight="1" x14ac:dyDescent="0.2">
      <c r="A175" s="60"/>
      <c r="B175" s="82"/>
      <c r="C175" s="24" t="s">
        <v>85</v>
      </c>
      <c r="D175" s="23" t="s">
        <v>103</v>
      </c>
      <c r="E175" s="23" t="s">
        <v>104</v>
      </c>
      <c r="F175" s="24">
        <v>1996</v>
      </c>
      <c r="G175" s="24">
        <v>12</v>
      </c>
      <c r="H175" s="89">
        <v>97</v>
      </c>
      <c r="I175" s="85" t="s">
        <v>203</v>
      </c>
      <c r="J175" s="32" t="s">
        <v>204</v>
      </c>
      <c r="K175" s="106"/>
      <c r="L175" s="36" t="str">
        <f t="shared" si="98"/>
        <v/>
      </c>
      <c r="M175" s="33">
        <v>3</v>
      </c>
      <c r="N175" s="36">
        <f t="shared" si="99"/>
        <v>3.0927835051546393</v>
      </c>
      <c r="O175" s="33"/>
      <c r="P175" s="36" t="str">
        <f t="shared" si="100"/>
        <v/>
      </c>
      <c r="Q175" s="33"/>
      <c r="R175" s="36" t="str">
        <f t="shared" si="101"/>
        <v/>
      </c>
      <c r="S175" s="33">
        <v>6</v>
      </c>
      <c r="T175" s="36">
        <f t="shared" si="102"/>
        <v>6.1855670103092786</v>
      </c>
      <c r="U175" s="33">
        <v>4</v>
      </c>
      <c r="V175" s="36">
        <f t="shared" si="103"/>
        <v>4.1237113402061851</v>
      </c>
      <c r="W175" s="33"/>
      <c r="X175" s="36" t="str">
        <f t="shared" si="110"/>
        <v/>
      </c>
      <c r="Y175" s="33"/>
      <c r="Z175" s="36" t="str">
        <f t="shared" si="111"/>
        <v/>
      </c>
      <c r="AA175" s="33">
        <v>1</v>
      </c>
      <c r="AB175" s="36">
        <f t="shared" si="87"/>
        <v>1.0309278350515463</v>
      </c>
      <c r="AC175" s="33">
        <v>1</v>
      </c>
      <c r="AD175" s="36">
        <f t="shared" si="88"/>
        <v>1.0309278350515463</v>
      </c>
      <c r="AE175" s="33"/>
      <c r="AF175" s="36" t="str">
        <f t="shared" si="89"/>
        <v/>
      </c>
      <c r="AG175" s="23" t="s">
        <v>387</v>
      </c>
      <c r="AH175" s="23"/>
      <c r="AI175" s="23"/>
      <c r="AJ175" s="23"/>
      <c r="AK175" s="23"/>
      <c r="AL175" s="23"/>
      <c r="AM175" s="23"/>
      <c r="AN175" s="23"/>
      <c r="AO175" s="23"/>
      <c r="AP175" s="23"/>
      <c r="AQ175" s="23"/>
      <c r="AR175" s="23"/>
      <c r="AS175" s="23"/>
      <c r="AT175" s="23"/>
      <c r="AU175" s="23"/>
      <c r="AV175" s="23"/>
      <c r="AW175" s="23"/>
      <c r="AX175" s="23"/>
      <c r="AY175" s="23"/>
      <c r="AZ175" s="23"/>
    </row>
    <row r="176" spans="1:52" ht="20" customHeight="1" x14ac:dyDescent="0.2">
      <c r="A176" s="60"/>
      <c r="B176" s="83"/>
      <c r="C176" s="24" t="s">
        <v>85</v>
      </c>
      <c r="D176" s="23" t="s">
        <v>303</v>
      </c>
      <c r="E176" s="23" t="s">
        <v>304</v>
      </c>
      <c r="F176" s="24">
        <v>2009</v>
      </c>
      <c r="H176" s="89">
        <v>68</v>
      </c>
      <c r="I176" s="85" t="s">
        <v>214</v>
      </c>
      <c r="J176" s="32" t="s">
        <v>365</v>
      </c>
      <c r="K176" s="106"/>
      <c r="L176" s="36" t="str">
        <f t="shared" si="98"/>
        <v/>
      </c>
      <c r="M176" s="33"/>
      <c r="N176" s="36" t="str">
        <f t="shared" si="99"/>
        <v/>
      </c>
      <c r="O176" s="33"/>
      <c r="P176" s="36" t="str">
        <f t="shared" si="100"/>
        <v/>
      </c>
      <c r="Q176" s="33"/>
      <c r="R176" s="36" t="str">
        <f t="shared" si="101"/>
        <v/>
      </c>
      <c r="S176" s="33"/>
      <c r="T176" s="36" t="str">
        <f t="shared" si="102"/>
        <v/>
      </c>
      <c r="U176" s="33"/>
      <c r="V176" s="36" t="str">
        <f t="shared" si="103"/>
        <v/>
      </c>
      <c r="W176" s="33"/>
      <c r="X176" s="36" t="str">
        <f>IF((ISERROR((W176/$H176)*100)), "", IF(AND(NOT(ISERROR((W176/$H176)*100)),((W176/$H176)*100) &lt;&gt; 0), (W176/$H176)*100, ""))</f>
        <v/>
      </c>
      <c r="Y176" s="33"/>
      <c r="Z176" s="36" t="str">
        <f t="shared" si="111"/>
        <v/>
      </c>
      <c r="AA176" s="33"/>
      <c r="AB176" s="36" t="str">
        <f t="shared" si="87"/>
        <v/>
      </c>
      <c r="AC176" s="33"/>
      <c r="AD176" s="36" t="str">
        <f t="shared" si="88"/>
        <v/>
      </c>
      <c r="AE176" s="33"/>
      <c r="AF176" s="36" t="str">
        <f t="shared" si="89"/>
        <v/>
      </c>
      <c r="AG176" s="23" t="s">
        <v>419</v>
      </c>
      <c r="AH176" s="23"/>
      <c r="AI176" s="23"/>
      <c r="AJ176" s="23"/>
      <c r="AK176" s="23"/>
      <c r="AL176" s="23"/>
      <c r="AM176" s="23"/>
      <c r="AN176" s="23"/>
      <c r="AO176" s="23"/>
      <c r="AP176" s="23"/>
      <c r="AQ176" s="23"/>
      <c r="AR176" s="23"/>
      <c r="AS176" s="23"/>
      <c r="AT176" s="23"/>
      <c r="AU176" s="23"/>
      <c r="AV176" s="23"/>
      <c r="AW176" s="23"/>
      <c r="AX176" s="23"/>
      <c r="AY176" s="23"/>
      <c r="AZ176" s="23"/>
    </row>
    <row r="177" spans="1:52" ht="20" customHeight="1" x14ac:dyDescent="0.2">
      <c r="A177" s="61"/>
      <c r="B177" s="24"/>
      <c r="C177" s="24" t="s">
        <v>85</v>
      </c>
      <c r="D177" s="23" t="s">
        <v>105</v>
      </c>
      <c r="E177" s="23" t="s">
        <v>106</v>
      </c>
      <c r="F177" s="24">
        <v>1989</v>
      </c>
      <c r="G177" s="24">
        <v>27</v>
      </c>
      <c r="H177" s="89"/>
      <c r="I177" s="85" t="s">
        <v>209</v>
      </c>
      <c r="J177" s="32" t="s">
        <v>178</v>
      </c>
      <c r="K177" s="106"/>
      <c r="L177" s="36" t="str">
        <f t="shared" si="98"/>
        <v/>
      </c>
      <c r="M177" s="33"/>
      <c r="N177" s="36" t="str">
        <f t="shared" si="99"/>
        <v/>
      </c>
      <c r="O177" s="33"/>
      <c r="P177" s="36" t="str">
        <f t="shared" si="100"/>
        <v/>
      </c>
      <c r="Q177" s="33"/>
      <c r="R177" s="36" t="str">
        <f t="shared" si="101"/>
        <v/>
      </c>
      <c r="S177" s="33"/>
      <c r="T177" s="36" t="str">
        <f t="shared" si="102"/>
        <v/>
      </c>
      <c r="U177" s="33"/>
      <c r="V177" s="36" t="str">
        <f t="shared" si="103"/>
        <v/>
      </c>
      <c r="W177" s="33"/>
      <c r="X177" s="36" t="str">
        <f>IF((ISERROR((W177/$H177)*100)), "", IF(AND(NOT(ISERROR((W177/$H177)*100)),((W177/$H177)*100) &lt;&gt; 0), (W177/$H177)*100, ""))</f>
        <v/>
      </c>
      <c r="Y177" s="33"/>
      <c r="Z177" s="36" t="str">
        <f t="shared" si="111"/>
        <v/>
      </c>
      <c r="AA177" s="33"/>
      <c r="AB177" s="36" t="str">
        <f t="shared" si="87"/>
        <v/>
      </c>
      <c r="AC177" s="33"/>
      <c r="AD177" s="36" t="str">
        <f t="shared" si="88"/>
        <v/>
      </c>
      <c r="AE177" s="33"/>
      <c r="AF177" s="36" t="str">
        <f t="shared" si="89"/>
        <v/>
      </c>
      <c r="AG177" s="23"/>
      <c r="AH177" s="23"/>
      <c r="AI177" s="23"/>
      <c r="AJ177" s="23"/>
      <c r="AK177" s="23"/>
      <c r="AL177" s="23"/>
      <c r="AM177" s="23"/>
      <c r="AN177" s="23"/>
      <c r="AO177" s="23"/>
      <c r="AP177" s="23"/>
      <c r="AQ177" s="23"/>
      <c r="AR177" s="23"/>
      <c r="AS177" s="23"/>
      <c r="AT177" s="23"/>
      <c r="AU177" s="23"/>
      <c r="AV177" s="23"/>
      <c r="AW177" s="23"/>
      <c r="AX177" s="23"/>
      <c r="AY177" s="23"/>
      <c r="AZ177" s="23"/>
    </row>
    <row r="178" spans="1:52" ht="20" customHeight="1" x14ac:dyDescent="0.2">
      <c r="A178" s="61"/>
      <c r="B178" s="83"/>
      <c r="C178" s="24" t="s">
        <v>85</v>
      </c>
      <c r="D178" s="23" t="s">
        <v>305</v>
      </c>
      <c r="E178" s="23" t="s">
        <v>306</v>
      </c>
      <c r="F178" s="24">
        <v>2011</v>
      </c>
      <c r="H178" s="89"/>
      <c r="I178" s="85"/>
      <c r="J178" s="32"/>
      <c r="K178" s="106"/>
      <c r="L178" s="36" t="str">
        <f t="shared" si="98"/>
        <v/>
      </c>
      <c r="M178" s="33"/>
      <c r="N178" s="36" t="str">
        <f t="shared" si="99"/>
        <v/>
      </c>
      <c r="O178" s="33"/>
      <c r="P178" s="36" t="str">
        <f t="shared" si="100"/>
        <v/>
      </c>
      <c r="Q178" s="33"/>
      <c r="R178" s="36" t="str">
        <f t="shared" si="101"/>
        <v/>
      </c>
      <c r="S178" s="33"/>
      <c r="T178" s="36" t="str">
        <f t="shared" si="102"/>
        <v/>
      </c>
      <c r="U178" s="33"/>
      <c r="V178" s="36" t="str">
        <f t="shared" si="103"/>
        <v/>
      </c>
      <c r="W178" s="33"/>
      <c r="X178" s="36" t="str">
        <f>IF((ISERROR((W178/$H178)*100)), "", IF(AND(NOT(ISERROR((W178/$H178)*100)),((W178/$H178)*100) &lt;&gt; 0), (W178/$H178)*100, ""))</f>
        <v/>
      </c>
      <c r="Y178" s="33"/>
      <c r="Z178" s="36" t="str">
        <f t="shared" si="111"/>
        <v/>
      </c>
      <c r="AA178" s="33"/>
      <c r="AB178" s="36" t="str">
        <f t="shared" si="87"/>
        <v/>
      </c>
      <c r="AC178" s="33"/>
      <c r="AD178" s="36" t="str">
        <f t="shared" si="88"/>
        <v/>
      </c>
      <c r="AE178" s="33"/>
      <c r="AF178" s="36" t="str">
        <f t="shared" si="89"/>
        <v/>
      </c>
      <c r="AG178" s="23" t="s">
        <v>366</v>
      </c>
      <c r="AH178" s="23"/>
      <c r="AI178" s="23"/>
      <c r="AJ178" s="23"/>
      <c r="AK178" s="23"/>
      <c r="AL178" s="23"/>
      <c r="AM178" s="23"/>
      <c r="AN178" s="23"/>
      <c r="AO178" s="23"/>
      <c r="AP178" s="23"/>
      <c r="AQ178" s="23"/>
      <c r="AR178" s="23"/>
      <c r="AS178" s="23"/>
      <c r="AT178" s="23"/>
      <c r="AU178" s="23"/>
      <c r="AV178" s="23"/>
      <c r="AW178" s="23"/>
      <c r="AX178" s="23"/>
      <c r="AY178" s="23"/>
      <c r="AZ178" s="23"/>
    </row>
    <row r="179" spans="1:52" ht="20" customHeight="1" x14ac:dyDescent="0.2">
      <c r="A179" s="61"/>
      <c r="B179" s="82"/>
      <c r="C179" s="24" t="s">
        <v>85</v>
      </c>
      <c r="D179" s="23" t="s">
        <v>307</v>
      </c>
      <c r="E179" s="23" t="s">
        <v>308</v>
      </c>
      <c r="F179" s="24">
        <v>1977</v>
      </c>
      <c r="H179" s="89">
        <v>5</v>
      </c>
      <c r="I179" s="85" t="s">
        <v>367</v>
      </c>
      <c r="J179" s="32"/>
      <c r="K179" s="106"/>
      <c r="L179" s="36" t="str">
        <f t="shared" si="98"/>
        <v/>
      </c>
      <c r="M179" s="33"/>
      <c r="N179" s="36" t="str">
        <f t="shared" si="99"/>
        <v/>
      </c>
      <c r="O179" s="33"/>
      <c r="P179" s="36" t="str">
        <f t="shared" si="100"/>
        <v/>
      </c>
      <c r="Q179" s="33"/>
      <c r="R179" s="36" t="str">
        <f t="shared" si="101"/>
        <v/>
      </c>
      <c r="S179" s="33"/>
      <c r="T179" s="36" t="str">
        <f t="shared" si="102"/>
        <v/>
      </c>
      <c r="U179" s="33"/>
      <c r="V179" s="36" t="str">
        <f t="shared" si="103"/>
        <v/>
      </c>
      <c r="W179" s="33"/>
      <c r="X179" s="36" t="str">
        <f t="shared" si="110"/>
        <v/>
      </c>
      <c r="Y179" s="33"/>
      <c r="Z179" s="36" t="str">
        <f t="shared" si="111"/>
        <v/>
      </c>
      <c r="AA179" s="33"/>
      <c r="AB179" s="36" t="str">
        <f t="shared" si="87"/>
        <v/>
      </c>
      <c r="AC179" s="33"/>
      <c r="AD179" s="36" t="str">
        <f t="shared" si="88"/>
        <v/>
      </c>
      <c r="AE179" s="33"/>
      <c r="AF179" s="36" t="str">
        <f t="shared" si="89"/>
        <v/>
      </c>
      <c r="AG179" s="23" t="s">
        <v>368</v>
      </c>
      <c r="AH179" s="23"/>
      <c r="AI179" s="23"/>
      <c r="AJ179" s="23"/>
      <c r="AK179" s="23"/>
      <c r="AL179" s="23"/>
      <c r="AM179" s="23"/>
      <c r="AN179" s="23"/>
      <c r="AO179" s="23"/>
      <c r="AP179" s="23"/>
      <c r="AQ179" s="23"/>
      <c r="AR179" s="23"/>
      <c r="AS179" s="23"/>
      <c r="AT179" s="23"/>
      <c r="AU179" s="23"/>
      <c r="AV179" s="23"/>
      <c r="AW179" s="23"/>
      <c r="AX179" s="23"/>
      <c r="AY179" s="23"/>
      <c r="AZ179" s="23"/>
    </row>
    <row r="180" spans="1:52" ht="20" customHeight="1" x14ac:dyDescent="0.2">
      <c r="A180" s="60"/>
      <c r="B180" s="82"/>
      <c r="C180" s="24" t="s">
        <v>85</v>
      </c>
      <c r="D180" s="23" t="s">
        <v>107</v>
      </c>
      <c r="E180" s="23" t="s">
        <v>108</v>
      </c>
      <c r="F180" s="24">
        <v>2008</v>
      </c>
      <c r="G180" s="24">
        <v>54</v>
      </c>
      <c r="H180" s="89">
        <v>12</v>
      </c>
      <c r="I180" s="85" t="s">
        <v>168</v>
      </c>
      <c r="J180" s="32" t="s">
        <v>210</v>
      </c>
      <c r="K180" s="106"/>
      <c r="L180" s="36" t="str">
        <f t="shared" si="98"/>
        <v/>
      </c>
      <c r="M180" s="33">
        <v>1</v>
      </c>
      <c r="N180" s="36">
        <f t="shared" si="99"/>
        <v>8.3333333333333321</v>
      </c>
      <c r="O180" s="33">
        <v>1</v>
      </c>
      <c r="P180" s="36">
        <f t="shared" si="100"/>
        <v>8.3333333333333321</v>
      </c>
      <c r="Q180" s="33"/>
      <c r="R180" s="36" t="str">
        <f t="shared" si="101"/>
        <v/>
      </c>
      <c r="S180" s="33"/>
      <c r="T180" s="36" t="str">
        <f t="shared" si="102"/>
        <v/>
      </c>
      <c r="U180" s="33"/>
      <c r="V180" s="36" t="str">
        <f t="shared" si="103"/>
        <v/>
      </c>
      <c r="W180" s="33"/>
      <c r="X180" s="36" t="str">
        <f>IF((ISERROR((W180/$H180)*100)), "", IF(AND(NOT(ISERROR((W180/$H180)*100)),((W180/$H180)*100) &lt;&gt; 0), (W180/$H180)*100, ""))</f>
        <v/>
      </c>
      <c r="Y180" s="33"/>
      <c r="Z180" s="36" t="str">
        <f t="shared" si="111"/>
        <v/>
      </c>
      <c r="AA180" s="33"/>
      <c r="AB180" s="36" t="str">
        <f t="shared" si="87"/>
        <v/>
      </c>
      <c r="AC180" s="33"/>
      <c r="AD180" s="36" t="str">
        <f t="shared" si="88"/>
        <v/>
      </c>
      <c r="AE180" s="33"/>
      <c r="AF180" s="36" t="str">
        <f t="shared" si="89"/>
        <v/>
      </c>
      <c r="AG180" s="23" t="s">
        <v>420</v>
      </c>
      <c r="AH180" s="23"/>
      <c r="AI180" s="23"/>
      <c r="AJ180" s="23"/>
      <c r="AK180" s="23"/>
      <c r="AL180" s="23"/>
      <c r="AM180" s="23"/>
      <c r="AN180" s="23"/>
      <c r="AO180" s="23"/>
      <c r="AP180" s="23"/>
      <c r="AQ180" s="23"/>
      <c r="AR180" s="23"/>
      <c r="AS180" s="23"/>
      <c r="AT180" s="23"/>
      <c r="AU180" s="23"/>
      <c r="AV180" s="23"/>
      <c r="AW180" s="23"/>
      <c r="AX180" s="23"/>
      <c r="AY180" s="23"/>
      <c r="AZ180" s="23"/>
    </row>
    <row r="181" spans="1:52" ht="20" customHeight="1" x14ac:dyDescent="0.2">
      <c r="A181" s="60"/>
      <c r="B181" s="83"/>
      <c r="C181" s="24" t="s">
        <v>85</v>
      </c>
      <c r="D181" s="23" t="s">
        <v>109</v>
      </c>
      <c r="E181" s="23" t="s">
        <v>110</v>
      </c>
      <c r="F181" s="24">
        <v>1999</v>
      </c>
      <c r="G181" s="24">
        <v>76</v>
      </c>
      <c r="H181" s="89">
        <v>7</v>
      </c>
      <c r="I181" s="85" t="s">
        <v>176</v>
      </c>
      <c r="J181" s="32" t="s">
        <v>192</v>
      </c>
      <c r="K181" s="106"/>
      <c r="L181" s="36" t="str">
        <f t="shared" si="98"/>
        <v/>
      </c>
      <c r="M181" s="33"/>
      <c r="N181" s="36" t="str">
        <f t="shared" si="99"/>
        <v/>
      </c>
      <c r="O181" s="33"/>
      <c r="P181" s="36" t="str">
        <f t="shared" si="100"/>
        <v/>
      </c>
      <c r="Q181" s="33"/>
      <c r="R181" s="36" t="str">
        <f t="shared" si="101"/>
        <v/>
      </c>
      <c r="S181" s="33"/>
      <c r="T181" s="36" t="str">
        <f t="shared" si="102"/>
        <v/>
      </c>
      <c r="U181" s="33"/>
      <c r="V181" s="36" t="str">
        <f t="shared" si="103"/>
        <v/>
      </c>
      <c r="W181" s="33"/>
      <c r="X181" s="36" t="str">
        <f>IF((ISERROR((W181/$H181)*100)), "", IF(AND(NOT(ISERROR((W181/$H181)*100)),((W181/$H181)*100) &lt;&gt; 0), (W181/$H181)*100, ""))</f>
        <v/>
      </c>
      <c r="Y181" s="33"/>
      <c r="Z181" s="36" t="str">
        <f t="shared" si="111"/>
        <v/>
      </c>
      <c r="AA181" s="33"/>
      <c r="AB181" s="36" t="str">
        <f t="shared" si="87"/>
        <v/>
      </c>
      <c r="AC181" s="33"/>
      <c r="AD181" s="36" t="str">
        <f t="shared" si="88"/>
        <v/>
      </c>
      <c r="AE181" s="33"/>
      <c r="AF181" s="36" t="str">
        <f t="shared" si="89"/>
        <v/>
      </c>
      <c r="AG181" s="23" t="s">
        <v>181</v>
      </c>
      <c r="AH181" s="23"/>
      <c r="AI181" s="23"/>
      <c r="AJ181" s="23"/>
      <c r="AK181" s="23"/>
      <c r="AL181" s="23"/>
      <c r="AM181" s="23"/>
      <c r="AN181" s="23"/>
      <c r="AO181" s="23"/>
      <c r="AP181" s="23"/>
      <c r="AQ181" s="23"/>
      <c r="AR181" s="23"/>
      <c r="AS181" s="23"/>
      <c r="AT181" s="23"/>
      <c r="AU181" s="23"/>
      <c r="AV181" s="23"/>
      <c r="AW181" s="23"/>
      <c r="AX181" s="23"/>
      <c r="AY181" s="23"/>
      <c r="AZ181" s="23"/>
    </row>
    <row r="182" spans="1:52" ht="20" customHeight="1" x14ac:dyDescent="0.2">
      <c r="A182" s="61"/>
      <c r="B182" s="83"/>
      <c r="C182" s="24" t="s">
        <v>85</v>
      </c>
      <c r="D182" s="23" t="s">
        <v>111</v>
      </c>
      <c r="E182" s="23" t="s">
        <v>112</v>
      </c>
      <c r="F182" s="24">
        <v>2008</v>
      </c>
      <c r="G182" s="24">
        <v>101</v>
      </c>
      <c r="H182" s="89">
        <v>16</v>
      </c>
      <c r="I182" s="85" t="s">
        <v>211</v>
      </c>
      <c r="J182" s="32"/>
      <c r="K182" s="106"/>
      <c r="L182" s="36" t="str">
        <f t="shared" si="98"/>
        <v/>
      </c>
      <c r="M182" s="33"/>
      <c r="N182" s="36" t="str">
        <f t="shared" si="99"/>
        <v/>
      </c>
      <c r="O182" s="33"/>
      <c r="P182" s="36" t="str">
        <f t="shared" si="100"/>
        <v/>
      </c>
      <c r="Q182" s="33"/>
      <c r="R182" s="36" t="str">
        <f t="shared" si="101"/>
        <v/>
      </c>
      <c r="S182" s="33"/>
      <c r="T182" s="36" t="str">
        <f t="shared" si="102"/>
        <v/>
      </c>
      <c r="U182" s="33"/>
      <c r="V182" s="36" t="str">
        <f t="shared" si="103"/>
        <v/>
      </c>
      <c r="W182" s="33"/>
      <c r="X182" s="36" t="str">
        <f>IF((ISERROR((W182/$H182)*100)), "", IF(AND(NOT(ISERROR((W182/$H182)*100)),((W182/$H182)*100) &lt;&gt; 0), (W182/$H182)*100, ""))</f>
        <v/>
      </c>
      <c r="Y182" s="33"/>
      <c r="Z182" s="36" t="str">
        <f t="shared" si="111"/>
        <v/>
      </c>
      <c r="AA182" s="33"/>
      <c r="AB182" s="36" t="str">
        <f t="shared" si="87"/>
        <v/>
      </c>
      <c r="AC182" s="33"/>
      <c r="AD182" s="36" t="str">
        <f t="shared" si="88"/>
        <v/>
      </c>
      <c r="AE182" s="33"/>
      <c r="AF182" s="36" t="str">
        <f t="shared" si="89"/>
        <v/>
      </c>
      <c r="AG182" s="23" t="s">
        <v>388</v>
      </c>
      <c r="AH182" s="23"/>
      <c r="AI182" s="23"/>
      <c r="AJ182" s="23"/>
      <c r="AK182" s="23"/>
      <c r="AL182" s="23"/>
      <c r="AM182" s="23"/>
      <c r="AN182" s="23"/>
      <c r="AO182" s="23"/>
      <c r="AP182" s="23"/>
      <c r="AQ182" s="23"/>
      <c r="AR182" s="23"/>
      <c r="AS182" s="23"/>
      <c r="AT182" s="23"/>
      <c r="AU182" s="23"/>
      <c r="AV182" s="23"/>
      <c r="AW182" s="23"/>
      <c r="AX182" s="23"/>
      <c r="AY182" s="23"/>
      <c r="AZ182" s="23"/>
    </row>
    <row r="183" spans="1:52" ht="20" customHeight="1" x14ac:dyDescent="0.2">
      <c r="A183" s="60"/>
      <c r="B183" s="82"/>
      <c r="C183" s="24" t="s">
        <v>85</v>
      </c>
      <c r="D183" s="23" t="s">
        <v>113</v>
      </c>
      <c r="E183" s="23" t="s">
        <v>114</v>
      </c>
      <c r="F183" s="24">
        <v>1997</v>
      </c>
      <c r="G183" s="24">
        <v>127</v>
      </c>
      <c r="H183" s="89">
        <v>8</v>
      </c>
      <c r="I183" s="85" t="s">
        <v>212</v>
      </c>
      <c r="J183" s="32" t="s">
        <v>213</v>
      </c>
      <c r="K183" s="106"/>
      <c r="L183" s="36" t="str">
        <f t="shared" si="98"/>
        <v/>
      </c>
      <c r="M183" s="33"/>
      <c r="N183" s="36" t="str">
        <f t="shared" si="99"/>
        <v/>
      </c>
      <c r="O183" s="33"/>
      <c r="P183" s="36" t="str">
        <f t="shared" si="100"/>
        <v/>
      </c>
      <c r="Q183" s="33"/>
      <c r="R183" s="36" t="str">
        <f t="shared" si="101"/>
        <v/>
      </c>
      <c r="S183" s="33"/>
      <c r="T183" s="36" t="str">
        <f t="shared" si="102"/>
        <v/>
      </c>
      <c r="U183" s="33"/>
      <c r="V183" s="36" t="str">
        <f t="shared" si="103"/>
        <v/>
      </c>
      <c r="W183" s="33"/>
      <c r="X183" s="36" t="str">
        <f t="shared" si="110"/>
        <v/>
      </c>
      <c r="Y183" s="33"/>
      <c r="Z183" s="36" t="str">
        <f t="shared" si="111"/>
        <v/>
      </c>
      <c r="AA183" s="33"/>
      <c r="AB183" s="36" t="str">
        <f t="shared" si="87"/>
        <v/>
      </c>
      <c r="AC183" s="33"/>
      <c r="AD183" s="36" t="str">
        <f t="shared" si="88"/>
        <v/>
      </c>
      <c r="AE183" s="33"/>
      <c r="AF183" s="36" t="str">
        <f t="shared" si="89"/>
        <v/>
      </c>
      <c r="AG183" s="23" t="s">
        <v>389</v>
      </c>
      <c r="AH183" s="23"/>
      <c r="AI183" s="23"/>
      <c r="AJ183" s="23"/>
      <c r="AK183" s="23"/>
      <c r="AL183" s="23"/>
      <c r="AM183" s="23"/>
      <c r="AN183" s="23"/>
      <c r="AO183" s="23"/>
      <c r="AP183" s="23"/>
      <c r="AQ183" s="23"/>
      <c r="AR183" s="23"/>
      <c r="AS183" s="23"/>
      <c r="AT183" s="23"/>
      <c r="AU183" s="23"/>
      <c r="AV183" s="23"/>
      <c r="AW183" s="23"/>
      <c r="AX183" s="23"/>
      <c r="AY183" s="23"/>
      <c r="AZ183" s="23"/>
    </row>
    <row r="184" spans="1:52" ht="20" customHeight="1" x14ac:dyDescent="0.2">
      <c r="A184" s="60"/>
      <c r="B184" s="24"/>
      <c r="C184" s="24" t="s">
        <v>85</v>
      </c>
      <c r="D184" s="23" t="s">
        <v>115</v>
      </c>
      <c r="E184" s="23" t="s">
        <v>116</v>
      </c>
      <c r="F184" s="24">
        <v>2001</v>
      </c>
      <c r="G184" s="24">
        <v>143</v>
      </c>
      <c r="H184" s="89">
        <v>6</v>
      </c>
      <c r="I184" s="85" t="s">
        <v>214</v>
      </c>
      <c r="J184" s="32" t="s">
        <v>193</v>
      </c>
      <c r="K184" s="106"/>
      <c r="L184" s="36" t="str">
        <f t="shared" si="98"/>
        <v/>
      </c>
      <c r="M184" s="33"/>
      <c r="N184" s="36" t="str">
        <f t="shared" si="99"/>
        <v/>
      </c>
      <c r="O184" s="33"/>
      <c r="P184" s="36" t="str">
        <f t="shared" si="100"/>
        <v/>
      </c>
      <c r="Q184" s="33"/>
      <c r="R184" s="36" t="str">
        <f t="shared" si="101"/>
        <v/>
      </c>
      <c r="S184" s="33"/>
      <c r="T184" s="36" t="str">
        <f t="shared" si="102"/>
        <v/>
      </c>
      <c r="U184" s="33"/>
      <c r="V184" s="36" t="str">
        <f t="shared" si="103"/>
        <v/>
      </c>
      <c r="W184" s="33"/>
      <c r="X184" s="36" t="str">
        <f t="shared" si="110"/>
        <v/>
      </c>
      <c r="Y184" s="33"/>
      <c r="Z184" s="36" t="str">
        <f t="shared" si="111"/>
        <v/>
      </c>
      <c r="AA184" s="33"/>
      <c r="AB184" s="36" t="str">
        <f t="shared" si="87"/>
        <v/>
      </c>
      <c r="AC184" s="33"/>
      <c r="AD184" s="36" t="str">
        <f t="shared" si="88"/>
        <v/>
      </c>
      <c r="AE184" s="33"/>
      <c r="AF184" s="36" t="str">
        <f t="shared" si="89"/>
        <v/>
      </c>
      <c r="AG184" s="23" t="s">
        <v>215</v>
      </c>
      <c r="AH184" s="23"/>
      <c r="AI184" s="23"/>
      <c r="AJ184" s="23"/>
      <c r="AK184" s="23"/>
      <c r="AL184" s="23"/>
      <c r="AM184" s="23"/>
      <c r="AN184" s="23"/>
      <c r="AO184" s="23"/>
      <c r="AP184" s="23"/>
      <c r="AQ184" s="23"/>
      <c r="AR184" s="23"/>
      <c r="AS184" s="23"/>
      <c r="AT184" s="23"/>
      <c r="AU184" s="23"/>
      <c r="AV184" s="23"/>
      <c r="AW184" s="23"/>
      <c r="AX184" s="23"/>
      <c r="AY184" s="23"/>
      <c r="AZ184" s="23"/>
    </row>
    <row r="185" spans="1:52" ht="20" customHeight="1" x14ac:dyDescent="0.2">
      <c r="A185" s="60"/>
      <c r="B185" s="82"/>
      <c r="C185" s="24" t="s">
        <v>85</v>
      </c>
      <c r="D185" s="23" t="s">
        <v>119</v>
      </c>
      <c r="E185" s="23" t="s">
        <v>120</v>
      </c>
      <c r="F185" s="24">
        <v>2003</v>
      </c>
      <c r="G185" s="24">
        <v>45</v>
      </c>
      <c r="H185" s="89">
        <v>16</v>
      </c>
      <c r="I185" s="85" t="s">
        <v>176</v>
      </c>
      <c r="J185" s="32" t="s">
        <v>421</v>
      </c>
      <c r="K185" s="106"/>
      <c r="L185" s="36" t="str">
        <f t="shared" ref="L185:L193" si="112">IF((ISERROR((K185/$H185)*100)), "", IF(AND(NOT(ISERROR((K185/$H185)*100)),((K185/$H185)*100) &lt;&gt; 0), (K185/$H185)*100, ""))</f>
        <v/>
      </c>
      <c r="M185" s="33"/>
      <c r="N185" s="36" t="str">
        <f t="shared" ref="N185:N193" si="113">IF((ISERROR((M185/$H185)*100)), "", IF(AND(NOT(ISERROR((M185/$H185)*100)),((M185/$H185)*100) &lt;&gt; 0), (M185/$H185)*100, ""))</f>
        <v/>
      </c>
      <c r="O185" s="33"/>
      <c r="P185" s="36" t="str">
        <f t="shared" ref="P185:P193" si="114">IF((ISERROR((O185/$H185)*100)), "", IF(AND(NOT(ISERROR((O185/$H185)*100)),((O185/$H185)*100) &lt;&gt; 0), (O185/$H185)*100, ""))</f>
        <v/>
      </c>
      <c r="Q185" s="33"/>
      <c r="R185" s="36" t="str">
        <f t="shared" ref="R185:R193" si="115">IF((ISERROR((Q185/$H185)*100)), "", IF(AND(NOT(ISERROR((Q185/$H185)*100)),((Q185/$H185)*100) &lt;&gt; 0), (Q185/$H185)*100, ""))</f>
        <v/>
      </c>
      <c r="S185" s="33"/>
      <c r="T185" s="36" t="str">
        <f t="shared" ref="T185:T193" si="116">IF((ISERROR((S185/$H185)*100)), "", IF(AND(NOT(ISERROR((S185/$H185)*100)),((S185/$H185)*100) &lt;&gt; 0), (S185/$H185)*100, ""))</f>
        <v/>
      </c>
      <c r="U185" s="33"/>
      <c r="V185" s="36" t="str">
        <f t="shared" ref="V185:V193" si="117">IF((ISERROR((U185/$H185)*100)), "", IF(AND(NOT(ISERROR((U185/$H185)*100)),((U185/$H185)*100) &lt;&gt; 0), (U185/$H185)*100, ""))</f>
        <v/>
      </c>
      <c r="W185" s="33"/>
      <c r="X185" s="36" t="str">
        <f>IF((ISERROR((W185/$H185)*100)), "", IF(AND(NOT(ISERROR((W185/$H185)*100)),((W185/$H185)*100) &lt;&gt; 0), (W185/$H185)*100, ""))</f>
        <v/>
      </c>
      <c r="Y185" s="33"/>
      <c r="Z185" s="36" t="str">
        <f t="shared" si="111"/>
        <v/>
      </c>
      <c r="AA185" s="33"/>
      <c r="AB185" s="36" t="str">
        <f t="shared" ref="AB185:AB205" si="118">IF((ISERROR((AA185/$H185)*100)), "", IF(AND(NOT(ISERROR((AA185/$H185)*100)),((AA185/$H185)*100) &lt;&gt; 0), (AA185/$H185)*100, ""))</f>
        <v/>
      </c>
      <c r="AC185" s="33"/>
      <c r="AD185" s="36" t="str">
        <f t="shared" ref="AD185:AD205" si="119">IF((ISERROR((AC185/$H185)*100)), "", IF(AND(NOT(ISERROR((AC185/$H185)*100)),((AC185/$H185)*100) &lt;&gt; 0), (AC185/$H185)*100, ""))</f>
        <v/>
      </c>
      <c r="AE185" s="33"/>
      <c r="AF185" s="36" t="str">
        <f t="shared" ref="AF185:AF205" si="120">IF((ISERROR((AE185/$H185)*100)), "", IF(AND(NOT(ISERROR((AE185/$H185)*100)),((AE185/$H185)*100) &lt;&gt; 0), (AE185/$H185)*100, ""))</f>
        <v/>
      </c>
      <c r="AG185" s="23" t="s">
        <v>409</v>
      </c>
      <c r="AH185" s="23"/>
      <c r="AI185" s="23"/>
      <c r="AJ185" s="23"/>
      <c r="AK185" s="23"/>
      <c r="AL185" s="23"/>
      <c r="AM185" s="23"/>
      <c r="AN185" s="23"/>
      <c r="AO185" s="23"/>
      <c r="AP185" s="23"/>
      <c r="AQ185" s="23"/>
      <c r="AR185" s="23"/>
      <c r="AS185" s="23"/>
      <c r="AT185" s="23"/>
      <c r="AU185" s="23"/>
      <c r="AV185" s="23"/>
      <c r="AW185" s="23"/>
      <c r="AX185" s="23"/>
      <c r="AY185" s="23"/>
      <c r="AZ185" s="23"/>
    </row>
    <row r="186" spans="1:52" ht="20" customHeight="1" x14ac:dyDescent="0.2">
      <c r="A186" s="60"/>
      <c r="B186" s="83"/>
      <c r="C186" s="24" t="s">
        <v>85</v>
      </c>
      <c r="D186" s="23" t="s">
        <v>121</v>
      </c>
      <c r="E186" s="23" t="s">
        <v>122</v>
      </c>
      <c r="F186" s="24">
        <v>2002</v>
      </c>
      <c r="G186" s="24">
        <v>73</v>
      </c>
      <c r="H186" s="89">
        <v>49</v>
      </c>
      <c r="I186" s="85" t="s">
        <v>198</v>
      </c>
      <c r="J186" s="32"/>
      <c r="K186" s="106"/>
      <c r="L186" s="36" t="str">
        <f t="shared" si="112"/>
        <v/>
      </c>
      <c r="M186" s="33"/>
      <c r="N186" s="36" t="str">
        <f t="shared" si="113"/>
        <v/>
      </c>
      <c r="O186" s="33"/>
      <c r="P186" s="36" t="str">
        <f t="shared" si="114"/>
        <v/>
      </c>
      <c r="Q186" s="33"/>
      <c r="R186" s="36" t="str">
        <f t="shared" si="115"/>
        <v/>
      </c>
      <c r="S186" s="33"/>
      <c r="T186" s="36" t="str">
        <f t="shared" si="116"/>
        <v/>
      </c>
      <c r="U186" s="33"/>
      <c r="V186" s="36" t="str">
        <f t="shared" si="117"/>
        <v/>
      </c>
      <c r="W186" s="33"/>
      <c r="X186" s="36" t="str">
        <f t="shared" ref="X186:X190" si="121">IF((ISERROR((W186/$H186)*100)), "", IF(AND(NOT(ISERROR((W186/$H186)*100)),((W186/$H186)*100) &lt;&gt; 0), (W186/$H186)*100, ""))</f>
        <v/>
      </c>
      <c r="Y186" s="33"/>
      <c r="Z186" s="36" t="str">
        <f t="shared" si="111"/>
        <v/>
      </c>
      <c r="AA186" s="33"/>
      <c r="AB186" s="36" t="str">
        <f t="shared" si="118"/>
        <v/>
      </c>
      <c r="AC186" s="33"/>
      <c r="AD186" s="36" t="str">
        <f t="shared" si="119"/>
        <v/>
      </c>
      <c r="AE186" s="33"/>
      <c r="AF186" s="36" t="str">
        <f t="shared" si="120"/>
        <v/>
      </c>
      <c r="AG186" s="23" t="s">
        <v>181</v>
      </c>
      <c r="AH186" s="23"/>
      <c r="AI186" s="23"/>
      <c r="AJ186" s="23"/>
      <c r="AK186" s="23"/>
      <c r="AL186" s="23"/>
      <c r="AM186" s="23"/>
      <c r="AN186" s="23"/>
      <c r="AO186" s="23"/>
      <c r="AP186" s="23"/>
      <c r="AQ186" s="23"/>
      <c r="AR186" s="23"/>
      <c r="AS186" s="23"/>
      <c r="AT186" s="23"/>
      <c r="AU186" s="23"/>
      <c r="AV186" s="23"/>
      <c r="AW186" s="23"/>
      <c r="AX186" s="23"/>
      <c r="AY186" s="23"/>
      <c r="AZ186" s="23"/>
    </row>
    <row r="187" spans="1:52" ht="20" customHeight="1" x14ac:dyDescent="0.2">
      <c r="A187" s="60"/>
      <c r="B187" s="82"/>
      <c r="C187" s="24" t="s">
        <v>85</v>
      </c>
      <c r="D187" s="23" t="s">
        <v>309</v>
      </c>
      <c r="E187" s="23" t="s">
        <v>310</v>
      </c>
      <c r="F187" s="24">
        <v>2015</v>
      </c>
      <c r="H187" s="89">
        <v>5</v>
      </c>
      <c r="I187" s="85" t="s">
        <v>211</v>
      </c>
      <c r="J187" s="32" t="s">
        <v>188</v>
      </c>
      <c r="K187" s="106">
        <v>1</v>
      </c>
      <c r="L187" s="36">
        <f t="shared" si="112"/>
        <v>20</v>
      </c>
      <c r="M187" s="33"/>
      <c r="N187" s="36" t="str">
        <f t="shared" si="113"/>
        <v/>
      </c>
      <c r="O187" s="33"/>
      <c r="P187" s="36" t="str">
        <f t="shared" si="114"/>
        <v/>
      </c>
      <c r="Q187" s="33"/>
      <c r="R187" s="36" t="str">
        <f t="shared" si="115"/>
        <v/>
      </c>
      <c r="S187" s="33"/>
      <c r="T187" s="36" t="str">
        <f t="shared" si="116"/>
        <v/>
      </c>
      <c r="U187" s="33"/>
      <c r="V187" s="36" t="str">
        <f t="shared" si="117"/>
        <v/>
      </c>
      <c r="W187" s="33"/>
      <c r="X187" s="36" t="str">
        <f>IF((ISERROR((W187/$H187)*100)), "", IF(AND(NOT(ISERROR((W187/$H187)*100)),((W187/$H187)*100) &lt;&gt; 0), (W187/$H187)*100, ""))</f>
        <v/>
      </c>
      <c r="Y187" s="33"/>
      <c r="Z187" s="36" t="str">
        <f t="shared" si="111"/>
        <v/>
      </c>
      <c r="AA187" s="33"/>
      <c r="AB187" s="36" t="str">
        <f t="shared" si="118"/>
        <v/>
      </c>
      <c r="AC187" s="33"/>
      <c r="AD187" s="36" t="str">
        <f t="shared" si="119"/>
        <v/>
      </c>
      <c r="AE187" s="33"/>
      <c r="AF187" s="36" t="str">
        <f t="shared" si="120"/>
        <v/>
      </c>
      <c r="AG187" s="23" t="s">
        <v>422</v>
      </c>
      <c r="AH187" s="23"/>
      <c r="AI187" s="23"/>
      <c r="AJ187" s="23"/>
      <c r="AK187" s="23"/>
      <c r="AL187" s="23"/>
      <c r="AM187" s="23"/>
      <c r="AN187" s="23"/>
      <c r="AO187" s="23"/>
      <c r="AP187" s="23"/>
      <c r="AQ187" s="23"/>
      <c r="AR187" s="23"/>
      <c r="AS187" s="23"/>
      <c r="AT187" s="23"/>
      <c r="AU187" s="23"/>
      <c r="AV187" s="23"/>
      <c r="AW187" s="23"/>
      <c r="AX187" s="23"/>
      <c r="AY187" s="23"/>
      <c r="AZ187" s="23"/>
    </row>
    <row r="188" spans="1:52" ht="20" customHeight="1" x14ac:dyDescent="0.2">
      <c r="A188" s="60"/>
      <c r="B188" s="83"/>
      <c r="C188" s="24" t="s">
        <v>85</v>
      </c>
      <c r="D188" s="23" t="s">
        <v>311</v>
      </c>
      <c r="E188" s="23" t="s">
        <v>312</v>
      </c>
      <c r="F188" s="24">
        <v>2008</v>
      </c>
      <c r="H188" s="89">
        <v>86</v>
      </c>
      <c r="I188" s="85" t="s">
        <v>176</v>
      </c>
      <c r="J188" s="32"/>
      <c r="K188" s="106"/>
      <c r="L188" s="36" t="str">
        <f t="shared" si="112"/>
        <v/>
      </c>
      <c r="M188" s="33"/>
      <c r="N188" s="36" t="str">
        <f t="shared" si="113"/>
        <v/>
      </c>
      <c r="O188" s="33"/>
      <c r="P188" s="36" t="str">
        <f t="shared" si="114"/>
        <v/>
      </c>
      <c r="Q188" s="33"/>
      <c r="R188" s="36" t="str">
        <f t="shared" si="115"/>
        <v/>
      </c>
      <c r="S188" s="33"/>
      <c r="T188" s="36" t="str">
        <f t="shared" si="116"/>
        <v/>
      </c>
      <c r="U188" s="33"/>
      <c r="V188" s="36" t="str">
        <f t="shared" si="117"/>
        <v/>
      </c>
      <c r="W188" s="33"/>
      <c r="X188" s="36" t="str">
        <f>IF((ISERROR((W188/$H188)*100)), "", IF(AND(NOT(ISERROR((W188/$H188)*100)),((W188/$H188)*100) &lt;&gt; 0), (W188/$H188)*100, ""))</f>
        <v/>
      </c>
      <c r="Y188" s="33"/>
      <c r="Z188" s="36" t="str">
        <f t="shared" si="111"/>
        <v/>
      </c>
      <c r="AA188" s="33"/>
      <c r="AB188" s="36" t="str">
        <f t="shared" si="118"/>
        <v/>
      </c>
      <c r="AC188" s="33"/>
      <c r="AD188" s="36" t="str">
        <f t="shared" si="119"/>
        <v/>
      </c>
      <c r="AE188" s="33"/>
      <c r="AF188" s="36" t="str">
        <f t="shared" si="120"/>
        <v/>
      </c>
      <c r="AG188" s="23" t="s">
        <v>369</v>
      </c>
      <c r="AH188" s="23"/>
      <c r="AI188" s="23"/>
      <c r="AJ188" s="23"/>
      <c r="AK188" s="23"/>
      <c r="AL188" s="23"/>
      <c r="AM188" s="23"/>
      <c r="AN188" s="23"/>
      <c r="AO188" s="23"/>
      <c r="AP188" s="23"/>
      <c r="AQ188" s="23"/>
      <c r="AR188" s="23"/>
      <c r="AS188" s="23"/>
      <c r="AT188" s="23"/>
      <c r="AU188" s="23"/>
      <c r="AV188" s="23"/>
      <c r="AW188" s="23"/>
      <c r="AX188" s="23"/>
      <c r="AY188" s="23"/>
      <c r="AZ188" s="23"/>
    </row>
    <row r="189" spans="1:52" ht="20" customHeight="1" x14ac:dyDescent="0.2">
      <c r="A189" s="60"/>
      <c r="B189" s="83"/>
      <c r="C189" s="24" t="s">
        <v>85</v>
      </c>
      <c r="D189" s="23" t="s">
        <v>313</v>
      </c>
      <c r="E189" s="23" t="s">
        <v>314</v>
      </c>
      <c r="F189" s="24">
        <v>2012</v>
      </c>
      <c r="H189" s="89"/>
      <c r="I189" s="85" t="s">
        <v>370</v>
      </c>
      <c r="J189" s="32" t="s">
        <v>210</v>
      </c>
      <c r="K189" s="106"/>
      <c r="L189" s="36" t="str">
        <f t="shared" si="112"/>
        <v/>
      </c>
      <c r="M189" s="33"/>
      <c r="N189" s="36" t="str">
        <f t="shared" si="113"/>
        <v/>
      </c>
      <c r="O189" s="33"/>
      <c r="P189" s="36" t="str">
        <f t="shared" si="114"/>
        <v/>
      </c>
      <c r="Q189" s="33"/>
      <c r="R189" s="36" t="str">
        <f t="shared" si="115"/>
        <v/>
      </c>
      <c r="S189" s="33"/>
      <c r="T189" s="36" t="str">
        <f t="shared" si="116"/>
        <v/>
      </c>
      <c r="U189" s="33"/>
      <c r="V189" s="36" t="str">
        <f t="shared" si="117"/>
        <v/>
      </c>
      <c r="W189" s="33"/>
      <c r="X189" s="36" t="str">
        <f>IF((ISERROR((W189/$H189)*100)), "", IF(AND(NOT(ISERROR((W189/$H189)*100)),((W189/$H189)*100) &lt;&gt; 0), (W189/$H189)*100, ""))</f>
        <v/>
      </c>
      <c r="Y189" s="33"/>
      <c r="Z189" s="36" t="str">
        <f t="shared" ref="Z189:Z191" si="122">IF((ISERROR((Y189/$H189)*100)), "", IF(AND(NOT(ISERROR((Y189/$H189)*100)),((Y189/$H189)*100) &lt;&gt; 0), (Y189/$H189)*100, ""))</f>
        <v/>
      </c>
      <c r="AA189" s="33"/>
      <c r="AB189" s="36" t="str">
        <f t="shared" si="118"/>
        <v/>
      </c>
      <c r="AC189" s="33"/>
      <c r="AD189" s="36" t="str">
        <f t="shared" si="119"/>
        <v/>
      </c>
      <c r="AE189" s="33"/>
      <c r="AF189" s="36" t="str">
        <f t="shared" si="120"/>
        <v/>
      </c>
      <c r="AG189" s="23"/>
      <c r="AH189" s="23"/>
      <c r="AI189" s="23"/>
      <c r="AJ189" s="23"/>
      <c r="AK189" s="23"/>
      <c r="AL189" s="23"/>
      <c r="AM189" s="23"/>
      <c r="AN189" s="23"/>
      <c r="AO189" s="23"/>
      <c r="AP189" s="23"/>
      <c r="AQ189" s="23"/>
      <c r="AR189" s="23"/>
      <c r="AS189" s="23"/>
      <c r="AT189" s="23"/>
      <c r="AU189" s="23"/>
      <c r="AV189" s="23"/>
      <c r="AW189" s="23"/>
      <c r="AX189" s="23"/>
      <c r="AY189" s="23"/>
      <c r="AZ189" s="23"/>
    </row>
    <row r="190" spans="1:52" ht="20" customHeight="1" x14ac:dyDescent="0.2">
      <c r="A190" s="61"/>
      <c r="B190" s="24"/>
      <c r="C190" s="50" t="s">
        <v>35</v>
      </c>
      <c r="D190" s="49" t="s">
        <v>123</v>
      </c>
      <c r="E190" s="49" t="s">
        <v>124</v>
      </c>
      <c r="F190" s="50">
        <v>2007</v>
      </c>
      <c r="G190" s="50">
        <v>60</v>
      </c>
      <c r="H190" s="89"/>
      <c r="I190" s="85"/>
      <c r="J190" s="32"/>
      <c r="K190" s="106"/>
      <c r="L190" s="36" t="str">
        <f t="shared" si="112"/>
        <v/>
      </c>
      <c r="M190" s="33"/>
      <c r="N190" s="36" t="str">
        <f t="shared" si="113"/>
        <v/>
      </c>
      <c r="O190" s="33"/>
      <c r="P190" s="36" t="str">
        <f t="shared" si="114"/>
        <v/>
      </c>
      <c r="Q190" s="33"/>
      <c r="R190" s="36" t="str">
        <f t="shared" si="115"/>
        <v/>
      </c>
      <c r="S190" s="33"/>
      <c r="T190" s="36" t="str">
        <f t="shared" si="116"/>
        <v/>
      </c>
      <c r="U190" s="33"/>
      <c r="V190" s="36" t="str">
        <f t="shared" si="117"/>
        <v/>
      </c>
      <c r="W190" s="33"/>
      <c r="X190" s="36" t="str">
        <f t="shared" si="121"/>
        <v/>
      </c>
      <c r="Y190" s="33"/>
      <c r="Z190" s="36" t="str">
        <f t="shared" si="122"/>
        <v/>
      </c>
      <c r="AA190" s="33"/>
      <c r="AB190" s="36" t="str">
        <f t="shared" si="118"/>
        <v/>
      </c>
      <c r="AC190" s="33"/>
      <c r="AD190" s="36" t="str">
        <f t="shared" si="119"/>
        <v/>
      </c>
      <c r="AE190" s="33"/>
      <c r="AF190" s="36" t="str">
        <f t="shared" si="120"/>
        <v/>
      </c>
      <c r="AG190" s="23" t="s">
        <v>391</v>
      </c>
      <c r="AH190" s="23"/>
      <c r="AI190" s="23"/>
      <c r="AJ190" s="23"/>
      <c r="AK190" s="23"/>
      <c r="AL190" s="23"/>
      <c r="AM190" s="23"/>
      <c r="AN190" s="23"/>
      <c r="AO190" s="23"/>
      <c r="AP190" s="23"/>
      <c r="AQ190" s="23"/>
      <c r="AR190" s="23"/>
      <c r="AS190" s="23"/>
      <c r="AT190" s="23"/>
      <c r="AU190" s="23"/>
      <c r="AV190" s="23"/>
      <c r="AW190" s="23"/>
      <c r="AX190" s="23"/>
      <c r="AY190" s="23"/>
      <c r="AZ190" s="23"/>
    </row>
    <row r="191" spans="1:52" ht="20" customHeight="1" x14ac:dyDescent="0.2">
      <c r="A191" s="61"/>
      <c r="B191" s="24"/>
      <c r="C191" s="24" t="s">
        <v>85</v>
      </c>
      <c r="D191" s="23" t="s">
        <v>127</v>
      </c>
      <c r="E191" s="23" t="s">
        <v>128</v>
      </c>
      <c r="F191" s="24">
        <v>2000</v>
      </c>
      <c r="G191" s="24">
        <v>252</v>
      </c>
      <c r="H191" s="89">
        <v>30</v>
      </c>
      <c r="I191" s="85" t="s">
        <v>218</v>
      </c>
      <c r="J191" s="32" t="s">
        <v>169</v>
      </c>
      <c r="K191" s="106"/>
      <c r="L191" s="36" t="str">
        <f t="shared" si="112"/>
        <v/>
      </c>
      <c r="M191" s="33"/>
      <c r="N191" s="36" t="str">
        <f t="shared" si="113"/>
        <v/>
      </c>
      <c r="O191" s="33"/>
      <c r="P191" s="36" t="str">
        <f t="shared" si="114"/>
        <v/>
      </c>
      <c r="Q191" s="33"/>
      <c r="R191" s="36" t="str">
        <f t="shared" si="115"/>
        <v/>
      </c>
      <c r="S191" s="33"/>
      <c r="T191" s="36" t="str">
        <f t="shared" si="116"/>
        <v/>
      </c>
      <c r="U191" s="33"/>
      <c r="V191" s="36" t="str">
        <f t="shared" si="117"/>
        <v/>
      </c>
      <c r="W191" s="33"/>
      <c r="X191" s="36" t="str">
        <f>IF((ISERROR((W191/$H191)*100)), "", IF(AND(NOT(ISERROR((W191/$H191)*100)),((W191/$H191)*100) &lt;&gt; 0), (W191/$H191)*100, ""))</f>
        <v/>
      </c>
      <c r="Y191" s="33"/>
      <c r="Z191" s="36" t="str">
        <f t="shared" si="122"/>
        <v/>
      </c>
      <c r="AA191" s="33"/>
      <c r="AB191" s="36" t="str">
        <f t="shared" si="118"/>
        <v/>
      </c>
      <c r="AC191" s="33"/>
      <c r="AD191" s="36" t="str">
        <f t="shared" si="119"/>
        <v/>
      </c>
      <c r="AE191" s="33"/>
      <c r="AF191" s="36" t="str">
        <f t="shared" si="120"/>
        <v/>
      </c>
      <c r="AG191" s="23" t="s">
        <v>423</v>
      </c>
      <c r="AH191" s="23"/>
      <c r="AI191" s="23"/>
      <c r="AJ191" s="23"/>
      <c r="AK191" s="23"/>
      <c r="AL191" s="23"/>
      <c r="AM191" s="23"/>
      <c r="AN191" s="23"/>
      <c r="AO191" s="23"/>
      <c r="AP191" s="23"/>
      <c r="AQ191" s="23"/>
      <c r="AR191" s="23"/>
      <c r="AS191" s="23"/>
      <c r="AT191" s="23"/>
      <c r="AU191" s="23"/>
      <c r="AV191" s="23"/>
      <c r="AW191" s="23"/>
      <c r="AX191" s="23"/>
      <c r="AY191" s="23"/>
      <c r="AZ191" s="23"/>
    </row>
    <row r="192" spans="1:52" ht="20" customHeight="1" x14ac:dyDescent="0.2">
      <c r="A192" s="60"/>
      <c r="B192" s="82"/>
      <c r="C192" s="24" t="s">
        <v>85</v>
      </c>
      <c r="D192" s="23" t="s">
        <v>131</v>
      </c>
      <c r="E192" s="23" t="s">
        <v>132</v>
      </c>
      <c r="F192" s="24">
        <v>1998</v>
      </c>
      <c r="G192" s="24">
        <v>213</v>
      </c>
      <c r="H192" s="89">
        <v>6</v>
      </c>
      <c r="I192" s="85" t="s">
        <v>176</v>
      </c>
      <c r="J192" s="32"/>
      <c r="K192" s="106"/>
      <c r="L192" s="36" t="str">
        <f t="shared" si="112"/>
        <v/>
      </c>
      <c r="M192" s="33"/>
      <c r="N192" s="36" t="str">
        <f t="shared" si="113"/>
        <v/>
      </c>
      <c r="O192" s="33"/>
      <c r="P192" s="36" t="str">
        <f t="shared" si="114"/>
        <v/>
      </c>
      <c r="Q192" s="33"/>
      <c r="R192" s="36" t="str">
        <f t="shared" si="115"/>
        <v/>
      </c>
      <c r="S192" s="33"/>
      <c r="T192" s="36" t="str">
        <f t="shared" si="116"/>
        <v/>
      </c>
      <c r="U192" s="33"/>
      <c r="V192" s="36" t="str">
        <f t="shared" si="117"/>
        <v/>
      </c>
      <c r="W192" s="33"/>
      <c r="X192" s="36" t="str">
        <f t="shared" ref="X192:X196" si="123">IF((ISERROR((W192/$H192)*100)), "", IF(AND(NOT(ISERROR((W192/$H192)*100)),((W192/$H192)*100) &lt;&gt; 0), (W192/$H192)*100, ""))</f>
        <v/>
      </c>
      <c r="Y192" s="33"/>
      <c r="Z192" s="36" t="str">
        <f t="shared" ref="Z192:Z205" si="124">IF((ISERROR((Y192/$H192)*100)), "", IF(AND(NOT(ISERROR((Y192/$H192)*100)),((Y192/$H192)*100) &lt;&gt; 0), (Y192/$H192)*100, ""))</f>
        <v/>
      </c>
      <c r="AA192" s="33"/>
      <c r="AB192" s="36" t="str">
        <f t="shared" si="118"/>
        <v/>
      </c>
      <c r="AC192" s="33"/>
      <c r="AD192" s="36" t="str">
        <f t="shared" si="119"/>
        <v/>
      </c>
      <c r="AE192" s="33"/>
      <c r="AF192" s="36" t="str">
        <f t="shared" si="120"/>
        <v/>
      </c>
      <c r="AG192" s="23" t="s">
        <v>219</v>
      </c>
      <c r="AH192" s="23"/>
      <c r="AI192" s="23"/>
      <c r="AJ192" s="23"/>
      <c r="AK192" s="23"/>
      <c r="AL192" s="23"/>
      <c r="AM192" s="23"/>
      <c r="AN192" s="23"/>
      <c r="AO192" s="23"/>
      <c r="AP192" s="23"/>
      <c r="AQ192" s="23"/>
      <c r="AR192" s="23"/>
      <c r="AS192" s="23"/>
      <c r="AT192" s="23"/>
      <c r="AU192" s="23"/>
      <c r="AV192" s="23"/>
      <c r="AW192" s="23"/>
      <c r="AX192" s="23"/>
      <c r="AY192" s="23"/>
      <c r="AZ192" s="23"/>
    </row>
    <row r="193" spans="1:52" ht="20" customHeight="1" x14ac:dyDescent="0.2">
      <c r="A193" s="61"/>
      <c r="B193" s="82"/>
      <c r="C193" s="24" t="s">
        <v>85</v>
      </c>
      <c r="D193" s="23" t="s">
        <v>133</v>
      </c>
      <c r="E193" s="23" t="s">
        <v>134</v>
      </c>
      <c r="F193" s="24">
        <v>2001</v>
      </c>
      <c r="G193" s="24">
        <v>192</v>
      </c>
      <c r="H193" s="89"/>
      <c r="I193" s="85" t="s">
        <v>176</v>
      </c>
      <c r="J193" s="32" t="s">
        <v>169</v>
      </c>
      <c r="K193" s="106"/>
      <c r="L193" s="36" t="str">
        <f t="shared" si="112"/>
        <v/>
      </c>
      <c r="M193" s="33">
        <v>2</v>
      </c>
      <c r="N193" s="36" t="str">
        <f t="shared" si="113"/>
        <v/>
      </c>
      <c r="O193" s="33"/>
      <c r="P193" s="36" t="str">
        <f t="shared" si="114"/>
        <v/>
      </c>
      <c r="Q193" s="33"/>
      <c r="R193" s="36" t="str">
        <f t="shared" si="115"/>
        <v/>
      </c>
      <c r="S193" s="33"/>
      <c r="T193" s="36" t="str">
        <f t="shared" si="116"/>
        <v/>
      </c>
      <c r="U193" s="33"/>
      <c r="V193" s="36" t="str">
        <f t="shared" si="117"/>
        <v/>
      </c>
      <c r="W193" s="33"/>
      <c r="X193" s="36" t="str">
        <f>IF((ISERROR((W193/$H193)*100)), "", IF(AND(NOT(ISERROR((W193/$H193)*100)),((W193/$H193)*100) &lt;&gt; 0), (W193/$H193)*100, ""))</f>
        <v/>
      </c>
      <c r="Y193" s="33"/>
      <c r="Z193" s="36" t="str">
        <f t="shared" si="124"/>
        <v/>
      </c>
      <c r="AA193" s="33"/>
      <c r="AB193" s="36" t="str">
        <f t="shared" si="118"/>
        <v/>
      </c>
      <c r="AC193" s="33"/>
      <c r="AD193" s="36" t="str">
        <f t="shared" si="119"/>
        <v/>
      </c>
      <c r="AE193" s="33"/>
      <c r="AF193" s="36" t="str">
        <f t="shared" si="120"/>
        <v/>
      </c>
      <c r="AG193" s="23" t="s">
        <v>392</v>
      </c>
      <c r="AH193" s="23"/>
      <c r="AI193" s="23"/>
      <c r="AJ193" s="23"/>
      <c r="AK193" s="23"/>
      <c r="AL193" s="23"/>
      <c r="AM193" s="23"/>
      <c r="AN193" s="23"/>
      <c r="AO193" s="23"/>
      <c r="AP193" s="23"/>
      <c r="AQ193" s="23"/>
      <c r="AR193" s="23"/>
      <c r="AS193" s="23"/>
      <c r="AT193" s="23"/>
      <c r="AU193" s="23"/>
      <c r="AV193" s="23"/>
      <c r="AW193" s="23"/>
      <c r="AX193" s="23"/>
      <c r="AY193" s="23"/>
      <c r="AZ193" s="23"/>
    </row>
    <row r="194" spans="1:52" ht="20" customHeight="1" x14ac:dyDescent="0.2">
      <c r="A194" s="60"/>
      <c r="B194" s="83"/>
      <c r="C194" s="24" t="s">
        <v>85</v>
      </c>
      <c r="D194" s="23" t="s">
        <v>151</v>
      </c>
      <c r="E194" s="23" t="s">
        <v>150</v>
      </c>
      <c r="F194" s="24">
        <v>1999</v>
      </c>
      <c r="G194" s="24">
        <v>9</v>
      </c>
      <c r="H194" s="89">
        <v>30</v>
      </c>
      <c r="I194" s="85" t="s">
        <v>425</v>
      </c>
      <c r="J194" s="32" t="s">
        <v>220</v>
      </c>
      <c r="K194" s="106"/>
      <c r="L194" s="36"/>
      <c r="M194" s="33"/>
      <c r="N194" s="36"/>
      <c r="O194" s="33"/>
      <c r="P194" s="36"/>
      <c r="Q194" s="33"/>
      <c r="R194" s="36"/>
      <c r="S194" s="33"/>
      <c r="T194" s="36"/>
      <c r="U194" s="33"/>
      <c r="V194" s="36"/>
      <c r="W194" s="33"/>
      <c r="X194" s="36"/>
      <c r="Y194" s="33"/>
      <c r="Z194" s="36"/>
      <c r="AA194" s="33"/>
      <c r="AB194" s="36"/>
      <c r="AC194" s="33"/>
      <c r="AD194" s="36"/>
      <c r="AE194" s="33"/>
      <c r="AF194" s="36"/>
      <c r="AG194" s="23" t="s">
        <v>393</v>
      </c>
      <c r="AH194" s="23"/>
      <c r="AI194" s="23"/>
      <c r="AJ194" s="23"/>
      <c r="AK194" s="23"/>
      <c r="AL194" s="23"/>
      <c r="AM194" s="23"/>
      <c r="AN194" s="23"/>
      <c r="AO194" s="23"/>
      <c r="AP194" s="23"/>
      <c r="AQ194" s="23"/>
      <c r="AR194" s="23"/>
      <c r="AS194" s="23"/>
      <c r="AT194" s="23"/>
      <c r="AU194" s="23"/>
      <c r="AV194" s="23"/>
      <c r="AW194" s="23"/>
      <c r="AX194" s="23"/>
      <c r="AY194" s="23"/>
      <c r="AZ194" s="23"/>
    </row>
    <row r="195" spans="1:52" ht="20" customHeight="1" x14ac:dyDescent="0.2">
      <c r="A195" s="61"/>
      <c r="B195" s="24"/>
      <c r="C195" s="24" t="s">
        <v>85</v>
      </c>
      <c r="D195" s="23" t="s">
        <v>135</v>
      </c>
      <c r="E195" s="23" t="s">
        <v>136</v>
      </c>
      <c r="F195" s="24">
        <v>2007</v>
      </c>
      <c r="G195" s="24">
        <v>240</v>
      </c>
      <c r="H195" s="89"/>
      <c r="I195" s="85" t="s">
        <v>221</v>
      </c>
      <c r="J195" s="32" t="s">
        <v>169</v>
      </c>
      <c r="K195" s="106"/>
      <c r="L195" s="36" t="str">
        <f t="shared" ref="L195:L205" si="125">IF((ISERROR((K195/$H195)*100)), "", IF(AND(NOT(ISERROR((K195/$H195)*100)),((K195/$H195)*100) &lt;&gt; 0), (K195/$H195)*100, ""))</f>
        <v/>
      </c>
      <c r="M195" s="33"/>
      <c r="N195" s="36" t="str">
        <f t="shared" ref="N195:N205" si="126">IF((ISERROR((M195/$H195)*100)), "", IF(AND(NOT(ISERROR((M195/$H195)*100)),((M195/$H195)*100) &lt;&gt; 0), (M195/$H195)*100, ""))</f>
        <v/>
      </c>
      <c r="O195" s="33"/>
      <c r="P195" s="36" t="str">
        <f t="shared" ref="P195:P205" si="127">IF((ISERROR((O195/$H195)*100)), "", IF(AND(NOT(ISERROR((O195/$H195)*100)),((O195/$H195)*100) &lt;&gt; 0), (O195/$H195)*100, ""))</f>
        <v/>
      </c>
      <c r="Q195" s="33"/>
      <c r="R195" s="36" t="str">
        <f t="shared" ref="R195:R205" si="128">IF((ISERROR((Q195/$H195)*100)), "", IF(AND(NOT(ISERROR((Q195/$H195)*100)),((Q195/$H195)*100) &lt;&gt; 0), (Q195/$H195)*100, ""))</f>
        <v/>
      </c>
      <c r="S195" s="33"/>
      <c r="T195" s="36" t="str">
        <f t="shared" ref="T195:T205" si="129">IF((ISERROR((S195/$H195)*100)), "", IF(AND(NOT(ISERROR((S195/$H195)*100)),((S195/$H195)*100) &lt;&gt; 0), (S195/$H195)*100, ""))</f>
        <v/>
      </c>
      <c r="U195" s="33"/>
      <c r="V195" s="36" t="str">
        <f t="shared" ref="V195:V205" si="130">IF((ISERROR((U195/$H195)*100)), "", IF(AND(NOT(ISERROR((U195/$H195)*100)),((U195/$H195)*100) &lt;&gt; 0), (U195/$H195)*100, ""))</f>
        <v/>
      </c>
      <c r="W195" s="33"/>
      <c r="X195" s="36" t="str">
        <f>IF((ISERROR((W195/$H195)*100)), "", IF(AND(NOT(ISERROR((W195/$H195)*100)),((W195/$H195)*100) &lt;&gt; 0), (W195/$H195)*100, ""))</f>
        <v/>
      </c>
      <c r="Y195" s="33"/>
      <c r="Z195" s="36" t="str">
        <f t="shared" si="124"/>
        <v/>
      </c>
      <c r="AA195" s="33"/>
      <c r="AB195" s="36" t="str">
        <f t="shared" si="118"/>
        <v/>
      </c>
      <c r="AC195" s="33"/>
      <c r="AD195" s="36" t="str">
        <f t="shared" si="119"/>
        <v/>
      </c>
      <c r="AE195" s="33"/>
      <c r="AF195" s="36" t="str">
        <f t="shared" si="120"/>
        <v/>
      </c>
      <c r="AG195" s="23" t="s">
        <v>222</v>
      </c>
      <c r="AH195" s="23"/>
      <c r="AI195" s="23"/>
      <c r="AJ195" s="23"/>
      <c r="AK195" s="23"/>
      <c r="AL195" s="23"/>
      <c r="AM195" s="23"/>
      <c r="AN195" s="23"/>
      <c r="AO195" s="23"/>
      <c r="AP195" s="23"/>
      <c r="AQ195" s="23"/>
      <c r="AR195" s="23"/>
      <c r="AS195" s="23"/>
      <c r="AT195" s="23"/>
      <c r="AU195" s="23"/>
      <c r="AV195" s="23"/>
      <c r="AW195" s="23"/>
      <c r="AX195" s="23"/>
      <c r="AY195" s="23"/>
      <c r="AZ195" s="23"/>
    </row>
    <row r="196" spans="1:52" ht="20" customHeight="1" x14ac:dyDescent="0.2">
      <c r="A196" s="60"/>
      <c r="B196" s="82"/>
      <c r="C196" s="24" t="s">
        <v>85</v>
      </c>
      <c r="D196" s="23" t="s">
        <v>137</v>
      </c>
      <c r="E196" s="23" t="s">
        <v>138</v>
      </c>
      <c r="F196" s="24">
        <v>2011</v>
      </c>
      <c r="G196" s="24">
        <v>42</v>
      </c>
      <c r="H196" s="89">
        <v>51</v>
      </c>
      <c r="I196" s="85" t="s">
        <v>223</v>
      </c>
      <c r="J196" s="32" t="s">
        <v>224</v>
      </c>
      <c r="K196" s="106"/>
      <c r="L196" s="36" t="str">
        <f t="shared" si="125"/>
        <v/>
      </c>
      <c r="M196" s="38">
        <v>21</v>
      </c>
      <c r="N196" s="39">
        <f t="shared" si="126"/>
        <v>41.17647058823529</v>
      </c>
      <c r="O196" s="33"/>
      <c r="P196" s="36" t="str">
        <f t="shared" si="127"/>
        <v/>
      </c>
      <c r="Q196" s="33"/>
      <c r="R196" s="36" t="str">
        <f t="shared" si="128"/>
        <v/>
      </c>
      <c r="S196" s="33"/>
      <c r="T196" s="36" t="str">
        <f t="shared" si="129"/>
        <v/>
      </c>
      <c r="U196" s="33"/>
      <c r="V196" s="36" t="str">
        <f t="shared" si="130"/>
        <v/>
      </c>
      <c r="W196" s="33"/>
      <c r="X196" s="36" t="str">
        <f t="shared" si="123"/>
        <v/>
      </c>
      <c r="Y196" s="38">
        <v>1</v>
      </c>
      <c r="Z196" s="39">
        <f t="shared" si="124"/>
        <v>1.9607843137254901</v>
      </c>
      <c r="AA196" s="33"/>
      <c r="AB196" s="36" t="str">
        <f t="shared" si="118"/>
        <v/>
      </c>
      <c r="AC196" s="33"/>
      <c r="AD196" s="36" t="str">
        <f t="shared" si="119"/>
        <v/>
      </c>
      <c r="AE196" s="33"/>
      <c r="AF196" s="36" t="str">
        <f t="shared" si="120"/>
        <v/>
      </c>
      <c r="AG196" s="23" t="s">
        <v>394</v>
      </c>
      <c r="AH196" s="23"/>
      <c r="AI196" s="23"/>
      <c r="AJ196" s="23"/>
      <c r="AK196" s="23"/>
      <c r="AL196" s="23"/>
      <c r="AM196" s="23"/>
      <c r="AN196" s="23"/>
      <c r="AO196" s="23"/>
      <c r="AP196" s="23"/>
      <c r="AQ196" s="23"/>
      <c r="AR196" s="23"/>
      <c r="AS196" s="23"/>
      <c r="AT196" s="23"/>
      <c r="AU196" s="23"/>
      <c r="AV196" s="23"/>
      <c r="AW196" s="23"/>
      <c r="AX196" s="23"/>
      <c r="AY196" s="23"/>
      <c r="AZ196" s="23"/>
    </row>
    <row r="197" spans="1:52" ht="20" customHeight="1" x14ac:dyDescent="0.2">
      <c r="A197" s="60"/>
      <c r="B197" s="82"/>
      <c r="C197" s="24" t="s">
        <v>85</v>
      </c>
      <c r="D197" s="23" t="s">
        <v>315</v>
      </c>
      <c r="E197" s="23" t="s">
        <v>316</v>
      </c>
      <c r="F197" s="24">
        <v>2010</v>
      </c>
      <c r="H197" s="89">
        <v>53</v>
      </c>
      <c r="I197" s="111" t="s">
        <v>371</v>
      </c>
      <c r="J197" s="32" t="s">
        <v>410</v>
      </c>
      <c r="K197" s="106"/>
      <c r="L197" s="36" t="str">
        <f t="shared" si="125"/>
        <v/>
      </c>
      <c r="M197" s="33">
        <v>2</v>
      </c>
      <c r="N197" s="36">
        <f t="shared" si="126"/>
        <v>3.7735849056603774</v>
      </c>
      <c r="O197" s="33"/>
      <c r="P197" s="36" t="str">
        <f t="shared" si="127"/>
        <v/>
      </c>
      <c r="Q197" s="33">
        <v>3</v>
      </c>
      <c r="R197" s="36">
        <f t="shared" si="128"/>
        <v>5.6603773584905666</v>
      </c>
      <c r="S197" s="33"/>
      <c r="T197" s="36" t="str">
        <f t="shared" si="129"/>
        <v/>
      </c>
      <c r="U197" s="33">
        <v>9</v>
      </c>
      <c r="V197" s="36">
        <f t="shared" si="130"/>
        <v>16.981132075471699</v>
      </c>
      <c r="W197" s="33"/>
      <c r="X197" s="36" t="str">
        <f>IF((ISERROR((W197/$H197)*100)), "", IF(AND(NOT(ISERROR((W197/$H197)*100)),((W197/$H197)*100) &lt;&gt; 0), (W197/$H197)*100, ""))</f>
        <v/>
      </c>
      <c r="Y197" s="33">
        <v>2</v>
      </c>
      <c r="Z197" s="36">
        <f t="shared" si="124"/>
        <v>3.7735849056603774</v>
      </c>
      <c r="AA197" s="33"/>
      <c r="AB197" s="36" t="str">
        <f t="shared" si="118"/>
        <v/>
      </c>
      <c r="AC197" s="33"/>
      <c r="AD197" s="36" t="str">
        <f t="shared" si="119"/>
        <v/>
      </c>
      <c r="AE197" s="33"/>
      <c r="AF197" s="36" t="str">
        <f t="shared" si="120"/>
        <v/>
      </c>
      <c r="AG197" s="23" t="s">
        <v>372</v>
      </c>
      <c r="AH197" s="23"/>
      <c r="AI197" s="23"/>
      <c r="AJ197" s="23"/>
      <c r="AK197" s="23"/>
      <c r="AL197" s="23"/>
      <c r="AM197" s="23"/>
      <c r="AN197" s="23"/>
      <c r="AO197" s="23"/>
      <c r="AP197" s="23"/>
      <c r="AQ197" s="23"/>
      <c r="AR197" s="23"/>
      <c r="AS197" s="23"/>
      <c r="AT197" s="23"/>
      <c r="AU197" s="23"/>
      <c r="AV197" s="23"/>
      <c r="AW197" s="23"/>
      <c r="AX197" s="23"/>
      <c r="AY197" s="23"/>
      <c r="AZ197" s="23"/>
    </row>
    <row r="198" spans="1:52" ht="20" customHeight="1" x14ac:dyDescent="0.2">
      <c r="A198" s="60"/>
      <c r="B198" s="82"/>
      <c r="C198" s="24" t="s">
        <v>85</v>
      </c>
      <c r="D198" s="23" t="s">
        <v>317</v>
      </c>
      <c r="E198" s="23" t="s">
        <v>318</v>
      </c>
      <c r="F198" s="24">
        <v>2014</v>
      </c>
      <c r="H198" s="89">
        <v>39</v>
      </c>
      <c r="I198" s="85" t="s">
        <v>211</v>
      </c>
      <c r="J198" s="32" t="s">
        <v>373</v>
      </c>
      <c r="K198" s="106"/>
      <c r="L198" s="36" t="str">
        <f t="shared" si="125"/>
        <v/>
      </c>
      <c r="M198" s="33"/>
      <c r="N198" s="36" t="str">
        <f t="shared" si="126"/>
        <v/>
      </c>
      <c r="O198" s="33"/>
      <c r="P198" s="36" t="str">
        <f t="shared" si="127"/>
        <v/>
      </c>
      <c r="Q198" s="33"/>
      <c r="R198" s="36" t="str">
        <f t="shared" si="128"/>
        <v/>
      </c>
      <c r="S198" s="33"/>
      <c r="T198" s="36" t="str">
        <f t="shared" si="129"/>
        <v/>
      </c>
      <c r="U198" s="33"/>
      <c r="V198" s="36" t="str">
        <f t="shared" si="130"/>
        <v/>
      </c>
      <c r="W198" s="33">
        <v>1</v>
      </c>
      <c r="X198" s="36">
        <f>IF((ISERROR((W198/$H198)*100)), "", IF(AND(NOT(ISERROR((W198/$H198)*100)),((W198/$H198)*100) &lt;&gt; 0), (W198/$H198)*100, ""))</f>
        <v>2.5641025641025639</v>
      </c>
      <c r="Y198" s="33"/>
      <c r="Z198" s="36" t="str">
        <f t="shared" si="124"/>
        <v/>
      </c>
      <c r="AA198" s="33"/>
      <c r="AB198" s="36" t="str">
        <f t="shared" si="118"/>
        <v/>
      </c>
      <c r="AC198" s="33"/>
      <c r="AD198" s="36" t="str">
        <f t="shared" si="119"/>
        <v/>
      </c>
      <c r="AE198" s="33"/>
      <c r="AF198" s="36" t="str">
        <f t="shared" si="120"/>
        <v/>
      </c>
      <c r="AG198" s="23" t="s">
        <v>411</v>
      </c>
      <c r="AH198" s="23"/>
      <c r="AI198" s="23"/>
      <c r="AJ198" s="23"/>
      <c r="AK198" s="23"/>
      <c r="AL198" s="23"/>
      <c r="AM198" s="23"/>
      <c r="AN198" s="23"/>
      <c r="AO198" s="23"/>
      <c r="AP198" s="23"/>
      <c r="AQ198" s="23"/>
      <c r="AR198" s="23"/>
      <c r="AS198" s="23"/>
      <c r="AT198" s="23"/>
      <c r="AU198" s="23"/>
      <c r="AV198" s="23"/>
      <c r="AW198" s="23"/>
      <c r="AX198" s="23"/>
      <c r="AY198" s="23"/>
      <c r="AZ198" s="23"/>
    </row>
    <row r="199" spans="1:52" ht="20" customHeight="1" x14ac:dyDescent="0.2">
      <c r="A199" s="60"/>
      <c r="B199" s="82"/>
      <c r="C199" s="24" t="s">
        <v>85</v>
      </c>
      <c r="D199" s="23" t="s">
        <v>319</v>
      </c>
      <c r="E199" s="23" t="s">
        <v>320</v>
      </c>
      <c r="F199" s="24">
        <v>2010</v>
      </c>
      <c r="H199" s="89">
        <v>789</v>
      </c>
      <c r="I199" s="85" t="s">
        <v>211</v>
      </c>
      <c r="J199" s="32" t="s">
        <v>375</v>
      </c>
      <c r="K199" s="106">
        <v>43</v>
      </c>
      <c r="L199" s="36">
        <f t="shared" si="125"/>
        <v>5.4499366286438535</v>
      </c>
      <c r="M199" s="33"/>
      <c r="N199" s="36" t="str">
        <f t="shared" si="126"/>
        <v/>
      </c>
      <c r="O199" s="33"/>
      <c r="P199" s="36" t="str">
        <f t="shared" si="127"/>
        <v/>
      </c>
      <c r="Q199" s="33"/>
      <c r="R199" s="36" t="str">
        <f t="shared" si="128"/>
        <v/>
      </c>
      <c r="S199" s="33"/>
      <c r="T199" s="36" t="str">
        <f t="shared" si="129"/>
        <v/>
      </c>
      <c r="U199" s="33"/>
      <c r="V199" s="36" t="str">
        <f t="shared" si="130"/>
        <v/>
      </c>
      <c r="W199" s="33"/>
      <c r="X199" s="36" t="str">
        <f>IF((ISERROR((W199/$H199)*100)), "", IF(AND(NOT(ISERROR((W199/$H199)*100)),((W199/$H199)*100) &lt;&gt; 0), (W199/$H199)*100, ""))</f>
        <v/>
      </c>
      <c r="Y199" s="33"/>
      <c r="Z199" s="36" t="str">
        <f t="shared" si="124"/>
        <v/>
      </c>
      <c r="AA199" s="33"/>
      <c r="AB199" s="36" t="str">
        <f t="shared" si="118"/>
        <v/>
      </c>
      <c r="AC199" s="33"/>
      <c r="AD199" s="36" t="str">
        <f t="shared" si="119"/>
        <v/>
      </c>
      <c r="AE199" s="33"/>
      <c r="AF199" s="36" t="str">
        <f t="shared" si="120"/>
        <v/>
      </c>
      <c r="AG199" s="23" t="s">
        <v>374</v>
      </c>
      <c r="AH199" s="23"/>
      <c r="AI199" s="23"/>
      <c r="AJ199" s="23"/>
      <c r="AK199" s="23"/>
      <c r="AL199" s="23"/>
      <c r="AM199" s="23"/>
      <c r="AN199" s="23"/>
      <c r="AO199" s="23"/>
      <c r="AP199" s="23"/>
      <c r="AQ199" s="23"/>
      <c r="AR199" s="23"/>
      <c r="AS199" s="23"/>
      <c r="AT199" s="23"/>
      <c r="AU199" s="23"/>
      <c r="AV199" s="23"/>
      <c r="AW199" s="23"/>
      <c r="AX199" s="23"/>
      <c r="AY199" s="23"/>
      <c r="AZ199" s="23"/>
    </row>
    <row r="200" spans="1:52" ht="20" customHeight="1" x14ac:dyDescent="0.2">
      <c r="A200" s="60"/>
      <c r="B200" s="83"/>
      <c r="C200" s="80" t="s">
        <v>379</v>
      </c>
      <c r="D200" s="23" t="s">
        <v>321</v>
      </c>
      <c r="E200" s="23" t="s">
        <v>322</v>
      </c>
      <c r="F200" s="24">
        <v>2016</v>
      </c>
      <c r="H200" s="89">
        <v>16</v>
      </c>
      <c r="I200" s="85" t="s">
        <v>377</v>
      </c>
      <c r="J200" s="79" t="s">
        <v>378</v>
      </c>
      <c r="K200" s="106"/>
      <c r="L200" s="36" t="str">
        <f t="shared" si="125"/>
        <v/>
      </c>
      <c r="M200" s="33"/>
      <c r="N200" s="36" t="str">
        <f t="shared" si="126"/>
        <v/>
      </c>
      <c r="O200" s="33"/>
      <c r="P200" s="36" t="str">
        <f t="shared" si="127"/>
        <v/>
      </c>
      <c r="Q200" s="33"/>
      <c r="R200" s="36" t="str">
        <f t="shared" si="128"/>
        <v/>
      </c>
      <c r="S200" s="33"/>
      <c r="T200" s="36" t="str">
        <f t="shared" si="129"/>
        <v/>
      </c>
      <c r="U200" s="33"/>
      <c r="V200" s="36" t="str">
        <f t="shared" si="130"/>
        <v/>
      </c>
      <c r="W200" s="33"/>
      <c r="X200" s="36" t="str">
        <f t="shared" ref="X200:X202" si="131">IF((ISERROR((W200/$H200)*100)), "", IF(AND(NOT(ISERROR((W200/$H200)*100)),((W200/$H200)*100) &lt;&gt; 0), (W200/$H200)*100, ""))</f>
        <v/>
      </c>
      <c r="Y200" s="33"/>
      <c r="Z200" s="36" t="str">
        <f t="shared" si="124"/>
        <v/>
      </c>
      <c r="AA200" s="33"/>
      <c r="AB200" s="36" t="str">
        <f t="shared" si="118"/>
        <v/>
      </c>
      <c r="AC200" s="33"/>
      <c r="AD200" s="36" t="str">
        <f t="shared" si="119"/>
        <v/>
      </c>
      <c r="AE200" s="33"/>
      <c r="AF200" s="36" t="str">
        <f t="shared" si="120"/>
        <v/>
      </c>
      <c r="AG200" s="23" t="s">
        <v>380</v>
      </c>
      <c r="AH200" s="23"/>
      <c r="AI200" s="23"/>
      <c r="AJ200" s="23"/>
      <c r="AK200" s="23"/>
      <c r="AL200" s="23"/>
      <c r="AM200" s="23"/>
      <c r="AN200" s="23"/>
      <c r="AO200" s="23"/>
      <c r="AP200" s="23"/>
      <c r="AQ200" s="23"/>
      <c r="AR200" s="23"/>
      <c r="AS200" s="23"/>
      <c r="AT200" s="23"/>
      <c r="AU200" s="23"/>
      <c r="AV200" s="23"/>
      <c r="AW200" s="23"/>
      <c r="AX200" s="23"/>
      <c r="AY200" s="23"/>
      <c r="AZ200" s="23"/>
    </row>
    <row r="201" spans="1:52" ht="20" customHeight="1" x14ac:dyDescent="0.2">
      <c r="A201" s="60"/>
      <c r="B201" s="82"/>
      <c r="C201" s="81" t="s">
        <v>381</v>
      </c>
      <c r="D201" s="49" t="s">
        <v>139</v>
      </c>
      <c r="E201" s="49" t="s">
        <v>140</v>
      </c>
      <c r="F201" s="50">
        <v>2005</v>
      </c>
      <c r="G201" s="50">
        <v>21</v>
      </c>
      <c r="H201" s="89"/>
      <c r="I201" s="85" t="s">
        <v>226</v>
      </c>
      <c r="J201" s="32"/>
      <c r="K201" s="106"/>
      <c r="L201" s="36" t="str">
        <f t="shared" si="125"/>
        <v/>
      </c>
      <c r="M201" s="33"/>
      <c r="N201" s="36" t="str">
        <f t="shared" si="126"/>
        <v/>
      </c>
      <c r="O201" s="33"/>
      <c r="P201" s="36" t="str">
        <f t="shared" si="127"/>
        <v/>
      </c>
      <c r="Q201" s="33"/>
      <c r="R201" s="36" t="str">
        <f t="shared" si="128"/>
        <v/>
      </c>
      <c r="S201" s="33"/>
      <c r="T201" s="36" t="str">
        <f t="shared" si="129"/>
        <v/>
      </c>
      <c r="U201" s="33"/>
      <c r="V201" s="36" t="str">
        <f t="shared" si="130"/>
        <v/>
      </c>
      <c r="W201" s="33"/>
      <c r="X201" s="36" t="str">
        <f t="shared" si="131"/>
        <v/>
      </c>
      <c r="Y201" s="33"/>
      <c r="Z201" s="36" t="str">
        <f t="shared" si="124"/>
        <v/>
      </c>
      <c r="AA201" s="33"/>
      <c r="AB201" s="36" t="str">
        <f t="shared" si="118"/>
        <v/>
      </c>
      <c r="AC201" s="38">
        <v>5</v>
      </c>
      <c r="AD201" s="39" t="str">
        <f t="shared" si="119"/>
        <v/>
      </c>
      <c r="AE201" s="33"/>
      <c r="AF201" s="36" t="str">
        <f t="shared" si="120"/>
        <v/>
      </c>
      <c r="AG201" s="23" t="s">
        <v>227</v>
      </c>
      <c r="AH201" s="23"/>
      <c r="AI201" s="23"/>
      <c r="AJ201" s="23"/>
      <c r="AK201" s="23"/>
      <c r="AL201" s="23"/>
      <c r="AM201" s="23"/>
      <c r="AN201" s="23"/>
      <c r="AO201" s="23"/>
      <c r="AP201" s="23"/>
      <c r="AQ201" s="23"/>
      <c r="AR201" s="23"/>
      <c r="AS201" s="23"/>
      <c r="AT201" s="23"/>
      <c r="AU201" s="23"/>
      <c r="AV201" s="23"/>
      <c r="AW201" s="23"/>
      <c r="AX201" s="23"/>
      <c r="AY201" s="23"/>
      <c r="AZ201" s="23"/>
    </row>
    <row r="202" spans="1:52" ht="20" customHeight="1" x14ac:dyDescent="0.2">
      <c r="A202" s="61"/>
      <c r="B202" s="24"/>
      <c r="C202" s="24" t="s">
        <v>35</v>
      </c>
      <c r="D202" s="23" t="s">
        <v>141</v>
      </c>
      <c r="E202" s="23" t="s">
        <v>142</v>
      </c>
      <c r="F202" s="24">
        <v>2015</v>
      </c>
      <c r="G202" s="24">
        <v>1</v>
      </c>
      <c r="H202" s="89">
        <v>119</v>
      </c>
      <c r="I202" s="85"/>
      <c r="J202" s="32"/>
      <c r="K202" s="106"/>
      <c r="L202" s="36" t="str">
        <f t="shared" si="125"/>
        <v/>
      </c>
      <c r="M202" s="33"/>
      <c r="N202" s="36" t="str">
        <f t="shared" si="126"/>
        <v/>
      </c>
      <c r="O202" s="33"/>
      <c r="P202" s="36" t="str">
        <f t="shared" si="127"/>
        <v/>
      </c>
      <c r="Q202" s="33"/>
      <c r="R202" s="36" t="str">
        <f t="shared" si="128"/>
        <v/>
      </c>
      <c r="S202" s="33"/>
      <c r="T202" s="36" t="str">
        <f t="shared" si="129"/>
        <v/>
      </c>
      <c r="U202" s="33"/>
      <c r="V202" s="36" t="str">
        <f t="shared" si="130"/>
        <v/>
      </c>
      <c r="W202" s="33"/>
      <c r="X202" s="36" t="str">
        <f t="shared" si="131"/>
        <v/>
      </c>
      <c r="Y202" s="33"/>
      <c r="Z202" s="36" t="str">
        <f t="shared" si="124"/>
        <v/>
      </c>
      <c r="AA202" s="33"/>
      <c r="AB202" s="36" t="str">
        <f t="shared" si="118"/>
        <v/>
      </c>
      <c r="AC202" s="33"/>
      <c r="AD202" s="36" t="str">
        <f t="shared" si="119"/>
        <v/>
      </c>
      <c r="AE202" s="33"/>
      <c r="AF202" s="36" t="str">
        <f t="shared" si="120"/>
        <v/>
      </c>
      <c r="AG202" s="23" t="s">
        <v>228</v>
      </c>
      <c r="AH202" s="23"/>
      <c r="AI202" s="23"/>
      <c r="AJ202" s="23"/>
      <c r="AK202" s="23"/>
      <c r="AL202" s="23"/>
      <c r="AM202" s="23"/>
      <c r="AN202" s="23"/>
      <c r="AO202" s="23"/>
      <c r="AP202" s="23"/>
      <c r="AQ202" s="23"/>
      <c r="AR202" s="23"/>
      <c r="AS202" s="23"/>
      <c r="AT202" s="23"/>
      <c r="AU202" s="23"/>
      <c r="AV202" s="23"/>
      <c r="AW202" s="23"/>
      <c r="AX202" s="23"/>
      <c r="AY202" s="23"/>
      <c r="AZ202" s="23"/>
    </row>
    <row r="203" spans="1:52" ht="20" customHeight="1" x14ac:dyDescent="0.2">
      <c r="A203" s="61"/>
      <c r="B203" s="24"/>
      <c r="C203" s="24" t="s">
        <v>85</v>
      </c>
      <c r="D203" s="23" t="s">
        <v>143</v>
      </c>
      <c r="E203" s="23" t="s">
        <v>144</v>
      </c>
      <c r="F203" s="24">
        <v>2008</v>
      </c>
      <c r="G203" s="24">
        <v>156</v>
      </c>
      <c r="H203" s="89">
        <v>50</v>
      </c>
      <c r="I203" s="85" t="s">
        <v>176</v>
      </c>
      <c r="J203" s="32"/>
      <c r="K203" s="106"/>
      <c r="L203" s="36" t="str">
        <f t="shared" si="125"/>
        <v/>
      </c>
      <c r="M203" s="33"/>
      <c r="N203" s="36" t="str">
        <f t="shared" si="126"/>
        <v/>
      </c>
      <c r="O203" s="33"/>
      <c r="P203" s="36" t="str">
        <f t="shared" si="127"/>
        <v/>
      </c>
      <c r="Q203" s="33"/>
      <c r="R203" s="36" t="str">
        <f t="shared" si="128"/>
        <v/>
      </c>
      <c r="S203" s="33"/>
      <c r="T203" s="36" t="str">
        <f t="shared" si="129"/>
        <v/>
      </c>
      <c r="U203" s="33"/>
      <c r="V203" s="36" t="str">
        <f t="shared" si="130"/>
        <v/>
      </c>
      <c r="W203" s="33"/>
      <c r="X203" s="36" t="str">
        <f>IF((ISERROR((W203/$H203)*100)), "", IF(AND(NOT(ISERROR((W203/$H203)*100)),((W203/$H203)*100) &lt;&gt; 0), (W203/$H203)*100, ""))</f>
        <v/>
      </c>
      <c r="Y203" s="33"/>
      <c r="Z203" s="36" t="str">
        <f t="shared" si="124"/>
        <v/>
      </c>
      <c r="AA203" s="33"/>
      <c r="AB203" s="36" t="str">
        <f t="shared" si="118"/>
        <v/>
      </c>
      <c r="AC203" s="33"/>
      <c r="AD203" s="36" t="str">
        <f t="shared" si="119"/>
        <v/>
      </c>
      <c r="AE203" s="33"/>
      <c r="AF203" s="36" t="str">
        <f t="shared" si="120"/>
        <v/>
      </c>
      <c r="AG203" s="23" t="s">
        <v>229</v>
      </c>
      <c r="AH203" s="23"/>
      <c r="AI203" s="23"/>
      <c r="AJ203" s="23"/>
      <c r="AK203" s="23"/>
      <c r="AL203" s="23"/>
      <c r="AM203" s="23"/>
      <c r="AN203" s="23"/>
      <c r="AO203" s="23"/>
      <c r="AP203" s="23"/>
      <c r="AQ203" s="23"/>
      <c r="AR203" s="23"/>
      <c r="AS203" s="23"/>
      <c r="AT203" s="23"/>
      <c r="AU203" s="23"/>
      <c r="AV203" s="23"/>
      <c r="AW203" s="23"/>
      <c r="AX203" s="23"/>
      <c r="AY203" s="23"/>
      <c r="AZ203" s="23"/>
    </row>
    <row r="204" spans="1:52" ht="20" customHeight="1" x14ac:dyDescent="0.2">
      <c r="A204" s="60"/>
      <c r="B204" s="83"/>
      <c r="C204" s="24" t="s">
        <v>85</v>
      </c>
      <c r="D204" s="23" t="s">
        <v>323</v>
      </c>
      <c r="E204" s="23" t="s">
        <v>324</v>
      </c>
      <c r="F204" s="24">
        <v>2009</v>
      </c>
      <c r="H204" s="89">
        <v>12</v>
      </c>
      <c r="I204" s="85" t="s">
        <v>214</v>
      </c>
      <c r="J204" s="32" t="s">
        <v>192</v>
      </c>
      <c r="K204" s="107"/>
      <c r="L204" s="74" t="str">
        <f t="shared" si="125"/>
        <v/>
      </c>
      <c r="M204" s="73"/>
      <c r="N204" s="74" t="str">
        <f t="shared" si="126"/>
        <v/>
      </c>
      <c r="O204" s="73"/>
      <c r="P204" s="74" t="str">
        <f t="shared" si="127"/>
        <v/>
      </c>
      <c r="Q204" s="73"/>
      <c r="R204" s="74" t="str">
        <f t="shared" si="128"/>
        <v/>
      </c>
      <c r="S204" s="73"/>
      <c r="T204" s="74" t="str">
        <f t="shared" si="129"/>
        <v/>
      </c>
      <c r="U204" s="73"/>
      <c r="V204" s="74" t="str">
        <f t="shared" si="130"/>
        <v/>
      </c>
      <c r="W204" s="73"/>
      <c r="X204" s="74" t="str">
        <f>IF((ISERROR((W204/$H204)*100)), "", IF(AND(NOT(ISERROR((W204/$H204)*100)),((W204/$H204)*100) &lt;&gt; 0), (W204/$H204)*100, ""))</f>
        <v/>
      </c>
      <c r="Y204" s="73"/>
      <c r="Z204" s="74" t="str">
        <f t="shared" si="124"/>
        <v/>
      </c>
      <c r="AA204" s="73"/>
      <c r="AB204" s="74" t="str">
        <f t="shared" si="118"/>
        <v/>
      </c>
      <c r="AC204" s="73"/>
      <c r="AD204" s="74" t="str">
        <f t="shared" si="119"/>
        <v/>
      </c>
      <c r="AE204" s="73"/>
      <c r="AF204" s="74" t="str">
        <f t="shared" si="120"/>
        <v/>
      </c>
      <c r="AG204" s="23" t="s">
        <v>180</v>
      </c>
      <c r="AH204" s="23"/>
      <c r="AI204" s="23"/>
      <c r="AJ204" s="23"/>
      <c r="AK204" s="23"/>
      <c r="AL204" s="23"/>
      <c r="AM204" s="23"/>
      <c r="AN204" s="23"/>
      <c r="AO204" s="23"/>
      <c r="AP204" s="23"/>
      <c r="AQ204" s="23"/>
      <c r="AR204" s="23"/>
      <c r="AS204" s="23"/>
      <c r="AT204" s="23"/>
      <c r="AU204" s="23"/>
      <c r="AV204" s="23"/>
      <c r="AW204" s="23"/>
      <c r="AX204" s="23"/>
      <c r="AY204" s="23"/>
      <c r="AZ204" s="23"/>
    </row>
    <row r="205" spans="1:52" ht="20" customHeight="1" thickBot="1" x14ac:dyDescent="0.25">
      <c r="A205" s="61"/>
      <c r="B205" s="24"/>
      <c r="C205" s="24" t="s">
        <v>85</v>
      </c>
      <c r="D205" s="23" t="s">
        <v>147</v>
      </c>
      <c r="E205" s="23" t="s">
        <v>148</v>
      </c>
      <c r="F205" s="24">
        <v>2011</v>
      </c>
      <c r="G205" s="24">
        <v>112</v>
      </c>
      <c r="H205" s="90">
        <v>22</v>
      </c>
      <c r="I205" s="87" t="s">
        <v>218</v>
      </c>
      <c r="J205" s="113" t="s">
        <v>193</v>
      </c>
      <c r="K205" s="108"/>
      <c r="L205" s="37" t="str">
        <f t="shared" si="125"/>
        <v/>
      </c>
      <c r="M205" s="34"/>
      <c r="N205" s="37" t="str">
        <f t="shared" si="126"/>
        <v/>
      </c>
      <c r="O205" s="34"/>
      <c r="P205" s="37" t="str">
        <f t="shared" si="127"/>
        <v/>
      </c>
      <c r="Q205" s="34"/>
      <c r="R205" s="37" t="str">
        <f t="shared" si="128"/>
        <v/>
      </c>
      <c r="S205" s="34"/>
      <c r="T205" s="37" t="str">
        <f t="shared" si="129"/>
        <v/>
      </c>
      <c r="U205" s="34"/>
      <c r="V205" s="37" t="str">
        <f t="shared" si="130"/>
        <v/>
      </c>
      <c r="W205" s="34"/>
      <c r="X205" s="37" t="str">
        <f>IF((ISERROR((W205/$H205)*100)), "", IF(AND(NOT(ISERROR((W205/$H205)*100)),((W205/$H205)*100) &lt;&gt; 0), (W205/$H205)*100, ""))</f>
        <v/>
      </c>
      <c r="Y205" s="34"/>
      <c r="Z205" s="37" t="str">
        <f t="shared" si="124"/>
        <v/>
      </c>
      <c r="AA205" s="34"/>
      <c r="AB205" s="37" t="str">
        <f t="shared" si="118"/>
        <v/>
      </c>
      <c r="AC205" s="34"/>
      <c r="AD205" s="37" t="str">
        <f t="shared" si="119"/>
        <v/>
      </c>
      <c r="AE205" s="34"/>
      <c r="AF205" s="37" t="str">
        <f t="shared" si="120"/>
        <v/>
      </c>
      <c r="AG205" s="23" t="s">
        <v>231</v>
      </c>
      <c r="AH205" s="23"/>
      <c r="AI205" s="23"/>
      <c r="AJ205" s="23"/>
      <c r="AK205" s="23"/>
      <c r="AL205" s="23"/>
      <c r="AM205" s="23"/>
      <c r="AN205" s="23"/>
      <c r="AO205" s="23"/>
      <c r="AP205" s="23"/>
      <c r="AQ205" s="23"/>
      <c r="AR205" s="23"/>
      <c r="AS205" s="23"/>
      <c r="AT205" s="23"/>
      <c r="AU205" s="23"/>
      <c r="AV205" s="23"/>
      <c r="AW205" s="23"/>
      <c r="AX205" s="23"/>
      <c r="AY205" s="23"/>
      <c r="AZ205" s="23"/>
    </row>
    <row r="206" spans="1:52" x14ac:dyDescent="0.2">
      <c r="AG206" s="23"/>
      <c r="AH206" s="23"/>
      <c r="AI206" s="23"/>
      <c r="AJ206" s="23"/>
      <c r="AK206" s="23"/>
      <c r="AL206" s="23"/>
      <c r="AM206" s="23"/>
      <c r="AN206" s="23"/>
      <c r="AO206" s="23"/>
      <c r="AP206" s="23"/>
      <c r="AQ206" s="23"/>
      <c r="AR206" s="23"/>
      <c r="AS206" s="23"/>
      <c r="AT206" s="23"/>
      <c r="AU206" s="23"/>
      <c r="AV206" s="23"/>
      <c r="AW206" s="23"/>
      <c r="AX206" s="23"/>
      <c r="AY206" s="23"/>
      <c r="AZ206" s="23"/>
    </row>
    <row r="207" spans="1:52" ht="17" thickBot="1" x14ac:dyDescent="0.25">
      <c r="AG207" s="23"/>
      <c r="AH207" s="23"/>
      <c r="AI207" s="23"/>
      <c r="AJ207" s="23"/>
      <c r="AK207" s="23"/>
      <c r="AL207" s="23"/>
      <c r="AM207" s="23"/>
      <c r="AN207" s="23"/>
      <c r="AO207" s="23"/>
      <c r="AP207" s="23"/>
      <c r="AQ207" s="23"/>
      <c r="AR207" s="23"/>
      <c r="AS207" s="23"/>
      <c r="AT207" s="23"/>
      <c r="AU207" s="23"/>
      <c r="AV207" s="23"/>
      <c r="AW207" s="23"/>
      <c r="AX207" s="23"/>
      <c r="AY207" s="23"/>
      <c r="AZ207" s="23"/>
    </row>
    <row r="208" spans="1:52" x14ac:dyDescent="0.2">
      <c r="A208" s="22"/>
      <c r="B208" s="22"/>
      <c r="C208" s="41"/>
      <c r="D208" s="22"/>
      <c r="E208" s="22"/>
      <c r="G208" s="43" t="s">
        <v>243</v>
      </c>
      <c r="H208" s="44">
        <f>SUM(H122:H205)</f>
        <v>3245</v>
      </c>
      <c r="I208" s="45" t="s">
        <v>452</v>
      </c>
      <c r="J208" s="46" t="s">
        <v>458</v>
      </c>
      <c r="K208" s="51">
        <f>IF((SUM(K122:K205)&lt;&gt;0), SUMIF($H122:$H205, "&gt;0", K122:K205), "")</f>
        <v>90</v>
      </c>
      <c r="L208" s="52">
        <f>IF(ISERROR((K208/$H208)*100), "", IF(((K208/$H208)*100) &lt;&gt; 0, (K208/$H208)*100, ""))</f>
        <v>2.773497688751926</v>
      </c>
      <c r="M208" s="51">
        <f>IF((SUM(M122:M205)&lt;&gt;0), SUMIF($H122:$H205, "&gt;0", M122:M205), "")</f>
        <v>57</v>
      </c>
      <c r="N208" s="52">
        <f>IF(ISERROR((M208/$H208)*100), "", IF(((M208/$H208)*100) &lt;&gt; 0, (M208/$H208)*100, ""))</f>
        <v>1.7565485362095532</v>
      </c>
      <c r="O208" s="51">
        <f>IF((SUM(O122:O205)&lt;&gt;0), SUMIF($H122:$H205, "&gt;0", O122:O205), "")</f>
        <v>2</v>
      </c>
      <c r="P208" s="52">
        <f>IF(ISERROR((O208/$H208)*100), "", IF(((O208/$H208)*100) &lt;&gt; 0, (O208/$H208)*100, ""))</f>
        <v>6.1633281972265024E-2</v>
      </c>
      <c r="Q208" s="51">
        <f>IF((SUM(Q122:Q205)&lt;&gt;0), SUMIF($H122:$H205, "&gt;0", Q122:Q205), "")</f>
        <v>7</v>
      </c>
      <c r="R208" s="52">
        <f>IF(ISERROR((Q208/$H208)*100), "", IF(((Q208/$H208)*100) &lt;&gt; 0, (Q208/$H208)*100, ""))</f>
        <v>0.21571648690292758</v>
      </c>
      <c r="S208" s="51">
        <f>IF((SUM(S122:S205)&lt;&gt;0), SUMIF($H122:$H205, "&gt;0", S122:S205), "")</f>
        <v>6</v>
      </c>
      <c r="T208" s="52">
        <f>IF(ISERROR((S208/$H208)*100), "", IF(((S208/$H208)*100) &lt;&gt; 0, (S208/$H208)*100, ""))</f>
        <v>0.18489984591679506</v>
      </c>
      <c r="U208" s="51">
        <f>IF((SUM(U122:U205)&lt;&gt;0), SUMIF($H122:$H205, "&gt;0", U122:U205), "")</f>
        <v>34</v>
      </c>
      <c r="V208" s="52">
        <f>IF(ISERROR((U208/$H208)*100), "", IF(((U208/$H208)*100) &lt;&gt; 0, (U208/$H208)*100, ""))</f>
        <v>1.0477657935285054</v>
      </c>
      <c r="W208" s="51">
        <f>IF((SUM(W122:W205)&lt;&gt;0), SUMIF($H122:$H205, "&gt;0", W122:W205), "")</f>
        <v>3</v>
      </c>
      <c r="X208" s="52">
        <f>IF(ISERROR((W208/$H208)*100), "", IF(((W208/$H208)*100) &lt;&gt; 0, (W208/$H208)*100, ""))</f>
        <v>9.2449922958397532E-2</v>
      </c>
      <c r="Y208" s="51">
        <f>IF((SUM(Y122:Y205)&lt;&gt;0), SUMIF($H122:$H205, "&gt;0", Y122:Y205), "")</f>
        <v>11</v>
      </c>
      <c r="Z208" s="52">
        <f>IF(ISERROR((Y208/$H208)*100), "", IF(((Y208/$H208)*100) &lt;&gt; 0, (Y208/$H208)*100, ""))</f>
        <v>0.33898305084745761</v>
      </c>
      <c r="AA208" s="51">
        <f>IF((SUM(AA122:AA205)&lt;&gt;0), SUMIF($H122:$H205, "&gt;0", AA122:AA205), "")</f>
        <v>3</v>
      </c>
      <c r="AB208" s="52">
        <f>IF(ISERROR((AA208/$H208)*100), "", IF(((AA208/$H208)*100) &lt;&gt; 0, (AA208/$H208)*100, ""))</f>
        <v>9.2449922958397532E-2</v>
      </c>
      <c r="AC208" s="51">
        <f>IF((SUM(AC122:AC205)&lt;&gt;0), SUMIF($H122:$H205, "&gt;0", AC122:AC205), "")</f>
        <v>1</v>
      </c>
      <c r="AD208" s="52">
        <f>IF(ISERROR((AC208/$H208)*100), "", IF(((AC208/$H208)*100) &lt;&gt; 0, (AC208/$H208)*100, ""))</f>
        <v>3.0816640986132512E-2</v>
      </c>
      <c r="AE208" s="51" t="str">
        <f>IF((SUM(AE122:AE205)&lt;&gt;0), SUMIF($H122:$H205, "&gt;0", AE122:AE205), "")</f>
        <v/>
      </c>
      <c r="AF208" s="52" t="str">
        <f>IF(ISERROR((AE208/$H208)*100), "", IF(((AE208/$H208)*100) &lt;&gt; 0, (AE208/$H208)*100, ""))</f>
        <v/>
      </c>
      <c r="AG208" s="22"/>
      <c r="AH208" s="23"/>
      <c r="AI208" s="23"/>
      <c r="AJ208" s="23"/>
      <c r="AK208" s="23"/>
      <c r="AL208" s="23"/>
      <c r="AM208" s="23"/>
      <c r="AN208" s="23"/>
      <c r="AO208" s="23"/>
      <c r="AP208" s="23"/>
      <c r="AQ208" s="23"/>
      <c r="AR208" s="23"/>
      <c r="AS208" s="23"/>
      <c r="AT208" s="23"/>
      <c r="AU208" s="23"/>
      <c r="AV208" s="23"/>
      <c r="AW208" s="23"/>
      <c r="AX208" s="23"/>
      <c r="AY208" s="23"/>
      <c r="AZ208" s="23"/>
    </row>
    <row r="209" spans="1:52" x14ac:dyDescent="0.2">
      <c r="A209" s="22"/>
      <c r="B209" s="22"/>
      <c r="C209" s="41"/>
      <c r="D209" s="22"/>
      <c r="E209" s="22"/>
      <c r="G209" s="43" t="s">
        <v>244</v>
      </c>
      <c r="H209" s="42" t="s">
        <v>242</v>
      </c>
      <c r="I209" s="47" t="s">
        <v>459</v>
      </c>
      <c r="J209" s="48" t="s">
        <v>460</v>
      </c>
      <c r="K209" s="53">
        <f>IF(SUMIF(K122:K205, "&gt; 0", $H122:$H205) &gt; 0, SUMIF(K122:K205, "&gt; 0", $H122:$H205), "")</f>
        <v>941</v>
      </c>
      <c r="L209" s="54">
        <f>(K208/K209)*100</f>
        <v>9.5642933049946866</v>
      </c>
      <c r="M209" s="53">
        <f>IF(SUMIF(M122:M205, "&gt; 0", $H122:$H205) &gt; 0, SUMIF(M122:M205, "&gt; 0", $H122:$H205), "")</f>
        <v>714</v>
      </c>
      <c r="N209" s="54">
        <f>(M208/M209)*100</f>
        <v>7.9831932773109235</v>
      </c>
      <c r="O209" s="53">
        <f>IF(SUMIF(O122:O205, "&gt; 0", $H122:$H205) &gt; 0, SUMIF(O122:O205, "&gt; 0", $H122:$H205), "")</f>
        <v>27</v>
      </c>
      <c r="P209" s="54">
        <f>(O208/O209)*100</f>
        <v>7.4074074074074066</v>
      </c>
      <c r="Q209" s="53">
        <f>IF(SUMIF(Q122:Q205, "&gt; 0", $H122:$H205) &gt; 0, SUMIF(Q122:Q205, "&gt; 0", $H122:$H205), "")</f>
        <v>155</v>
      </c>
      <c r="R209" s="54">
        <f>(Q208/Q209)*100</f>
        <v>4.5161290322580641</v>
      </c>
      <c r="S209" s="53">
        <f>IF(SUMIF(S122:S205, "&gt; 0", $H122:$H205) &gt; 0, SUMIF(S122:S205, "&gt; 0", $H122:$H205), "")</f>
        <v>97</v>
      </c>
      <c r="T209" s="54">
        <f>(S208/S209)*100</f>
        <v>6.1855670103092786</v>
      </c>
      <c r="U209" s="53">
        <f>IF(SUMIF(U122:U205, "&gt; 0", $H122:$H205) &gt; 0, SUMIF(U122:U205, "&gt; 0", $H122:$H205), "")</f>
        <v>625</v>
      </c>
      <c r="V209" s="54">
        <f>(U208/U209)*100</f>
        <v>5.4399999999999995</v>
      </c>
      <c r="W209" s="53">
        <f>IF(SUMIF(W122:W205, "&gt; 0", $H122:$H205) &gt; 0, SUMIF(W122:W205, "&gt; 0", $H122:$H205), "")</f>
        <v>61</v>
      </c>
      <c r="X209" s="54">
        <f>(W208/W209)*100</f>
        <v>4.918032786885246</v>
      </c>
      <c r="Y209" s="53">
        <f>IF(SUMIF(Y122:Y205, "&gt; 0", $H122:$H205) &gt; 0, SUMIF(Y122:Y205, "&gt; 0", $H122:$H205), "")</f>
        <v>307</v>
      </c>
      <c r="Z209" s="54">
        <f>(Y208/Y209)*100</f>
        <v>3.5830618892508146</v>
      </c>
      <c r="AA209" s="53">
        <f>IF(SUMIF(AA122:AA205, "&gt; 0", $H122:$H205) &gt; 0, SUMIF(AA122:AA205, "&gt; 0", $H122:$H205), "")</f>
        <v>191</v>
      </c>
      <c r="AB209" s="54">
        <f>(AA208/AA209)*100</f>
        <v>1.5706806282722512</v>
      </c>
      <c r="AC209" s="53">
        <f>IF(SUMIF(AC122:AC205, "&gt; 0", $H122:$H205) &gt; 0, SUMIF(AC122:AC205, "&gt; 0", $H122:$H205), "")</f>
        <v>97</v>
      </c>
      <c r="AD209" s="54">
        <f>(AC208/AC209)*100</f>
        <v>1.0309278350515463</v>
      </c>
      <c r="AE209" s="53" t="str">
        <f>IF(SUMIF(AE122:AE205, "&gt; 0", $H122:$H205) &gt; 0, SUMIF(AE122:AE205, "&gt; 0", $H122:$H205), "")</f>
        <v/>
      </c>
      <c r="AF209" s="54"/>
      <c r="AG209" s="22"/>
      <c r="AH209" s="23"/>
      <c r="AI209" s="23"/>
      <c r="AJ209" s="23"/>
      <c r="AK209" s="23"/>
      <c r="AL209" s="23"/>
      <c r="AM209" s="23"/>
      <c r="AN209" s="23"/>
      <c r="AO209" s="23"/>
      <c r="AP209" s="23"/>
      <c r="AQ209" s="23"/>
      <c r="AR209" s="23"/>
      <c r="AS209" s="23"/>
      <c r="AT209" s="23"/>
      <c r="AU209" s="23"/>
      <c r="AV209" s="23"/>
      <c r="AW209" s="23"/>
      <c r="AX209" s="23"/>
      <c r="AY209" s="23"/>
      <c r="AZ209" s="23"/>
    </row>
    <row r="210" spans="1:52" ht="17" customHeight="1" thickBot="1" x14ac:dyDescent="0.25">
      <c r="H210" s="372" t="s">
        <v>453</v>
      </c>
      <c r="I210" s="375"/>
      <c r="J210" s="376"/>
      <c r="K210" s="351" t="s">
        <v>240</v>
      </c>
      <c r="L210" s="353" t="s">
        <v>241</v>
      </c>
      <c r="M210" s="355" t="s">
        <v>240</v>
      </c>
      <c r="N210" s="354" t="s">
        <v>241</v>
      </c>
      <c r="O210" s="351" t="s">
        <v>240</v>
      </c>
      <c r="P210" s="353" t="s">
        <v>241</v>
      </c>
      <c r="Q210" s="351" t="s">
        <v>240</v>
      </c>
      <c r="R210" s="353" t="s">
        <v>241</v>
      </c>
      <c r="S210" s="351" t="s">
        <v>240</v>
      </c>
      <c r="T210" s="353" t="s">
        <v>241</v>
      </c>
      <c r="U210" s="351" t="s">
        <v>240</v>
      </c>
      <c r="V210" s="353" t="s">
        <v>241</v>
      </c>
      <c r="W210" s="351" t="s">
        <v>240</v>
      </c>
      <c r="X210" s="353" t="s">
        <v>241</v>
      </c>
      <c r="Y210" s="351" t="s">
        <v>240</v>
      </c>
      <c r="Z210" s="353" t="s">
        <v>241</v>
      </c>
      <c r="AA210" s="351" t="s">
        <v>240</v>
      </c>
      <c r="AB210" s="353" t="s">
        <v>241</v>
      </c>
      <c r="AC210" s="351" t="s">
        <v>240</v>
      </c>
      <c r="AD210" s="353" t="s">
        <v>241</v>
      </c>
      <c r="AE210" s="351" t="s">
        <v>240</v>
      </c>
      <c r="AF210" s="353" t="s">
        <v>241</v>
      </c>
      <c r="AG210" s="23"/>
      <c r="AH210" s="23"/>
      <c r="AI210" s="23"/>
      <c r="AJ210" s="23"/>
      <c r="AK210" s="23"/>
      <c r="AL210" s="23"/>
      <c r="AM210" s="23"/>
      <c r="AN210" s="23"/>
      <c r="AO210" s="23"/>
      <c r="AP210" s="23"/>
      <c r="AQ210" s="23"/>
      <c r="AR210" s="23"/>
      <c r="AS210" s="23"/>
      <c r="AT210" s="23"/>
      <c r="AU210" s="23"/>
      <c r="AV210" s="23"/>
      <c r="AW210" s="23"/>
      <c r="AX210" s="23"/>
      <c r="AY210" s="23"/>
      <c r="AZ210" s="23"/>
    </row>
    <row r="211" spans="1:52" x14ac:dyDescent="0.2">
      <c r="E211" s="55" t="s">
        <v>246</v>
      </c>
      <c r="F211" s="58">
        <v>1</v>
      </c>
      <c r="H211" s="373"/>
      <c r="I211" s="377"/>
      <c r="J211" s="378"/>
      <c r="K211" s="351"/>
      <c r="L211" s="354"/>
      <c r="M211" s="351"/>
      <c r="N211" s="354"/>
      <c r="O211" s="351"/>
      <c r="P211" s="354"/>
      <c r="Q211" s="351"/>
      <c r="R211" s="354"/>
      <c r="S211" s="351"/>
      <c r="T211" s="354"/>
      <c r="U211" s="351"/>
      <c r="V211" s="354"/>
      <c r="W211" s="351"/>
      <c r="X211" s="354"/>
      <c r="Y211" s="351"/>
      <c r="Z211" s="354"/>
      <c r="AA211" s="351"/>
      <c r="AB211" s="354"/>
      <c r="AC211" s="351"/>
      <c r="AD211" s="354"/>
      <c r="AE211" s="351"/>
      <c r="AF211" s="354"/>
      <c r="AG211" s="23"/>
      <c r="AH211" s="23"/>
      <c r="AI211" s="23"/>
      <c r="AJ211" s="23"/>
      <c r="AK211" s="23"/>
      <c r="AL211" s="23"/>
      <c r="AM211" s="23"/>
      <c r="AN211" s="23"/>
      <c r="AO211" s="23"/>
      <c r="AP211" s="23"/>
      <c r="AQ211" s="23"/>
      <c r="AR211" s="23"/>
      <c r="AS211" s="23"/>
      <c r="AT211" s="23"/>
      <c r="AU211" s="23"/>
      <c r="AV211" s="23"/>
      <c r="AW211" s="23"/>
      <c r="AX211" s="23"/>
      <c r="AY211" s="23"/>
      <c r="AZ211" s="23"/>
    </row>
    <row r="212" spans="1:52" x14ac:dyDescent="0.2">
      <c r="E212" s="56"/>
      <c r="F212" s="57"/>
      <c r="H212" s="373"/>
      <c r="I212" s="377"/>
      <c r="J212" s="378"/>
      <c r="K212" s="351"/>
      <c r="L212" s="354"/>
      <c r="M212" s="351"/>
      <c r="N212" s="354"/>
      <c r="O212" s="351"/>
      <c r="P212" s="354"/>
      <c r="Q212" s="351"/>
      <c r="R212" s="354"/>
      <c r="S212" s="351"/>
      <c r="T212" s="354"/>
      <c r="U212" s="351"/>
      <c r="V212" s="354"/>
      <c r="W212" s="351"/>
      <c r="X212" s="354"/>
      <c r="Y212" s="351"/>
      <c r="Z212" s="354"/>
      <c r="AA212" s="351"/>
      <c r="AB212" s="354"/>
      <c r="AC212" s="351"/>
      <c r="AD212" s="354"/>
      <c r="AE212" s="351"/>
      <c r="AF212" s="354"/>
      <c r="AG212" s="23"/>
      <c r="AH212" s="23"/>
      <c r="AI212" s="23"/>
      <c r="AJ212" s="23"/>
      <c r="AK212" s="23"/>
      <c r="AL212" s="23"/>
      <c r="AM212" s="23"/>
      <c r="AN212" s="23"/>
      <c r="AO212" s="23"/>
      <c r="AP212" s="23"/>
      <c r="AQ212" s="23"/>
      <c r="AR212" s="23"/>
      <c r="AS212" s="23"/>
      <c r="AT212" s="23"/>
      <c r="AU212" s="23"/>
      <c r="AV212" s="23"/>
      <c r="AW212" s="23"/>
      <c r="AX212" s="23"/>
      <c r="AY212" s="23"/>
      <c r="AZ212" s="23"/>
    </row>
    <row r="213" spans="1:52" x14ac:dyDescent="0.2">
      <c r="E213" s="386" t="s">
        <v>247</v>
      </c>
      <c r="F213" s="387"/>
      <c r="H213" s="373"/>
      <c r="I213" s="377"/>
      <c r="J213" s="378"/>
      <c r="K213" s="351"/>
      <c r="L213" s="354"/>
      <c r="M213" s="351"/>
      <c r="N213" s="354"/>
      <c r="O213" s="351"/>
      <c r="P213" s="354"/>
      <c r="Q213" s="351"/>
      <c r="R213" s="354"/>
      <c r="S213" s="351"/>
      <c r="T213" s="354"/>
      <c r="U213" s="351"/>
      <c r="V213" s="354"/>
      <c r="W213" s="351"/>
      <c r="X213" s="354"/>
      <c r="Y213" s="351"/>
      <c r="Z213" s="354"/>
      <c r="AA213" s="351"/>
      <c r="AB213" s="354"/>
      <c r="AC213" s="351"/>
      <c r="AD213" s="354"/>
      <c r="AE213" s="351"/>
      <c r="AF213" s="354"/>
      <c r="AG213" s="23"/>
      <c r="AH213" s="23"/>
      <c r="AI213" s="23"/>
      <c r="AJ213" s="23"/>
      <c r="AK213" s="23"/>
      <c r="AL213" s="23"/>
      <c r="AM213" s="23"/>
      <c r="AN213" s="23"/>
      <c r="AO213" s="23"/>
      <c r="AP213" s="23"/>
      <c r="AQ213" s="23"/>
      <c r="AR213" s="23"/>
      <c r="AS213" s="23"/>
      <c r="AT213" s="23"/>
      <c r="AU213" s="23"/>
      <c r="AV213" s="23"/>
      <c r="AW213" s="23"/>
      <c r="AX213" s="23"/>
      <c r="AY213" s="23"/>
      <c r="AZ213" s="23"/>
    </row>
    <row r="214" spans="1:52" x14ac:dyDescent="0.2">
      <c r="E214" s="386"/>
      <c r="F214" s="387"/>
      <c r="H214" s="373"/>
      <c r="I214" s="377"/>
      <c r="J214" s="378"/>
      <c r="K214" s="352"/>
      <c r="L214" s="354"/>
      <c r="M214" s="352"/>
      <c r="N214" s="354"/>
      <c r="O214" s="352"/>
      <c r="P214" s="354"/>
      <c r="Q214" s="352"/>
      <c r="R214" s="354"/>
      <c r="S214" s="352"/>
      <c r="T214" s="354"/>
      <c r="U214" s="352"/>
      <c r="V214" s="354"/>
      <c r="W214" s="352"/>
      <c r="X214" s="354"/>
      <c r="Y214" s="352"/>
      <c r="Z214" s="354"/>
      <c r="AA214" s="352"/>
      <c r="AB214" s="354"/>
      <c r="AC214" s="352"/>
      <c r="AD214" s="354"/>
      <c r="AE214" s="352"/>
      <c r="AF214" s="354"/>
      <c r="AG214" s="23"/>
      <c r="AH214" s="23"/>
      <c r="AI214" s="23"/>
      <c r="AJ214" s="23"/>
      <c r="AK214" s="23"/>
      <c r="AL214" s="23"/>
      <c r="AM214" s="23"/>
      <c r="AN214" s="23"/>
      <c r="AO214" s="23"/>
      <c r="AP214" s="23"/>
      <c r="AQ214" s="23"/>
      <c r="AR214" s="23"/>
      <c r="AS214" s="23"/>
      <c r="AT214" s="23"/>
      <c r="AU214" s="23"/>
      <c r="AV214" s="23"/>
      <c r="AW214" s="23"/>
      <c r="AX214" s="23"/>
      <c r="AY214" s="23"/>
      <c r="AZ214" s="23"/>
    </row>
    <row r="215" spans="1:52" ht="16" customHeight="1" x14ac:dyDescent="0.2">
      <c r="E215" s="386"/>
      <c r="F215" s="387"/>
      <c r="H215" s="373"/>
      <c r="I215" s="377"/>
      <c r="J215" s="378"/>
      <c r="K215" s="381" t="s">
        <v>376</v>
      </c>
      <c r="L215" s="382"/>
      <c r="M215" s="381" t="s">
        <v>157</v>
      </c>
      <c r="N215" s="382"/>
      <c r="O215" s="385" t="s">
        <v>236</v>
      </c>
      <c r="P215" s="382"/>
      <c r="Q215" s="381" t="s">
        <v>163</v>
      </c>
      <c r="R215" s="382"/>
      <c r="S215" s="381" t="s">
        <v>207</v>
      </c>
      <c r="T215" s="382"/>
      <c r="U215" s="381" t="s">
        <v>158</v>
      </c>
      <c r="V215" s="382"/>
      <c r="W215" s="385" t="s">
        <v>238</v>
      </c>
      <c r="X215" s="382"/>
      <c r="Y215" s="381" t="s">
        <v>159</v>
      </c>
      <c r="Z215" s="382"/>
      <c r="AA215" s="381" t="s">
        <v>206</v>
      </c>
      <c r="AB215" s="382"/>
      <c r="AC215" s="381" t="s">
        <v>205</v>
      </c>
      <c r="AD215" s="382"/>
      <c r="AE215" s="381" t="s">
        <v>202</v>
      </c>
      <c r="AF215" s="382"/>
      <c r="AG215" s="23"/>
      <c r="AH215" s="23"/>
      <c r="AI215" s="23"/>
      <c r="AJ215" s="23"/>
      <c r="AK215" s="23"/>
      <c r="AL215" s="23"/>
      <c r="AM215" s="23"/>
      <c r="AN215" s="23"/>
      <c r="AO215" s="23"/>
      <c r="AP215" s="23"/>
      <c r="AQ215" s="23"/>
      <c r="AR215" s="23"/>
      <c r="AS215" s="23"/>
      <c r="AT215" s="23"/>
      <c r="AU215" s="23"/>
      <c r="AV215" s="23"/>
      <c r="AW215" s="23"/>
      <c r="AX215" s="23"/>
      <c r="AY215" s="23"/>
      <c r="AZ215" s="23"/>
    </row>
    <row r="216" spans="1:52" x14ac:dyDescent="0.2">
      <c r="E216" s="386"/>
      <c r="F216" s="387"/>
      <c r="H216" s="373"/>
      <c r="I216" s="377"/>
      <c r="J216" s="378"/>
      <c r="K216" s="358"/>
      <c r="L216" s="359"/>
      <c r="M216" s="358"/>
      <c r="N216" s="359"/>
      <c r="O216" s="358"/>
      <c r="P216" s="359"/>
      <c r="Q216" s="358"/>
      <c r="R216" s="359"/>
      <c r="S216" s="358"/>
      <c r="T216" s="359"/>
      <c r="U216" s="358"/>
      <c r="V216" s="359"/>
      <c r="W216" s="358"/>
      <c r="X216" s="359"/>
      <c r="Y216" s="358"/>
      <c r="Z216" s="359"/>
      <c r="AA216" s="358"/>
      <c r="AB216" s="359"/>
      <c r="AC216" s="358"/>
      <c r="AD216" s="359"/>
      <c r="AE216" s="358"/>
      <c r="AF216" s="359"/>
      <c r="AG216" s="23"/>
      <c r="AH216" s="23"/>
      <c r="AI216" s="23"/>
      <c r="AJ216" s="23"/>
      <c r="AK216" s="23"/>
      <c r="AL216" s="23"/>
      <c r="AM216" s="23"/>
      <c r="AN216" s="23"/>
      <c r="AO216" s="23"/>
      <c r="AP216" s="23"/>
      <c r="AQ216" s="23"/>
      <c r="AR216" s="23"/>
      <c r="AS216" s="23"/>
      <c r="AT216" s="23"/>
      <c r="AU216" s="23"/>
      <c r="AV216" s="23"/>
      <c r="AW216" s="23"/>
      <c r="AX216" s="23"/>
      <c r="AY216" s="23"/>
      <c r="AZ216" s="23"/>
    </row>
    <row r="217" spans="1:52" ht="17" thickBot="1" x14ac:dyDescent="0.25">
      <c r="E217" s="386"/>
      <c r="F217" s="387"/>
      <c r="H217" s="373"/>
      <c r="I217" s="377"/>
      <c r="J217" s="378"/>
      <c r="K217" s="383"/>
      <c r="L217" s="384"/>
      <c r="M217" s="383"/>
      <c r="N217" s="384"/>
      <c r="O217" s="383"/>
      <c r="P217" s="384"/>
      <c r="Q217" s="383"/>
      <c r="R217" s="384"/>
      <c r="S217" s="383"/>
      <c r="T217" s="384"/>
      <c r="U217" s="383"/>
      <c r="V217" s="384"/>
      <c r="W217" s="383"/>
      <c r="X217" s="384"/>
      <c r="Y217" s="383"/>
      <c r="Z217" s="384"/>
      <c r="AA217" s="383"/>
      <c r="AB217" s="384"/>
      <c r="AC217" s="383"/>
      <c r="AD217" s="384"/>
      <c r="AE217" s="383"/>
      <c r="AF217" s="384"/>
      <c r="AG217" s="23"/>
      <c r="AH217" s="23"/>
      <c r="AI217" s="23"/>
      <c r="AJ217" s="23"/>
      <c r="AK217" s="23"/>
      <c r="AL217" s="23"/>
      <c r="AM217" s="23"/>
      <c r="AN217" s="23"/>
      <c r="AO217" s="23"/>
      <c r="AP217" s="23"/>
      <c r="AQ217" s="23"/>
      <c r="AR217" s="23"/>
      <c r="AS217" s="23"/>
      <c r="AT217" s="23"/>
      <c r="AU217" s="23"/>
      <c r="AV217" s="23"/>
      <c r="AW217" s="23"/>
      <c r="AX217" s="23"/>
      <c r="AY217" s="23"/>
      <c r="AZ217" s="23"/>
    </row>
    <row r="218" spans="1:52" ht="20" thickBot="1" x14ac:dyDescent="0.3">
      <c r="E218" s="388"/>
      <c r="F218" s="389"/>
      <c r="H218" s="374"/>
      <c r="I218" s="379"/>
      <c r="J218" s="380"/>
      <c r="K218" s="393" t="s">
        <v>398</v>
      </c>
      <c r="L218" s="394"/>
      <c r="M218" s="394"/>
      <c r="N218" s="394"/>
      <c r="O218" s="394"/>
      <c r="P218" s="394"/>
      <c r="Q218" s="394"/>
      <c r="R218" s="394"/>
      <c r="S218" s="394"/>
      <c r="T218" s="394"/>
      <c r="U218" s="394"/>
      <c r="V218" s="394"/>
      <c r="W218" s="394"/>
      <c r="X218" s="394"/>
      <c r="Y218" s="394"/>
      <c r="Z218" s="394"/>
      <c r="AA218" s="394"/>
      <c r="AB218" s="394"/>
      <c r="AC218" s="394"/>
      <c r="AD218" s="394"/>
      <c r="AE218" s="394"/>
      <c r="AF218" s="395"/>
      <c r="AG218" s="23"/>
      <c r="AH218" s="23"/>
      <c r="AI218" s="23"/>
      <c r="AJ218" s="23"/>
      <c r="AK218" s="23"/>
      <c r="AL218" s="23"/>
      <c r="AM218" s="23"/>
      <c r="AN218" s="23"/>
      <c r="AO218" s="23"/>
      <c r="AP218" s="23"/>
      <c r="AQ218" s="23"/>
      <c r="AR218" s="23"/>
      <c r="AS218" s="23"/>
      <c r="AT218" s="23"/>
      <c r="AU218" s="23"/>
      <c r="AV218" s="23"/>
      <c r="AW218" s="23"/>
      <c r="AX218" s="23"/>
      <c r="AY218" s="23"/>
      <c r="AZ218" s="23"/>
    </row>
    <row r="219" spans="1:52" x14ac:dyDescent="0.2">
      <c r="H219" s="155" t="s">
        <v>464</v>
      </c>
    </row>
    <row r="220" spans="1:52" x14ac:dyDescent="0.2">
      <c r="H220" s="156" t="s">
        <v>463</v>
      </c>
    </row>
    <row r="221" spans="1:52" x14ac:dyDescent="0.2">
      <c r="H221" s="156" t="s">
        <v>462</v>
      </c>
    </row>
  </sheetData>
  <mergeCells count="152">
    <mergeCell ref="U3:V5"/>
    <mergeCell ref="O3:P5"/>
    <mergeCell ref="Y3:Z5"/>
    <mergeCell ref="D3:D4"/>
    <mergeCell ref="S3:T5"/>
    <mergeCell ref="K3:L5"/>
    <mergeCell ref="W3:X5"/>
    <mergeCell ref="AD6:AD10"/>
    <mergeCell ref="U6:U10"/>
    <mergeCell ref="V6:V10"/>
    <mergeCell ref="AA6:AA10"/>
    <mergeCell ref="AB6:AB10"/>
    <mergeCell ref="Q6:Q10"/>
    <mergeCell ref="R6:R10"/>
    <mergeCell ref="Y6:Y10"/>
    <mergeCell ref="Z6:Z10"/>
    <mergeCell ref="A7:A10"/>
    <mergeCell ref="B7:B10"/>
    <mergeCell ref="H99:H107"/>
    <mergeCell ref="I99:J107"/>
    <mergeCell ref="M6:M10"/>
    <mergeCell ref="N6:N10"/>
    <mergeCell ref="AC6:AC10"/>
    <mergeCell ref="O6:O10"/>
    <mergeCell ref="P6:P10"/>
    <mergeCell ref="S6:S10"/>
    <mergeCell ref="T6:T10"/>
    <mergeCell ref="K6:K10"/>
    <mergeCell ref="L6:L10"/>
    <mergeCell ref="W6:W10"/>
    <mergeCell ref="X6:X10"/>
    <mergeCell ref="D5:D7"/>
    <mergeCell ref="G6:G10"/>
    <mergeCell ref="H6:H10"/>
    <mergeCell ref="I6:I10"/>
    <mergeCell ref="J6:J10"/>
    <mergeCell ref="AA3:AB5"/>
    <mergeCell ref="Q3:R5"/>
    <mergeCell ref="M3:N5"/>
    <mergeCell ref="AC3:AD5"/>
    <mergeCell ref="O99:O103"/>
    <mergeCell ref="P99:P103"/>
    <mergeCell ref="U117:U121"/>
    <mergeCell ref="V117:V121"/>
    <mergeCell ref="AE117:AE121"/>
    <mergeCell ref="AF117:AF121"/>
    <mergeCell ref="S99:S103"/>
    <mergeCell ref="T99:T103"/>
    <mergeCell ref="K99:K103"/>
    <mergeCell ref="L99:L103"/>
    <mergeCell ref="U99:U103"/>
    <mergeCell ref="V99:V103"/>
    <mergeCell ref="AA99:AA103"/>
    <mergeCell ref="AB99:AB103"/>
    <mergeCell ref="Q99:Q103"/>
    <mergeCell ref="R99:R103"/>
    <mergeCell ref="AA114:AB116"/>
    <mergeCell ref="Y99:Y103"/>
    <mergeCell ref="Z99:Z103"/>
    <mergeCell ref="W99:W103"/>
    <mergeCell ref="X99:X103"/>
    <mergeCell ref="D114:D115"/>
    <mergeCell ref="M114:N116"/>
    <mergeCell ref="S114:T116"/>
    <mergeCell ref="Y114:Z116"/>
    <mergeCell ref="U114:V116"/>
    <mergeCell ref="AE114:AF116"/>
    <mergeCell ref="U104:V106"/>
    <mergeCell ref="K107:AD107"/>
    <mergeCell ref="K2:AD2"/>
    <mergeCell ref="AA104:AB106"/>
    <mergeCell ref="Q104:R106"/>
    <mergeCell ref="M104:N106"/>
    <mergeCell ref="AC104:AD106"/>
    <mergeCell ref="W114:X116"/>
    <mergeCell ref="W104:X106"/>
    <mergeCell ref="O104:P106"/>
    <mergeCell ref="Y104:Z106"/>
    <mergeCell ref="E102:F107"/>
    <mergeCell ref="S104:T106"/>
    <mergeCell ref="K104:L106"/>
    <mergeCell ref="M99:M103"/>
    <mergeCell ref="N99:N103"/>
    <mergeCell ref="AC99:AC103"/>
    <mergeCell ref="AD99:AD103"/>
    <mergeCell ref="A118:A121"/>
    <mergeCell ref="B118:B121"/>
    <mergeCell ref="AD117:AD121"/>
    <mergeCell ref="Q117:Q121"/>
    <mergeCell ref="R117:R121"/>
    <mergeCell ref="O117:O121"/>
    <mergeCell ref="P117:P121"/>
    <mergeCell ref="AB117:AB121"/>
    <mergeCell ref="AC117:AC121"/>
    <mergeCell ref="W117:W121"/>
    <mergeCell ref="X117:X121"/>
    <mergeCell ref="AA117:AA121"/>
    <mergeCell ref="M117:M121"/>
    <mergeCell ref="N117:N121"/>
    <mergeCell ref="S117:S121"/>
    <mergeCell ref="T117:T121"/>
    <mergeCell ref="Y117:Y121"/>
    <mergeCell ref="Z117:Z121"/>
    <mergeCell ref="D116:D118"/>
    <mergeCell ref="G117:G121"/>
    <mergeCell ref="H117:H121"/>
    <mergeCell ref="I117:I121"/>
    <mergeCell ref="J117:J121"/>
    <mergeCell ref="AC114:AD116"/>
    <mergeCell ref="E213:F218"/>
    <mergeCell ref="M215:N217"/>
    <mergeCell ref="S215:T217"/>
    <mergeCell ref="Y215:Z217"/>
    <mergeCell ref="U215:V217"/>
    <mergeCell ref="AE215:AF217"/>
    <mergeCell ref="O210:O214"/>
    <mergeCell ref="P210:P214"/>
    <mergeCell ref="AC210:AC214"/>
    <mergeCell ref="AD210:AD214"/>
    <mergeCell ref="Q210:Q214"/>
    <mergeCell ref="R210:R214"/>
    <mergeCell ref="W210:W214"/>
    <mergeCell ref="X210:X214"/>
    <mergeCell ref="AA210:AA214"/>
    <mergeCell ref="AB210:AB214"/>
    <mergeCell ref="Y210:Y214"/>
    <mergeCell ref="Z210:Z214"/>
    <mergeCell ref="U210:U214"/>
    <mergeCell ref="V210:V214"/>
    <mergeCell ref="AE210:AE214"/>
    <mergeCell ref="AF210:AF214"/>
    <mergeCell ref="H210:H218"/>
    <mergeCell ref="I210:J218"/>
    <mergeCell ref="K218:AF218"/>
    <mergeCell ref="K113:AF113"/>
    <mergeCell ref="K215:L217"/>
    <mergeCell ref="Q215:R217"/>
    <mergeCell ref="O215:P217"/>
    <mergeCell ref="W215:X217"/>
    <mergeCell ref="AA215:AB217"/>
    <mergeCell ref="AC215:AD217"/>
    <mergeCell ref="K210:K214"/>
    <mergeCell ref="L210:L214"/>
    <mergeCell ref="M210:M214"/>
    <mergeCell ref="N210:N214"/>
    <mergeCell ref="S210:S214"/>
    <mergeCell ref="T210:T214"/>
    <mergeCell ref="K117:K121"/>
    <mergeCell ref="L117:L121"/>
    <mergeCell ref="K114:L116"/>
    <mergeCell ref="Q114:R116"/>
    <mergeCell ref="O114:P116"/>
  </mergeCells>
  <pageMargins left="0.7" right="0.7" top="0.75" bottom="0.75" header="0.3" footer="0.3"/>
  <ignoredErrors>
    <ignoredError sqref="I13:I16 I122:I127 I128:I131 I17:I20 I145:I157 I144:J144 I34:I46 I33:J33 I48:I94 I159:I205 I21:I32 I132:I143" numberStoredAsText="1"/>
    <ignoredError sqref="L97:AD98 L208:AF209"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59"/>
  <sheetViews>
    <sheetView showRuler="0"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390" t="s">
        <v>162</v>
      </c>
      <c r="L2" s="391"/>
      <c r="M2" s="391"/>
      <c r="N2" s="391"/>
      <c r="O2" s="391"/>
      <c r="P2" s="391"/>
      <c r="Q2" s="391"/>
      <c r="R2" s="391"/>
      <c r="S2" s="391"/>
      <c r="T2" s="391"/>
      <c r="U2" s="391"/>
      <c r="V2" s="391"/>
      <c r="W2" s="391"/>
      <c r="X2" s="391"/>
      <c r="Y2" s="391"/>
      <c r="Z2" s="391"/>
      <c r="AA2" s="391"/>
      <c r="AB2" s="391"/>
      <c r="AC2" s="391"/>
      <c r="AD2" s="391"/>
      <c r="AE2" s="391"/>
      <c r="AF2" s="391"/>
      <c r="AG2" s="391"/>
      <c r="AH2" s="391"/>
      <c r="AI2" s="391"/>
      <c r="AJ2" s="391"/>
      <c r="AK2" s="391"/>
      <c r="AL2" s="391"/>
      <c r="AM2" s="391"/>
      <c r="AN2" s="391"/>
      <c r="AO2" s="391"/>
      <c r="AP2" s="391"/>
      <c r="AQ2" s="391"/>
      <c r="AR2" s="391"/>
      <c r="AS2" s="391"/>
      <c r="AT2" s="391"/>
      <c r="AU2" s="391"/>
      <c r="AV2" s="391"/>
      <c r="AW2" s="391"/>
      <c r="AX2" s="391"/>
      <c r="AY2" s="391"/>
      <c r="AZ2" s="392"/>
    </row>
    <row r="3" spans="1:53" ht="16" customHeight="1" x14ac:dyDescent="0.2">
      <c r="D3" s="334" t="s">
        <v>232</v>
      </c>
      <c r="K3" s="362" t="s">
        <v>237</v>
      </c>
      <c r="L3" s="357"/>
      <c r="M3" s="356" t="s">
        <v>160</v>
      </c>
      <c r="N3" s="357"/>
      <c r="O3" s="362" t="s">
        <v>239</v>
      </c>
      <c r="P3" s="357"/>
      <c r="Q3" s="356" t="s">
        <v>172</v>
      </c>
      <c r="R3" s="357"/>
      <c r="S3" s="356" t="s">
        <v>164</v>
      </c>
      <c r="T3" s="357"/>
      <c r="U3" s="356" t="s">
        <v>173</v>
      </c>
      <c r="V3" s="357"/>
      <c r="W3" s="404" t="s">
        <v>208</v>
      </c>
      <c r="X3" s="357"/>
      <c r="Y3" s="356" t="s">
        <v>171</v>
      </c>
      <c r="Z3" s="357"/>
      <c r="AA3" s="356" t="s">
        <v>174</v>
      </c>
      <c r="AB3" s="357"/>
      <c r="AC3" s="356" t="s">
        <v>161</v>
      </c>
      <c r="AD3" s="357"/>
      <c r="AE3" s="362" t="s">
        <v>376</v>
      </c>
      <c r="AF3" s="396"/>
      <c r="AG3" s="356" t="s">
        <v>157</v>
      </c>
      <c r="AH3" s="357"/>
      <c r="AI3" s="362" t="s">
        <v>236</v>
      </c>
      <c r="AJ3" s="357"/>
      <c r="AK3" s="356" t="s">
        <v>163</v>
      </c>
      <c r="AL3" s="357"/>
      <c r="AM3" s="356" t="s">
        <v>207</v>
      </c>
      <c r="AN3" s="357"/>
      <c r="AO3" s="356" t="s">
        <v>158</v>
      </c>
      <c r="AP3" s="357"/>
      <c r="AQ3" s="362" t="s">
        <v>238</v>
      </c>
      <c r="AR3" s="357"/>
      <c r="AS3" s="356" t="s">
        <v>159</v>
      </c>
      <c r="AT3" s="357"/>
      <c r="AU3" s="356" t="s">
        <v>206</v>
      </c>
      <c r="AV3" s="357"/>
      <c r="AW3" s="356" t="s">
        <v>205</v>
      </c>
      <c r="AX3" s="357"/>
      <c r="AY3" s="356" t="s">
        <v>202</v>
      </c>
      <c r="AZ3" s="357"/>
    </row>
    <row r="4" spans="1:53" ht="20" customHeight="1" x14ac:dyDescent="0.2">
      <c r="B4" s="84"/>
      <c r="D4" s="335"/>
      <c r="K4" s="358"/>
      <c r="L4" s="359"/>
      <c r="M4" s="358"/>
      <c r="N4" s="359"/>
      <c r="O4" s="358"/>
      <c r="P4" s="359"/>
      <c r="Q4" s="358"/>
      <c r="R4" s="359"/>
      <c r="S4" s="358"/>
      <c r="T4" s="359"/>
      <c r="U4" s="358"/>
      <c r="V4" s="359"/>
      <c r="W4" s="402"/>
      <c r="X4" s="359"/>
      <c r="Y4" s="358"/>
      <c r="Z4" s="359"/>
      <c r="AA4" s="358"/>
      <c r="AB4" s="359"/>
      <c r="AC4" s="358"/>
      <c r="AD4" s="359"/>
      <c r="AE4" s="397"/>
      <c r="AF4" s="398"/>
      <c r="AG4" s="358"/>
      <c r="AH4" s="359"/>
      <c r="AI4" s="358"/>
      <c r="AJ4" s="359"/>
      <c r="AK4" s="358"/>
      <c r="AL4" s="359"/>
      <c r="AM4" s="358"/>
      <c r="AN4" s="359"/>
      <c r="AO4" s="358"/>
      <c r="AP4" s="359"/>
      <c r="AQ4" s="358"/>
      <c r="AR4" s="359"/>
      <c r="AS4" s="358"/>
      <c r="AT4" s="359"/>
      <c r="AU4" s="358"/>
      <c r="AV4" s="359"/>
      <c r="AW4" s="358"/>
      <c r="AX4" s="359"/>
      <c r="AY4" s="358"/>
      <c r="AZ4" s="359"/>
    </row>
    <row r="5" spans="1:53" ht="20" customHeight="1" thickBot="1" x14ac:dyDescent="0.25">
      <c r="A5" s="61"/>
      <c r="B5" s="83"/>
      <c r="D5" s="332" t="s">
        <v>245</v>
      </c>
      <c r="I5" s="24"/>
      <c r="J5" s="24"/>
      <c r="K5" s="360"/>
      <c r="L5" s="361"/>
      <c r="M5" s="360"/>
      <c r="N5" s="361"/>
      <c r="O5" s="360"/>
      <c r="P5" s="361"/>
      <c r="Q5" s="360"/>
      <c r="R5" s="361"/>
      <c r="S5" s="360"/>
      <c r="T5" s="361"/>
      <c r="U5" s="360"/>
      <c r="V5" s="361"/>
      <c r="W5" s="405"/>
      <c r="X5" s="361"/>
      <c r="Y5" s="360"/>
      <c r="Z5" s="361"/>
      <c r="AA5" s="360"/>
      <c r="AB5" s="361"/>
      <c r="AC5" s="360"/>
      <c r="AD5" s="361"/>
      <c r="AE5" s="399"/>
      <c r="AF5" s="400"/>
      <c r="AG5" s="360"/>
      <c r="AH5" s="361"/>
      <c r="AI5" s="360"/>
      <c r="AJ5" s="361"/>
      <c r="AK5" s="360"/>
      <c r="AL5" s="361"/>
      <c r="AM5" s="360"/>
      <c r="AN5" s="361"/>
      <c r="AO5" s="360"/>
      <c r="AP5" s="361"/>
      <c r="AQ5" s="360"/>
      <c r="AR5" s="361"/>
      <c r="AS5" s="360"/>
      <c r="AT5" s="361"/>
      <c r="AU5" s="360"/>
      <c r="AV5" s="361"/>
      <c r="AW5" s="360"/>
      <c r="AX5" s="361"/>
      <c r="AY5" s="360"/>
      <c r="AZ5" s="361"/>
    </row>
    <row r="6" spans="1:53" ht="20" customHeight="1" x14ac:dyDescent="0.2">
      <c r="A6" s="60"/>
      <c r="B6" s="82"/>
      <c r="D6" s="332"/>
      <c r="G6" s="328" t="s">
        <v>24</v>
      </c>
      <c r="H6" s="339" t="s">
        <v>327</v>
      </c>
      <c r="I6" s="342" t="s">
        <v>325</v>
      </c>
      <c r="J6" s="345" t="s">
        <v>326</v>
      </c>
      <c r="K6" s="363" t="s">
        <v>240</v>
      </c>
      <c r="L6" s="364" t="s">
        <v>241</v>
      </c>
      <c r="M6" s="336" t="s">
        <v>240</v>
      </c>
      <c r="N6" s="364" t="s">
        <v>241</v>
      </c>
      <c r="O6" s="336" t="s">
        <v>240</v>
      </c>
      <c r="P6" s="364" t="s">
        <v>241</v>
      </c>
      <c r="Q6" s="336" t="s">
        <v>240</v>
      </c>
      <c r="R6" s="364" t="s">
        <v>241</v>
      </c>
      <c r="S6" s="336" t="s">
        <v>240</v>
      </c>
      <c r="T6" s="364" t="s">
        <v>241</v>
      </c>
      <c r="U6" s="369" t="s">
        <v>240</v>
      </c>
      <c r="V6" s="364" t="s">
        <v>241</v>
      </c>
      <c r="W6" s="366" t="s">
        <v>240</v>
      </c>
      <c r="X6" s="364" t="s">
        <v>241</v>
      </c>
      <c r="Y6" s="336" t="s">
        <v>240</v>
      </c>
      <c r="Z6" s="364" t="s">
        <v>241</v>
      </c>
      <c r="AA6" s="336" t="s">
        <v>240</v>
      </c>
      <c r="AB6" s="364" t="s">
        <v>241</v>
      </c>
      <c r="AC6" s="348" t="s">
        <v>240</v>
      </c>
      <c r="AD6" s="364" t="s">
        <v>241</v>
      </c>
      <c r="AE6" s="366" t="s">
        <v>240</v>
      </c>
      <c r="AF6" s="364" t="s">
        <v>241</v>
      </c>
      <c r="AG6" s="348" t="s">
        <v>240</v>
      </c>
      <c r="AH6" s="406" t="s">
        <v>241</v>
      </c>
      <c r="AI6" s="363" t="s">
        <v>240</v>
      </c>
      <c r="AJ6" s="364" t="s">
        <v>241</v>
      </c>
      <c r="AK6" s="336" t="s">
        <v>240</v>
      </c>
      <c r="AL6" s="364" t="s">
        <v>241</v>
      </c>
      <c r="AM6" s="336" t="s">
        <v>240</v>
      </c>
      <c r="AN6" s="364" t="s">
        <v>241</v>
      </c>
      <c r="AO6" s="336" t="s">
        <v>240</v>
      </c>
      <c r="AP6" s="364" t="s">
        <v>241</v>
      </c>
      <c r="AQ6" s="363" t="s">
        <v>240</v>
      </c>
      <c r="AR6" s="364" t="s">
        <v>241</v>
      </c>
      <c r="AS6" s="336" t="s">
        <v>240</v>
      </c>
      <c r="AT6" s="364" t="s">
        <v>241</v>
      </c>
      <c r="AU6" s="336" t="s">
        <v>240</v>
      </c>
      <c r="AV6" s="364" t="s">
        <v>241</v>
      </c>
      <c r="AW6" s="336" t="s">
        <v>240</v>
      </c>
      <c r="AX6" s="364" t="s">
        <v>241</v>
      </c>
      <c r="AY6" s="336" t="s">
        <v>240</v>
      </c>
      <c r="AZ6" s="364" t="s">
        <v>241</v>
      </c>
    </row>
    <row r="7" spans="1:53" ht="23" customHeight="1" thickBot="1" x14ac:dyDescent="0.25">
      <c r="A7" s="328" t="s">
        <v>248</v>
      </c>
      <c r="B7" s="330" t="s">
        <v>487</v>
      </c>
      <c r="D7" s="333"/>
      <c r="G7" s="328"/>
      <c r="H7" s="340"/>
      <c r="I7" s="343"/>
      <c r="J7" s="346"/>
      <c r="K7" s="363"/>
      <c r="L7" s="364"/>
      <c r="M7" s="336"/>
      <c r="N7" s="364"/>
      <c r="O7" s="336"/>
      <c r="P7" s="364"/>
      <c r="Q7" s="336"/>
      <c r="R7" s="364"/>
      <c r="S7" s="336"/>
      <c r="T7" s="364"/>
      <c r="U7" s="370"/>
      <c r="V7" s="364"/>
      <c r="W7" s="366"/>
      <c r="X7" s="364"/>
      <c r="Y7" s="336"/>
      <c r="Z7" s="364"/>
      <c r="AA7" s="336"/>
      <c r="AB7" s="364"/>
      <c r="AC7" s="349"/>
      <c r="AD7" s="364"/>
      <c r="AE7" s="366"/>
      <c r="AF7" s="364"/>
      <c r="AG7" s="349"/>
      <c r="AH7" s="407"/>
      <c r="AI7" s="336"/>
      <c r="AJ7" s="364"/>
      <c r="AK7" s="336"/>
      <c r="AL7" s="364"/>
      <c r="AM7" s="336"/>
      <c r="AN7" s="364"/>
      <c r="AO7" s="336"/>
      <c r="AP7" s="364"/>
      <c r="AQ7" s="363"/>
      <c r="AR7" s="364"/>
      <c r="AS7" s="336"/>
      <c r="AT7" s="364"/>
      <c r="AU7" s="336"/>
      <c r="AV7" s="364"/>
      <c r="AW7" s="336"/>
      <c r="AX7" s="364"/>
      <c r="AY7" s="336"/>
      <c r="AZ7" s="364"/>
    </row>
    <row r="8" spans="1:53" ht="23" customHeight="1" x14ac:dyDescent="0.2">
      <c r="A8" s="328"/>
      <c r="B8" s="330"/>
      <c r="G8" s="328"/>
      <c r="H8" s="340"/>
      <c r="I8" s="343"/>
      <c r="J8" s="346"/>
      <c r="K8" s="363"/>
      <c r="L8" s="364"/>
      <c r="M8" s="336"/>
      <c r="N8" s="364"/>
      <c r="O8" s="336"/>
      <c r="P8" s="364"/>
      <c r="Q8" s="336"/>
      <c r="R8" s="364"/>
      <c r="S8" s="336"/>
      <c r="T8" s="364"/>
      <c r="U8" s="370"/>
      <c r="V8" s="364"/>
      <c r="W8" s="366"/>
      <c r="X8" s="364"/>
      <c r="Y8" s="336"/>
      <c r="Z8" s="364"/>
      <c r="AA8" s="336"/>
      <c r="AB8" s="364"/>
      <c r="AC8" s="349"/>
      <c r="AD8" s="364"/>
      <c r="AE8" s="366"/>
      <c r="AF8" s="364"/>
      <c r="AG8" s="349"/>
      <c r="AH8" s="407"/>
      <c r="AI8" s="336"/>
      <c r="AJ8" s="364"/>
      <c r="AK8" s="336"/>
      <c r="AL8" s="364"/>
      <c r="AM8" s="336"/>
      <c r="AN8" s="364"/>
      <c r="AO8" s="336"/>
      <c r="AP8" s="364"/>
      <c r="AQ8" s="363"/>
      <c r="AR8" s="364"/>
      <c r="AS8" s="336"/>
      <c r="AT8" s="364"/>
      <c r="AU8" s="336"/>
      <c r="AV8" s="364"/>
      <c r="AW8" s="336"/>
      <c r="AX8" s="364"/>
      <c r="AY8" s="336"/>
      <c r="AZ8" s="364"/>
    </row>
    <row r="9" spans="1:53" ht="23" customHeight="1" x14ac:dyDescent="0.2">
      <c r="A9" s="328"/>
      <c r="B9" s="330"/>
      <c r="G9" s="328"/>
      <c r="H9" s="340"/>
      <c r="I9" s="343"/>
      <c r="J9" s="346"/>
      <c r="K9" s="363"/>
      <c r="L9" s="364"/>
      <c r="M9" s="336"/>
      <c r="N9" s="364"/>
      <c r="O9" s="336"/>
      <c r="P9" s="364"/>
      <c r="Q9" s="336"/>
      <c r="R9" s="364"/>
      <c r="S9" s="336"/>
      <c r="T9" s="364"/>
      <c r="U9" s="370"/>
      <c r="V9" s="364"/>
      <c r="W9" s="366"/>
      <c r="X9" s="364"/>
      <c r="Y9" s="336"/>
      <c r="Z9" s="364"/>
      <c r="AA9" s="336"/>
      <c r="AB9" s="364"/>
      <c r="AC9" s="349"/>
      <c r="AD9" s="364"/>
      <c r="AE9" s="366"/>
      <c r="AF9" s="364"/>
      <c r="AG9" s="349"/>
      <c r="AH9" s="407"/>
      <c r="AI9" s="336"/>
      <c r="AJ9" s="364"/>
      <c r="AK9" s="336"/>
      <c r="AL9" s="364"/>
      <c r="AM9" s="336"/>
      <c r="AN9" s="364"/>
      <c r="AO9" s="336"/>
      <c r="AP9" s="364"/>
      <c r="AQ9" s="363"/>
      <c r="AR9" s="364"/>
      <c r="AS9" s="336"/>
      <c r="AT9" s="364"/>
      <c r="AU9" s="336"/>
      <c r="AV9" s="364"/>
      <c r="AW9" s="336"/>
      <c r="AX9" s="364"/>
      <c r="AY9" s="336"/>
      <c r="AZ9" s="364"/>
    </row>
    <row r="10" spans="1:53" s="22" customFormat="1" ht="23" customHeight="1" thickBot="1" x14ac:dyDescent="0.25">
      <c r="A10" s="329"/>
      <c r="B10" s="331"/>
      <c r="C10" s="21" t="s">
        <v>20</v>
      </c>
      <c r="D10" s="20" t="s">
        <v>21</v>
      </c>
      <c r="E10" s="20" t="s">
        <v>22</v>
      </c>
      <c r="F10" s="21" t="s">
        <v>23</v>
      </c>
      <c r="G10" s="338"/>
      <c r="H10" s="341"/>
      <c r="I10" s="344"/>
      <c r="J10" s="347"/>
      <c r="K10" s="368"/>
      <c r="L10" s="365"/>
      <c r="M10" s="337"/>
      <c r="N10" s="365"/>
      <c r="O10" s="337"/>
      <c r="P10" s="365"/>
      <c r="Q10" s="337"/>
      <c r="R10" s="365"/>
      <c r="S10" s="337"/>
      <c r="T10" s="365"/>
      <c r="U10" s="371"/>
      <c r="V10" s="365"/>
      <c r="W10" s="367"/>
      <c r="X10" s="365"/>
      <c r="Y10" s="337"/>
      <c r="Z10" s="365"/>
      <c r="AA10" s="337"/>
      <c r="AB10" s="365"/>
      <c r="AC10" s="350"/>
      <c r="AD10" s="365"/>
      <c r="AE10" s="367"/>
      <c r="AF10" s="365"/>
      <c r="AG10" s="350"/>
      <c r="AH10" s="408"/>
      <c r="AI10" s="337"/>
      <c r="AJ10" s="365"/>
      <c r="AK10" s="337"/>
      <c r="AL10" s="365"/>
      <c r="AM10" s="337"/>
      <c r="AN10" s="365"/>
      <c r="AO10" s="337"/>
      <c r="AP10" s="365"/>
      <c r="AQ10" s="368"/>
      <c r="AR10" s="365"/>
      <c r="AS10" s="337"/>
      <c r="AT10" s="365"/>
      <c r="AU10" s="337"/>
      <c r="AV10" s="365"/>
      <c r="AW10" s="337"/>
      <c r="AX10" s="365"/>
      <c r="AY10" s="337"/>
      <c r="AZ10" s="365"/>
      <c r="BA10" s="20" t="s">
        <v>25</v>
      </c>
    </row>
    <row r="11" spans="1:53" ht="20" customHeight="1" x14ac:dyDescent="0.2">
      <c r="A11" s="61"/>
      <c r="B11" s="82"/>
      <c r="C11" s="24" t="s">
        <v>85</v>
      </c>
      <c r="D11" s="23" t="s">
        <v>26</v>
      </c>
      <c r="E11" s="23" t="s">
        <v>27</v>
      </c>
      <c r="F11" s="24">
        <v>2008</v>
      </c>
      <c r="G11" s="24">
        <v>165</v>
      </c>
      <c r="H11" s="114">
        <v>107</v>
      </c>
      <c r="I11" s="109" t="s">
        <v>166</v>
      </c>
      <c r="J11" s="110"/>
      <c r="K11" s="65"/>
      <c r="L11" s="66" t="str">
        <f t="shared" ref="L11:L39" si="0">IF((ISERROR((K11/$H11)*100)), "", IF(AND(NOT(ISERROR((K11/$H11)*100)),((K11/$H11)*100) &lt;&gt; 0), (K11/$H11)*100, ""))</f>
        <v/>
      </c>
      <c r="M11" s="67"/>
      <c r="N11" s="68" t="str">
        <f t="shared" ref="N11:N39" si="1">IF((ISERROR((M11/$H11)*100)), "", IF(AND(NOT(ISERROR((M11/$H11)*100)),((M11/$H11)*100) &lt;&gt; 0), (M11/$H11)*100, ""))</f>
        <v/>
      </c>
      <c r="O11" s="67"/>
      <c r="P11" s="68" t="str">
        <f t="shared" ref="P11:P39" si="2">IF((ISERROR((O11/$H11)*100)), "", IF(AND(NOT(ISERROR((O11/$H11)*100)),((O11/$H11)*100) &lt;&gt; 0), (O11/$H11)*100, ""))</f>
        <v/>
      </c>
      <c r="Q11" s="67"/>
      <c r="R11" s="68" t="str">
        <f t="shared" ref="R11:R39" si="3">IF((ISERROR((Q11/$H11)*100)), "", IF(AND(NOT(ISERROR((Q11/$H11)*100)),((Q11/$H11)*100) &lt;&gt; 0), (Q11/$H11)*100, ""))</f>
        <v/>
      </c>
      <c r="S11" s="65"/>
      <c r="T11" s="66" t="str">
        <f t="shared" ref="T11:T39" si="4">IF((ISERROR((S11/$H11)*100)), "", IF(AND(NOT(ISERROR((S11/$H11)*100)),((S11/$H11)*100) &lt;&gt; 0), (S11/$H11)*100, ""))</f>
        <v/>
      </c>
      <c r="U11" s="65"/>
      <c r="V11" s="66" t="str">
        <f t="shared" ref="V11:V12" si="5">IF((ISERROR((U11/$H11)*100)), "", IF(AND(NOT(ISERROR((U11/$H11)*100)),((U11/$H11)*100) &lt;&gt; 0), (U11/$H11)*100, ""))</f>
        <v/>
      </c>
      <c r="W11" s="69"/>
      <c r="X11" s="36" t="str">
        <f t="shared" ref="X11:X39" si="6">IF((ISERROR((W11/$H11)*100)), "", IF(AND(NOT(ISERROR((W11/$H11)*100)),((W11/$H11)*100) &lt;&gt; 0), (W11/$H11)*100, ""))</f>
        <v/>
      </c>
      <c r="Y11" s="67"/>
      <c r="Z11" s="68" t="str">
        <f t="shared" ref="Z11:Z12" si="7">IF((ISERROR((Y11/$H11)*100)), "", IF(AND(NOT(ISERROR((Y11/$H11)*100)),((Y11/$H11)*100) &lt;&gt; 0), (Y11/$H11)*100, ""))</f>
        <v/>
      </c>
      <c r="AA11" s="67"/>
      <c r="AB11" s="68" t="str">
        <f t="shared" ref="AB11:AB12" si="8">IF((ISERROR((AA11/$H11)*100)), "", IF(AND(NOT(ISERROR((AA11/$H11)*100)),((AA11/$H11)*100) &lt;&gt; 0), (AA11/$H11)*100, ""))</f>
        <v/>
      </c>
      <c r="AC11" s="67"/>
      <c r="AD11" s="68" t="str">
        <f t="shared" ref="AD11:AD12" si="9">IF((ISERROR((AC11/$H11)*100)), "", IF(AND(NOT(ISERROR((AC11/$H11)*100)),((AC11/$H11)*100) &lt;&gt; 0), (AC11/$H11)*100, ""))</f>
        <v/>
      </c>
      <c r="AE11" s="69"/>
      <c r="AF11" s="36" t="str">
        <f t="shared" ref="AF11:AF39" si="10">IF((ISERROR((AE11/$H11)*100)), "", IF(AND(NOT(ISERROR((AE11/$H11)*100)),((AE11/$H11)*100) &lt;&gt; 0), (AE11/$H11)*100, ""))</f>
        <v/>
      </c>
      <c r="AG11" s="65"/>
      <c r="AH11" s="66" t="str">
        <f t="shared" ref="AH11:AH39" si="11">IF((ISERROR((AG11/$H11)*100)), "", IF(AND(NOT(ISERROR((AG11/$H11)*100)),((AG11/$H11)*100) &lt;&gt; 0), (AG11/$H11)*100, ""))</f>
        <v/>
      </c>
      <c r="AI11" s="67"/>
      <c r="AJ11" s="68" t="str">
        <f t="shared" ref="AJ11:AJ39" si="12">IF((ISERROR((AI11/$H11)*100)), "", IF(AND(NOT(ISERROR((AI11/$H11)*100)),((AI11/$H11)*100) &lt;&gt; 0), (AI11/$H11)*100, ""))</f>
        <v/>
      </c>
      <c r="AK11" s="67"/>
      <c r="AL11" s="68" t="str">
        <f t="shared" ref="AL11:AL39" si="13">IF((ISERROR((AK11/$H11)*100)), "", IF(AND(NOT(ISERROR((AK11/$H11)*100)),((AK11/$H11)*100) &lt;&gt; 0), (AK11/$H11)*100, ""))</f>
        <v/>
      </c>
      <c r="AM11" s="65"/>
      <c r="AN11" s="66" t="str">
        <f t="shared" ref="AN11:AN39" si="14">IF((ISERROR((AM11/$H11)*100)), "", IF(AND(NOT(ISERROR((AM11/$H11)*100)),((AM11/$H11)*100) &lt;&gt; 0), (AM11/$H11)*100, ""))</f>
        <v/>
      </c>
      <c r="AO11" s="67"/>
      <c r="AP11" s="68" t="str">
        <f t="shared" ref="AP11:AP39" si="15">IF((ISERROR((AO11/$H11)*100)), "", IF(AND(NOT(ISERROR((AO11/$H11)*100)),((AO11/$H11)*100) &lt;&gt; 0), (AO11/$H11)*100, ""))</f>
        <v/>
      </c>
      <c r="AQ11" s="67"/>
      <c r="AR11" s="68" t="str">
        <f t="shared" ref="AR11:AR12" si="16">IF((ISERROR((AQ11/$H11)*100)), "", IF(AND(NOT(ISERROR((AQ11/$H11)*100)),((AQ11/$H11)*100) &lt;&gt; 0), (AQ11/$H11)*100, ""))</f>
        <v/>
      </c>
      <c r="AS11" s="67"/>
      <c r="AT11" s="68" t="str">
        <f t="shared" ref="AT11:AT17" si="17">IF((ISERROR((AS11/$H11)*100)), "", IF(AND(NOT(ISERROR((AS11/$H11)*100)),((AS11/$H11)*100) &lt;&gt; 0), (AS11/$H11)*100, ""))</f>
        <v/>
      </c>
      <c r="AU11" s="67"/>
      <c r="AV11" s="68" t="str">
        <f t="shared" ref="AV11:AV39" si="18">IF((ISERROR((AU11/$H11)*100)), "", IF(AND(NOT(ISERROR((AU11/$H11)*100)),((AU11/$H11)*100) &lt;&gt; 0), (AU11/$H11)*100, ""))</f>
        <v/>
      </c>
      <c r="AW11" s="67"/>
      <c r="AX11" s="68" t="str">
        <f t="shared" ref="AX11:AX39" si="19">IF((ISERROR((AW11/$H11)*100)), "", IF(AND(NOT(ISERROR((AW11/$H11)*100)),((AW11/$H11)*100) &lt;&gt; 0), (AW11/$H11)*100, ""))</f>
        <v/>
      </c>
      <c r="AY11" s="67"/>
      <c r="AZ11" s="68" t="str">
        <f t="shared" ref="AZ11:AZ39" si="20">IF((ISERROR((AY11/$H11)*100)), "", IF(AND(NOT(ISERROR((AY11/$H11)*100)),((AY11/$H11)*100) &lt;&gt; 0), (AY11/$H11)*100, ""))</f>
        <v/>
      </c>
      <c r="BA11" s="23" t="s">
        <v>165</v>
      </c>
    </row>
    <row r="12" spans="1:53" ht="20" customHeight="1" x14ac:dyDescent="0.2">
      <c r="A12" s="61"/>
      <c r="B12" s="82"/>
      <c r="C12" s="24" t="s">
        <v>85</v>
      </c>
      <c r="D12" s="23" t="s">
        <v>33</v>
      </c>
      <c r="E12" s="23" t="s">
        <v>34</v>
      </c>
      <c r="F12" s="24">
        <v>2003</v>
      </c>
      <c r="G12" s="24">
        <v>291</v>
      </c>
      <c r="H12" s="89">
        <v>14</v>
      </c>
      <c r="I12" s="85" t="s">
        <v>167</v>
      </c>
      <c r="J12" s="86"/>
      <c r="K12" s="33"/>
      <c r="L12" s="36" t="str">
        <f t="shared" si="0"/>
        <v/>
      </c>
      <c r="M12" s="33"/>
      <c r="N12" s="36" t="str">
        <f t="shared" si="1"/>
        <v/>
      </c>
      <c r="O12" s="33"/>
      <c r="P12" s="36" t="str">
        <f t="shared" si="2"/>
        <v/>
      </c>
      <c r="Q12" s="33"/>
      <c r="R12" s="36" t="str">
        <f t="shared" si="3"/>
        <v/>
      </c>
      <c r="S12" s="33">
        <v>2</v>
      </c>
      <c r="T12" s="36">
        <f t="shared" si="4"/>
        <v>14.285714285714285</v>
      </c>
      <c r="U12" s="33"/>
      <c r="V12" s="36" t="str">
        <f t="shared" si="5"/>
        <v/>
      </c>
      <c r="W12" s="76"/>
      <c r="X12" s="36" t="str">
        <f t="shared" si="6"/>
        <v/>
      </c>
      <c r="Y12" s="33"/>
      <c r="Z12" s="36" t="str">
        <f t="shared" si="7"/>
        <v/>
      </c>
      <c r="AA12" s="33"/>
      <c r="AB12" s="36" t="str">
        <f t="shared" si="8"/>
        <v/>
      </c>
      <c r="AC12" s="33"/>
      <c r="AD12" s="36" t="str">
        <f t="shared" si="9"/>
        <v/>
      </c>
      <c r="AE12" s="76"/>
      <c r="AF12" s="36" t="str">
        <f t="shared" si="10"/>
        <v/>
      </c>
      <c r="AG12" s="33">
        <v>2</v>
      </c>
      <c r="AH12" s="36">
        <f t="shared" si="11"/>
        <v>14.285714285714285</v>
      </c>
      <c r="AI12" s="33"/>
      <c r="AJ12" s="36" t="str">
        <f t="shared" si="12"/>
        <v/>
      </c>
      <c r="AK12" s="33"/>
      <c r="AL12" s="36" t="str">
        <f t="shared" si="13"/>
        <v/>
      </c>
      <c r="AM12" s="33"/>
      <c r="AN12" s="36" t="str">
        <f t="shared" si="14"/>
        <v/>
      </c>
      <c r="AO12" s="33"/>
      <c r="AP12" s="36" t="str">
        <f t="shared" si="15"/>
        <v/>
      </c>
      <c r="AQ12" s="33">
        <v>1</v>
      </c>
      <c r="AR12" s="36">
        <f t="shared" si="16"/>
        <v>7.1428571428571423</v>
      </c>
      <c r="AS12" s="33"/>
      <c r="AT12" s="36" t="str">
        <f t="shared" si="17"/>
        <v/>
      </c>
      <c r="AU12" s="33"/>
      <c r="AV12" s="36" t="str">
        <f t="shared" si="18"/>
        <v/>
      </c>
      <c r="AW12" s="33"/>
      <c r="AX12" s="36" t="str">
        <f t="shared" si="19"/>
        <v/>
      </c>
      <c r="AY12" s="33"/>
      <c r="AZ12" s="36" t="str">
        <f t="shared" si="20"/>
        <v/>
      </c>
      <c r="BA12" s="23" t="s">
        <v>334</v>
      </c>
    </row>
    <row r="13" spans="1:53" ht="20" customHeight="1" x14ac:dyDescent="0.2">
      <c r="A13" s="60"/>
      <c r="B13" s="82"/>
      <c r="C13" s="24" t="s">
        <v>85</v>
      </c>
      <c r="D13" s="23" t="s">
        <v>253</v>
      </c>
      <c r="E13" s="23" t="s">
        <v>254</v>
      </c>
      <c r="F13" s="24">
        <v>2008</v>
      </c>
      <c r="H13" s="89">
        <v>13</v>
      </c>
      <c r="I13" s="85" t="s">
        <v>218</v>
      </c>
      <c r="J13" s="86" t="s">
        <v>335</v>
      </c>
      <c r="K13" s="33"/>
      <c r="L13" s="36" t="str">
        <f t="shared" si="0"/>
        <v/>
      </c>
      <c r="M13" s="33"/>
      <c r="N13" s="36" t="str">
        <f t="shared" si="1"/>
        <v/>
      </c>
      <c r="O13" s="33"/>
      <c r="P13" s="36" t="str">
        <f t="shared" si="2"/>
        <v/>
      </c>
      <c r="Q13" s="33"/>
      <c r="R13" s="36" t="str">
        <f t="shared" si="3"/>
        <v/>
      </c>
      <c r="S13" s="33"/>
      <c r="T13" s="36" t="str">
        <f t="shared" si="4"/>
        <v/>
      </c>
      <c r="U13" s="33"/>
      <c r="V13" s="36" t="str">
        <f>IF((ISERROR((U13/$H13)*100)), "", IF(AND(NOT(ISERROR((U13/$H13)*100)),((U13/$H13)*100) &lt;&gt; 0), (U13/$H13)*100, ""))</f>
        <v/>
      </c>
      <c r="W13" s="76"/>
      <c r="X13" s="36" t="str">
        <f t="shared" si="6"/>
        <v/>
      </c>
      <c r="Y13" s="33"/>
      <c r="Z13" s="36" t="str">
        <f>IF((ISERROR((Y13/$H13)*100)), "", IF(AND(NOT(ISERROR((Y13/$H13)*100)),((Y13/$H13)*100) &lt;&gt; 0), (Y13/$H13)*100, ""))</f>
        <v/>
      </c>
      <c r="AA13" s="33"/>
      <c r="AB13" s="36" t="str">
        <f>IF((ISERROR((AA13/$H13)*100)), "", IF(AND(NOT(ISERROR((AA13/$H13)*100)),((AA13/$H13)*100) &lt;&gt; 0), (AA13/$H13)*100, ""))</f>
        <v/>
      </c>
      <c r="AC13" s="33"/>
      <c r="AD13" s="36" t="str">
        <f>IF((ISERROR((AC13/$H13)*100)), "", IF(AND(NOT(ISERROR((AC13/$H13)*100)),((AC13/$H13)*100) &lt;&gt; 0), (AC13/$H13)*100, ""))</f>
        <v/>
      </c>
      <c r="AE13" s="76"/>
      <c r="AF13" s="36" t="str">
        <f t="shared" si="10"/>
        <v/>
      </c>
      <c r="AG13" s="33">
        <v>1</v>
      </c>
      <c r="AH13" s="36">
        <f t="shared" si="11"/>
        <v>7.6923076923076925</v>
      </c>
      <c r="AI13" s="33"/>
      <c r="AJ13" s="36" t="str">
        <f t="shared" si="12"/>
        <v/>
      </c>
      <c r="AK13" s="33"/>
      <c r="AL13" s="36" t="str">
        <f t="shared" si="13"/>
        <v/>
      </c>
      <c r="AM13" s="33"/>
      <c r="AN13" s="36" t="str">
        <f t="shared" si="14"/>
        <v/>
      </c>
      <c r="AO13" s="33"/>
      <c r="AP13" s="36" t="str">
        <f t="shared" si="15"/>
        <v/>
      </c>
      <c r="AQ13" s="33"/>
      <c r="AR13" s="36" t="str">
        <f>IF((ISERROR((AQ13/$H13)*100)), "", IF(AND(NOT(ISERROR((AQ13/$H13)*100)),((AQ13/$H13)*100) &lt;&gt; 0), (AQ13/$H13)*100, ""))</f>
        <v/>
      </c>
      <c r="AS13" s="33"/>
      <c r="AT13" s="36" t="str">
        <f t="shared" si="17"/>
        <v/>
      </c>
      <c r="AU13" s="33"/>
      <c r="AV13" s="36" t="str">
        <f t="shared" si="18"/>
        <v/>
      </c>
      <c r="AW13" s="33"/>
      <c r="AX13" s="36" t="str">
        <f t="shared" si="19"/>
        <v/>
      </c>
      <c r="AY13" s="33"/>
      <c r="AZ13" s="36" t="str">
        <f t="shared" si="20"/>
        <v/>
      </c>
    </row>
    <row r="14" spans="1:53" ht="20" customHeight="1" x14ac:dyDescent="0.2">
      <c r="A14" s="61"/>
      <c r="B14" s="82"/>
      <c r="C14" s="24" t="s">
        <v>85</v>
      </c>
      <c r="D14" s="23" t="s">
        <v>36</v>
      </c>
      <c r="E14" s="23" t="s">
        <v>37</v>
      </c>
      <c r="F14" s="24">
        <v>2008</v>
      </c>
      <c r="G14" s="24">
        <v>40</v>
      </c>
      <c r="H14" s="89">
        <v>29</v>
      </c>
      <c r="I14" s="85" t="s">
        <v>176</v>
      </c>
      <c r="J14" s="86" t="s">
        <v>169</v>
      </c>
      <c r="K14" s="33"/>
      <c r="L14" s="36" t="str">
        <f t="shared" si="0"/>
        <v/>
      </c>
      <c r="M14" s="33"/>
      <c r="N14" s="36" t="str">
        <f t="shared" si="1"/>
        <v/>
      </c>
      <c r="O14" s="33"/>
      <c r="P14" s="36" t="str">
        <f t="shared" si="2"/>
        <v/>
      </c>
      <c r="Q14" s="33"/>
      <c r="R14" s="36" t="str">
        <f t="shared" si="3"/>
        <v/>
      </c>
      <c r="S14" s="33"/>
      <c r="T14" s="36" t="str">
        <f t="shared" si="4"/>
        <v/>
      </c>
      <c r="U14" s="33"/>
      <c r="V14" s="36" t="str">
        <f>IF((ISERROR((U14/$H14)*100)), "", IF(AND(NOT(ISERROR((U14/$H14)*100)),((U14/$H14)*100) &lt;&gt; 0), (U14/$H14)*100, ""))</f>
        <v/>
      </c>
      <c r="W14" s="76">
        <v>5</v>
      </c>
      <c r="X14" s="36">
        <f t="shared" si="6"/>
        <v>17.241379310344829</v>
      </c>
      <c r="Y14" s="33"/>
      <c r="Z14" s="36" t="str">
        <f>IF((ISERROR((Y14/$H14)*100)), "", IF(AND(NOT(ISERROR((Y14/$H14)*100)),((Y14/$H14)*100) &lt;&gt; 0), (Y14/$H14)*100, ""))</f>
        <v/>
      </c>
      <c r="AA14" s="33">
        <v>5</v>
      </c>
      <c r="AB14" s="36">
        <f>IF((ISERROR((AA14/$H14)*100)), "", IF(AND(NOT(ISERROR((AA14/$H14)*100)),((AA14/$H14)*100) &lt;&gt; 0), (AA14/$H14)*100, ""))</f>
        <v>17.241379310344829</v>
      </c>
      <c r="AC14" s="33"/>
      <c r="AD14" s="36" t="str">
        <f>IF((ISERROR((AC14/$H14)*100)), "", IF(AND(NOT(ISERROR((AC14/$H14)*100)),((AC14/$H14)*100) &lt;&gt; 0), (AC14/$H14)*100, ""))</f>
        <v/>
      </c>
      <c r="AE14" s="76"/>
      <c r="AF14" s="36" t="str">
        <f t="shared" si="10"/>
        <v/>
      </c>
      <c r="AG14" s="33"/>
      <c r="AH14" s="36" t="str">
        <f t="shared" si="11"/>
        <v/>
      </c>
      <c r="AI14" s="33"/>
      <c r="AJ14" s="36" t="str">
        <f t="shared" si="12"/>
        <v/>
      </c>
      <c r="AK14" s="33"/>
      <c r="AL14" s="36" t="str">
        <f t="shared" si="13"/>
        <v/>
      </c>
      <c r="AM14" s="33"/>
      <c r="AN14" s="36" t="str">
        <f t="shared" si="14"/>
        <v/>
      </c>
      <c r="AO14" s="33"/>
      <c r="AP14" s="36" t="str">
        <f t="shared" si="15"/>
        <v/>
      </c>
      <c r="AQ14" s="33"/>
      <c r="AR14" s="36" t="str">
        <f>IF((ISERROR((AQ14/$H14)*100)), "", IF(AND(NOT(ISERROR((AQ14/$H14)*100)),((AQ14/$H14)*100) &lt;&gt; 0), (AQ14/$H14)*100, ""))</f>
        <v/>
      </c>
      <c r="AS14" s="33"/>
      <c r="AT14" s="36" t="str">
        <f t="shared" si="17"/>
        <v/>
      </c>
      <c r="AU14" s="33"/>
      <c r="AV14" s="36" t="str">
        <f t="shared" si="18"/>
        <v/>
      </c>
      <c r="AW14" s="33"/>
      <c r="AX14" s="36" t="str">
        <f t="shared" si="19"/>
        <v/>
      </c>
      <c r="AY14" s="33"/>
      <c r="AZ14" s="36" t="str">
        <f t="shared" si="20"/>
        <v/>
      </c>
      <c r="BA14" s="23" t="s">
        <v>480</v>
      </c>
    </row>
    <row r="15" spans="1:53" ht="20" customHeight="1" x14ac:dyDescent="0.2">
      <c r="A15" s="60"/>
      <c r="B15" s="82"/>
      <c r="C15" s="24" t="s">
        <v>85</v>
      </c>
      <c r="D15" s="23" t="s">
        <v>41</v>
      </c>
      <c r="E15" s="23" t="s">
        <v>42</v>
      </c>
      <c r="F15" s="24">
        <v>2004</v>
      </c>
      <c r="G15" s="24">
        <v>79</v>
      </c>
      <c r="H15" s="89">
        <v>12</v>
      </c>
      <c r="I15" s="85" t="s">
        <v>168</v>
      </c>
      <c r="J15" s="86" t="s">
        <v>169</v>
      </c>
      <c r="K15" s="33"/>
      <c r="L15" s="36" t="str">
        <f t="shared" si="0"/>
        <v/>
      </c>
      <c r="M15" s="33"/>
      <c r="N15" s="36" t="str">
        <f t="shared" si="1"/>
        <v/>
      </c>
      <c r="O15" s="33"/>
      <c r="P15" s="36" t="str">
        <f t="shared" si="2"/>
        <v/>
      </c>
      <c r="Q15" s="33"/>
      <c r="R15" s="36" t="str">
        <f t="shared" si="3"/>
        <v/>
      </c>
      <c r="S15" s="33"/>
      <c r="T15" s="36" t="str">
        <f t="shared" si="4"/>
        <v/>
      </c>
      <c r="U15" s="33"/>
      <c r="V15" s="36" t="str">
        <f>IF((ISERROR((U15/$H15)*100)), "", IF(AND(NOT(ISERROR((U15/$H15)*100)),((U15/$H15)*100) &lt;&gt; 0), (U15/$H15)*100, ""))</f>
        <v/>
      </c>
      <c r="W15" s="76"/>
      <c r="X15" s="36" t="str">
        <f t="shared" si="6"/>
        <v/>
      </c>
      <c r="Y15" s="33"/>
      <c r="Z15" s="36" t="str">
        <f>IF((ISERROR((Y15/$H15)*100)), "", IF(AND(NOT(ISERROR((Y15/$H15)*100)),((Y15/$H15)*100) &lt;&gt; 0), (Y15/$H15)*100, ""))</f>
        <v/>
      </c>
      <c r="AA15" s="33"/>
      <c r="AB15" s="36" t="str">
        <f>IF((ISERROR((AA15/$H15)*100)), "", IF(AND(NOT(ISERROR((AA15/$H15)*100)),((AA15/$H15)*100) &lt;&gt; 0), (AA15/$H15)*100, ""))</f>
        <v/>
      </c>
      <c r="AC15" s="33"/>
      <c r="AD15" s="36" t="str">
        <f>IF((ISERROR((AC15/$H15)*100)), "", IF(AND(NOT(ISERROR((AC15/$H15)*100)),((AC15/$H15)*100) &lt;&gt; 0), (AC15/$H15)*100, ""))</f>
        <v/>
      </c>
      <c r="AE15" s="76"/>
      <c r="AF15" s="36" t="str">
        <f t="shared" si="10"/>
        <v/>
      </c>
      <c r="AG15" s="33">
        <v>5</v>
      </c>
      <c r="AH15" s="36">
        <f t="shared" si="11"/>
        <v>41.666666666666671</v>
      </c>
      <c r="AI15" s="33"/>
      <c r="AJ15" s="36" t="str">
        <f t="shared" si="12"/>
        <v/>
      </c>
      <c r="AK15" s="33"/>
      <c r="AL15" s="36" t="str">
        <f t="shared" si="13"/>
        <v/>
      </c>
      <c r="AM15" s="33"/>
      <c r="AN15" s="36" t="str">
        <f t="shared" si="14"/>
        <v/>
      </c>
      <c r="AO15" s="33"/>
      <c r="AP15" s="36" t="str">
        <f t="shared" si="15"/>
        <v/>
      </c>
      <c r="AQ15" s="33"/>
      <c r="AR15" s="36" t="str">
        <f>IF((ISERROR((AQ15/$H15)*100)), "", IF(AND(NOT(ISERROR((AQ15/$H15)*100)),((AQ15/$H15)*100) &lt;&gt; 0), (AQ15/$H15)*100, ""))</f>
        <v/>
      </c>
      <c r="AS15" s="33"/>
      <c r="AT15" s="36" t="str">
        <f t="shared" si="17"/>
        <v/>
      </c>
      <c r="AU15" s="33"/>
      <c r="AV15" s="36" t="str">
        <f t="shared" si="18"/>
        <v/>
      </c>
      <c r="AW15" s="33"/>
      <c r="AX15" s="36" t="str">
        <f t="shared" si="19"/>
        <v/>
      </c>
      <c r="AY15" s="33"/>
      <c r="AZ15" s="36" t="str">
        <f t="shared" si="20"/>
        <v/>
      </c>
      <c r="BA15" s="23" t="s">
        <v>170</v>
      </c>
    </row>
    <row r="16" spans="1:53" ht="20" customHeight="1" x14ac:dyDescent="0.2">
      <c r="A16" s="60"/>
      <c r="B16" s="82"/>
      <c r="C16" s="24" t="s">
        <v>85</v>
      </c>
      <c r="D16" s="23" t="s">
        <v>43</v>
      </c>
      <c r="E16" s="23" t="s">
        <v>44</v>
      </c>
      <c r="F16" s="24">
        <v>1976</v>
      </c>
      <c r="G16" s="24">
        <v>179</v>
      </c>
      <c r="H16" s="89">
        <v>8</v>
      </c>
      <c r="I16" s="111" t="s">
        <v>336</v>
      </c>
      <c r="J16" s="86"/>
      <c r="K16" s="38">
        <v>2</v>
      </c>
      <c r="L16" s="39">
        <f t="shared" si="0"/>
        <v>25</v>
      </c>
      <c r="M16" s="33"/>
      <c r="N16" s="36" t="str">
        <f t="shared" si="1"/>
        <v/>
      </c>
      <c r="O16" s="38">
        <v>5</v>
      </c>
      <c r="P16" s="39">
        <f t="shared" si="2"/>
        <v>62.5</v>
      </c>
      <c r="Q16" s="38">
        <v>2</v>
      </c>
      <c r="R16" s="39">
        <f t="shared" si="3"/>
        <v>25</v>
      </c>
      <c r="S16" s="38">
        <v>1</v>
      </c>
      <c r="T16" s="39">
        <f t="shared" si="4"/>
        <v>12.5</v>
      </c>
      <c r="U16" s="38">
        <v>1</v>
      </c>
      <c r="V16" s="39">
        <f>IF((ISERROR((U16/$H16)*100)), "", IF(AND(NOT(ISERROR((U16/$H16)*100)),((U16/$H16)*100) &lt;&gt; 0), (U16/$H16)*100, ""))</f>
        <v>12.5</v>
      </c>
      <c r="W16" s="76">
        <v>1</v>
      </c>
      <c r="X16" s="36">
        <f t="shared" si="6"/>
        <v>12.5</v>
      </c>
      <c r="Y16" s="38">
        <v>1</v>
      </c>
      <c r="Z16" s="39">
        <f>IF((ISERROR((Y16/$H16)*100)), "", IF(AND(NOT(ISERROR((Y16/$H16)*100)),((Y16/$H16)*100) &lt;&gt; 0), (Y16/$H16)*100, ""))</f>
        <v>12.5</v>
      </c>
      <c r="AA16" s="38">
        <v>1</v>
      </c>
      <c r="AB16" s="39">
        <f>IF((ISERROR((AA16/$H16)*100)), "", IF(AND(NOT(ISERROR((AA16/$H16)*100)),((AA16/$H16)*100) &lt;&gt; 0), (AA16/$H16)*100, ""))</f>
        <v>12.5</v>
      </c>
      <c r="AC16" s="33"/>
      <c r="AD16" s="36" t="str">
        <f>IF((ISERROR((AC16/$H16)*100)), "", IF(AND(NOT(ISERROR((AC16/$H16)*100)),((AC16/$H16)*100) &lt;&gt; 0), (AC16/$H16)*100, ""))</f>
        <v/>
      </c>
      <c r="AE16" s="76"/>
      <c r="AF16" s="36" t="str">
        <f t="shared" si="10"/>
        <v/>
      </c>
      <c r="AG16" s="33"/>
      <c r="AH16" s="36" t="str">
        <f t="shared" si="11"/>
        <v/>
      </c>
      <c r="AI16" s="33"/>
      <c r="AJ16" s="36" t="str">
        <f t="shared" si="12"/>
        <v/>
      </c>
      <c r="AK16" s="38">
        <v>1</v>
      </c>
      <c r="AL16" s="39">
        <f t="shared" si="13"/>
        <v>12.5</v>
      </c>
      <c r="AM16" s="33"/>
      <c r="AN16" s="36" t="str">
        <f t="shared" si="14"/>
        <v/>
      </c>
      <c r="AO16" s="33"/>
      <c r="AP16" s="36" t="str">
        <f t="shared" si="15"/>
        <v/>
      </c>
      <c r="AQ16" s="38">
        <v>1</v>
      </c>
      <c r="AR16" s="39">
        <f>IF((ISERROR((AQ16/$H16)*100)), "", IF(AND(NOT(ISERROR((AQ16/$H16)*100)),((AQ16/$H16)*100) &lt;&gt; 0), (AQ16/$H16)*100, ""))</f>
        <v>12.5</v>
      </c>
      <c r="AS16" s="33"/>
      <c r="AT16" s="36" t="str">
        <f t="shared" si="17"/>
        <v/>
      </c>
      <c r="AU16" s="38"/>
      <c r="AV16" s="39" t="str">
        <f t="shared" si="18"/>
        <v/>
      </c>
      <c r="AW16" s="38"/>
      <c r="AX16" s="39" t="str">
        <f t="shared" si="19"/>
        <v/>
      </c>
      <c r="AY16" s="33"/>
      <c r="AZ16" s="36" t="str">
        <f t="shared" si="20"/>
        <v/>
      </c>
      <c r="BA16" s="23" t="s">
        <v>183</v>
      </c>
    </row>
    <row r="17" spans="1:53" ht="20" customHeight="1" x14ac:dyDescent="0.2">
      <c r="A17" s="60"/>
      <c r="B17" s="82"/>
      <c r="C17" s="24" t="s">
        <v>85</v>
      </c>
      <c r="D17" s="23" t="s">
        <v>261</v>
      </c>
      <c r="E17" s="23" t="s">
        <v>262</v>
      </c>
      <c r="F17" s="24">
        <v>2013</v>
      </c>
      <c r="H17" s="89">
        <v>12</v>
      </c>
      <c r="I17" s="85" t="s">
        <v>214</v>
      </c>
      <c r="J17" s="86" t="s">
        <v>338</v>
      </c>
      <c r="K17" s="33"/>
      <c r="L17" s="36" t="str">
        <f t="shared" si="0"/>
        <v/>
      </c>
      <c r="M17" s="33"/>
      <c r="N17" s="36" t="str">
        <f t="shared" si="1"/>
        <v/>
      </c>
      <c r="O17" s="33"/>
      <c r="P17" s="36" t="str">
        <f t="shared" si="2"/>
        <v/>
      </c>
      <c r="Q17" s="33"/>
      <c r="R17" s="36" t="str">
        <f t="shared" si="3"/>
        <v/>
      </c>
      <c r="S17" s="38"/>
      <c r="T17" s="39" t="str">
        <f t="shared" si="4"/>
        <v/>
      </c>
      <c r="U17" s="33"/>
      <c r="V17" s="36" t="str">
        <f>IF((ISERROR((U17/$H17)*100)), "", IF(AND(NOT(ISERROR((U17/$H17)*100)),((U17/$H17)*100) &lt;&gt; 0), (U17/$H17)*100, ""))</f>
        <v/>
      </c>
      <c r="W17" s="40"/>
      <c r="X17" s="39" t="str">
        <f t="shared" si="6"/>
        <v/>
      </c>
      <c r="Y17" s="33"/>
      <c r="Z17" s="36" t="str">
        <f>IF((ISERROR((Y17/$H17)*100)), "", IF(AND(NOT(ISERROR((Y17/$H17)*100)),((Y17/$H17)*100) &lt;&gt; 0), (Y17/$H17)*100, ""))</f>
        <v/>
      </c>
      <c r="AA17" s="33"/>
      <c r="AB17" s="36" t="str">
        <f>IF((ISERROR((AA17/$H17)*100)), "", IF(AND(NOT(ISERROR((AA17/$H17)*100)),((AA17/$H17)*100) &lt;&gt; 0), (AA17/$H17)*100, ""))</f>
        <v/>
      </c>
      <c r="AC17" s="33"/>
      <c r="AD17" s="36" t="str">
        <f>IF((ISERROR((AC17/$H17)*100)), "", IF(AND(NOT(ISERROR((AC17/$H17)*100)),((AC17/$H17)*100) &lt;&gt; 0), (AC17/$H17)*100, ""))</f>
        <v/>
      </c>
      <c r="AE17" s="76"/>
      <c r="AF17" s="36" t="str">
        <f t="shared" si="10"/>
        <v/>
      </c>
      <c r="AG17" s="33"/>
      <c r="AH17" s="36" t="str">
        <f t="shared" si="11"/>
        <v/>
      </c>
      <c r="AI17" s="33"/>
      <c r="AJ17" s="36" t="str">
        <f t="shared" si="12"/>
        <v/>
      </c>
      <c r="AK17" s="33"/>
      <c r="AL17" s="36" t="str">
        <f t="shared" si="13"/>
        <v/>
      </c>
      <c r="AM17" s="33"/>
      <c r="AN17" s="36" t="str">
        <f t="shared" si="14"/>
        <v/>
      </c>
      <c r="AO17" s="33"/>
      <c r="AP17" s="36" t="str">
        <f t="shared" si="15"/>
        <v/>
      </c>
      <c r="AQ17" s="33"/>
      <c r="AR17" s="36" t="str">
        <f>IF((ISERROR((AQ17/$H17)*100)), "", IF(AND(NOT(ISERROR((AQ17/$H17)*100)),((AQ17/$H17)*100) &lt;&gt; 0), (AQ17/$H17)*100, ""))</f>
        <v/>
      </c>
      <c r="AS17" s="33"/>
      <c r="AT17" s="36" t="str">
        <f t="shared" si="17"/>
        <v/>
      </c>
      <c r="AU17" s="33"/>
      <c r="AV17" s="36" t="str">
        <f t="shared" si="18"/>
        <v/>
      </c>
      <c r="AW17" s="33"/>
      <c r="AX17" s="36" t="str">
        <f t="shared" si="19"/>
        <v/>
      </c>
      <c r="AY17" s="33"/>
      <c r="AZ17" s="36" t="str">
        <f t="shared" si="20"/>
        <v/>
      </c>
      <c r="BA17" s="23" t="s">
        <v>401</v>
      </c>
    </row>
    <row r="18" spans="1:53" ht="20" customHeight="1" x14ac:dyDescent="0.2">
      <c r="A18" s="60"/>
      <c r="B18" s="82"/>
      <c r="C18" s="24" t="s">
        <v>85</v>
      </c>
      <c r="D18" s="23" t="s">
        <v>263</v>
      </c>
      <c r="E18" s="23" t="s">
        <v>264</v>
      </c>
      <c r="F18" s="24">
        <v>2000</v>
      </c>
      <c r="H18" s="89">
        <v>9</v>
      </c>
      <c r="I18" s="85" t="s">
        <v>218</v>
      </c>
      <c r="J18" s="86" t="s">
        <v>169</v>
      </c>
      <c r="K18" s="33"/>
      <c r="L18" s="36" t="str">
        <f t="shared" si="0"/>
        <v/>
      </c>
      <c r="M18" s="33"/>
      <c r="N18" s="36" t="str">
        <f t="shared" si="1"/>
        <v/>
      </c>
      <c r="O18" s="33">
        <v>1</v>
      </c>
      <c r="P18" s="36">
        <f t="shared" si="2"/>
        <v>11.111111111111111</v>
      </c>
      <c r="Q18" s="33"/>
      <c r="R18" s="36" t="str">
        <f t="shared" si="3"/>
        <v/>
      </c>
      <c r="S18" s="33">
        <v>1</v>
      </c>
      <c r="T18" s="36">
        <f t="shared" si="4"/>
        <v>11.111111111111111</v>
      </c>
      <c r="U18" s="33"/>
      <c r="V18" s="36" t="str">
        <f t="shared" ref="V18" si="21">IF((ISERROR((U18/$H18)*100)), "", IF(AND(NOT(ISERROR((U18/$H18)*100)),((U18/$H18)*100) &lt;&gt; 0), (U18/$H18)*100, ""))</f>
        <v/>
      </c>
      <c r="W18" s="76">
        <v>1</v>
      </c>
      <c r="X18" s="36">
        <f t="shared" si="6"/>
        <v>11.111111111111111</v>
      </c>
      <c r="Y18" s="33"/>
      <c r="Z18" s="36" t="str">
        <f t="shared" ref="Z18" si="22">IF((ISERROR((Y18/$H18)*100)), "", IF(AND(NOT(ISERROR((Y18/$H18)*100)),((Y18/$H18)*100) &lt;&gt; 0), (Y18/$H18)*100, ""))</f>
        <v/>
      </c>
      <c r="AA18" s="33"/>
      <c r="AB18" s="36" t="str">
        <f t="shared" ref="AB18" si="23">IF((ISERROR((AA18/$H18)*100)), "", IF(AND(NOT(ISERROR((AA18/$H18)*100)),((AA18/$H18)*100) &lt;&gt; 0), (AA18/$H18)*100, ""))</f>
        <v/>
      </c>
      <c r="AC18" s="33"/>
      <c r="AD18" s="36" t="str">
        <f t="shared" ref="AD18" si="24">IF((ISERROR((AC18/$H18)*100)), "", IF(AND(NOT(ISERROR((AC18/$H18)*100)),((AC18/$H18)*100) &lt;&gt; 0), (AC18/$H18)*100, ""))</f>
        <v/>
      </c>
      <c r="AE18" s="76"/>
      <c r="AF18" s="36" t="str">
        <f t="shared" si="10"/>
        <v/>
      </c>
      <c r="AG18" s="33"/>
      <c r="AH18" s="36" t="str">
        <f t="shared" si="11"/>
        <v/>
      </c>
      <c r="AI18" s="33"/>
      <c r="AJ18" s="36" t="str">
        <f t="shared" si="12"/>
        <v/>
      </c>
      <c r="AK18" s="33"/>
      <c r="AL18" s="36" t="str">
        <f t="shared" si="13"/>
        <v/>
      </c>
      <c r="AM18" s="33"/>
      <c r="AN18" s="36" t="str">
        <f t="shared" si="14"/>
        <v/>
      </c>
      <c r="AO18" s="33"/>
      <c r="AP18" s="36" t="str">
        <f t="shared" si="15"/>
        <v/>
      </c>
      <c r="AQ18" s="33"/>
      <c r="AR18" s="36" t="str">
        <f t="shared" ref="AR18" si="25">IF((ISERROR((AQ18/$H18)*100)), "", IF(AND(NOT(ISERROR((AQ18/$H18)*100)),((AQ18/$H18)*100) &lt;&gt; 0), (AQ18/$H18)*100, ""))</f>
        <v/>
      </c>
      <c r="AS18" s="33"/>
      <c r="AT18" s="36" t="str">
        <f t="shared" ref="AT18:AT24" si="26">IF((ISERROR((AS18/$H18)*100)), "", IF(AND(NOT(ISERROR((AS18/$H18)*100)),((AS18/$H18)*100) &lt;&gt; 0), (AS18/$H18)*100, ""))</f>
        <v/>
      </c>
      <c r="AU18" s="33"/>
      <c r="AV18" s="36" t="str">
        <f t="shared" si="18"/>
        <v/>
      </c>
      <c r="AW18" s="33"/>
      <c r="AX18" s="36" t="str">
        <f t="shared" si="19"/>
        <v/>
      </c>
      <c r="AY18" s="33"/>
      <c r="AZ18" s="36" t="str">
        <f t="shared" si="20"/>
        <v/>
      </c>
      <c r="BA18" s="23" t="s">
        <v>339</v>
      </c>
    </row>
    <row r="19" spans="1:53" ht="20" customHeight="1" x14ac:dyDescent="0.2">
      <c r="A19" s="60"/>
      <c r="B19" s="82"/>
      <c r="C19" s="24" t="s">
        <v>85</v>
      </c>
      <c r="D19" s="23" t="s">
        <v>402</v>
      </c>
      <c r="E19" s="23" t="s">
        <v>403</v>
      </c>
      <c r="F19" s="24">
        <v>2013</v>
      </c>
      <c r="H19" s="89">
        <v>38</v>
      </c>
      <c r="I19" s="85" t="s">
        <v>404</v>
      </c>
      <c r="J19" s="86" t="s">
        <v>169</v>
      </c>
      <c r="K19" s="33"/>
      <c r="L19" s="36" t="str">
        <f t="shared" si="0"/>
        <v/>
      </c>
      <c r="M19" s="33"/>
      <c r="N19" s="36" t="str">
        <f t="shared" si="1"/>
        <v/>
      </c>
      <c r="O19" s="33"/>
      <c r="P19" s="36" t="str">
        <f t="shared" si="2"/>
        <v/>
      </c>
      <c r="Q19" s="33"/>
      <c r="R19" s="36" t="str">
        <f t="shared" si="3"/>
        <v/>
      </c>
      <c r="S19" s="33"/>
      <c r="T19" s="36" t="str">
        <f t="shared" si="4"/>
        <v/>
      </c>
      <c r="U19" s="33"/>
      <c r="V19" s="36" t="str">
        <f t="shared" ref="V19:V24" si="27">IF((ISERROR((U19/$H19)*100)), "", IF(AND(NOT(ISERROR((U19/$H19)*100)),((U19/$H19)*100) &lt;&gt; 0), (U19/$H19)*100, ""))</f>
        <v/>
      </c>
      <c r="W19" s="33"/>
      <c r="X19" s="36" t="str">
        <f t="shared" si="6"/>
        <v/>
      </c>
      <c r="Y19" s="33"/>
      <c r="Z19" s="36" t="str">
        <f t="shared" ref="Z19:Z24" si="28">IF((ISERROR((Y19/$H19)*100)), "", IF(AND(NOT(ISERROR((Y19/$H19)*100)),((Y19/$H19)*100) &lt;&gt; 0), (Y19/$H19)*100, ""))</f>
        <v/>
      </c>
      <c r="AA19" s="33"/>
      <c r="AB19" s="36" t="str">
        <f t="shared" ref="AB19:AB24" si="29">IF((ISERROR((AA19/$H19)*100)), "", IF(AND(NOT(ISERROR((AA19/$H19)*100)),((AA19/$H19)*100) &lt;&gt; 0), (AA19/$H19)*100, ""))</f>
        <v/>
      </c>
      <c r="AC19" s="33"/>
      <c r="AD19" s="36" t="str">
        <f t="shared" ref="AD19:AD24" si="30">IF((ISERROR((AC19/$H19)*100)), "", IF(AND(NOT(ISERROR((AC19/$H19)*100)),((AC19/$H19)*100) &lt;&gt; 0), (AC19/$H19)*100, ""))</f>
        <v/>
      </c>
      <c r="AE19" s="76">
        <v>37</v>
      </c>
      <c r="AF19" s="36">
        <f t="shared" si="10"/>
        <v>97.368421052631575</v>
      </c>
      <c r="AG19" s="33"/>
      <c r="AH19" s="36" t="str">
        <f t="shared" si="11"/>
        <v/>
      </c>
      <c r="AI19" s="33"/>
      <c r="AJ19" s="36" t="str">
        <f t="shared" si="12"/>
        <v/>
      </c>
      <c r="AK19" s="33"/>
      <c r="AL19" s="36" t="str">
        <f t="shared" si="13"/>
        <v/>
      </c>
      <c r="AM19" s="33"/>
      <c r="AN19" s="36" t="str">
        <f t="shared" si="14"/>
        <v/>
      </c>
      <c r="AO19" s="33"/>
      <c r="AP19" s="36" t="str">
        <f t="shared" si="15"/>
        <v/>
      </c>
      <c r="AQ19" s="33"/>
      <c r="AR19" s="36" t="str">
        <f t="shared" ref="AR19:AR24" si="31">IF((ISERROR((AQ19/$H19)*100)), "", IF(AND(NOT(ISERROR((AQ19/$H19)*100)),((AQ19/$H19)*100) &lt;&gt; 0), (AQ19/$H19)*100, ""))</f>
        <v/>
      </c>
      <c r="AS19" s="33"/>
      <c r="AT19" s="36" t="str">
        <f t="shared" si="26"/>
        <v/>
      </c>
      <c r="AU19" s="33"/>
      <c r="AV19" s="36" t="str">
        <f t="shared" si="18"/>
        <v/>
      </c>
      <c r="AW19" s="33"/>
      <c r="AX19" s="36" t="str">
        <f t="shared" si="19"/>
        <v/>
      </c>
      <c r="AY19" s="33"/>
      <c r="AZ19" s="36" t="str">
        <f t="shared" si="20"/>
        <v/>
      </c>
      <c r="BA19" s="23" t="s">
        <v>412</v>
      </c>
    </row>
    <row r="20" spans="1:53" ht="20" customHeight="1" x14ac:dyDescent="0.2">
      <c r="A20" s="60"/>
      <c r="B20" s="82"/>
      <c r="C20" s="24" t="s">
        <v>85</v>
      </c>
      <c r="D20" s="23" t="s">
        <v>267</v>
      </c>
      <c r="E20" s="23" t="s">
        <v>268</v>
      </c>
      <c r="F20" s="24">
        <v>1994</v>
      </c>
      <c r="H20" s="89">
        <v>20</v>
      </c>
      <c r="I20" s="85" t="s">
        <v>340</v>
      </c>
      <c r="J20" s="86"/>
      <c r="K20" s="33"/>
      <c r="L20" s="36" t="str">
        <f t="shared" si="0"/>
        <v/>
      </c>
      <c r="M20" s="33"/>
      <c r="N20" s="36" t="str">
        <f t="shared" si="1"/>
        <v/>
      </c>
      <c r="O20" s="33"/>
      <c r="P20" s="36" t="str">
        <f t="shared" si="2"/>
        <v/>
      </c>
      <c r="Q20" s="33"/>
      <c r="R20" s="36" t="str">
        <f t="shared" si="3"/>
        <v/>
      </c>
      <c r="S20" s="38"/>
      <c r="T20" s="39" t="str">
        <f t="shared" si="4"/>
        <v/>
      </c>
      <c r="U20" s="38"/>
      <c r="V20" s="39" t="str">
        <f t="shared" si="27"/>
        <v/>
      </c>
      <c r="W20" s="40"/>
      <c r="X20" s="39" t="str">
        <f t="shared" si="6"/>
        <v/>
      </c>
      <c r="Y20" s="33"/>
      <c r="Z20" s="36" t="str">
        <f t="shared" si="28"/>
        <v/>
      </c>
      <c r="AA20" s="33"/>
      <c r="AB20" s="36" t="str">
        <f t="shared" si="29"/>
        <v/>
      </c>
      <c r="AC20" s="33"/>
      <c r="AD20" s="36" t="str">
        <f t="shared" si="30"/>
        <v/>
      </c>
      <c r="AE20" s="76"/>
      <c r="AF20" s="36" t="str">
        <f t="shared" si="10"/>
        <v/>
      </c>
      <c r="AG20" s="33"/>
      <c r="AH20" s="36" t="str">
        <f t="shared" si="11"/>
        <v/>
      </c>
      <c r="AI20" s="33"/>
      <c r="AJ20" s="36" t="str">
        <f t="shared" si="12"/>
        <v/>
      </c>
      <c r="AK20" s="33"/>
      <c r="AL20" s="36" t="str">
        <f t="shared" si="13"/>
        <v/>
      </c>
      <c r="AM20" s="33"/>
      <c r="AN20" s="36" t="str">
        <f t="shared" si="14"/>
        <v/>
      </c>
      <c r="AO20" s="33"/>
      <c r="AP20" s="36" t="str">
        <f t="shared" si="15"/>
        <v/>
      </c>
      <c r="AQ20" s="33"/>
      <c r="AR20" s="36" t="str">
        <f t="shared" si="31"/>
        <v/>
      </c>
      <c r="AS20" s="33"/>
      <c r="AT20" s="36" t="str">
        <f t="shared" si="26"/>
        <v/>
      </c>
      <c r="AU20" s="33"/>
      <c r="AV20" s="36" t="str">
        <f t="shared" si="18"/>
        <v/>
      </c>
      <c r="AW20" s="33"/>
      <c r="AX20" s="36" t="str">
        <f t="shared" si="19"/>
        <v/>
      </c>
      <c r="AY20" s="33"/>
      <c r="AZ20" s="36" t="str">
        <f t="shared" si="20"/>
        <v/>
      </c>
      <c r="BA20" s="23" t="s">
        <v>405</v>
      </c>
    </row>
    <row r="21" spans="1:53" ht="20" customHeight="1" x14ac:dyDescent="0.2">
      <c r="A21" s="60"/>
      <c r="B21" s="82"/>
      <c r="C21" s="24" t="s">
        <v>85</v>
      </c>
      <c r="D21" s="23" t="s">
        <v>54</v>
      </c>
      <c r="E21" s="23" t="s">
        <v>55</v>
      </c>
      <c r="F21" s="24">
        <v>1996</v>
      </c>
      <c r="G21" s="24">
        <v>82</v>
      </c>
      <c r="H21" s="89">
        <v>15</v>
      </c>
      <c r="I21" s="85" t="s">
        <v>176</v>
      </c>
      <c r="J21" s="86" t="s">
        <v>178</v>
      </c>
      <c r="K21" s="33">
        <v>1</v>
      </c>
      <c r="L21" s="36">
        <f t="shared" si="0"/>
        <v>6.666666666666667</v>
      </c>
      <c r="M21" s="33"/>
      <c r="N21" s="36" t="str">
        <f t="shared" si="1"/>
        <v/>
      </c>
      <c r="O21" s="33"/>
      <c r="P21" s="36" t="str">
        <f t="shared" si="2"/>
        <v/>
      </c>
      <c r="Q21" s="33"/>
      <c r="R21" s="36" t="str">
        <f t="shared" si="3"/>
        <v/>
      </c>
      <c r="S21" s="33"/>
      <c r="T21" s="36" t="str">
        <f t="shared" si="4"/>
        <v/>
      </c>
      <c r="U21" s="33"/>
      <c r="V21" s="36" t="str">
        <f t="shared" si="27"/>
        <v/>
      </c>
      <c r="W21" s="76">
        <v>1</v>
      </c>
      <c r="X21" s="36">
        <f t="shared" si="6"/>
        <v>6.666666666666667</v>
      </c>
      <c r="Y21" s="33"/>
      <c r="Z21" s="36" t="str">
        <f t="shared" si="28"/>
        <v/>
      </c>
      <c r="AA21" s="33"/>
      <c r="AB21" s="36" t="str">
        <f t="shared" si="29"/>
        <v/>
      </c>
      <c r="AC21" s="33"/>
      <c r="AD21" s="36" t="str">
        <f t="shared" si="30"/>
        <v/>
      </c>
      <c r="AE21" s="76"/>
      <c r="AF21" s="36" t="str">
        <f t="shared" si="10"/>
        <v/>
      </c>
      <c r="AG21" s="33">
        <v>3</v>
      </c>
      <c r="AH21" s="36">
        <f t="shared" si="11"/>
        <v>20</v>
      </c>
      <c r="AI21" s="33">
        <v>1</v>
      </c>
      <c r="AJ21" s="36">
        <f t="shared" si="12"/>
        <v>6.666666666666667</v>
      </c>
      <c r="AK21" s="33"/>
      <c r="AL21" s="36" t="str">
        <f t="shared" si="13"/>
        <v/>
      </c>
      <c r="AM21" s="33"/>
      <c r="AN21" s="36" t="str">
        <f t="shared" si="14"/>
        <v/>
      </c>
      <c r="AO21" s="33"/>
      <c r="AP21" s="36" t="str">
        <f t="shared" si="15"/>
        <v/>
      </c>
      <c r="AQ21" s="33"/>
      <c r="AR21" s="36" t="str">
        <f t="shared" si="31"/>
        <v/>
      </c>
      <c r="AS21" s="33"/>
      <c r="AT21" s="36" t="str">
        <f t="shared" si="26"/>
        <v/>
      </c>
      <c r="AU21" s="33"/>
      <c r="AV21" s="36" t="str">
        <f t="shared" si="18"/>
        <v/>
      </c>
      <c r="AW21" s="33"/>
      <c r="AX21" s="36" t="str">
        <f t="shared" si="19"/>
        <v/>
      </c>
      <c r="AY21" s="33"/>
      <c r="AZ21" s="36" t="str">
        <f t="shared" si="20"/>
        <v/>
      </c>
      <c r="BA21" s="23" t="s">
        <v>344</v>
      </c>
    </row>
    <row r="22" spans="1:53" ht="20" customHeight="1" x14ac:dyDescent="0.2">
      <c r="A22" s="60"/>
      <c r="B22" s="82"/>
      <c r="C22" s="24" t="s">
        <v>85</v>
      </c>
      <c r="D22" s="23" t="s">
        <v>273</v>
      </c>
      <c r="E22" s="23" t="s">
        <v>274</v>
      </c>
      <c r="F22" s="24">
        <v>2014</v>
      </c>
      <c r="H22" s="89">
        <v>39</v>
      </c>
      <c r="I22" s="85" t="s">
        <v>407</v>
      </c>
      <c r="J22" s="86" t="s">
        <v>343</v>
      </c>
      <c r="K22" s="33">
        <v>22</v>
      </c>
      <c r="L22" s="36">
        <f t="shared" si="0"/>
        <v>56.410256410256409</v>
      </c>
      <c r="M22" s="33"/>
      <c r="N22" s="36" t="str">
        <f t="shared" si="1"/>
        <v/>
      </c>
      <c r="O22" s="33"/>
      <c r="P22" s="36" t="str">
        <f t="shared" si="2"/>
        <v/>
      </c>
      <c r="Q22" s="33"/>
      <c r="R22" s="36" t="str">
        <f t="shared" si="3"/>
        <v/>
      </c>
      <c r="S22" s="33">
        <v>22</v>
      </c>
      <c r="T22" s="36">
        <f t="shared" si="4"/>
        <v>56.410256410256409</v>
      </c>
      <c r="U22" s="33">
        <v>23</v>
      </c>
      <c r="V22" s="36">
        <f t="shared" si="27"/>
        <v>58.974358974358978</v>
      </c>
      <c r="W22" s="76"/>
      <c r="X22" s="36" t="str">
        <f t="shared" si="6"/>
        <v/>
      </c>
      <c r="Y22" s="33"/>
      <c r="Z22" s="36" t="str">
        <f t="shared" si="28"/>
        <v/>
      </c>
      <c r="AA22" s="33"/>
      <c r="AB22" s="36" t="str">
        <f t="shared" si="29"/>
        <v/>
      </c>
      <c r="AC22" s="33"/>
      <c r="AD22" s="36" t="str">
        <f t="shared" si="30"/>
        <v/>
      </c>
      <c r="AE22" s="76"/>
      <c r="AF22" s="36" t="str">
        <f t="shared" si="10"/>
        <v/>
      </c>
      <c r="AG22" s="33"/>
      <c r="AH22" s="36" t="str">
        <f t="shared" si="11"/>
        <v/>
      </c>
      <c r="AI22" s="33"/>
      <c r="AJ22" s="36" t="str">
        <f t="shared" si="12"/>
        <v/>
      </c>
      <c r="AK22" s="33"/>
      <c r="AL22" s="36" t="str">
        <f t="shared" si="13"/>
        <v/>
      </c>
      <c r="AM22" s="33"/>
      <c r="AN22" s="36" t="str">
        <f t="shared" si="14"/>
        <v/>
      </c>
      <c r="AO22" s="33">
        <v>8</v>
      </c>
      <c r="AP22" s="36">
        <f t="shared" si="15"/>
        <v>20.512820512820511</v>
      </c>
      <c r="AQ22" s="33"/>
      <c r="AR22" s="36" t="str">
        <f t="shared" si="31"/>
        <v/>
      </c>
      <c r="AS22" s="33">
        <v>3</v>
      </c>
      <c r="AT22" s="36">
        <f t="shared" si="26"/>
        <v>7.6923076923076925</v>
      </c>
      <c r="AU22" s="33"/>
      <c r="AV22" s="36" t="str">
        <f t="shared" si="18"/>
        <v/>
      </c>
      <c r="AW22" s="33"/>
      <c r="AX22" s="36" t="str">
        <f t="shared" si="19"/>
        <v/>
      </c>
      <c r="AY22" s="33"/>
      <c r="AZ22" s="36" t="str">
        <f t="shared" si="20"/>
        <v/>
      </c>
      <c r="BA22" s="23" t="s">
        <v>349</v>
      </c>
    </row>
    <row r="23" spans="1:53" ht="20" customHeight="1" x14ac:dyDescent="0.2">
      <c r="A23" s="61"/>
      <c r="B23" s="82"/>
      <c r="C23" s="24" t="s">
        <v>85</v>
      </c>
      <c r="D23" s="23" t="s">
        <v>277</v>
      </c>
      <c r="E23" s="23" t="s">
        <v>278</v>
      </c>
      <c r="F23" s="24">
        <v>2001</v>
      </c>
      <c r="H23" s="89">
        <v>9</v>
      </c>
      <c r="I23" s="85"/>
      <c r="J23" s="86" t="s">
        <v>351</v>
      </c>
      <c r="K23" s="33"/>
      <c r="L23" s="36" t="str">
        <f t="shared" si="0"/>
        <v/>
      </c>
      <c r="M23" s="33"/>
      <c r="N23" s="36" t="str">
        <f t="shared" si="1"/>
        <v/>
      </c>
      <c r="O23" s="33"/>
      <c r="P23" s="36" t="str">
        <f t="shared" si="2"/>
        <v/>
      </c>
      <c r="Q23" s="33"/>
      <c r="R23" s="36" t="str">
        <f t="shared" si="3"/>
        <v/>
      </c>
      <c r="S23" s="33"/>
      <c r="T23" s="36" t="str">
        <f t="shared" si="4"/>
        <v/>
      </c>
      <c r="U23" s="33"/>
      <c r="V23" s="36" t="str">
        <f t="shared" si="27"/>
        <v/>
      </c>
      <c r="W23" s="40"/>
      <c r="X23" s="39" t="str">
        <f t="shared" si="6"/>
        <v/>
      </c>
      <c r="Y23" s="33"/>
      <c r="Z23" s="36" t="str">
        <f t="shared" si="28"/>
        <v/>
      </c>
      <c r="AA23" s="33"/>
      <c r="AB23" s="36" t="str">
        <f t="shared" si="29"/>
        <v/>
      </c>
      <c r="AC23" s="33"/>
      <c r="AD23" s="36" t="str">
        <f t="shared" si="30"/>
        <v/>
      </c>
      <c r="AE23" s="76"/>
      <c r="AF23" s="36" t="str">
        <f t="shared" si="10"/>
        <v/>
      </c>
      <c r="AG23" s="33"/>
      <c r="AH23" s="36" t="str">
        <f t="shared" si="11"/>
        <v/>
      </c>
      <c r="AI23" s="33"/>
      <c r="AJ23" s="36" t="str">
        <f t="shared" si="12"/>
        <v/>
      </c>
      <c r="AK23" s="33"/>
      <c r="AL23" s="36" t="str">
        <f t="shared" si="13"/>
        <v/>
      </c>
      <c r="AM23" s="33"/>
      <c r="AN23" s="36" t="str">
        <f t="shared" si="14"/>
        <v/>
      </c>
      <c r="AO23" s="33"/>
      <c r="AP23" s="36" t="str">
        <f t="shared" si="15"/>
        <v/>
      </c>
      <c r="AQ23" s="33"/>
      <c r="AR23" s="36" t="str">
        <f t="shared" si="31"/>
        <v/>
      </c>
      <c r="AS23" s="33"/>
      <c r="AT23" s="36" t="str">
        <f t="shared" si="26"/>
        <v/>
      </c>
      <c r="AU23" s="33"/>
      <c r="AV23" s="36" t="str">
        <f t="shared" si="18"/>
        <v/>
      </c>
      <c r="AW23" s="33"/>
      <c r="AX23" s="36" t="str">
        <f t="shared" si="19"/>
        <v/>
      </c>
      <c r="AY23" s="33"/>
      <c r="AZ23" s="36" t="str">
        <f t="shared" si="20"/>
        <v/>
      </c>
      <c r="BA23" s="23" t="s">
        <v>352</v>
      </c>
    </row>
    <row r="24" spans="1:53" ht="20" customHeight="1" x14ac:dyDescent="0.2">
      <c r="A24" s="60"/>
      <c r="B24" s="82"/>
      <c r="C24" s="24" t="s">
        <v>85</v>
      </c>
      <c r="D24" s="23" t="s">
        <v>63</v>
      </c>
      <c r="E24" s="23" t="s">
        <v>64</v>
      </c>
      <c r="F24" s="24">
        <v>2012</v>
      </c>
      <c r="G24" s="24">
        <v>83</v>
      </c>
      <c r="H24" s="89">
        <v>70</v>
      </c>
      <c r="I24" s="85" t="s">
        <v>182</v>
      </c>
      <c r="J24" s="86" t="s">
        <v>191</v>
      </c>
      <c r="K24" s="33"/>
      <c r="L24" s="36" t="str">
        <f t="shared" si="0"/>
        <v/>
      </c>
      <c r="M24" s="33"/>
      <c r="N24" s="36" t="str">
        <f t="shared" si="1"/>
        <v/>
      </c>
      <c r="O24" s="33"/>
      <c r="P24" s="36" t="str">
        <f t="shared" si="2"/>
        <v/>
      </c>
      <c r="Q24" s="33"/>
      <c r="R24" s="36" t="str">
        <f t="shared" si="3"/>
        <v/>
      </c>
      <c r="S24" s="33">
        <v>9</v>
      </c>
      <c r="T24" s="36">
        <f t="shared" si="4"/>
        <v>12.857142857142856</v>
      </c>
      <c r="U24" s="33">
        <v>8</v>
      </c>
      <c r="V24" s="36">
        <f t="shared" si="27"/>
        <v>11.428571428571429</v>
      </c>
      <c r="W24" s="76">
        <v>31</v>
      </c>
      <c r="X24" s="36">
        <f t="shared" si="6"/>
        <v>44.285714285714285</v>
      </c>
      <c r="Y24" s="33"/>
      <c r="Z24" s="36" t="str">
        <f t="shared" si="28"/>
        <v/>
      </c>
      <c r="AA24" s="33"/>
      <c r="AB24" s="36" t="str">
        <f t="shared" si="29"/>
        <v/>
      </c>
      <c r="AC24" s="33"/>
      <c r="AD24" s="36" t="str">
        <f t="shared" si="30"/>
        <v/>
      </c>
      <c r="AE24" s="76">
        <v>1</v>
      </c>
      <c r="AF24" s="36">
        <f t="shared" si="10"/>
        <v>1.4285714285714286</v>
      </c>
      <c r="AG24" s="33">
        <v>10</v>
      </c>
      <c r="AH24" s="36">
        <f t="shared" si="11"/>
        <v>14.285714285714285</v>
      </c>
      <c r="AI24" s="33"/>
      <c r="AJ24" s="36" t="str">
        <f t="shared" si="12"/>
        <v/>
      </c>
      <c r="AK24" s="33"/>
      <c r="AL24" s="36" t="str">
        <f t="shared" si="13"/>
        <v/>
      </c>
      <c r="AM24" s="33"/>
      <c r="AN24" s="36" t="str">
        <f t="shared" si="14"/>
        <v/>
      </c>
      <c r="AO24" s="33">
        <v>1</v>
      </c>
      <c r="AP24" s="36">
        <f t="shared" si="15"/>
        <v>1.4285714285714286</v>
      </c>
      <c r="AQ24" s="33"/>
      <c r="AR24" s="36" t="str">
        <f t="shared" si="31"/>
        <v/>
      </c>
      <c r="AS24" s="33">
        <v>3</v>
      </c>
      <c r="AT24" s="36">
        <f t="shared" si="26"/>
        <v>4.2857142857142856</v>
      </c>
      <c r="AU24" s="33"/>
      <c r="AV24" s="36" t="str">
        <f t="shared" si="18"/>
        <v/>
      </c>
      <c r="AW24" s="33"/>
      <c r="AX24" s="36" t="str">
        <f t="shared" si="19"/>
        <v/>
      </c>
      <c r="AY24" s="33"/>
      <c r="AZ24" s="36" t="str">
        <f t="shared" si="20"/>
        <v/>
      </c>
      <c r="BA24" s="23" t="s">
        <v>414</v>
      </c>
    </row>
    <row r="25" spans="1:53" ht="20" customHeight="1" x14ac:dyDescent="0.2">
      <c r="A25" s="60"/>
      <c r="B25" s="82"/>
      <c r="D25" s="23" t="s">
        <v>279</v>
      </c>
      <c r="E25" s="23" t="s">
        <v>282</v>
      </c>
      <c r="F25" s="24">
        <v>2008</v>
      </c>
      <c r="H25" s="89"/>
      <c r="I25" s="85"/>
      <c r="J25" s="86" t="s">
        <v>353</v>
      </c>
      <c r="K25" s="33"/>
      <c r="L25" s="36" t="str">
        <f t="shared" si="0"/>
        <v/>
      </c>
      <c r="M25" s="33"/>
      <c r="N25" s="36" t="str">
        <f t="shared" si="1"/>
        <v/>
      </c>
      <c r="O25" s="33"/>
      <c r="P25" s="36" t="str">
        <f t="shared" si="2"/>
        <v/>
      </c>
      <c r="Q25" s="33"/>
      <c r="R25" s="36" t="str">
        <f t="shared" si="3"/>
        <v/>
      </c>
      <c r="S25" s="33">
        <v>2</v>
      </c>
      <c r="T25" s="36" t="str">
        <f t="shared" si="4"/>
        <v/>
      </c>
      <c r="U25" s="33"/>
      <c r="V25" s="36" t="str">
        <f t="shared" ref="V25" si="32">IF((ISERROR((U25/$H25)*100)), "", IF(AND(NOT(ISERROR((U25/$H25)*100)),((U25/$H25)*100) &lt;&gt; 0), (U25/$H25)*100, ""))</f>
        <v/>
      </c>
      <c r="W25" s="76"/>
      <c r="X25" s="36" t="str">
        <f t="shared" si="6"/>
        <v/>
      </c>
      <c r="Y25" s="33"/>
      <c r="Z25" s="36" t="str">
        <f t="shared" ref="Z25" si="33">IF((ISERROR((Y25/$H25)*100)), "", IF(AND(NOT(ISERROR((Y25/$H25)*100)),((Y25/$H25)*100) &lt;&gt; 0), (Y25/$H25)*100, ""))</f>
        <v/>
      </c>
      <c r="AA25" s="33"/>
      <c r="AB25" s="36" t="str">
        <f t="shared" ref="AB25" si="34">IF((ISERROR((AA25/$H25)*100)), "", IF(AND(NOT(ISERROR((AA25/$H25)*100)),((AA25/$H25)*100) &lt;&gt; 0), (AA25/$H25)*100, ""))</f>
        <v/>
      </c>
      <c r="AC25" s="33"/>
      <c r="AD25" s="36" t="str">
        <f t="shared" ref="AD25" si="35">IF((ISERROR((AC25/$H25)*100)), "", IF(AND(NOT(ISERROR((AC25/$H25)*100)),((AC25/$H25)*100) &lt;&gt; 0), (AC25/$H25)*100, ""))</f>
        <v/>
      </c>
      <c r="AE25" s="76"/>
      <c r="AF25" s="36" t="str">
        <f t="shared" si="10"/>
        <v/>
      </c>
      <c r="AG25" s="33"/>
      <c r="AH25" s="36" t="str">
        <f t="shared" si="11"/>
        <v/>
      </c>
      <c r="AI25" s="33"/>
      <c r="AJ25" s="36" t="str">
        <f t="shared" si="12"/>
        <v/>
      </c>
      <c r="AK25" s="33"/>
      <c r="AL25" s="36" t="str">
        <f t="shared" si="13"/>
        <v/>
      </c>
      <c r="AM25" s="33"/>
      <c r="AN25" s="36" t="str">
        <f t="shared" si="14"/>
        <v/>
      </c>
      <c r="AO25" s="33"/>
      <c r="AP25" s="36" t="str">
        <f t="shared" si="15"/>
        <v/>
      </c>
      <c r="AQ25" s="33"/>
      <c r="AR25" s="36" t="str">
        <f t="shared" ref="AR25" si="36">IF((ISERROR((AQ25/$H25)*100)), "", IF(AND(NOT(ISERROR((AQ25/$H25)*100)),((AQ25/$H25)*100) &lt;&gt; 0), (AQ25/$H25)*100, ""))</f>
        <v/>
      </c>
      <c r="AS25" s="33"/>
      <c r="AT25" s="36" t="str">
        <f t="shared" ref="AT25:AT28" si="37">IF((ISERROR((AS25/$H25)*100)), "", IF(AND(NOT(ISERROR((AS25/$H25)*100)),((AS25/$H25)*100) &lt;&gt; 0), (AS25/$H25)*100, ""))</f>
        <v/>
      </c>
      <c r="AU25" s="33"/>
      <c r="AV25" s="36" t="str">
        <f t="shared" si="18"/>
        <v/>
      </c>
      <c r="AW25" s="33"/>
      <c r="AX25" s="36" t="str">
        <f t="shared" si="19"/>
        <v/>
      </c>
      <c r="AY25" s="33"/>
      <c r="AZ25" s="36" t="str">
        <f t="shared" si="20"/>
        <v/>
      </c>
    </row>
    <row r="26" spans="1:53" ht="20" customHeight="1" x14ac:dyDescent="0.2">
      <c r="A26" s="60"/>
      <c r="B26" s="82"/>
      <c r="C26" s="24" t="s">
        <v>85</v>
      </c>
      <c r="D26" s="23" t="s">
        <v>283</v>
      </c>
      <c r="E26" s="23" t="s">
        <v>284</v>
      </c>
      <c r="F26" s="24">
        <v>2014</v>
      </c>
      <c r="H26" s="89">
        <v>28</v>
      </c>
      <c r="I26" s="85" t="s">
        <v>185</v>
      </c>
      <c r="J26" s="86" t="s">
        <v>193</v>
      </c>
      <c r="K26" s="33"/>
      <c r="L26" s="36" t="str">
        <f t="shared" si="0"/>
        <v/>
      </c>
      <c r="M26" s="33"/>
      <c r="N26" s="36" t="str">
        <f t="shared" si="1"/>
        <v/>
      </c>
      <c r="O26" s="33"/>
      <c r="P26" s="36" t="str">
        <f t="shared" si="2"/>
        <v/>
      </c>
      <c r="Q26" s="33"/>
      <c r="R26" s="36" t="str">
        <f t="shared" si="3"/>
        <v/>
      </c>
      <c r="S26" s="33"/>
      <c r="T26" s="36" t="str">
        <f t="shared" si="4"/>
        <v/>
      </c>
      <c r="U26" s="33"/>
      <c r="V26" s="36" t="str">
        <f>IF((ISERROR((U26/$H26)*100)), "", IF(AND(NOT(ISERROR((U26/$H26)*100)),((U26/$H26)*100) &lt;&gt; 0), (U26/$H26)*100, ""))</f>
        <v/>
      </c>
      <c r="W26" s="76">
        <v>3</v>
      </c>
      <c r="X26" s="36">
        <f t="shared" si="6"/>
        <v>10.714285714285714</v>
      </c>
      <c r="Y26" s="33"/>
      <c r="Z26" s="36" t="str">
        <f>IF((ISERROR((Y26/$H26)*100)), "", IF(AND(NOT(ISERROR((Y26/$H26)*100)),((Y26/$H26)*100) &lt;&gt; 0), (Y26/$H26)*100, ""))</f>
        <v/>
      </c>
      <c r="AA26" s="33"/>
      <c r="AB26" s="36" t="str">
        <f>IF((ISERROR((AA26/$H26)*100)), "", IF(AND(NOT(ISERROR((AA26/$H26)*100)),((AA26/$H26)*100) &lt;&gt; 0), (AA26/$H26)*100, ""))</f>
        <v/>
      </c>
      <c r="AC26" s="33"/>
      <c r="AD26" s="36" t="str">
        <f>IF((ISERROR((AC26/$H26)*100)), "", IF(AND(NOT(ISERROR((AC26/$H26)*100)),((AC26/$H26)*100) &lt;&gt; 0), (AC26/$H26)*100, ""))</f>
        <v/>
      </c>
      <c r="AE26" s="76">
        <v>5</v>
      </c>
      <c r="AF26" s="36">
        <f t="shared" si="10"/>
        <v>17.857142857142858</v>
      </c>
      <c r="AG26" s="33">
        <v>3</v>
      </c>
      <c r="AH26" s="36">
        <f t="shared" si="11"/>
        <v>10.714285714285714</v>
      </c>
      <c r="AI26" s="33"/>
      <c r="AJ26" s="36" t="str">
        <f t="shared" si="12"/>
        <v/>
      </c>
      <c r="AK26" s="33"/>
      <c r="AL26" s="36" t="str">
        <f t="shared" si="13"/>
        <v/>
      </c>
      <c r="AM26" s="33"/>
      <c r="AN26" s="36" t="str">
        <f t="shared" si="14"/>
        <v/>
      </c>
      <c r="AO26" s="33">
        <v>4</v>
      </c>
      <c r="AP26" s="36">
        <f t="shared" si="15"/>
        <v>14.285714285714285</v>
      </c>
      <c r="AQ26" s="33"/>
      <c r="AR26" s="36" t="str">
        <f>IF((ISERROR((AQ26/$H26)*100)), "", IF(AND(NOT(ISERROR((AQ26/$H26)*100)),((AQ26/$H26)*100) &lt;&gt; 0), (AQ26/$H26)*100, ""))</f>
        <v/>
      </c>
      <c r="AS26" s="33"/>
      <c r="AT26" s="36" t="str">
        <f t="shared" si="37"/>
        <v/>
      </c>
      <c r="AU26" s="33"/>
      <c r="AV26" s="36" t="str">
        <f t="shared" si="18"/>
        <v/>
      </c>
      <c r="AW26" s="33"/>
      <c r="AX26" s="36" t="str">
        <f t="shared" si="19"/>
        <v/>
      </c>
      <c r="AY26" s="33"/>
      <c r="AZ26" s="36" t="str">
        <f t="shared" si="20"/>
        <v/>
      </c>
      <c r="BA26" s="23" t="s">
        <v>355</v>
      </c>
    </row>
    <row r="27" spans="1:53" ht="20" customHeight="1" x14ac:dyDescent="0.2">
      <c r="A27" s="60"/>
      <c r="B27" s="82"/>
      <c r="C27" s="24" t="s">
        <v>484</v>
      </c>
      <c r="D27" s="23" t="s">
        <v>77</v>
      </c>
      <c r="E27" s="23" t="s">
        <v>78</v>
      </c>
      <c r="F27" s="24">
        <v>2009</v>
      </c>
      <c r="G27" s="24">
        <v>134</v>
      </c>
      <c r="H27" s="89">
        <v>94</v>
      </c>
      <c r="I27" s="85" t="s">
        <v>482</v>
      </c>
      <c r="J27" s="86" t="s">
        <v>483</v>
      </c>
      <c r="K27" s="33">
        <v>3</v>
      </c>
      <c r="L27" s="36"/>
      <c r="M27" s="33"/>
      <c r="N27" s="36"/>
      <c r="O27" s="33"/>
      <c r="P27" s="36"/>
      <c r="Q27" s="33"/>
      <c r="R27" s="36"/>
      <c r="S27" s="33">
        <v>2</v>
      </c>
      <c r="T27" s="36"/>
      <c r="U27" s="33">
        <v>1</v>
      </c>
      <c r="V27" s="36"/>
      <c r="W27" s="76">
        <v>8</v>
      </c>
      <c r="X27" s="36"/>
      <c r="Y27" s="33"/>
      <c r="Z27" s="36"/>
      <c r="AA27" s="33"/>
      <c r="AB27" s="36"/>
      <c r="AC27" s="33"/>
      <c r="AD27" s="36"/>
      <c r="AE27" s="76"/>
      <c r="AF27" s="36"/>
      <c r="AG27" s="33">
        <v>2</v>
      </c>
      <c r="AH27" s="36"/>
      <c r="AI27" s="33"/>
      <c r="AJ27" s="36"/>
      <c r="AK27" s="33">
        <v>3</v>
      </c>
      <c r="AL27" s="36"/>
      <c r="AM27" s="33"/>
      <c r="AN27" s="36"/>
      <c r="AO27" s="33">
        <v>4</v>
      </c>
      <c r="AP27" s="36">
        <f t="shared" si="15"/>
        <v>4.2553191489361701</v>
      </c>
      <c r="AQ27" s="33"/>
      <c r="AR27" s="36"/>
      <c r="AS27" s="33">
        <v>2</v>
      </c>
      <c r="AT27" s="36"/>
      <c r="AU27" s="33"/>
      <c r="AV27" s="36"/>
      <c r="AW27" s="33"/>
      <c r="AX27" s="36"/>
      <c r="AY27" s="33"/>
      <c r="AZ27" s="36"/>
      <c r="BA27" s="23" t="s">
        <v>485</v>
      </c>
    </row>
    <row r="28" spans="1:53" ht="20" customHeight="1" x14ac:dyDescent="0.2">
      <c r="A28" s="60"/>
      <c r="B28" s="82"/>
      <c r="C28" s="24" t="s">
        <v>85</v>
      </c>
      <c r="D28" s="23" t="s">
        <v>79</v>
      </c>
      <c r="E28" s="23" t="s">
        <v>80</v>
      </c>
      <c r="F28" s="24">
        <v>2015</v>
      </c>
      <c r="G28" s="24">
        <v>10</v>
      </c>
      <c r="H28" s="89">
        <v>11</v>
      </c>
      <c r="I28" s="85" t="s">
        <v>195</v>
      </c>
      <c r="J28" s="86" t="s">
        <v>169</v>
      </c>
      <c r="K28" s="33"/>
      <c r="L28" s="36" t="str">
        <f t="shared" si="0"/>
        <v/>
      </c>
      <c r="M28" s="33"/>
      <c r="N28" s="36" t="str">
        <f t="shared" si="1"/>
        <v/>
      </c>
      <c r="O28" s="33"/>
      <c r="P28" s="36" t="str">
        <f t="shared" si="2"/>
        <v/>
      </c>
      <c r="Q28" s="33"/>
      <c r="R28" s="36" t="str">
        <f t="shared" si="3"/>
        <v/>
      </c>
      <c r="S28" s="33"/>
      <c r="T28" s="36" t="str">
        <f t="shared" si="4"/>
        <v/>
      </c>
      <c r="U28" s="33"/>
      <c r="V28" s="36" t="str">
        <f>IF((ISERROR((U28/$H28)*100)), "", IF(AND(NOT(ISERROR((U28/$H28)*100)),((U28/$H28)*100) &lt;&gt; 0), (U28/$H28)*100, ""))</f>
        <v/>
      </c>
      <c r="W28" s="76"/>
      <c r="X28" s="36" t="str">
        <f t="shared" si="6"/>
        <v/>
      </c>
      <c r="Y28" s="33"/>
      <c r="Z28" s="36" t="str">
        <f>IF((ISERROR((Y28/$H28)*100)), "", IF(AND(NOT(ISERROR((Y28/$H28)*100)),((Y28/$H28)*100) &lt;&gt; 0), (Y28/$H28)*100, ""))</f>
        <v/>
      </c>
      <c r="AA28" s="33"/>
      <c r="AB28" s="36" t="str">
        <f>IF((ISERROR((AA28/$H28)*100)), "", IF(AND(NOT(ISERROR((AA28/$H28)*100)),((AA28/$H28)*100) &lt;&gt; 0), (AA28/$H28)*100, ""))</f>
        <v/>
      </c>
      <c r="AC28" s="33"/>
      <c r="AD28" s="36" t="str">
        <f>IF((ISERROR((AC28/$H28)*100)), "", IF(AND(NOT(ISERROR((AC28/$H28)*100)),((AC28/$H28)*100) &lt;&gt; 0), (AC28/$H28)*100, ""))</f>
        <v/>
      </c>
      <c r="AE28" s="76">
        <v>3</v>
      </c>
      <c r="AF28" s="36">
        <f t="shared" si="10"/>
        <v>27.27272727272727</v>
      </c>
      <c r="AG28" s="38">
        <v>1</v>
      </c>
      <c r="AH28" s="39">
        <f t="shared" si="11"/>
        <v>9.0909090909090917</v>
      </c>
      <c r="AI28" s="33"/>
      <c r="AJ28" s="36" t="str">
        <f t="shared" si="12"/>
        <v/>
      </c>
      <c r="AK28" s="33"/>
      <c r="AL28" s="36" t="str">
        <f t="shared" si="13"/>
        <v/>
      </c>
      <c r="AM28" s="33"/>
      <c r="AN28" s="36" t="str">
        <f t="shared" si="14"/>
        <v/>
      </c>
      <c r="AO28" s="33"/>
      <c r="AP28" s="36" t="str">
        <f t="shared" si="15"/>
        <v/>
      </c>
      <c r="AQ28" s="33"/>
      <c r="AR28" s="36" t="str">
        <f>IF((ISERROR((AQ28/$H28)*100)), "", IF(AND(NOT(ISERROR((AQ28/$H28)*100)),((AQ28/$H28)*100) &lt;&gt; 0), (AQ28/$H28)*100, ""))</f>
        <v/>
      </c>
      <c r="AS28" s="33"/>
      <c r="AT28" s="36" t="str">
        <f t="shared" si="37"/>
        <v/>
      </c>
      <c r="AU28" s="33"/>
      <c r="AV28" s="36" t="str">
        <f t="shared" si="18"/>
        <v/>
      </c>
      <c r="AW28" s="33"/>
      <c r="AX28" s="36" t="str">
        <f t="shared" si="19"/>
        <v/>
      </c>
      <c r="AY28" s="33"/>
      <c r="AZ28" s="36" t="str">
        <f t="shared" si="20"/>
        <v/>
      </c>
      <c r="BA28" s="23" t="s">
        <v>194</v>
      </c>
    </row>
    <row r="29" spans="1:53" ht="20" customHeight="1" x14ac:dyDescent="0.2">
      <c r="A29" s="60"/>
      <c r="B29" s="82"/>
      <c r="D29" s="23" t="s">
        <v>289</v>
      </c>
      <c r="E29" s="23" t="s">
        <v>290</v>
      </c>
      <c r="F29" s="24">
        <v>2005</v>
      </c>
      <c r="H29" s="89">
        <v>13</v>
      </c>
      <c r="I29" s="85" t="s">
        <v>358</v>
      </c>
      <c r="J29" s="86"/>
      <c r="K29" s="33"/>
      <c r="L29" s="36" t="str">
        <f t="shared" si="0"/>
        <v/>
      </c>
      <c r="M29" s="33">
        <v>3</v>
      </c>
      <c r="N29" s="36">
        <f t="shared" si="1"/>
        <v>23.076923076923077</v>
      </c>
      <c r="O29" s="33"/>
      <c r="P29" s="36" t="str">
        <f t="shared" si="2"/>
        <v/>
      </c>
      <c r="Q29" s="33"/>
      <c r="R29" s="36" t="str">
        <f t="shared" si="3"/>
        <v/>
      </c>
      <c r="S29" s="33"/>
      <c r="T29" s="36" t="str">
        <f t="shared" si="4"/>
        <v/>
      </c>
      <c r="U29" s="33"/>
      <c r="V29" s="36" t="str">
        <f t="shared" ref="V29:V30" si="38">IF((ISERROR((U29/$H29)*100)), "", IF(AND(NOT(ISERROR((U29/$H29)*100)),((U29/$H29)*100) &lt;&gt; 0), (U29/$H29)*100, ""))</f>
        <v/>
      </c>
      <c r="W29" s="76">
        <v>1</v>
      </c>
      <c r="X29" s="36">
        <f t="shared" si="6"/>
        <v>7.6923076923076925</v>
      </c>
      <c r="Y29" s="33"/>
      <c r="Z29" s="36" t="str">
        <f t="shared" ref="Z29:Z30" si="39">IF((ISERROR((Y29/$H29)*100)), "", IF(AND(NOT(ISERROR((Y29/$H29)*100)),((Y29/$H29)*100) &lt;&gt; 0), (Y29/$H29)*100, ""))</f>
        <v/>
      </c>
      <c r="AA29" s="33"/>
      <c r="AB29" s="36" t="str">
        <f t="shared" ref="AB29:AB30" si="40">IF((ISERROR((AA29/$H29)*100)), "", IF(AND(NOT(ISERROR((AA29/$H29)*100)),((AA29/$H29)*100) &lt;&gt; 0), (AA29/$H29)*100, ""))</f>
        <v/>
      </c>
      <c r="AC29" s="33"/>
      <c r="AD29" s="36" t="str">
        <f t="shared" ref="AD29:AD30" si="41">IF((ISERROR((AC29/$H29)*100)), "", IF(AND(NOT(ISERROR((AC29/$H29)*100)),((AC29/$H29)*100) &lt;&gt; 0), (AC29/$H29)*100, ""))</f>
        <v/>
      </c>
      <c r="AE29" s="76"/>
      <c r="AF29" s="36" t="str">
        <f t="shared" si="10"/>
        <v/>
      </c>
      <c r="AG29" s="33"/>
      <c r="AH29" s="36" t="str">
        <f t="shared" si="11"/>
        <v/>
      </c>
      <c r="AI29" s="33"/>
      <c r="AJ29" s="36" t="str">
        <f t="shared" si="12"/>
        <v/>
      </c>
      <c r="AK29" s="33"/>
      <c r="AL29" s="36" t="str">
        <f t="shared" si="13"/>
        <v/>
      </c>
      <c r="AM29" s="33"/>
      <c r="AN29" s="36" t="str">
        <f t="shared" si="14"/>
        <v/>
      </c>
      <c r="AO29" s="33"/>
      <c r="AP29" s="36" t="str">
        <f t="shared" si="15"/>
        <v/>
      </c>
      <c r="AQ29" s="33"/>
      <c r="AR29" s="36" t="str">
        <f t="shared" ref="AR29:AR30" si="42">IF((ISERROR((AQ29/$H29)*100)), "", IF(AND(NOT(ISERROR((AQ29/$H29)*100)),((AQ29/$H29)*100) &lt;&gt; 0), (AQ29/$H29)*100, ""))</f>
        <v/>
      </c>
      <c r="AS29" s="33"/>
      <c r="AT29" s="36" t="str">
        <f t="shared" ref="AT29:AT31" si="43">IF((ISERROR((AS29/$H29)*100)), "", IF(AND(NOT(ISERROR((AS29/$H29)*100)),((AS29/$H29)*100) &lt;&gt; 0), (AS29/$H29)*100, ""))</f>
        <v/>
      </c>
      <c r="AU29" s="33"/>
      <c r="AV29" s="36" t="str">
        <f t="shared" si="18"/>
        <v/>
      </c>
      <c r="AW29" s="33"/>
      <c r="AX29" s="36" t="str">
        <f t="shared" si="19"/>
        <v/>
      </c>
      <c r="AY29" s="33"/>
      <c r="AZ29" s="36" t="str">
        <f t="shared" si="20"/>
        <v/>
      </c>
      <c r="BA29" s="23" t="s">
        <v>359</v>
      </c>
    </row>
    <row r="30" spans="1:53" ht="20" customHeight="1" x14ac:dyDescent="0.2">
      <c r="A30" s="60"/>
      <c r="B30" s="82"/>
      <c r="C30" s="24" t="s">
        <v>85</v>
      </c>
      <c r="D30" s="23" t="s">
        <v>295</v>
      </c>
      <c r="E30" s="23" t="s">
        <v>296</v>
      </c>
      <c r="F30" s="24">
        <v>2011</v>
      </c>
      <c r="H30" s="89">
        <v>244</v>
      </c>
      <c r="I30" s="85" t="s">
        <v>211</v>
      </c>
      <c r="J30" s="86" t="s">
        <v>190</v>
      </c>
      <c r="K30" s="33"/>
      <c r="L30" s="36" t="str">
        <f t="shared" si="0"/>
        <v/>
      </c>
      <c r="M30" s="33"/>
      <c r="N30" s="36" t="str">
        <f t="shared" si="1"/>
        <v/>
      </c>
      <c r="O30" s="33"/>
      <c r="P30" s="36" t="str">
        <f t="shared" si="2"/>
        <v/>
      </c>
      <c r="Q30" s="33"/>
      <c r="R30" s="36" t="str">
        <f t="shared" si="3"/>
        <v/>
      </c>
      <c r="S30" s="33"/>
      <c r="T30" s="36" t="str">
        <f t="shared" si="4"/>
        <v/>
      </c>
      <c r="U30" s="33"/>
      <c r="V30" s="36" t="str">
        <f t="shared" si="38"/>
        <v/>
      </c>
      <c r="W30" s="76"/>
      <c r="X30" s="36" t="str">
        <f t="shared" si="6"/>
        <v/>
      </c>
      <c r="Y30" s="33"/>
      <c r="Z30" s="36" t="str">
        <f t="shared" si="39"/>
        <v/>
      </c>
      <c r="AA30" s="33"/>
      <c r="AB30" s="36" t="str">
        <f t="shared" si="40"/>
        <v/>
      </c>
      <c r="AC30" s="33"/>
      <c r="AD30" s="36" t="str">
        <f t="shared" si="41"/>
        <v/>
      </c>
      <c r="AE30" s="76"/>
      <c r="AF30" s="36" t="str">
        <f t="shared" si="10"/>
        <v/>
      </c>
      <c r="AG30" s="33">
        <v>3</v>
      </c>
      <c r="AH30" s="36">
        <f t="shared" si="11"/>
        <v>1.2295081967213115</v>
      </c>
      <c r="AI30" s="33"/>
      <c r="AJ30" s="36" t="str">
        <f t="shared" si="12"/>
        <v/>
      </c>
      <c r="AK30" s="33"/>
      <c r="AL30" s="36" t="str">
        <f t="shared" si="13"/>
        <v/>
      </c>
      <c r="AM30" s="33"/>
      <c r="AN30" s="36" t="str">
        <f t="shared" si="14"/>
        <v/>
      </c>
      <c r="AO30" s="33">
        <v>4</v>
      </c>
      <c r="AP30" s="36">
        <f t="shared" si="15"/>
        <v>1.639344262295082</v>
      </c>
      <c r="AQ30" s="33"/>
      <c r="AR30" s="36" t="str">
        <f t="shared" si="42"/>
        <v/>
      </c>
      <c r="AS30" s="33"/>
      <c r="AT30" s="36" t="str">
        <f t="shared" si="43"/>
        <v/>
      </c>
      <c r="AU30" s="33"/>
      <c r="AV30" s="36" t="str">
        <f t="shared" si="18"/>
        <v/>
      </c>
      <c r="AW30" s="33"/>
      <c r="AX30" s="36" t="str">
        <f t="shared" si="19"/>
        <v/>
      </c>
      <c r="AY30" s="33"/>
      <c r="AZ30" s="36" t="str">
        <f t="shared" si="20"/>
        <v/>
      </c>
    </row>
    <row r="31" spans="1:53" ht="20" customHeight="1" x14ac:dyDescent="0.2">
      <c r="A31" s="60"/>
      <c r="B31" s="82"/>
      <c r="C31" s="24" t="s">
        <v>85</v>
      </c>
      <c r="D31" s="23" t="s">
        <v>99</v>
      </c>
      <c r="E31" s="23" t="s">
        <v>100</v>
      </c>
      <c r="F31" s="24">
        <v>2002</v>
      </c>
      <c r="G31" s="24">
        <v>103</v>
      </c>
      <c r="H31" s="89">
        <v>8</v>
      </c>
      <c r="I31" s="85"/>
      <c r="J31" s="86"/>
      <c r="K31" s="33"/>
      <c r="L31" s="36" t="str">
        <f t="shared" si="0"/>
        <v/>
      </c>
      <c r="M31" s="33"/>
      <c r="N31" s="36" t="str">
        <f t="shared" si="1"/>
        <v/>
      </c>
      <c r="O31" s="33"/>
      <c r="P31" s="36" t="str">
        <f t="shared" si="2"/>
        <v/>
      </c>
      <c r="Q31" s="33"/>
      <c r="R31" s="36" t="str">
        <f t="shared" si="3"/>
        <v/>
      </c>
      <c r="S31" s="33"/>
      <c r="T31" s="36" t="str">
        <f t="shared" si="4"/>
        <v/>
      </c>
      <c r="U31" s="33"/>
      <c r="V31" s="36" t="str">
        <f>IF((ISERROR((U31/$H31)*100)), "", IF(AND(NOT(ISERROR((U31/$H31)*100)),((U31/$H31)*100) &lt;&gt; 0), (U31/$H31)*100, ""))</f>
        <v/>
      </c>
      <c r="W31" s="76">
        <v>2</v>
      </c>
      <c r="X31" s="36">
        <f t="shared" si="6"/>
        <v>25</v>
      </c>
      <c r="Y31" s="33"/>
      <c r="Z31" s="36" t="str">
        <f>IF((ISERROR((Y31/$H31)*100)), "", IF(AND(NOT(ISERROR((Y31/$H31)*100)),((Y31/$H31)*100) &lt;&gt; 0), (Y31/$H31)*100, ""))</f>
        <v/>
      </c>
      <c r="AA31" s="33"/>
      <c r="AB31" s="36" t="str">
        <f>IF((ISERROR((AA31/$H31)*100)), "", IF(AND(NOT(ISERROR((AA31/$H31)*100)),((AA31/$H31)*100) &lt;&gt; 0), (AA31/$H31)*100, ""))</f>
        <v/>
      </c>
      <c r="AC31" s="33"/>
      <c r="AD31" s="36" t="str">
        <f>IF((ISERROR((AC31/$H31)*100)), "", IF(AND(NOT(ISERROR((AC31/$H31)*100)),((AC31/$H31)*100) &lt;&gt; 0), (AC31/$H31)*100, ""))</f>
        <v/>
      </c>
      <c r="AE31" s="76"/>
      <c r="AF31" s="36" t="str">
        <f t="shared" si="10"/>
        <v/>
      </c>
      <c r="AG31" s="33"/>
      <c r="AH31" s="36" t="str">
        <f t="shared" si="11"/>
        <v/>
      </c>
      <c r="AI31" s="33"/>
      <c r="AJ31" s="36" t="str">
        <f t="shared" si="12"/>
        <v/>
      </c>
      <c r="AK31" s="33"/>
      <c r="AL31" s="36" t="str">
        <f t="shared" si="13"/>
        <v/>
      </c>
      <c r="AM31" s="33"/>
      <c r="AN31" s="36" t="str">
        <f t="shared" si="14"/>
        <v/>
      </c>
      <c r="AO31" s="33"/>
      <c r="AP31" s="36" t="str">
        <f t="shared" si="15"/>
        <v/>
      </c>
      <c r="AQ31" s="33"/>
      <c r="AR31" s="36" t="str">
        <f>IF((ISERROR((AQ31/$H31)*100)), "", IF(AND(NOT(ISERROR((AQ31/$H31)*100)),((AQ31/$H31)*100) &lt;&gt; 0), (AQ31/$H31)*100, ""))</f>
        <v/>
      </c>
      <c r="AS31" s="33"/>
      <c r="AT31" s="36" t="str">
        <f t="shared" si="43"/>
        <v/>
      </c>
      <c r="AU31" s="33"/>
      <c r="AV31" s="36" t="str">
        <f t="shared" si="18"/>
        <v/>
      </c>
      <c r="AW31" s="33"/>
      <c r="AX31" s="36" t="str">
        <f t="shared" si="19"/>
        <v/>
      </c>
      <c r="AY31" s="33"/>
      <c r="AZ31" s="36" t="str">
        <f t="shared" si="20"/>
        <v/>
      </c>
      <c r="BA31" s="23" t="s">
        <v>201</v>
      </c>
    </row>
    <row r="32" spans="1:53" ht="20" customHeight="1" x14ac:dyDescent="0.2">
      <c r="A32" s="60"/>
      <c r="B32" s="82"/>
      <c r="C32" s="24" t="s">
        <v>85</v>
      </c>
      <c r="D32" s="23" t="s">
        <v>103</v>
      </c>
      <c r="E32" s="23" t="s">
        <v>104</v>
      </c>
      <c r="F32" s="24">
        <v>1996</v>
      </c>
      <c r="G32" s="24">
        <v>12</v>
      </c>
      <c r="H32" s="89">
        <v>97</v>
      </c>
      <c r="I32" s="85" t="s">
        <v>203</v>
      </c>
      <c r="J32" s="86" t="s">
        <v>204</v>
      </c>
      <c r="K32" s="33"/>
      <c r="L32" s="36" t="str">
        <f t="shared" si="0"/>
        <v/>
      </c>
      <c r="M32" s="33"/>
      <c r="N32" s="36" t="str">
        <f t="shared" si="1"/>
        <v/>
      </c>
      <c r="O32" s="33"/>
      <c r="P32" s="36" t="str">
        <f t="shared" si="2"/>
        <v/>
      </c>
      <c r="Q32" s="33"/>
      <c r="R32" s="36" t="str">
        <f t="shared" si="3"/>
        <v/>
      </c>
      <c r="S32" s="33"/>
      <c r="T32" s="36" t="str">
        <f t="shared" si="4"/>
        <v/>
      </c>
      <c r="U32" s="33"/>
      <c r="V32" s="36" t="str">
        <f t="shared" ref="V32:V33" si="44">IF((ISERROR((U32/$H32)*100)), "", IF(AND(NOT(ISERROR((U32/$H32)*100)),((U32/$H32)*100) &lt;&gt; 0), (U32/$H32)*100, ""))</f>
        <v/>
      </c>
      <c r="W32" s="76">
        <v>16</v>
      </c>
      <c r="X32" s="36">
        <f t="shared" si="6"/>
        <v>16.494845360824741</v>
      </c>
      <c r="Y32" s="33"/>
      <c r="Z32" s="36" t="str">
        <f t="shared" ref="Z32:Z33" si="45">IF((ISERROR((Y32/$H32)*100)), "", IF(AND(NOT(ISERROR((Y32/$H32)*100)),((Y32/$H32)*100) &lt;&gt; 0), (Y32/$H32)*100, ""))</f>
        <v/>
      </c>
      <c r="AA32" s="33"/>
      <c r="AB32" s="36" t="str">
        <f t="shared" ref="AB32:AB33" si="46">IF((ISERROR((AA32/$H32)*100)), "", IF(AND(NOT(ISERROR((AA32/$H32)*100)),((AA32/$H32)*100) &lt;&gt; 0), (AA32/$H32)*100, ""))</f>
        <v/>
      </c>
      <c r="AC32" s="33"/>
      <c r="AD32" s="36" t="str">
        <f t="shared" ref="AD32:AD33" si="47">IF((ISERROR((AC32/$H32)*100)), "", IF(AND(NOT(ISERROR((AC32/$H32)*100)),((AC32/$H32)*100) &lt;&gt; 0), (AC32/$H32)*100, ""))</f>
        <v/>
      </c>
      <c r="AE32" s="76"/>
      <c r="AF32" s="36" t="str">
        <f t="shared" si="10"/>
        <v/>
      </c>
      <c r="AG32" s="33">
        <v>3</v>
      </c>
      <c r="AH32" s="36">
        <f t="shared" si="11"/>
        <v>3.0927835051546393</v>
      </c>
      <c r="AI32" s="33"/>
      <c r="AJ32" s="36" t="str">
        <f t="shared" si="12"/>
        <v/>
      </c>
      <c r="AK32" s="33"/>
      <c r="AL32" s="36" t="str">
        <f t="shared" si="13"/>
        <v/>
      </c>
      <c r="AM32" s="33">
        <v>6</v>
      </c>
      <c r="AN32" s="36">
        <f t="shared" si="14"/>
        <v>6.1855670103092786</v>
      </c>
      <c r="AO32" s="33">
        <v>4</v>
      </c>
      <c r="AP32" s="36">
        <f t="shared" si="15"/>
        <v>4.1237113402061851</v>
      </c>
      <c r="AQ32" s="33"/>
      <c r="AR32" s="36" t="str">
        <f t="shared" ref="AR32:AR33" si="48">IF((ISERROR((AQ32/$H32)*100)), "", IF(AND(NOT(ISERROR((AQ32/$H32)*100)),((AQ32/$H32)*100) &lt;&gt; 0), (AQ32/$H32)*100, ""))</f>
        <v/>
      </c>
      <c r="AS32" s="33"/>
      <c r="AT32" s="36" t="str">
        <f t="shared" ref="AT32:AT34" si="49">IF((ISERROR((AS32/$H32)*100)), "", IF(AND(NOT(ISERROR((AS32/$H32)*100)),((AS32/$H32)*100) &lt;&gt; 0), (AS32/$H32)*100, ""))</f>
        <v/>
      </c>
      <c r="AU32" s="33">
        <v>1</v>
      </c>
      <c r="AV32" s="36">
        <f t="shared" si="18"/>
        <v>1.0309278350515463</v>
      </c>
      <c r="AW32" s="33">
        <v>1</v>
      </c>
      <c r="AX32" s="36">
        <f t="shared" si="19"/>
        <v>1.0309278350515463</v>
      </c>
      <c r="AY32" s="33"/>
      <c r="AZ32" s="36" t="str">
        <f t="shared" si="20"/>
        <v/>
      </c>
      <c r="BA32" s="23" t="s">
        <v>387</v>
      </c>
    </row>
    <row r="33" spans="1:53" ht="20" customHeight="1" x14ac:dyDescent="0.2">
      <c r="A33" s="61"/>
      <c r="B33" s="82"/>
      <c r="C33" s="24" t="s">
        <v>85</v>
      </c>
      <c r="D33" s="23" t="s">
        <v>307</v>
      </c>
      <c r="E33" s="23" t="s">
        <v>308</v>
      </c>
      <c r="F33" s="24">
        <v>1977</v>
      </c>
      <c r="H33" s="89">
        <v>5</v>
      </c>
      <c r="I33" s="85" t="s">
        <v>367</v>
      </c>
      <c r="J33" s="86"/>
      <c r="K33" s="33"/>
      <c r="L33" s="36" t="str">
        <f t="shared" si="0"/>
        <v/>
      </c>
      <c r="M33" s="33"/>
      <c r="N33" s="36" t="str">
        <f t="shared" si="1"/>
        <v/>
      </c>
      <c r="O33" s="33"/>
      <c r="P33" s="36" t="str">
        <f t="shared" si="2"/>
        <v/>
      </c>
      <c r="Q33" s="33"/>
      <c r="R33" s="36" t="str">
        <f t="shared" si="3"/>
        <v/>
      </c>
      <c r="S33" s="33">
        <v>5</v>
      </c>
      <c r="T33" s="36">
        <f t="shared" si="4"/>
        <v>100</v>
      </c>
      <c r="U33" s="33"/>
      <c r="V33" s="36" t="str">
        <f t="shared" si="44"/>
        <v/>
      </c>
      <c r="W33" s="76"/>
      <c r="X33" s="36" t="str">
        <f t="shared" si="6"/>
        <v/>
      </c>
      <c r="Y33" s="33"/>
      <c r="Z33" s="36" t="str">
        <f t="shared" si="45"/>
        <v/>
      </c>
      <c r="AA33" s="33"/>
      <c r="AB33" s="36" t="str">
        <f t="shared" si="46"/>
        <v/>
      </c>
      <c r="AC33" s="33"/>
      <c r="AD33" s="36" t="str">
        <f t="shared" si="47"/>
        <v/>
      </c>
      <c r="AE33" s="76"/>
      <c r="AF33" s="36" t="str">
        <f t="shared" si="10"/>
        <v/>
      </c>
      <c r="AG33" s="33"/>
      <c r="AH33" s="36" t="str">
        <f t="shared" si="11"/>
        <v/>
      </c>
      <c r="AI33" s="33"/>
      <c r="AJ33" s="36" t="str">
        <f t="shared" si="12"/>
        <v/>
      </c>
      <c r="AK33" s="33"/>
      <c r="AL33" s="36" t="str">
        <f t="shared" si="13"/>
        <v/>
      </c>
      <c r="AM33" s="33"/>
      <c r="AN33" s="36" t="str">
        <f t="shared" si="14"/>
        <v/>
      </c>
      <c r="AO33" s="33"/>
      <c r="AP33" s="36" t="str">
        <f t="shared" si="15"/>
        <v/>
      </c>
      <c r="AQ33" s="33"/>
      <c r="AR33" s="36" t="str">
        <f t="shared" si="48"/>
        <v/>
      </c>
      <c r="AS33" s="33"/>
      <c r="AT33" s="36" t="str">
        <f t="shared" si="49"/>
        <v/>
      </c>
      <c r="AU33" s="33"/>
      <c r="AV33" s="36" t="str">
        <f t="shared" si="18"/>
        <v/>
      </c>
      <c r="AW33" s="33"/>
      <c r="AX33" s="36" t="str">
        <f t="shared" si="19"/>
        <v/>
      </c>
      <c r="AY33" s="33"/>
      <c r="AZ33" s="36" t="str">
        <f t="shared" si="20"/>
        <v/>
      </c>
      <c r="BA33" s="23" t="s">
        <v>368</v>
      </c>
    </row>
    <row r="34" spans="1:53" ht="20" customHeight="1" x14ac:dyDescent="0.2">
      <c r="A34" s="60"/>
      <c r="B34" s="82"/>
      <c r="C34" s="24" t="s">
        <v>85</v>
      </c>
      <c r="D34" s="23" t="s">
        <v>107</v>
      </c>
      <c r="E34" s="23" t="s">
        <v>108</v>
      </c>
      <c r="F34" s="24">
        <v>2008</v>
      </c>
      <c r="G34" s="24">
        <v>54</v>
      </c>
      <c r="H34" s="89">
        <v>12</v>
      </c>
      <c r="I34" s="85" t="s">
        <v>168</v>
      </c>
      <c r="J34" s="86" t="s">
        <v>210</v>
      </c>
      <c r="K34" s="33"/>
      <c r="L34" s="36" t="str">
        <f t="shared" si="0"/>
        <v/>
      </c>
      <c r="M34" s="33"/>
      <c r="N34" s="36" t="str">
        <f t="shared" si="1"/>
        <v/>
      </c>
      <c r="O34" s="33"/>
      <c r="P34" s="36" t="str">
        <f t="shared" si="2"/>
        <v/>
      </c>
      <c r="Q34" s="33"/>
      <c r="R34" s="36" t="str">
        <f t="shared" si="3"/>
        <v/>
      </c>
      <c r="S34" s="33"/>
      <c r="T34" s="36" t="str">
        <f t="shared" si="4"/>
        <v/>
      </c>
      <c r="U34" s="33"/>
      <c r="V34" s="36" t="str">
        <f>IF((ISERROR((U34/$H34)*100)), "", IF(AND(NOT(ISERROR((U34/$H34)*100)),((U34/$H34)*100) &lt;&gt; 0), (U34/$H34)*100, ""))</f>
        <v/>
      </c>
      <c r="W34" s="76"/>
      <c r="X34" s="36" t="str">
        <f t="shared" si="6"/>
        <v/>
      </c>
      <c r="Y34" s="33"/>
      <c r="Z34" s="36" t="str">
        <f>IF((ISERROR((Y34/$H34)*100)), "", IF(AND(NOT(ISERROR((Y34/$H34)*100)),((Y34/$H34)*100) &lt;&gt; 0), (Y34/$H34)*100, ""))</f>
        <v/>
      </c>
      <c r="AA34" s="33"/>
      <c r="AB34" s="36" t="str">
        <f>IF((ISERROR((AA34/$H34)*100)), "", IF(AND(NOT(ISERROR((AA34/$H34)*100)),((AA34/$H34)*100) &lt;&gt; 0), (AA34/$H34)*100, ""))</f>
        <v/>
      </c>
      <c r="AC34" s="33"/>
      <c r="AD34" s="36" t="str">
        <f>IF((ISERROR((AC34/$H34)*100)), "", IF(AND(NOT(ISERROR((AC34/$H34)*100)),((AC34/$H34)*100) &lt;&gt; 0), (AC34/$H34)*100, ""))</f>
        <v/>
      </c>
      <c r="AE34" s="76"/>
      <c r="AF34" s="36" t="str">
        <f t="shared" si="10"/>
        <v/>
      </c>
      <c r="AG34" s="33">
        <v>1</v>
      </c>
      <c r="AH34" s="36">
        <f t="shared" si="11"/>
        <v>8.3333333333333321</v>
      </c>
      <c r="AI34" s="33">
        <v>1</v>
      </c>
      <c r="AJ34" s="36">
        <f t="shared" si="12"/>
        <v>8.3333333333333321</v>
      </c>
      <c r="AK34" s="33"/>
      <c r="AL34" s="36" t="str">
        <f t="shared" si="13"/>
        <v/>
      </c>
      <c r="AM34" s="33"/>
      <c r="AN34" s="36" t="str">
        <f t="shared" si="14"/>
        <v/>
      </c>
      <c r="AO34" s="33"/>
      <c r="AP34" s="36" t="str">
        <f t="shared" si="15"/>
        <v/>
      </c>
      <c r="AQ34" s="33"/>
      <c r="AR34" s="36" t="str">
        <f>IF((ISERROR((AQ34/$H34)*100)), "", IF(AND(NOT(ISERROR((AQ34/$H34)*100)),((AQ34/$H34)*100) &lt;&gt; 0), (AQ34/$H34)*100, ""))</f>
        <v/>
      </c>
      <c r="AS34" s="33"/>
      <c r="AT34" s="36" t="str">
        <f t="shared" si="49"/>
        <v/>
      </c>
      <c r="AU34" s="33"/>
      <c r="AV34" s="36" t="str">
        <f t="shared" si="18"/>
        <v/>
      </c>
      <c r="AW34" s="33"/>
      <c r="AX34" s="36" t="str">
        <f t="shared" si="19"/>
        <v/>
      </c>
      <c r="AY34" s="33"/>
      <c r="AZ34" s="36" t="str">
        <f t="shared" si="20"/>
        <v/>
      </c>
      <c r="BA34" s="23" t="s">
        <v>420</v>
      </c>
    </row>
    <row r="35" spans="1:53" ht="20" customHeight="1" x14ac:dyDescent="0.2">
      <c r="A35" s="60"/>
      <c r="B35" s="82"/>
      <c r="C35" s="24" t="s">
        <v>85</v>
      </c>
      <c r="D35" s="23" t="s">
        <v>113</v>
      </c>
      <c r="E35" s="23" t="s">
        <v>114</v>
      </c>
      <c r="F35" s="24">
        <v>1997</v>
      </c>
      <c r="G35" s="24">
        <v>127</v>
      </c>
      <c r="H35" s="89">
        <v>8</v>
      </c>
      <c r="I35" s="85" t="s">
        <v>212</v>
      </c>
      <c r="J35" s="86" t="s">
        <v>213</v>
      </c>
      <c r="K35" s="33"/>
      <c r="L35" s="36" t="str">
        <f t="shared" si="0"/>
        <v/>
      </c>
      <c r="M35" s="33"/>
      <c r="N35" s="36" t="str">
        <f t="shared" si="1"/>
        <v/>
      </c>
      <c r="O35" s="33"/>
      <c r="P35" s="36" t="str">
        <f t="shared" si="2"/>
        <v/>
      </c>
      <c r="Q35" s="33"/>
      <c r="R35" s="36" t="str">
        <f t="shared" si="3"/>
        <v/>
      </c>
      <c r="S35" s="33"/>
      <c r="T35" s="36" t="str">
        <f t="shared" si="4"/>
        <v/>
      </c>
      <c r="U35" s="33"/>
      <c r="V35" s="36" t="str">
        <f t="shared" ref="V35" si="50">IF((ISERROR((U35/$H35)*100)), "", IF(AND(NOT(ISERROR((U35/$H35)*100)),((U35/$H35)*100) &lt;&gt; 0), (U35/$H35)*100, ""))</f>
        <v/>
      </c>
      <c r="W35" s="76">
        <v>1</v>
      </c>
      <c r="X35" s="36">
        <f t="shared" si="6"/>
        <v>12.5</v>
      </c>
      <c r="Y35" s="33"/>
      <c r="Z35" s="36" t="str">
        <f t="shared" ref="Z35" si="51">IF((ISERROR((Y35/$H35)*100)), "", IF(AND(NOT(ISERROR((Y35/$H35)*100)),((Y35/$H35)*100) &lt;&gt; 0), (Y35/$H35)*100, ""))</f>
        <v/>
      </c>
      <c r="AA35" s="33"/>
      <c r="AB35" s="36" t="str">
        <f t="shared" ref="AB35" si="52">IF((ISERROR((AA35/$H35)*100)), "", IF(AND(NOT(ISERROR((AA35/$H35)*100)),((AA35/$H35)*100) &lt;&gt; 0), (AA35/$H35)*100, ""))</f>
        <v/>
      </c>
      <c r="AC35" s="33">
        <v>1</v>
      </c>
      <c r="AD35" s="36">
        <f t="shared" ref="AD35" si="53">IF((ISERROR((AC35/$H35)*100)), "", IF(AND(NOT(ISERROR((AC35/$H35)*100)),((AC35/$H35)*100) &lt;&gt; 0), (AC35/$H35)*100, ""))</f>
        <v>12.5</v>
      </c>
      <c r="AE35" s="76"/>
      <c r="AF35" s="36" t="str">
        <f t="shared" si="10"/>
        <v/>
      </c>
      <c r="AG35" s="33"/>
      <c r="AH35" s="36" t="str">
        <f t="shared" si="11"/>
        <v/>
      </c>
      <c r="AI35" s="33"/>
      <c r="AJ35" s="36" t="str">
        <f t="shared" si="12"/>
        <v/>
      </c>
      <c r="AK35" s="33"/>
      <c r="AL35" s="36" t="str">
        <f t="shared" si="13"/>
        <v/>
      </c>
      <c r="AM35" s="33"/>
      <c r="AN35" s="36" t="str">
        <f t="shared" si="14"/>
        <v/>
      </c>
      <c r="AO35" s="33"/>
      <c r="AP35" s="36" t="str">
        <f t="shared" si="15"/>
        <v/>
      </c>
      <c r="AQ35" s="33"/>
      <c r="AR35" s="36" t="str">
        <f t="shared" ref="AR35" si="54">IF((ISERROR((AQ35/$H35)*100)), "", IF(AND(NOT(ISERROR((AQ35/$H35)*100)),((AQ35/$H35)*100) &lt;&gt; 0), (AQ35/$H35)*100, ""))</f>
        <v/>
      </c>
      <c r="AS35" s="33"/>
      <c r="AT35" s="36" t="str">
        <f t="shared" ref="AT35:AT37" si="55">IF((ISERROR((AS35/$H35)*100)), "", IF(AND(NOT(ISERROR((AS35/$H35)*100)),((AS35/$H35)*100) &lt;&gt; 0), (AS35/$H35)*100, ""))</f>
        <v/>
      </c>
      <c r="AU35" s="33"/>
      <c r="AV35" s="36" t="str">
        <f t="shared" si="18"/>
        <v/>
      </c>
      <c r="AW35" s="33"/>
      <c r="AX35" s="36" t="str">
        <f t="shared" si="19"/>
        <v/>
      </c>
      <c r="AY35" s="33"/>
      <c r="AZ35" s="36" t="str">
        <f t="shared" si="20"/>
        <v/>
      </c>
      <c r="BA35" s="23" t="s">
        <v>389</v>
      </c>
    </row>
    <row r="36" spans="1:53" ht="20" customHeight="1" x14ac:dyDescent="0.2">
      <c r="A36" s="60"/>
      <c r="B36" s="82"/>
      <c r="C36" s="24" t="s">
        <v>85</v>
      </c>
      <c r="D36" s="23" t="s">
        <v>119</v>
      </c>
      <c r="E36" s="23" t="s">
        <v>120</v>
      </c>
      <c r="F36" s="24">
        <v>2003</v>
      </c>
      <c r="G36" s="24">
        <v>45</v>
      </c>
      <c r="H36" s="89">
        <v>16</v>
      </c>
      <c r="I36" s="85" t="s">
        <v>176</v>
      </c>
      <c r="J36" s="86" t="s">
        <v>421</v>
      </c>
      <c r="K36" s="33"/>
      <c r="L36" s="36" t="str">
        <f t="shared" si="0"/>
        <v/>
      </c>
      <c r="M36" s="33"/>
      <c r="N36" s="36" t="str">
        <f t="shared" si="1"/>
        <v/>
      </c>
      <c r="O36" s="33"/>
      <c r="P36" s="36" t="str">
        <f t="shared" si="2"/>
        <v/>
      </c>
      <c r="Q36" s="33"/>
      <c r="R36" s="36" t="str">
        <f t="shared" si="3"/>
        <v/>
      </c>
      <c r="S36" s="38"/>
      <c r="T36" s="39" t="str">
        <f t="shared" si="4"/>
        <v/>
      </c>
      <c r="U36" s="33"/>
      <c r="V36" s="36" t="str">
        <f>IF((ISERROR((U36/$H36)*100)), "", IF(AND(NOT(ISERROR((U36/$H36)*100)),((U36/$H36)*100) &lt;&gt; 0), (U36/$H36)*100, ""))</f>
        <v/>
      </c>
      <c r="W36" s="38"/>
      <c r="X36" s="39" t="str">
        <f t="shared" si="6"/>
        <v/>
      </c>
      <c r="Y36" s="33"/>
      <c r="Z36" s="36" t="str">
        <f>IF((ISERROR((Y36/$H36)*100)), "", IF(AND(NOT(ISERROR((Y36/$H36)*100)),((Y36/$H36)*100) &lt;&gt; 0), (Y36/$H36)*100, ""))</f>
        <v/>
      </c>
      <c r="AA36" s="33"/>
      <c r="AB36" s="36" t="str">
        <f>IF((ISERROR((AA36/$H36)*100)), "", IF(AND(NOT(ISERROR((AA36/$H36)*100)),((AA36/$H36)*100) &lt;&gt; 0), (AA36/$H36)*100, ""))</f>
        <v/>
      </c>
      <c r="AC36" s="33"/>
      <c r="AD36" s="36" t="str">
        <f>IF((ISERROR((AC36/$H36)*100)), "", IF(AND(NOT(ISERROR((AC36/$H36)*100)),((AC36/$H36)*100) &lt;&gt; 0), (AC36/$H36)*100, ""))</f>
        <v/>
      </c>
      <c r="AE36" s="76"/>
      <c r="AF36" s="36" t="str">
        <f t="shared" si="10"/>
        <v/>
      </c>
      <c r="AG36" s="33"/>
      <c r="AH36" s="36" t="str">
        <f t="shared" si="11"/>
        <v/>
      </c>
      <c r="AI36" s="33"/>
      <c r="AJ36" s="36" t="str">
        <f t="shared" si="12"/>
        <v/>
      </c>
      <c r="AK36" s="33"/>
      <c r="AL36" s="36" t="str">
        <f t="shared" si="13"/>
        <v/>
      </c>
      <c r="AM36" s="33"/>
      <c r="AN36" s="36" t="str">
        <f t="shared" si="14"/>
        <v/>
      </c>
      <c r="AO36" s="33"/>
      <c r="AP36" s="36" t="str">
        <f t="shared" si="15"/>
        <v/>
      </c>
      <c r="AQ36" s="33"/>
      <c r="AR36" s="36" t="str">
        <f>IF((ISERROR((AQ36/$H36)*100)), "", IF(AND(NOT(ISERROR((AQ36/$H36)*100)),((AQ36/$H36)*100) &lt;&gt; 0), (AQ36/$H36)*100, ""))</f>
        <v/>
      </c>
      <c r="AS36" s="33"/>
      <c r="AT36" s="36" t="str">
        <f t="shared" si="55"/>
        <v/>
      </c>
      <c r="AU36" s="33"/>
      <c r="AV36" s="36" t="str">
        <f t="shared" si="18"/>
        <v/>
      </c>
      <c r="AW36" s="33"/>
      <c r="AX36" s="36" t="str">
        <f t="shared" si="19"/>
        <v/>
      </c>
      <c r="AY36" s="33"/>
      <c r="AZ36" s="36" t="str">
        <f t="shared" si="20"/>
        <v/>
      </c>
      <c r="BA36" s="23" t="s">
        <v>409</v>
      </c>
    </row>
    <row r="37" spans="1:53" ht="20" customHeight="1" x14ac:dyDescent="0.2">
      <c r="A37" s="60"/>
      <c r="B37" s="82"/>
      <c r="C37" s="24" t="s">
        <v>85</v>
      </c>
      <c r="D37" s="23" t="s">
        <v>309</v>
      </c>
      <c r="E37" s="23" t="s">
        <v>310</v>
      </c>
      <c r="F37" s="24">
        <v>2015</v>
      </c>
      <c r="H37" s="89">
        <v>5</v>
      </c>
      <c r="I37" s="85" t="s">
        <v>211</v>
      </c>
      <c r="J37" s="86" t="s">
        <v>188</v>
      </c>
      <c r="K37" s="33"/>
      <c r="L37" s="36" t="str">
        <f t="shared" si="0"/>
        <v/>
      </c>
      <c r="M37" s="33"/>
      <c r="N37" s="36" t="str">
        <f t="shared" si="1"/>
        <v/>
      </c>
      <c r="O37" s="33"/>
      <c r="P37" s="36" t="str">
        <f t="shared" si="2"/>
        <v/>
      </c>
      <c r="Q37" s="33"/>
      <c r="R37" s="36" t="str">
        <f t="shared" si="3"/>
        <v/>
      </c>
      <c r="S37" s="33"/>
      <c r="T37" s="36" t="str">
        <f t="shared" si="4"/>
        <v/>
      </c>
      <c r="U37" s="33"/>
      <c r="V37" s="36" t="str">
        <f>IF((ISERROR((U37/$H37)*100)), "", IF(AND(NOT(ISERROR((U37/$H37)*100)),((U37/$H37)*100) &lt;&gt; 0), (U37/$H37)*100, ""))</f>
        <v/>
      </c>
      <c r="W37" s="76"/>
      <c r="X37" s="36" t="str">
        <f t="shared" si="6"/>
        <v/>
      </c>
      <c r="Y37" s="33"/>
      <c r="Z37" s="36" t="str">
        <f>IF((ISERROR((Y37/$H37)*100)), "", IF(AND(NOT(ISERROR((Y37/$H37)*100)),((Y37/$H37)*100) &lt;&gt; 0), (Y37/$H37)*100, ""))</f>
        <v/>
      </c>
      <c r="AA37" s="33"/>
      <c r="AB37" s="36" t="str">
        <f>IF((ISERROR((AA37/$H37)*100)), "", IF(AND(NOT(ISERROR((AA37/$H37)*100)),((AA37/$H37)*100) &lt;&gt; 0), (AA37/$H37)*100, ""))</f>
        <v/>
      </c>
      <c r="AC37" s="33"/>
      <c r="AD37" s="36" t="str">
        <f>IF((ISERROR((AC37/$H37)*100)), "", IF(AND(NOT(ISERROR((AC37/$H37)*100)),((AC37/$H37)*100) &lt;&gt; 0), (AC37/$H37)*100, ""))</f>
        <v/>
      </c>
      <c r="AE37" s="76">
        <v>1</v>
      </c>
      <c r="AF37" s="36">
        <f t="shared" si="10"/>
        <v>20</v>
      </c>
      <c r="AG37" s="33"/>
      <c r="AH37" s="36" t="str">
        <f t="shared" si="11"/>
        <v/>
      </c>
      <c r="AI37" s="33"/>
      <c r="AJ37" s="36" t="str">
        <f t="shared" si="12"/>
        <v/>
      </c>
      <c r="AK37" s="33"/>
      <c r="AL37" s="36" t="str">
        <f t="shared" si="13"/>
        <v/>
      </c>
      <c r="AM37" s="33"/>
      <c r="AN37" s="36" t="str">
        <f t="shared" si="14"/>
        <v/>
      </c>
      <c r="AO37" s="33"/>
      <c r="AP37" s="36" t="str">
        <f t="shared" si="15"/>
        <v/>
      </c>
      <c r="AQ37" s="33"/>
      <c r="AR37" s="36" t="str">
        <f>IF((ISERROR((AQ37/$H37)*100)), "", IF(AND(NOT(ISERROR((AQ37/$H37)*100)),((AQ37/$H37)*100) &lt;&gt; 0), (AQ37/$H37)*100, ""))</f>
        <v/>
      </c>
      <c r="AS37" s="33"/>
      <c r="AT37" s="36" t="str">
        <f t="shared" si="55"/>
        <v/>
      </c>
      <c r="AU37" s="33"/>
      <c r="AV37" s="36" t="str">
        <f t="shared" si="18"/>
        <v/>
      </c>
      <c r="AW37" s="33"/>
      <c r="AX37" s="36" t="str">
        <f t="shared" si="19"/>
        <v/>
      </c>
      <c r="AY37" s="33"/>
      <c r="AZ37" s="36" t="str">
        <f t="shared" si="20"/>
        <v/>
      </c>
      <c r="BA37" s="23" t="s">
        <v>422</v>
      </c>
    </row>
    <row r="38" spans="1:53" ht="20" customHeight="1" x14ac:dyDescent="0.2">
      <c r="A38" s="60"/>
      <c r="B38" s="82"/>
      <c r="C38" s="24" t="s">
        <v>85</v>
      </c>
      <c r="D38" s="23" t="s">
        <v>131</v>
      </c>
      <c r="E38" s="23" t="s">
        <v>132</v>
      </c>
      <c r="F38" s="24">
        <v>1998</v>
      </c>
      <c r="G38" s="24">
        <v>213</v>
      </c>
      <c r="H38" s="89">
        <v>6</v>
      </c>
      <c r="I38" s="85" t="s">
        <v>176</v>
      </c>
      <c r="J38" s="86"/>
      <c r="K38" s="33"/>
      <c r="L38" s="36" t="str">
        <f t="shared" si="0"/>
        <v/>
      </c>
      <c r="M38" s="38">
        <v>4</v>
      </c>
      <c r="N38" s="39">
        <f t="shared" si="1"/>
        <v>66.666666666666657</v>
      </c>
      <c r="O38" s="33"/>
      <c r="P38" s="36" t="str">
        <f t="shared" si="2"/>
        <v/>
      </c>
      <c r="Q38" s="33"/>
      <c r="R38" s="36" t="str">
        <f t="shared" si="3"/>
        <v/>
      </c>
      <c r="S38" s="33"/>
      <c r="T38" s="36" t="str">
        <f t="shared" si="4"/>
        <v/>
      </c>
      <c r="U38" s="33"/>
      <c r="V38" s="36" t="str">
        <f t="shared" ref="V38" si="56">IF((ISERROR((U38/$H38)*100)), "", IF(AND(NOT(ISERROR((U38/$H38)*100)),((U38/$H38)*100) &lt;&gt; 0), (U38/$H38)*100, ""))</f>
        <v/>
      </c>
      <c r="W38" s="76"/>
      <c r="X38" s="36" t="str">
        <f t="shared" si="6"/>
        <v/>
      </c>
      <c r="Y38" s="33"/>
      <c r="Z38" s="36" t="str">
        <f t="shared" ref="Z38" si="57">IF((ISERROR((Y38/$H38)*100)), "", IF(AND(NOT(ISERROR((Y38/$H38)*100)),((Y38/$H38)*100) &lt;&gt; 0), (Y38/$H38)*100, ""))</f>
        <v/>
      </c>
      <c r="AA38" s="33"/>
      <c r="AB38" s="36" t="str">
        <f t="shared" ref="AB38" si="58">IF((ISERROR((AA38/$H38)*100)), "", IF(AND(NOT(ISERROR((AA38/$H38)*100)),((AA38/$H38)*100) &lt;&gt; 0), (AA38/$H38)*100, ""))</f>
        <v/>
      </c>
      <c r="AC38" s="33"/>
      <c r="AD38" s="36" t="str">
        <f t="shared" ref="AD38" si="59">IF((ISERROR((AC38/$H38)*100)), "", IF(AND(NOT(ISERROR((AC38/$H38)*100)),((AC38/$H38)*100) &lt;&gt; 0), (AC38/$H38)*100, ""))</f>
        <v/>
      </c>
      <c r="AE38" s="76"/>
      <c r="AF38" s="36" t="str">
        <f t="shared" si="10"/>
        <v/>
      </c>
      <c r="AG38" s="33"/>
      <c r="AH38" s="36" t="str">
        <f t="shared" si="11"/>
        <v/>
      </c>
      <c r="AI38" s="33"/>
      <c r="AJ38" s="36" t="str">
        <f t="shared" si="12"/>
        <v/>
      </c>
      <c r="AK38" s="33"/>
      <c r="AL38" s="36" t="str">
        <f t="shared" si="13"/>
        <v/>
      </c>
      <c r="AM38" s="33"/>
      <c r="AN38" s="36" t="str">
        <f t="shared" si="14"/>
        <v/>
      </c>
      <c r="AO38" s="33"/>
      <c r="AP38" s="36" t="str">
        <f t="shared" si="15"/>
        <v/>
      </c>
      <c r="AQ38" s="33"/>
      <c r="AR38" s="36" t="str">
        <f t="shared" ref="AR38" si="60">IF((ISERROR((AQ38/$H38)*100)), "", IF(AND(NOT(ISERROR((AQ38/$H38)*100)),((AQ38/$H38)*100) &lt;&gt; 0), (AQ38/$H38)*100, ""))</f>
        <v/>
      </c>
      <c r="AS38" s="33"/>
      <c r="AT38" s="36" t="str">
        <f t="shared" ref="AT38:AT39" si="61">IF((ISERROR((AS38/$H38)*100)), "", IF(AND(NOT(ISERROR((AS38/$H38)*100)),((AS38/$H38)*100) &lt;&gt; 0), (AS38/$H38)*100, ""))</f>
        <v/>
      </c>
      <c r="AU38" s="33"/>
      <c r="AV38" s="36" t="str">
        <f t="shared" si="18"/>
        <v/>
      </c>
      <c r="AW38" s="33"/>
      <c r="AX38" s="36" t="str">
        <f t="shared" si="19"/>
        <v/>
      </c>
      <c r="AY38" s="33"/>
      <c r="AZ38" s="36" t="str">
        <f t="shared" si="20"/>
        <v/>
      </c>
      <c r="BA38" s="23" t="s">
        <v>219</v>
      </c>
    </row>
    <row r="39" spans="1:53" ht="20" customHeight="1" x14ac:dyDescent="0.2">
      <c r="A39" s="61"/>
      <c r="B39" s="82"/>
      <c r="C39" s="24" t="s">
        <v>85</v>
      </c>
      <c r="D39" s="23" t="s">
        <v>133</v>
      </c>
      <c r="E39" s="23" t="s">
        <v>134</v>
      </c>
      <c r="F39" s="24">
        <v>2001</v>
      </c>
      <c r="G39" s="24">
        <v>192</v>
      </c>
      <c r="H39" s="89"/>
      <c r="I39" s="85" t="s">
        <v>176</v>
      </c>
      <c r="J39" s="86" t="s">
        <v>169</v>
      </c>
      <c r="K39" s="33"/>
      <c r="L39" s="36" t="str">
        <f t="shared" si="0"/>
        <v/>
      </c>
      <c r="M39" s="38">
        <v>1</v>
      </c>
      <c r="N39" s="39" t="str">
        <f t="shared" si="1"/>
        <v/>
      </c>
      <c r="O39" s="33"/>
      <c r="P39" s="36" t="str">
        <f t="shared" si="2"/>
        <v/>
      </c>
      <c r="Q39" s="33"/>
      <c r="R39" s="36" t="str">
        <f t="shared" si="3"/>
        <v/>
      </c>
      <c r="S39" s="33"/>
      <c r="T39" s="36" t="str">
        <f t="shared" si="4"/>
        <v/>
      </c>
      <c r="U39" s="33"/>
      <c r="V39" s="36" t="str">
        <f>IF((ISERROR((U39/$H39)*100)), "", IF(AND(NOT(ISERROR((U39/$H39)*100)),((U39/$H39)*100) &lt;&gt; 0), (U39/$H39)*100, ""))</f>
        <v/>
      </c>
      <c r="W39" s="76"/>
      <c r="X39" s="36" t="str">
        <f t="shared" si="6"/>
        <v/>
      </c>
      <c r="Y39" s="33"/>
      <c r="Z39" s="36" t="str">
        <f>IF((ISERROR((Y39/$H39)*100)), "", IF(AND(NOT(ISERROR((Y39/$H39)*100)),((Y39/$H39)*100) &lt;&gt; 0), (Y39/$H39)*100, ""))</f>
        <v/>
      </c>
      <c r="AA39" s="33"/>
      <c r="AB39" s="36" t="str">
        <f>IF((ISERROR((AA39/$H39)*100)), "", IF(AND(NOT(ISERROR((AA39/$H39)*100)),((AA39/$H39)*100) &lt;&gt; 0), (AA39/$H39)*100, ""))</f>
        <v/>
      </c>
      <c r="AC39" s="33"/>
      <c r="AD39" s="36" t="str">
        <f>IF((ISERROR((AC39/$H39)*100)), "", IF(AND(NOT(ISERROR((AC39/$H39)*100)),((AC39/$H39)*100) &lt;&gt; 0), (AC39/$H39)*100, ""))</f>
        <v/>
      </c>
      <c r="AE39" s="76"/>
      <c r="AF39" s="36" t="str">
        <f t="shared" si="10"/>
        <v/>
      </c>
      <c r="AG39" s="33">
        <v>2</v>
      </c>
      <c r="AH39" s="36" t="str">
        <f t="shared" si="11"/>
        <v/>
      </c>
      <c r="AI39" s="33"/>
      <c r="AJ39" s="36" t="str">
        <f t="shared" si="12"/>
        <v/>
      </c>
      <c r="AK39" s="33"/>
      <c r="AL39" s="36" t="str">
        <f t="shared" si="13"/>
        <v/>
      </c>
      <c r="AM39" s="33"/>
      <c r="AN39" s="36" t="str">
        <f t="shared" si="14"/>
        <v/>
      </c>
      <c r="AO39" s="33"/>
      <c r="AP39" s="36" t="str">
        <f t="shared" si="15"/>
        <v/>
      </c>
      <c r="AQ39" s="33"/>
      <c r="AR39" s="36" t="str">
        <f>IF((ISERROR((AQ39/$H39)*100)), "", IF(AND(NOT(ISERROR((AQ39/$H39)*100)),((AQ39/$H39)*100) &lt;&gt; 0), (AQ39/$H39)*100, ""))</f>
        <v/>
      </c>
      <c r="AS39" s="33"/>
      <c r="AT39" s="36" t="str">
        <f t="shared" si="61"/>
        <v/>
      </c>
      <c r="AU39" s="33"/>
      <c r="AV39" s="36" t="str">
        <f t="shared" si="18"/>
        <v/>
      </c>
      <c r="AW39" s="33"/>
      <c r="AX39" s="36" t="str">
        <f t="shared" si="19"/>
        <v/>
      </c>
      <c r="AY39" s="33"/>
      <c r="AZ39" s="36" t="str">
        <f t="shared" si="20"/>
        <v/>
      </c>
      <c r="BA39" s="23" t="s">
        <v>392</v>
      </c>
    </row>
    <row r="40" spans="1:53" ht="20" customHeight="1" x14ac:dyDescent="0.2">
      <c r="A40" s="61"/>
      <c r="B40" s="82"/>
      <c r="D40" s="23" t="s">
        <v>151</v>
      </c>
      <c r="E40" s="23" t="s">
        <v>424</v>
      </c>
      <c r="F40" s="24">
        <v>1999</v>
      </c>
      <c r="H40" s="89">
        <v>30</v>
      </c>
      <c r="I40" s="85" t="s">
        <v>425</v>
      </c>
      <c r="J40" s="86" t="s">
        <v>220</v>
      </c>
      <c r="K40" s="33"/>
      <c r="L40" s="36"/>
      <c r="M40" s="33"/>
      <c r="N40" s="36"/>
      <c r="O40" s="33"/>
      <c r="P40" s="36"/>
      <c r="Q40" s="33"/>
      <c r="R40" s="36"/>
      <c r="S40" s="33"/>
      <c r="T40" s="36"/>
      <c r="U40" s="33"/>
      <c r="V40" s="36"/>
      <c r="W40" s="76"/>
      <c r="X40" s="36"/>
      <c r="Y40" s="33"/>
      <c r="Z40" s="36"/>
      <c r="AA40" s="33"/>
      <c r="AB40" s="36"/>
      <c r="AC40" s="33"/>
      <c r="AD40" s="36"/>
      <c r="AE40" s="76"/>
      <c r="AF40" s="36"/>
      <c r="AG40" s="33"/>
      <c r="AH40" s="36"/>
      <c r="AI40" s="33"/>
      <c r="AJ40" s="36"/>
      <c r="AK40" s="33"/>
      <c r="AL40" s="36"/>
      <c r="AM40" s="33"/>
      <c r="AN40" s="36"/>
      <c r="AO40" s="33"/>
      <c r="AP40" s="36"/>
      <c r="AQ40" s="33"/>
      <c r="AR40" s="36"/>
      <c r="AS40" s="33"/>
      <c r="AT40" s="36"/>
      <c r="AU40" s="33"/>
      <c r="AV40" s="36"/>
      <c r="AW40" s="33"/>
      <c r="AX40" s="36"/>
      <c r="AY40" s="33"/>
      <c r="AZ40" s="36"/>
      <c r="BA40" s="23" t="s">
        <v>393</v>
      </c>
    </row>
    <row r="41" spans="1:53" ht="20" customHeight="1" x14ac:dyDescent="0.2">
      <c r="A41" s="60"/>
      <c r="B41" s="82"/>
      <c r="C41" s="24" t="s">
        <v>85</v>
      </c>
      <c r="D41" s="23" t="s">
        <v>137</v>
      </c>
      <c r="E41" s="23" t="s">
        <v>138</v>
      </c>
      <c r="F41" s="24">
        <v>2011</v>
      </c>
      <c r="G41" s="24">
        <v>42</v>
      </c>
      <c r="H41" s="89">
        <v>51</v>
      </c>
      <c r="I41" s="85" t="s">
        <v>223</v>
      </c>
      <c r="J41" s="86" t="s">
        <v>224</v>
      </c>
      <c r="K41" s="33"/>
      <c r="L41" s="36" t="str">
        <f>IF((ISERROR((K41/$H41)*100)), "", IF(AND(NOT(ISERROR((K41/$H41)*100)),((K41/$H41)*100) &lt;&gt; 0), (K41/$H41)*100, ""))</f>
        <v/>
      </c>
      <c r="M41" s="33"/>
      <c r="N41" s="36" t="str">
        <f>IF((ISERROR((M41/$H41)*100)), "", IF(AND(NOT(ISERROR((M41/$H41)*100)),((M41/$H41)*100) &lt;&gt; 0), (M41/$H41)*100, ""))</f>
        <v/>
      </c>
      <c r="O41" s="33"/>
      <c r="P41" s="36" t="str">
        <f>IF((ISERROR((O41/$H41)*100)), "", IF(AND(NOT(ISERROR((O41/$H41)*100)),((O41/$H41)*100) &lt;&gt; 0), (O41/$H41)*100, ""))</f>
        <v/>
      </c>
      <c r="Q41" s="33"/>
      <c r="R41" s="36" t="str">
        <f>IF((ISERROR((Q41/$H41)*100)), "", IF(AND(NOT(ISERROR((Q41/$H41)*100)),((Q41/$H41)*100) &lt;&gt; 0), (Q41/$H41)*100, ""))</f>
        <v/>
      </c>
      <c r="S41" s="33"/>
      <c r="T41" s="36" t="str">
        <f>IF((ISERROR((S41/$H41)*100)), "", IF(AND(NOT(ISERROR((S41/$H41)*100)),((S41/$H41)*100) &lt;&gt; 0), (S41/$H41)*100, ""))</f>
        <v/>
      </c>
      <c r="U41" s="33"/>
      <c r="V41" s="36" t="str">
        <f t="shared" ref="V41" si="62">IF((ISERROR((U41/$H41)*100)), "", IF(AND(NOT(ISERROR((U41/$H41)*100)),((U41/$H41)*100) &lt;&gt; 0), (U41/$H41)*100, ""))</f>
        <v/>
      </c>
      <c r="W41" s="40">
        <v>4</v>
      </c>
      <c r="X41" s="39">
        <f t="shared" ref="X41:X44" si="63">IF((ISERROR((W41/$H41)*100)), "", IF(AND(NOT(ISERROR((W41/$H41)*100)),((W41/$H41)*100) &lt;&gt; 0), (W41/$H41)*100, ""))</f>
        <v>7.8431372549019605</v>
      </c>
      <c r="Y41" s="33"/>
      <c r="Z41" s="36" t="str">
        <f t="shared" ref="Z41" si="64">IF((ISERROR((Y41/$H41)*100)), "", IF(AND(NOT(ISERROR((Y41/$H41)*100)),((Y41/$H41)*100) &lt;&gt; 0), (Y41/$H41)*100, ""))</f>
        <v/>
      </c>
      <c r="AA41" s="33"/>
      <c r="AB41" s="36" t="str">
        <f t="shared" ref="AB41" si="65">IF((ISERROR((AA41/$H41)*100)), "", IF(AND(NOT(ISERROR((AA41/$H41)*100)),((AA41/$H41)*100) &lt;&gt; 0), (AA41/$H41)*100, ""))</f>
        <v/>
      </c>
      <c r="AC41" s="38" t="s">
        <v>225</v>
      </c>
      <c r="AD41" s="39" t="str">
        <f t="shared" ref="AD41" si="66">IF((ISERROR((AC41/$H41)*100)), "", IF(AND(NOT(ISERROR((AC41/$H41)*100)),((AC41/$H41)*100) &lt;&gt; 0), (AC41/$H41)*100, ""))</f>
        <v/>
      </c>
      <c r="AE41" s="76"/>
      <c r="AF41" s="36" t="str">
        <f>IF((ISERROR((AE41/$H41)*100)), "", IF(AND(NOT(ISERROR((AE41/$H41)*100)),((AE41/$H41)*100) &lt;&gt; 0), (AE41/$H41)*100, ""))</f>
        <v/>
      </c>
      <c r="AG41" s="38">
        <v>21</v>
      </c>
      <c r="AH41" s="39">
        <f>IF((ISERROR((AG41/$H41)*100)), "", IF(AND(NOT(ISERROR((AG41/$H41)*100)),((AG41/$H41)*100) &lt;&gt; 0), (AG41/$H41)*100, ""))</f>
        <v>41.17647058823529</v>
      </c>
      <c r="AI41" s="33"/>
      <c r="AJ41" s="36" t="str">
        <f>IF((ISERROR((AI41/$H41)*100)), "", IF(AND(NOT(ISERROR((AI41/$H41)*100)),((AI41/$H41)*100) &lt;&gt; 0), (AI41/$H41)*100, ""))</f>
        <v/>
      </c>
      <c r="AK41" s="33"/>
      <c r="AL41" s="36" t="str">
        <f>IF((ISERROR((AK41/$H41)*100)), "", IF(AND(NOT(ISERROR((AK41/$H41)*100)),((AK41/$H41)*100) &lt;&gt; 0), (AK41/$H41)*100, ""))</f>
        <v/>
      </c>
      <c r="AM41" s="33"/>
      <c r="AN41" s="36" t="str">
        <f>IF((ISERROR((AM41/$H41)*100)), "", IF(AND(NOT(ISERROR((AM41/$H41)*100)),((AM41/$H41)*100) &lt;&gt; 0), (AM41/$H41)*100, ""))</f>
        <v/>
      </c>
      <c r="AO41" s="33"/>
      <c r="AP41" s="36" t="str">
        <f>IF((ISERROR((AO41/$H41)*100)), "", IF(AND(NOT(ISERROR((AO41/$H41)*100)),((AO41/$H41)*100) &lt;&gt; 0), (AO41/$H41)*100, ""))</f>
        <v/>
      </c>
      <c r="AQ41" s="33"/>
      <c r="AR41" s="36" t="str">
        <f t="shared" ref="AR41" si="67">IF((ISERROR((AQ41/$H41)*100)), "", IF(AND(NOT(ISERROR((AQ41/$H41)*100)),((AQ41/$H41)*100) &lt;&gt; 0), (AQ41/$H41)*100, ""))</f>
        <v/>
      </c>
      <c r="AS41" s="38">
        <v>1</v>
      </c>
      <c r="AT41" s="39">
        <f t="shared" ref="AT41:AT44" si="68">IF((ISERROR((AS41/$H41)*100)), "", IF(AND(NOT(ISERROR((AS41/$H41)*100)),((AS41/$H41)*100) &lt;&gt; 0), (AS41/$H41)*100, ""))</f>
        <v>1.9607843137254901</v>
      </c>
      <c r="AU41" s="33"/>
      <c r="AV41" s="36" t="str">
        <f t="shared" ref="AV41:AV44" si="69">IF((ISERROR((AU41/$H41)*100)), "", IF(AND(NOT(ISERROR((AU41/$H41)*100)),((AU41/$H41)*100) &lt;&gt; 0), (AU41/$H41)*100, ""))</f>
        <v/>
      </c>
      <c r="AW41" s="33"/>
      <c r="AX41" s="36" t="str">
        <f t="shared" ref="AX41:AX44" si="70">IF((ISERROR((AW41/$H41)*100)), "", IF(AND(NOT(ISERROR((AW41/$H41)*100)),((AW41/$H41)*100) &lt;&gt; 0), (AW41/$H41)*100, ""))</f>
        <v/>
      </c>
      <c r="AY41" s="33"/>
      <c r="AZ41" s="36" t="str">
        <f t="shared" ref="AZ41:AZ44" si="71">IF((ISERROR((AY41/$H41)*100)), "", IF(AND(NOT(ISERROR((AY41/$H41)*100)),((AY41/$H41)*100) &lt;&gt; 0), (AY41/$H41)*100, ""))</f>
        <v/>
      </c>
      <c r="BA41" s="23" t="s">
        <v>394</v>
      </c>
    </row>
    <row r="42" spans="1:53" ht="20" customHeight="1" x14ac:dyDescent="0.2">
      <c r="A42" s="60"/>
      <c r="B42" s="82"/>
      <c r="C42" s="24" t="s">
        <v>85</v>
      </c>
      <c r="D42" s="23" t="s">
        <v>315</v>
      </c>
      <c r="E42" s="23" t="s">
        <v>316</v>
      </c>
      <c r="F42" s="24">
        <v>2010</v>
      </c>
      <c r="H42" s="89">
        <v>53</v>
      </c>
      <c r="I42" s="111" t="s">
        <v>371</v>
      </c>
      <c r="J42" s="86" t="s">
        <v>410</v>
      </c>
      <c r="K42" s="33"/>
      <c r="L42" s="36" t="str">
        <f>IF((ISERROR((K42/$H42)*100)), "", IF(AND(NOT(ISERROR((K42/$H42)*100)),((K42/$H42)*100) &lt;&gt; 0), (K42/$H42)*100, ""))</f>
        <v/>
      </c>
      <c r="M42" s="33"/>
      <c r="N42" s="36" t="str">
        <f>IF((ISERROR((M42/$H42)*100)), "", IF(AND(NOT(ISERROR((M42/$H42)*100)),((M42/$H42)*100) &lt;&gt; 0), (M42/$H42)*100, ""))</f>
        <v/>
      </c>
      <c r="O42" s="33"/>
      <c r="P42" s="36" t="str">
        <f>IF((ISERROR((O42/$H42)*100)), "", IF(AND(NOT(ISERROR((O42/$H42)*100)),((O42/$H42)*100) &lt;&gt; 0), (O42/$H42)*100, ""))</f>
        <v/>
      </c>
      <c r="Q42" s="33"/>
      <c r="R42" s="36" t="str">
        <f>IF((ISERROR((Q42/$H42)*100)), "", IF(AND(NOT(ISERROR((Q42/$H42)*100)),((Q42/$H42)*100) &lt;&gt; 0), (Q42/$H42)*100, ""))</f>
        <v/>
      </c>
      <c r="S42" s="33">
        <v>15</v>
      </c>
      <c r="T42" s="36">
        <f>IF((ISERROR((S42/$H42)*100)), "", IF(AND(NOT(ISERROR((S42/$H42)*100)),((S42/$H42)*100) &lt;&gt; 0), (S42/$H42)*100, ""))</f>
        <v>28.30188679245283</v>
      </c>
      <c r="U42" s="33"/>
      <c r="V42" s="36" t="str">
        <f>IF((ISERROR((U42/$H42)*100)), "", IF(AND(NOT(ISERROR((U42/$H42)*100)),((U42/$H42)*100) &lt;&gt; 0), (U42/$H42)*100, ""))</f>
        <v/>
      </c>
      <c r="W42" s="76">
        <v>15</v>
      </c>
      <c r="X42" s="36">
        <f t="shared" si="63"/>
        <v>28.30188679245283</v>
      </c>
      <c r="Y42" s="33"/>
      <c r="Z42" s="36" t="str">
        <f>IF((ISERROR((Y42/$H42)*100)), "", IF(AND(NOT(ISERROR((Y42/$H42)*100)),((Y42/$H42)*100) &lt;&gt; 0), (Y42/$H42)*100, ""))</f>
        <v/>
      </c>
      <c r="AA42" s="33"/>
      <c r="AB42" s="36" t="str">
        <f>IF((ISERROR((AA42/$H42)*100)), "", IF(AND(NOT(ISERROR((AA42/$H42)*100)),((AA42/$H42)*100) &lt;&gt; 0), (AA42/$H42)*100, ""))</f>
        <v/>
      </c>
      <c r="AC42" s="33"/>
      <c r="AD42" s="36" t="str">
        <f>IF((ISERROR((AC42/$H42)*100)), "", IF(AND(NOT(ISERROR((AC42/$H42)*100)),((AC42/$H42)*100) &lt;&gt; 0), (AC42/$H42)*100, ""))</f>
        <v/>
      </c>
      <c r="AE42" s="76"/>
      <c r="AF42" s="36" t="str">
        <f>IF((ISERROR((AE42/$H42)*100)), "", IF(AND(NOT(ISERROR((AE42/$H42)*100)),((AE42/$H42)*100) &lt;&gt; 0), (AE42/$H42)*100, ""))</f>
        <v/>
      </c>
      <c r="AG42" s="33">
        <v>2</v>
      </c>
      <c r="AH42" s="36">
        <f>IF((ISERROR((AG42/$H42)*100)), "", IF(AND(NOT(ISERROR((AG42/$H42)*100)),((AG42/$H42)*100) &lt;&gt; 0), (AG42/$H42)*100, ""))</f>
        <v>3.7735849056603774</v>
      </c>
      <c r="AI42" s="33"/>
      <c r="AJ42" s="36" t="str">
        <f>IF((ISERROR((AI42/$H42)*100)), "", IF(AND(NOT(ISERROR((AI42/$H42)*100)),((AI42/$H42)*100) &lt;&gt; 0), (AI42/$H42)*100, ""))</f>
        <v/>
      </c>
      <c r="AK42" s="33">
        <v>3</v>
      </c>
      <c r="AL42" s="36">
        <f>IF((ISERROR((AK42/$H42)*100)), "", IF(AND(NOT(ISERROR((AK42/$H42)*100)),((AK42/$H42)*100) &lt;&gt; 0), (AK42/$H42)*100, ""))</f>
        <v>5.6603773584905666</v>
      </c>
      <c r="AM42" s="33"/>
      <c r="AN42" s="36" t="str">
        <f>IF((ISERROR((AM42/$H42)*100)), "", IF(AND(NOT(ISERROR((AM42/$H42)*100)),((AM42/$H42)*100) &lt;&gt; 0), (AM42/$H42)*100, ""))</f>
        <v/>
      </c>
      <c r="AO42" s="33">
        <v>9</v>
      </c>
      <c r="AP42" s="36">
        <f>IF((ISERROR((AO42/$H42)*100)), "", IF(AND(NOT(ISERROR((AO42/$H42)*100)),((AO42/$H42)*100) &lt;&gt; 0), (AO42/$H42)*100, ""))</f>
        <v>16.981132075471699</v>
      </c>
      <c r="AQ42" s="33"/>
      <c r="AR42" s="36" t="str">
        <f>IF((ISERROR((AQ42/$H42)*100)), "", IF(AND(NOT(ISERROR((AQ42/$H42)*100)),((AQ42/$H42)*100) &lt;&gt; 0), (AQ42/$H42)*100, ""))</f>
        <v/>
      </c>
      <c r="AS42" s="33">
        <v>2</v>
      </c>
      <c r="AT42" s="36">
        <f t="shared" si="68"/>
        <v>3.7735849056603774</v>
      </c>
      <c r="AU42" s="33"/>
      <c r="AV42" s="36" t="str">
        <f t="shared" si="69"/>
        <v/>
      </c>
      <c r="AW42" s="33"/>
      <c r="AX42" s="36" t="str">
        <f t="shared" si="70"/>
        <v/>
      </c>
      <c r="AY42" s="33"/>
      <c r="AZ42" s="36" t="str">
        <f t="shared" si="71"/>
        <v/>
      </c>
      <c r="BA42" s="23" t="s">
        <v>372</v>
      </c>
    </row>
    <row r="43" spans="1:53" ht="20" customHeight="1" x14ac:dyDescent="0.2">
      <c r="A43" s="60"/>
      <c r="B43" s="82"/>
      <c r="C43" s="24" t="s">
        <v>85</v>
      </c>
      <c r="D43" s="23" t="s">
        <v>317</v>
      </c>
      <c r="E43" s="23" t="s">
        <v>318</v>
      </c>
      <c r="F43" s="24">
        <v>2014</v>
      </c>
      <c r="H43" s="89">
        <v>39</v>
      </c>
      <c r="I43" s="85" t="s">
        <v>211</v>
      </c>
      <c r="J43" s="86" t="s">
        <v>373</v>
      </c>
      <c r="K43" s="33"/>
      <c r="L43" s="36" t="str">
        <f>IF((ISERROR((K43/$H43)*100)), "", IF(AND(NOT(ISERROR((K43/$H43)*100)),((K43/$H43)*100) &lt;&gt; 0), (K43/$H43)*100, ""))</f>
        <v/>
      </c>
      <c r="M43" s="33"/>
      <c r="N43" s="36" t="str">
        <f>IF((ISERROR((M43/$H43)*100)), "", IF(AND(NOT(ISERROR((M43/$H43)*100)),((M43/$H43)*100) &lt;&gt; 0), (M43/$H43)*100, ""))</f>
        <v/>
      </c>
      <c r="O43" s="33"/>
      <c r="P43" s="36" t="str">
        <f>IF((ISERROR((O43/$H43)*100)), "", IF(AND(NOT(ISERROR((O43/$H43)*100)),((O43/$H43)*100) &lt;&gt; 0), (O43/$H43)*100, ""))</f>
        <v/>
      </c>
      <c r="Q43" s="33"/>
      <c r="R43" s="36" t="str">
        <f>IF((ISERROR((Q43/$H43)*100)), "", IF(AND(NOT(ISERROR((Q43/$H43)*100)),((Q43/$H43)*100) &lt;&gt; 0), (Q43/$H43)*100, ""))</f>
        <v/>
      </c>
      <c r="S43" s="33">
        <v>1</v>
      </c>
      <c r="T43" s="36">
        <f>IF((ISERROR((S43/$H43)*100)), "", IF(AND(NOT(ISERROR((S43/$H43)*100)),((S43/$H43)*100) &lt;&gt; 0), (S43/$H43)*100, ""))</f>
        <v>2.5641025641025639</v>
      </c>
      <c r="U43" s="33">
        <v>2</v>
      </c>
      <c r="V43" s="36">
        <f>IF((ISERROR((U43/$H43)*100)), "", IF(AND(NOT(ISERROR((U43/$H43)*100)),((U43/$H43)*100) &lt;&gt; 0), (U43/$H43)*100, ""))</f>
        <v>5.1282051282051277</v>
      </c>
      <c r="W43" s="76">
        <v>6</v>
      </c>
      <c r="X43" s="36">
        <f t="shared" si="63"/>
        <v>15.384615384615385</v>
      </c>
      <c r="Y43" s="33"/>
      <c r="Z43" s="36" t="str">
        <f>IF((ISERROR((Y43/$H43)*100)), "", IF(AND(NOT(ISERROR((Y43/$H43)*100)),((Y43/$H43)*100) &lt;&gt; 0), (Y43/$H43)*100, ""))</f>
        <v/>
      </c>
      <c r="AA43" s="33"/>
      <c r="AB43" s="36"/>
      <c r="AC43" s="33"/>
      <c r="AD43" s="36" t="str">
        <f>IF((ISERROR((AC43/$H43)*100)), "", IF(AND(NOT(ISERROR((AC43/$H43)*100)),((AC43/$H43)*100) &lt;&gt; 0), (AC43/$H43)*100, ""))</f>
        <v/>
      </c>
      <c r="AE43" s="76"/>
      <c r="AF43" s="36" t="str">
        <f>IF((ISERROR((AE43/$H43)*100)), "", IF(AND(NOT(ISERROR((AE43/$H43)*100)),((AE43/$H43)*100) &lt;&gt; 0), (AE43/$H43)*100, ""))</f>
        <v/>
      </c>
      <c r="AG43" s="33"/>
      <c r="AH43" s="36" t="str">
        <f>IF((ISERROR((AG43/$H43)*100)), "", IF(AND(NOT(ISERROR((AG43/$H43)*100)),((AG43/$H43)*100) &lt;&gt; 0), (AG43/$H43)*100, ""))</f>
        <v/>
      </c>
      <c r="AI43" s="33"/>
      <c r="AJ43" s="36" t="str">
        <f>IF((ISERROR((AI43/$H43)*100)), "", IF(AND(NOT(ISERROR((AI43/$H43)*100)),((AI43/$H43)*100) &lt;&gt; 0), (AI43/$H43)*100, ""))</f>
        <v/>
      </c>
      <c r="AK43" s="33"/>
      <c r="AL43" s="36" t="str">
        <f>IF((ISERROR((AK43/$H43)*100)), "", IF(AND(NOT(ISERROR((AK43/$H43)*100)),((AK43/$H43)*100) &lt;&gt; 0), (AK43/$H43)*100, ""))</f>
        <v/>
      </c>
      <c r="AM43" s="33"/>
      <c r="AN43" s="36" t="str">
        <f>IF((ISERROR((AM43/$H43)*100)), "", IF(AND(NOT(ISERROR((AM43/$H43)*100)),((AM43/$H43)*100) &lt;&gt; 0), (AM43/$H43)*100, ""))</f>
        <v/>
      </c>
      <c r="AO43" s="33"/>
      <c r="AP43" s="36" t="str">
        <f>IF((ISERROR((AO43/$H43)*100)), "", IF(AND(NOT(ISERROR((AO43/$H43)*100)),((AO43/$H43)*100) &lt;&gt; 0), (AO43/$H43)*100, ""))</f>
        <v/>
      </c>
      <c r="AQ43" s="33">
        <v>1</v>
      </c>
      <c r="AR43" s="36">
        <f>IF((ISERROR((AQ43/$H43)*100)), "", IF(AND(NOT(ISERROR((AQ43/$H43)*100)),((AQ43/$H43)*100) &lt;&gt; 0), (AQ43/$H43)*100, ""))</f>
        <v>2.5641025641025639</v>
      </c>
      <c r="AS43" s="33"/>
      <c r="AT43" s="36" t="str">
        <f t="shared" si="68"/>
        <v/>
      </c>
      <c r="AU43" s="33"/>
      <c r="AV43" s="36" t="str">
        <f t="shared" si="69"/>
        <v/>
      </c>
      <c r="AW43" s="33"/>
      <c r="AX43" s="36" t="str">
        <f t="shared" si="70"/>
        <v/>
      </c>
      <c r="AY43" s="33"/>
      <c r="AZ43" s="36" t="str">
        <f t="shared" si="71"/>
        <v/>
      </c>
      <c r="BA43" s="23" t="s">
        <v>411</v>
      </c>
    </row>
    <row r="44" spans="1:53" ht="20" customHeight="1" x14ac:dyDescent="0.2">
      <c r="A44" s="60"/>
      <c r="B44" s="82"/>
      <c r="C44" s="24" t="s">
        <v>85</v>
      </c>
      <c r="D44" s="23" t="s">
        <v>319</v>
      </c>
      <c r="E44" s="23" t="s">
        <v>320</v>
      </c>
      <c r="F44" s="24">
        <v>2010</v>
      </c>
      <c r="H44" s="89">
        <v>789</v>
      </c>
      <c r="I44" s="85" t="s">
        <v>211</v>
      </c>
      <c r="J44" s="86" t="s">
        <v>375</v>
      </c>
      <c r="K44" s="33"/>
      <c r="L44" s="36" t="str">
        <f>IF((ISERROR((K44/$H44)*100)), "", IF(AND(NOT(ISERROR((K44/$H44)*100)),((K44/$H44)*100) &lt;&gt; 0), (K44/$H44)*100, ""))</f>
        <v/>
      </c>
      <c r="M44" s="33"/>
      <c r="N44" s="36" t="str">
        <f>IF((ISERROR((M44/$H44)*100)), "", IF(AND(NOT(ISERROR((M44/$H44)*100)),((M44/$H44)*100) &lt;&gt; 0), (M44/$H44)*100, ""))</f>
        <v/>
      </c>
      <c r="O44" s="33"/>
      <c r="P44" s="36" t="str">
        <f>IF((ISERROR((O44/$H44)*100)), "", IF(AND(NOT(ISERROR((O44/$H44)*100)),((O44/$H44)*100) &lt;&gt; 0), (O44/$H44)*100, ""))</f>
        <v/>
      </c>
      <c r="Q44" s="33"/>
      <c r="R44" s="36" t="str">
        <f>IF((ISERROR((Q44/$H44)*100)), "", IF(AND(NOT(ISERROR((Q44/$H44)*100)),((Q44/$H44)*100) &lt;&gt; 0), (Q44/$H44)*100, ""))</f>
        <v/>
      </c>
      <c r="S44" s="33"/>
      <c r="T44" s="36" t="str">
        <f>IF((ISERROR((S44/$H44)*100)), "", IF(AND(NOT(ISERROR((S44/$H44)*100)),((S44/$H44)*100) &lt;&gt; 0), (S44/$H44)*100, ""))</f>
        <v/>
      </c>
      <c r="U44" s="33"/>
      <c r="V44" s="36" t="str">
        <f>IF((ISERROR((U44/$H44)*100)), "", IF(AND(NOT(ISERROR((U44/$H44)*100)),((U44/$H44)*100) &lt;&gt; 0), (U44/$H44)*100, ""))</f>
        <v/>
      </c>
      <c r="W44" s="76"/>
      <c r="X44" s="36" t="str">
        <f t="shared" si="63"/>
        <v/>
      </c>
      <c r="Y44" s="33"/>
      <c r="Z44" s="36" t="str">
        <f>IF((ISERROR((Y44/$H44)*100)), "", IF(AND(NOT(ISERROR((Y44/$H44)*100)),((Y44/$H44)*100) &lt;&gt; 0), (Y44/$H44)*100, ""))</f>
        <v/>
      </c>
      <c r="AA44" s="33"/>
      <c r="AB44" s="36" t="str">
        <f>IF((ISERROR((AA44/$H44)*100)), "", IF(AND(NOT(ISERROR((AA44/$H44)*100)),((AA44/$H44)*100) &lt;&gt; 0), (AA44/$H44)*100, ""))</f>
        <v/>
      </c>
      <c r="AC44" s="33"/>
      <c r="AD44" s="36" t="str">
        <f>IF((ISERROR((AC44/$H44)*100)), "", IF(AND(NOT(ISERROR((AC44/$H44)*100)),((AC44/$H44)*100) &lt;&gt; 0), (AC44/$H44)*100, ""))</f>
        <v/>
      </c>
      <c r="AE44" s="76">
        <v>43</v>
      </c>
      <c r="AF44" s="36">
        <f>IF((ISERROR((AE44/$H44)*100)), "", IF(AND(NOT(ISERROR((AE44/$H44)*100)),((AE44/$H44)*100) &lt;&gt; 0), (AE44/$H44)*100, ""))</f>
        <v>5.4499366286438535</v>
      </c>
      <c r="AG44" s="33"/>
      <c r="AH44" s="36" t="str">
        <f>IF((ISERROR((AG44/$H44)*100)), "", IF(AND(NOT(ISERROR((AG44/$H44)*100)),((AG44/$H44)*100) &lt;&gt; 0), (AG44/$H44)*100, ""))</f>
        <v/>
      </c>
      <c r="AI44" s="33"/>
      <c r="AJ44" s="36" t="str">
        <f>IF((ISERROR((AI44/$H44)*100)), "", IF(AND(NOT(ISERROR((AI44/$H44)*100)),((AI44/$H44)*100) &lt;&gt; 0), (AI44/$H44)*100, ""))</f>
        <v/>
      </c>
      <c r="AK44" s="33"/>
      <c r="AL44" s="36" t="str">
        <f>IF((ISERROR((AK44/$H44)*100)), "", IF(AND(NOT(ISERROR((AK44/$H44)*100)),((AK44/$H44)*100) &lt;&gt; 0), (AK44/$H44)*100, ""))</f>
        <v/>
      </c>
      <c r="AM44" s="33"/>
      <c r="AN44" s="36" t="str">
        <f>IF((ISERROR((AM44/$H44)*100)), "", IF(AND(NOT(ISERROR((AM44/$H44)*100)),((AM44/$H44)*100) &lt;&gt; 0), (AM44/$H44)*100, ""))</f>
        <v/>
      </c>
      <c r="AO44" s="33"/>
      <c r="AP44" s="36" t="str">
        <f>IF((ISERROR((AO44/$H44)*100)), "", IF(AND(NOT(ISERROR((AO44/$H44)*100)),((AO44/$H44)*100) &lt;&gt; 0), (AO44/$H44)*100, ""))</f>
        <v/>
      </c>
      <c r="AQ44" s="33"/>
      <c r="AR44" s="36" t="str">
        <f>IF((ISERROR((AQ44/$H44)*100)), "", IF(AND(NOT(ISERROR((AQ44/$H44)*100)),((AQ44/$H44)*100) &lt;&gt; 0), (AQ44/$H44)*100, ""))</f>
        <v/>
      </c>
      <c r="AS44" s="33"/>
      <c r="AT44" s="36" t="str">
        <f t="shared" si="68"/>
        <v/>
      </c>
      <c r="AU44" s="33"/>
      <c r="AV44" s="36" t="str">
        <f t="shared" si="69"/>
        <v/>
      </c>
      <c r="AW44" s="33"/>
      <c r="AX44" s="36" t="str">
        <f t="shared" si="70"/>
        <v/>
      </c>
      <c r="AY44" s="33"/>
      <c r="AZ44" s="36" t="str">
        <f t="shared" si="71"/>
        <v/>
      </c>
      <c r="BA44" s="23" t="s">
        <v>374</v>
      </c>
    </row>
    <row r="45" spans="1:53" ht="20" customHeight="1" thickBot="1" x14ac:dyDescent="0.25">
      <c r="A45" s="60"/>
      <c r="B45" s="82"/>
      <c r="C45" s="81" t="s">
        <v>381</v>
      </c>
      <c r="D45" s="49" t="s">
        <v>139</v>
      </c>
      <c r="E45" s="49" t="s">
        <v>140</v>
      </c>
      <c r="F45" s="50">
        <v>2005</v>
      </c>
      <c r="G45" s="50">
        <v>21</v>
      </c>
      <c r="H45" s="90"/>
      <c r="I45" s="87" t="s">
        <v>226</v>
      </c>
      <c r="J45" s="88"/>
      <c r="K45" s="33"/>
      <c r="L45" s="36" t="str">
        <f>IF((ISERROR((K45/$H45)*100)), "", IF(AND(NOT(ISERROR((K45/$H45)*100)),((K45/$H45)*100) &lt;&gt; 0), (K45/$H45)*100, ""))</f>
        <v/>
      </c>
      <c r="M45" s="38">
        <v>5</v>
      </c>
      <c r="N45" s="39" t="str">
        <f>IF((ISERROR((M45/$H45)*100)), "", IF(AND(NOT(ISERROR((M45/$H45)*100)),((M45/$H45)*100) &lt;&gt; 0), (M45/$H45)*100, ""))</f>
        <v/>
      </c>
      <c r="O45" s="33"/>
      <c r="P45" s="36" t="str">
        <f>IF((ISERROR((O45/$H45)*100)), "", IF(AND(NOT(ISERROR((O45/$H45)*100)),((O45/$H45)*100) &lt;&gt; 0), (O45/$H45)*100, ""))</f>
        <v/>
      </c>
      <c r="Q45" s="33"/>
      <c r="R45" s="36" t="str">
        <f>IF((ISERROR((Q45/$H45)*100)), "", IF(AND(NOT(ISERROR((Q45/$H45)*100)),((Q45/$H45)*100) &lt;&gt; 0), (Q45/$H45)*100, ""))</f>
        <v/>
      </c>
      <c r="S45" s="33"/>
      <c r="T45" s="36" t="str">
        <f>IF((ISERROR((S45/$H45)*100)), "", IF(AND(NOT(ISERROR((S45/$H45)*100)),((S45/$H45)*100) &lt;&gt; 0), (S45/$H45)*100, ""))</f>
        <v/>
      </c>
      <c r="U45" s="33"/>
      <c r="V45" s="36" t="str">
        <f>IF((ISERROR((U45/$H45)*100)), "", IF(AND(NOT(ISERROR((U45/$H45)*100)),((U45/$H45)*100) &lt;&gt; 0), (U45/$H45)*100, ""))</f>
        <v/>
      </c>
      <c r="W45" s="40">
        <v>16</v>
      </c>
      <c r="X45" s="39" t="str">
        <f t="shared" ref="X45" si="72">IF((ISERROR((W45/$H45)*100)), "", IF(AND(NOT(ISERROR((W45/$H45)*100)),((W45/$H45)*100) &lt;&gt; 0), (W45/$H45)*100, ""))</f>
        <v/>
      </c>
      <c r="Y45" s="33"/>
      <c r="Z45" s="36" t="str">
        <f t="shared" ref="Z45" si="73">IF((ISERROR((Y45/$H45)*100)), "", IF(AND(NOT(ISERROR((Y45/$H45)*100)),((Y45/$H45)*100) &lt;&gt; 0), (Y45/$H45)*100, ""))</f>
        <v/>
      </c>
      <c r="AA45" s="33"/>
      <c r="AB45" s="36" t="str">
        <f>IF((ISERROR((AA45/$H45)*100)), "", IF(AND(NOT(ISERROR((AA45/$H45)*100)),((AA45/$H45)*100) &lt;&gt; 0), (AA45/$H45)*100, ""))</f>
        <v/>
      </c>
      <c r="AC45" s="33"/>
      <c r="AD45" s="36" t="str">
        <f t="shared" ref="AD45" si="74">IF((ISERROR((AC45/$H45)*100)), "", IF(AND(NOT(ISERROR((AC45/$H45)*100)),((AC45/$H45)*100) &lt;&gt; 0), (AC45/$H45)*100, ""))</f>
        <v/>
      </c>
      <c r="AE45" s="76"/>
      <c r="AF45" s="36" t="str">
        <f>IF((ISERROR((AE45/$H45)*100)), "", IF(AND(NOT(ISERROR((AE45/$H45)*100)),((AE45/$H45)*100) &lt;&gt; 0), (AE45/$H45)*100, ""))</f>
        <v/>
      </c>
      <c r="AG45" s="33"/>
      <c r="AH45" s="36" t="str">
        <f>IF((ISERROR((AG45/$H45)*100)), "", IF(AND(NOT(ISERROR((AG45/$H45)*100)),((AG45/$H45)*100) &lt;&gt; 0), (AG45/$H45)*100, ""))</f>
        <v/>
      </c>
      <c r="AI45" s="33"/>
      <c r="AJ45" s="36" t="str">
        <f>IF((ISERROR((AI45/$H45)*100)), "", IF(AND(NOT(ISERROR((AI45/$H45)*100)),((AI45/$H45)*100) &lt;&gt; 0), (AI45/$H45)*100, ""))</f>
        <v/>
      </c>
      <c r="AK45" s="33"/>
      <c r="AL45" s="36" t="str">
        <f>IF((ISERROR((AK45/$H45)*100)), "", IF(AND(NOT(ISERROR((AK45/$H45)*100)),((AK45/$H45)*100) &lt;&gt; 0), (AK45/$H45)*100, ""))</f>
        <v/>
      </c>
      <c r="AM45" s="33"/>
      <c r="AN45" s="36" t="str">
        <f>IF((ISERROR((AM45/$H45)*100)), "", IF(AND(NOT(ISERROR((AM45/$H45)*100)),((AM45/$H45)*100) &lt;&gt; 0), (AM45/$H45)*100, ""))</f>
        <v/>
      </c>
      <c r="AO45" s="33"/>
      <c r="AP45" s="36" t="str">
        <f>IF((ISERROR((AO45/$H45)*100)), "", IF(AND(NOT(ISERROR((AO45/$H45)*100)),((AO45/$H45)*100) &lt;&gt; 0), (AO45/$H45)*100, ""))</f>
        <v/>
      </c>
      <c r="AQ45" s="33"/>
      <c r="AR45" s="36" t="str">
        <f t="shared" ref="AR45" si="75">IF((ISERROR((AQ45/$H45)*100)), "", IF(AND(NOT(ISERROR((AQ45/$H45)*100)),((AQ45/$H45)*100) &lt;&gt; 0), (AQ45/$H45)*100, ""))</f>
        <v/>
      </c>
      <c r="AS45" s="33"/>
      <c r="AT45" s="36" t="str">
        <f t="shared" ref="AT45" si="76">IF((ISERROR((AS45/$H45)*100)), "", IF(AND(NOT(ISERROR((AS45/$H45)*100)),((AS45/$H45)*100) &lt;&gt; 0), (AS45/$H45)*100, ""))</f>
        <v/>
      </c>
      <c r="AU45" s="33"/>
      <c r="AV45" s="36" t="str">
        <f t="shared" ref="AV45" si="77">IF((ISERROR((AU45/$H45)*100)), "", IF(AND(NOT(ISERROR((AU45/$H45)*100)),((AU45/$H45)*100) &lt;&gt; 0), (AU45/$H45)*100, ""))</f>
        <v/>
      </c>
      <c r="AW45" s="38">
        <v>5</v>
      </c>
      <c r="AX45" s="39" t="str">
        <f t="shared" ref="AX45" si="78">IF((ISERROR((AW45/$H45)*100)), "", IF(AND(NOT(ISERROR((AW45/$H45)*100)),((AW45/$H45)*100) &lt;&gt; 0), (AW45/$H45)*100, ""))</f>
        <v/>
      </c>
      <c r="AY45" s="33"/>
      <c r="AZ45" s="36" t="str">
        <f t="shared" ref="AZ45" si="79">IF((ISERROR((AY45/$H45)*100)), "", IF(AND(NOT(ISERROR((AY45/$H45)*100)),((AY45/$H45)*100) &lt;&gt; 0), (AY45/$H45)*100, ""))</f>
        <v/>
      </c>
      <c r="BA45" s="23" t="s">
        <v>227</v>
      </c>
    </row>
    <row r="47" spans="1:53" ht="17" thickBot="1" x14ac:dyDescent="0.25"/>
    <row r="48" spans="1:53" s="22" customFormat="1" x14ac:dyDescent="0.2">
      <c r="C48" s="41"/>
      <c r="F48" s="24"/>
      <c r="G48" s="43" t="s">
        <v>243</v>
      </c>
      <c r="H48" s="44">
        <f>SUM(H11:H45)</f>
        <v>1904</v>
      </c>
      <c r="I48" s="45" t="s">
        <v>452</v>
      </c>
      <c r="J48" s="46" t="s">
        <v>458</v>
      </c>
      <c r="K48" s="51">
        <f>IF((SUM(K11:K45)&lt;&gt;0), SUMIF($H11:$H45, "&gt;0", K11:K45), "")</f>
        <v>28</v>
      </c>
      <c r="L48" s="52">
        <f>IF(ISERROR((K48/$H48)*100), "", IF(((K48/$H48)*100) &lt;&gt; 0, (K48/$H48)*100, ""))</f>
        <v>1.4705882352941175</v>
      </c>
      <c r="M48" s="51">
        <f>IF((SUM(M11:M45)&lt;&gt;0), SUMIF($H11:$H45, "&gt;0", M11:M45), "")</f>
        <v>7</v>
      </c>
      <c r="N48" s="52">
        <f>IF(ISERROR((M48/$H48)*100), "", IF(((M48/$H48)*100) &lt;&gt; 0, (M48/$H48)*100, ""))</f>
        <v>0.36764705882352938</v>
      </c>
      <c r="O48" s="51">
        <f>IF((SUM(O11:O45)&lt;&gt;0), SUMIF($H11:$H45, "&gt;0", O11:O45), "")</f>
        <v>6</v>
      </c>
      <c r="P48" s="52">
        <f>IF(ISERROR((O48/$H48)*100), "", IF(((O48/$H48)*100) &lt;&gt; 0, (O48/$H48)*100, ""))</f>
        <v>0.31512605042016806</v>
      </c>
      <c r="Q48" s="51">
        <f>IF((SUM(Q11:Q45)&lt;&gt;0), SUMIF($H11:$H45, "&gt;0", Q11:Q45), "")</f>
        <v>2</v>
      </c>
      <c r="R48" s="52">
        <f>IF(ISERROR((Q48/$H48)*100), "", IF(((Q48/$H48)*100) &lt;&gt; 0, (Q48/$H48)*100, ""))</f>
        <v>0.10504201680672269</v>
      </c>
      <c r="S48" s="51">
        <f>IF((SUM(S11:S45)&lt;&gt;0), SUMIF($H11:$H45, "&gt;0", S11:S45), "")</f>
        <v>58</v>
      </c>
      <c r="T48" s="52">
        <f>IF(ISERROR((S48/$H48)*100), "", IF(((S48/$H48)*100) &lt;&gt; 0, (S48/$H48)*100, ""))</f>
        <v>3.0462184873949578</v>
      </c>
      <c r="U48" s="51">
        <f>IF((SUM(U11:U45)&lt;&gt;0), SUMIF($H11:$H45, "&gt;0", U11:U45), "")</f>
        <v>35</v>
      </c>
      <c r="V48" s="52">
        <f>IF(ISERROR((U48/$H48)*100), "", IF(((U48/$H48)*100) &lt;&gt; 0, (U48/$H48)*100, ""))</f>
        <v>1.8382352941176472</v>
      </c>
      <c r="W48" s="51">
        <f>IF((SUM(W11:W45)&lt;&gt;0), SUMIF($H11:$H45, "&gt;0", W11:W45), "")</f>
        <v>95</v>
      </c>
      <c r="X48" s="52">
        <f>IF(ISERROR((W48/$H48)*100), "", IF(((W48/$H48)*100) &lt;&gt; 0, (W48/$H48)*100, ""))</f>
        <v>4.9894957983193278</v>
      </c>
      <c r="Y48" s="51">
        <f>IF((SUM(Y11:Y45)&lt;&gt;0), SUMIF($H11:$H45, "&gt;0", Y11:Y45), "")</f>
        <v>1</v>
      </c>
      <c r="Z48" s="52">
        <f>IF(ISERROR((Y48/$H48)*100), "", IF(((Y48/$H48)*100) &lt;&gt; 0, (Y48/$H48)*100, ""))</f>
        <v>5.2521008403361345E-2</v>
      </c>
      <c r="AA48" s="51">
        <f>IF((SUM(AA11:AA45)&lt;&gt;0), SUMIF($H11:$H45, "&gt;0", AA11:AA45), "")</f>
        <v>6</v>
      </c>
      <c r="AB48" s="52">
        <f>IF(ISERROR((AA48/$H48)*100), "", IF(((AA48/$H48)*100) &lt;&gt; 0, (AA48/$H48)*100, ""))</f>
        <v>0.31512605042016806</v>
      </c>
      <c r="AC48" s="51">
        <f>IF((SUM(AC11:AC45)&lt;&gt;0), SUMIF($H11:$H45, "&gt;0", AC11:AC45), "")</f>
        <v>1</v>
      </c>
      <c r="AD48" s="52">
        <f>IF(ISERROR((AC48/$H48)*100), "", IF(((AC48/$H48)*100) &lt;&gt; 0, (AC48/$H48)*100, ""))</f>
        <v>5.2521008403361345E-2</v>
      </c>
      <c r="AE48" s="51">
        <f>IF((SUM(AE11:AE45)&lt;&gt;0), SUMIF($H11:$H45, "&gt;0", AE11:AE45), "")</f>
        <v>90</v>
      </c>
      <c r="AF48" s="52">
        <f>IF(ISERROR((AE48/$H48)*100), "", IF(((AE48/$H48)*100) &lt;&gt; 0, (AE48/$H48)*100, ""))</f>
        <v>4.7268907563025211</v>
      </c>
      <c r="AG48" s="51">
        <f>IF((SUM(AG11:AG45)&lt;&gt;0), SUMIF($H11:$H45, "&gt;0", AG11:AG45), "")</f>
        <v>57</v>
      </c>
      <c r="AH48" s="52">
        <f>IF(ISERROR((AG48/$H48)*100), "", IF(((AG48/$H48)*100) &lt;&gt; 0, (AG48/$H48)*100, ""))</f>
        <v>2.9936974789915967</v>
      </c>
      <c r="AI48" s="51">
        <f>IF((SUM(AI11:AI45)&lt;&gt;0), SUMIF($H11:$H45, "&gt;0", AI11:AI45), "")</f>
        <v>2</v>
      </c>
      <c r="AJ48" s="52">
        <f>IF(ISERROR((AI48/$H48)*100), "", IF(((AI48/$H48)*100) &lt;&gt; 0, (AI48/$H48)*100, ""))</f>
        <v>0.10504201680672269</v>
      </c>
      <c r="AK48" s="51">
        <f>IF((SUM(AK11:AK45)&lt;&gt;0), SUMIF($H11:$H45, "&gt;0", AK11:AK45), "")</f>
        <v>7</v>
      </c>
      <c r="AL48" s="52">
        <f>IF(ISERROR((AK48/$H48)*100), "", IF(((AK48/$H48)*100) &lt;&gt; 0, (AK48/$H48)*100, ""))</f>
        <v>0.36764705882352938</v>
      </c>
      <c r="AM48" s="51">
        <f>IF((SUM(AM11:AM45)&lt;&gt;0), SUMIF($H11:$H45, "&gt;0", AM11:AM45), "")</f>
        <v>6</v>
      </c>
      <c r="AN48" s="52">
        <f>IF(ISERROR((AM48/$H48)*100), "", IF(((AM48/$H48)*100) &lt;&gt; 0, (AM48/$H48)*100, ""))</f>
        <v>0.31512605042016806</v>
      </c>
      <c r="AO48" s="51">
        <f>IF((SUM(AO11:AO45)&lt;&gt;0), SUMIF($H11:$H45, "&gt;0", AO11:AO45), "")</f>
        <v>34</v>
      </c>
      <c r="AP48" s="52">
        <f>IF(ISERROR((AO48/$H48)*100), "", IF(((AO48/$H48)*100) &lt;&gt; 0, (AO48/$H48)*100, ""))</f>
        <v>1.7857142857142856</v>
      </c>
      <c r="AQ48" s="51">
        <f>IF((SUM(AQ11:AQ45)&lt;&gt;0), SUMIF($H11:$H45, "&gt;0", AQ11:AQ45), "")</f>
        <v>3</v>
      </c>
      <c r="AR48" s="52">
        <f>IF(ISERROR((AQ48/$H48)*100), "", IF(((AQ48/$H48)*100) &lt;&gt; 0, (AQ48/$H48)*100, ""))</f>
        <v>0.15756302521008403</v>
      </c>
      <c r="AS48" s="51">
        <f>IF((SUM(AS11:AS45)&lt;&gt;0), SUMIF($H11:$H45, "&gt;0", AS11:AS45), "")</f>
        <v>11</v>
      </c>
      <c r="AT48" s="52">
        <f>IF(ISERROR((AS48/$H48)*100), "", IF(((AS48/$H48)*100) &lt;&gt; 0, (AS48/$H48)*100, ""))</f>
        <v>0.57773109243697485</v>
      </c>
      <c r="AU48" s="51">
        <f>IF((SUM(AU11:AU45)&lt;&gt;0), SUMIF($H11:$H45, "&gt;0", AU11:AU45), "")</f>
        <v>1</v>
      </c>
      <c r="AV48" s="52">
        <f>IF(ISERROR((AU48/$H48)*100), "", IF(((AU48/$H48)*100) &lt;&gt; 0, (AU48/$H48)*100, ""))</f>
        <v>5.2521008403361345E-2</v>
      </c>
      <c r="AW48" s="51">
        <f>IF((SUM(AW11:AW45)&lt;&gt;0), SUMIF($H11:$H45, "&gt;0", AW11:AW45), "")</f>
        <v>1</v>
      </c>
      <c r="AX48" s="52">
        <f>IF(ISERROR((AW48/$H48)*100), "", IF(((AW48/$H48)*100) &lt;&gt; 0, (AW48/$H48)*100, ""))</f>
        <v>5.2521008403361345E-2</v>
      </c>
      <c r="AY48" s="51" t="str">
        <f>IF((SUM(AY11:AY45)&lt;&gt;0), SUMIF($H11:$H45, "&gt;0", AY11:AY45), "")</f>
        <v/>
      </c>
      <c r="AZ48" s="52" t="str">
        <f>IF(ISERROR((AY48/$H48)*100), "", IF(((AY48/$H48)*100) &lt;&gt; 0, (AY48/$H48)*100, ""))</f>
        <v/>
      </c>
    </row>
    <row r="49" spans="3:52" s="22" customFormat="1" ht="18" customHeight="1" x14ac:dyDescent="0.2">
      <c r="C49" s="41"/>
      <c r="F49" s="24"/>
      <c r="G49" s="43" t="s">
        <v>244</v>
      </c>
      <c r="H49" s="42" t="s">
        <v>242</v>
      </c>
      <c r="I49" s="47" t="s">
        <v>459</v>
      </c>
      <c r="J49" s="48" t="s">
        <v>460</v>
      </c>
      <c r="K49" s="53">
        <f>IF(SUMIF(K11:K45, "&gt; 0", $H11:$H45) &gt; 0, SUMIF(K11:K45, "&gt; 0", $H11:$H45), "")</f>
        <v>156</v>
      </c>
      <c r="L49" s="54">
        <f>(K48/K49)*100</f>
        <v>17.948717948717949</v>
      </c>
      <c r="M49" s="53">
        <f>IF(SUMIF(M11:M45, "&gt; 0", $H11:$H45) &gt; 0, SUMIF(M11:M45, "&gt; 0", $H11:$H45), "")</f>
        <v>19</v>
      </c>
      <c r="N49" s="54">
        <f>(M48/M49)*100</f>
        <v>36.84210526315789</v>
      </c>
      <c r="O49" s="53">
        <f>IF(SUMIF(O11:O45, "&gt; 0", $H11:$H45) &gt; 0, SUMIF(O11:O45, "&gt; 0", $H11:$H45), "")</f>
        <v>17</v>
      </c>
      <c r="P49" s="54">
        <f>(O48/O49)*100</f>
        <v>35.294117647058826</v>
      </c>
      <c r="Q49" s="53">
        <f>IF(SUMIF(Q11:Q45, "&gt; 0", $H11:$H45) &gt; 0, SUMIF(Q11:Q45, "&gt; 0", $H11:$H45), "")</f>
        <v>8</v>
      </c>
      <c r="R49" s="54">
        <f>(Q48/Q49)*100</f>
        <v>25</v>
      </c>
      <c r="S49" s="53">
        <f>IF(SUMIF(S11:S45, "&gt; 0", $H11:$H45) &gt; 0, SUMIF(S11:S45, "&gt; 0", $H11:$H45), "")</f>
        <v>331</v>
      </c>
      <c r="T49" s="54">
        <f>(S48/S49)*100</f>
        <v>17.522658610271904</v>
      </c>
      <c r="U49" s="53">
        <f>IF(SUMIF(U11:U45, "&gt; 0", $H11:$H45) &gt; 0, SUMIF(U11:U45, "&gt; 0", $H11:$H45), "")</f>
        <v>250</v>
      </c>
      <c r="V49" s="54">
        <f>(U48/U49)*100</f>
        <v>14.000000000000002</v>
      </c>
      <c r="W49" s="53">
        <f>IF(SUMIF(W11:W45, "&gt; 0", $H11:$H45) &gt; 0, SUMIF(W11:W45, "&gt; 0", $H11:$H45), "")</f>
        <v>522</v>
      </c>
      <c r="X49" s="54">
        <f>(W48/W49)*100</f>
        <v>18.199233716475096</v>
      </c>
      <c r="Y49" s="53">
        <f>IF(SUMIF(Y11:Y45, "&gt; 0", $H11:$H45) &gt; 0, SUMIF(Y11:Y45, "&gt; 0", $H11:$H45), "")</f>
        <v>8</v>
      </c>
      <c r="Z49" s="54">
        <f>(Y48/Y49)*100</f>
        <v>12.5</v>
      </c>
      <c r="AA49" s="53">
        <f>IF(SUMIF(AA11:AA45, "&gt; 0", $H11:$H45) &gt; 0, SUMIF(AA11:AA45, "&gt; 0", $H11:$H45), "")</f>
        <v>37</v>
      </c>
      <c r="AB49" s="54">
        <f>(AA48/AA49)*100</f>
        <v>16.216216216216218</v>
      </c>
      <c r="AC49" s="53">
        <f>IF(SUMIF(AC11:AC45, "&gt; 0", $H11:$H45) &gt; 0, SUMIF(AC11:AC45, "&gt; 0", $H11:$H45), "")</f>
        <v>8</v>
      </c>
      <c r="AD49" s="54">
        <f>(AC48/AC49)*100</f>
        <v>12.5</v>
      </c>
      <c r="AE49" s="53">
        <f>IF(SUMIF(AE11:AE45, "&gt; 0", $H11:$H45) &gt; 0, SUMIF(AE11:AE45, "&gt; 0", $H11:$H45), "")</f>
        <v>941</v>
      </c>
      <c r="AF49" s="54">
        <f>IF(ISERROR((AE48/AE49)*100),"",IF((AE48/AE49)*100&lt;&gt;0,(AE48/AE49)*100,""))</f>
        <v>9.5642933049946866</v>
      </c>
      <c r="AG49" s="53">
        <f>IF(SUMIF(AG11:AG45, "&gt; 0", $H11:$H45) &gt; 0, SUMIF(AG11:AG45, "&gt; 0", $H11:$H45), "")</f>
        <v>714</v>
      </c>
      <c r="AH49" s="54">
        <f>(AG48/AG49)*100</f>
        <v>7.9831932773109235</v>
      </c>
      <c r="AI49" s="53">
        <f>IF(SUMIF(AI11:AI45, "&gt; 0", $H11:$H45) &gt; 0, SUMIF(AI11:AI45, "&gt; 0", $H11:$H45), "")</f>
        <v>27</v>
      </c>
      <c r="AJ49" s="54">
        <f>(AI48/AI49)*100</f>
        <v>7.4074074074074066</v>
      </c>
      <c r="AK49" s="53">
        <f>IF(SUMIF(AK11:AK45, "&gt; 0", $H11:$H45) &gt; 0, SUMIF(AK11:AK45, "&gt; 0", $H11:$H45), "")</f>
        <v>155</v>
      </c>
      <c r="AL49" s="54">
        <f>(AK48/AK49)*100</f>
        <v>4.5161290322580641</v>
      </c>
      <c r="AM49" s="53">
        <f>IF(SUMIF(AM11:AM45, "&gt; 0", $H11:$H45) &gt; 0, SUMIF(AM11:AM45, "&gt; 0", $H11:$H45), "")</f>
        <v>97</v>
      </c>
      <c r="AN49" s="54">
        <f>(AM48/AM49)*100</f>
        <v>6.1855670103092786</v>
      </c>
      <c r="AO49" s="53">
        <f>IF(SUMIF(AO11:AO45, "&gt; 0", $H11:$H45) &gt; 0, SUMIF(AO11:AO45, "&gt; 0", $H11:$H45), "")</f>
        <v>625</v>
      </c>
      <c r="AP49" s="54">
        <f>(AO48/AO49)*100</f>
        <v>5.4399999999999995</v>
      </c>
      <c r="AQ49" s="53">
        <f>IF(SUMIF(AQ11:AQ45, "&gt; 0", $H11:$H45) &gt; 0, SUMIF(AQ11:AQ45, "&gt; 0", $H11:$H45), "")</f>
        <v>61</v>
      </c>
      <c r="AR49" s="54">
        <f>(AQ48/AQ49)*100</f>
        <v>4.918032786885246</v>
      </c>
      <c r="AS49" s="53">
        <f>IF(SUMIF(AS11:AS45, "&gt; 0", $H11:$H45) &gt; 0, SUMIF(AS11:AS45, "&gt; 0", $H11:$H45), "")</f>
        <v>307</v>
      </c>
      <c r="AT49" s="54">
        <f>(AS48/AS49)*100</f>
        <v>3.5830618892508146</v>
      </c>
      <c r="AU49" s="53">
        <f>IF(SUMIF(AU11:AU45, "&gt; 0", $H11:$H45) &gt; 0, SUMIF(AU11:AU45, "&gt; 0", $H11:$H45), "")</f>
        <v>97</v>
      </c>
      <c r="AV49" s="54">
        <f>(AU48/AU49)*100</f>
        <v>1.0309278350515463</v>
      </c>
      <c r="AW49" s="53">
        <f>IF(SUMIF(AW11:AW45, "&gt; 0", $H11:$H45) &gt; 0, SUMIF(AW11:AW45, "&gt; 0", $H11:$H45), "")</f>
        <v>97</v>
      </c>
      <c r="AX49" s="54">
        <f>(AW48/AW49)*100</f>
        <v>1.0309278350515463</v>
      </c>
      <c r="AY49" s="53" t="str">
        <f>IF(SUMIF(AY11:AY45, "&gt; 0", $H11:$H45) &gt; 0, SUMIF(AY11:AY45, "&gt; 0", $H11:$H45), "")</f>
        <v/>
      </c>
      <c r="AZ49" s="54"/>
    </row>
    <row r="50" spans="3:52" ht="18" customHeight="1" thickBot="1" x14ac:dyDescent="0.25">
      <c r="H50" s="372" t="s">
        <v>453</v>
      </c>
      <c r="I50" s="375"/>
      <c r="J50" s="376"/>
      <c r="K50" s="351" t="s">
        <v>240</v>
      </c>
      <c r="L50" s="353" t="s">
        <v>241</v>
      </c>
      <c r="M50" s="351" t="s">
        <v>240</v>
      </c>
      <c r="N50" s="353" t="s">
        <v>241</v>
      </c>
      <c r="O50" s="351" t="s">
        <v>240</v>
      </c>
      <c r="P50" s="353" t="s">
        <v>241</v>
      </c>
      <c r="Q50" s="351" t="s">
        <v>240</v>
      </c>
      <c r="R50" s="353" t="s">
        <v>241</v>
      </c>
      <c r="S50" s="351" t="s">
        <v>240</v>
      </c>
      <c r="T50" s="353" t="s">
        <v>241</v>
      </c>
      <c r="U50" s="351" t="s">
        <v>240</v>
      </c>
      <c r="V50" s="353" t="s">
        <v>241</v>
      </c>
      <c r="W50" s="351" t="s">
        <v>240</v>
      </c>
      <c r="X50" s="353" t="s">
        <v>241</v>
      </c>
      <c r="Y50" s="351" t="s">
        <v>240</v>
      </c>
      <c r="Z50" s="353" t="s">
        <v>241</v>
      </c>
      <c r="AA50" s="351" t="s">
        <v>240</v>
      </c>
      <c r="AB50" s="353" t="s">
        <v>241</v>
      </c>
      <c r="AC50" s="351" t="s">
        <v>240</v>
      </c>
      <c r="AD50" s="353" t="s">
        <v>241</v>
      </c>
      <c r="AE50" s="351" t="s">
        <v>240</v>
      </c>
      <c r="AF50" s="353" t="s">
        <v>241</v>
      </c>
      <c r="AG50" s="355" t="s">
        <v>240</v>
      </c>
      <c r="AH50" s="354" t="s">
        <v>241</v>
      </c>
      <c r="AI50" s="351" t="s">
        <v>240</v>
      </c>
      <c r="AJ50" s="353" t="s">
        <v>241</v>
      </c>
      <c r="AK50" s="351" t="s">
        <v>240</v>
      </c>
      <c r="AL50" s="353" t="s">
        <v>241</v>
      </c>
      <c r="AM50" s="351" t="s">
        <v>240</v>
      </c>
      <c r="AN50" s="353" t="s">
        <v>241</v>
      </c>
      <c r="AO50" s="351" t="s">
        <v>240</v>
      </c>
      <c r="AP50" s="353" t="s">
        <v>241</v>
      </c>
      <c r="AQ50" s="351" t="s">
        <v>240</v>
      </c>
      <c r="AR50" s="353" t="s">
        <v>241</v>
      </c>
      <c r="AS50" s="351" t="s">
        <v>240</v>
      </c>
      <c r="AT50" s="353" t="s">
        <v>241</v>
      </c>
      <c r="AU50" s="351" t="s">
        <v>240</v>
      </c>
      <c r="AV50" s="353" t="s">
        <v>241</v>
      </c>
      <c r="AW50" s="351" t="s">
        <v>240</v>
      </c>
      <c r="AX50" s="353" t="s">
        <v>241</v>
      </c>
      <c r="AY50" s="351" t="s">
        <v>240</v>
      </c>
      <c r="AZ50" s="353" t="s">
        <v>241</v>
      </c>
    </row>
    <row r="51" spans="3:52" ht="18" customHeight="1" x14ac:dyDescent="0.2">
      <c r="E51" s="55" t="s">
        <v>246</v>
      </c>
      <c r="F51" s="58">
        <v>1</v>
      </c>
      <c r="H51" s="373"/>
      <c r="I51" s="377"/>
      <c r="J51" s="378"/>
      <c r="K51" s="351"/>
      <c r="L51" s="354"/>
      <c r="M51" s="351"/>
      <c r="N51" s="354"/>
      <c r="O51" s="351"/>
      <c r="P51" s="354"/>
      <c r="Q51" s="351"/>
      <c r="R51" s="354"/>
      <c r="S51" s="351"/>
      <c r="T51" s="354"/>
      <c r="U51" s="351"/>
      <c r="V51" s="354"/>
      <c r="W51" s="351"/>
      <c r="X51" s="354"/>
      <c r="Y51" s="351"/>
      <c r="Z51" s="354"/>
      <c r="AA51" s="351"/>
      <c r="AB51" s="354"/>
      <c r="AC51" s="351"/>
      <c r="AD51" s="354"/>
      <c r="AE51" s="351"/>
      <c r="AF51" s="354"/>
      <c r="AG51" s="351"/>
      <c r="AH51" s="354"/>
      <c r="AI51" s="351"/>
      <c r="AJ51" s="354"/>
      <c r="AK51" s="351"/>
      <c r="AL51" s="354"/>
      <c r="AM51" s="351"/>
      <c r="AN51" s="354"/>
      <c r="AO51" s="351"/>
      <c r="AP51" s="354"/>
      <c r="AQ51" s="351"/>
      <c r="AR51" s="354"/>
      <c r="AS51" s="351"/>
      <c r="AT51" s="354"/>
      <c r="AU51" s="351"/>
      <c r="AV51" s="354"/>
      <c r="AW51" s="351"/>
      <c r="AX51" s="354"/>
      <c r="AY51" s="351"/>
      <c r="AZ51" s="354"/>
    </row>
    <row r="52" spans="3:52" ht="18" customHeight="1" x14ac:dyDescent="0.2">
      <c r="E52" s="56"/>
      <c r="F52" s="57"/>
      <c r="H52" s="373"/>
      <c r="I52" s="377"/>
      <c r="J52" s="378"/>
      <c r="K52" s="351"/>
      <c r="L52" s="354"/>
      <c r="M52" s="351"/>
      <c r="N52" s="354"/>
      <c r="O52" s="351"/>
      <c r="P52" s="354"/>
      <c r="Q52" s="351"/>
      <c r="R52" s="354"/>
      <c r="S52" s="351"/>
      <c r="T52" s="354"/>
      <c r="U52" s="351"/>
      <c r="V52" s="354"/>
      <c r="W52" s="351"/>
      <c r="X52" s="354"/>
      <c r="Y52" s="351"/>
      <c r="Z52" s="354"/>
      <c r="AA52" s="351"/>
      <c r="AB52" s="354"/>
      <c r="AC52" s="351"/>
      <c r="AD52" s="354"/>
      <c r="AE52" s="351"/>
      <c r="AF52" s="354"/>
      <c r="AG52" s="351"/>
      <c r="AH52" s="354"/>
      <c r="AI52" s="351"/>
      <c r="AJ52" s="354"/>
      <c r="AK52" s="351"/>
      <c r="AL52" s="354"/>
      <c r="AM52" s="351"/>
      <c r="AN52" s="354"/>
      <c r="AO52" s="351"/>
      <c r="AP52" s="354"/>
      <c r="AQ52" s="351"/>
      <c r="AR52" s="354"/>
      <c r="AS52" s="351"/>
      <c r="AT52" s="354"/>
      <c r="AU52" s="351"/>
      <c r="AV52" s="354"/>
      <c r="AW52" s="351"/>
      <c r="AX52" s="354"/>
      <c r="AY52" s="351"/>
      <c r="AZ52" s="354"/>
    </row>
    <row r="53" spans="3:52" ht="18" customHeight="1" x14ac:dyDescent="0.2">
      <c r="E53" s="386" t="s">
        <v>247</v>
      </c>
      <c r="F53" s="387"/>
      <c r="H53" s="373"/>
      <c r="I53" s="377"/>
      <c r="J53" s="378"/>
      <c r="K53" s="351"/>
      <c r="L53" s="354"/>
      <c r="M53" s="351"/>
      <c r="N53" s="354"/>
      <c r="O53" s="351"/>
      <c r="P53" s="354"/>
      <c r="Q53" s="351"/>
      <c r="R53" s="354"/>
      <c r="S53" s="351"/>
      <c r="T53" s="354"/>
      <c r="U53" s="351"/>
      <c r="V53" s="354"/>
      <c r="W53" s="351"/>
      <c r="X53" s="354"/>
      <c r="Y53" s="351"/>
      <c r="Z53" s="354"/>
      <c r="AA53" s="351"/>
      <c r="AB53" s="354"/>
      <c r="AC53" s="351"/>
      <c r="AD53" s="354"/>
      <c r="AE53" s="351"/>
      <c r="AF53" s="354"/>
      <c r="AG53" s="351"/>
      <c r="AH53" s="354"/>
      <c r="AI53" s="351"/>
      <c r="AJ53" s="354"/>
      <c r="AK53" s="351"/>
      <c r="AL53" s="354"/>
      <c r="AM53" s="351"/>
      <c r="AN53" s="354"/>
      <c r="AO53" s="351"/>
      <c r="AP53" s="354"/>
      <c r="AQ53" s="351"/>
      <c r="AR53" s="354"/>
      <c r="AS53" s="351"/>
      <c r="AT53" s="354"/>
      <c r="AU53" s="351"/>
      <c r="AV53" s="354"/>
      <c r="AW53" s="351"/>
      <c r="AX53" s="354"/>
      <c r="AY53" s="351"/>
      <c r="AZ53" s="354"/>
    </row>
    <row r="54" spans="3:52" ht="18" customHeight="1" x14ac:dyDescent="0.2">
      <c r="E54" s="386"/>
      <c r="F54" s="387"/>
      <c r="H54" s="373"/>
      <c r="I54" s="377"/>
      <c r="J54" s="378"/>
      <c r="K54" s="352"/>
      <c r="L54" s="354"/>
      <c r="M54" s="352"/>
      <c r="N54" s="354"/>
      <c r="O54" s="352"/>
      <c r="P54" s="354"/>
      <c r="Q54" s="352"/>
      <c r="R54" s="354"/>
      <c r="S54" s="352"/>
      <c r="T54" s="354"/>
      <c r="U54" s="352"/>
      <c r="V54" s="354"/>
      <c r="W54" s="352"/>
      <c r="X54" s="354"/>
      <c r="Y54" s="352"/>
      <c r="Z54" s="354"/>
      <c r="AA54" s="352"/>
      <c r="AB54" s="354"/>
      <c r="AC54" s="352"/>
      <c r="AD54" s="354"/>
      <c r="AE54" s="352"/>
      <c r="AF54" s="354"/>
      <c r="AG54" s="352"/>
      <c r="AH54" s="354"/>
      <c r="AI54" s="352"/>
      <c r="AJ54" s="354"/>
      <c r="AK54" s="352"/>
      <c r="AL54" s="354"/>
      <c r="AM54" s="352"/>
      <c r="AN54" s="354"/>
      <c r="AO54" s="352"/>
      <c r="AP54" s="354"/>
      <c r="AQ54" s="352"/>
      <c r="AR54" s="354"/>
      <c r="AS54" s="352"/>
      <c r="AT54" s="354"/>
      <c r="AU54" s="352"/>
      <c r="AV54" s="354"/>
      <c r="AW54" s="352"/>
      <c r="AX54" s="354"/>
      <c r="AY54" s="352"/>
      <c r="AZ54" s="354"/>
    </row>
    <row r="55" spans="3:52" ht="18" customHeight="1" x14ac:dyDescent="0.2">
      <c r="E55" s="386"/>
      <c r="F55" s="387"/>
      <c r="H55" s="373"/>
      <c r="I55" s="377"/>
      <c r="J55" s="378"/>
      <c r="K55" s="385" t="s">
        <v>237</v>
      </c>
      <c r="L55" s="382"/>
      <c r="M55" s="381" t="s">
        <v>160</v>
      </c>
      <c r="N55" s="382"/>
      <c r="O55" s="385" t="s">
        <v>239</v>
      </c>
      <c r="P55" s="382"/>
      <c r="Q55" s="381" t="s">
        <v>172</v>
      </c>
      <c r="R55" s="382"/>
      <c r="S55" s="381" t="s">
        <v>164</v>
      </c>
      <c r="T55" s="382"/>
      <c r="U55" s="381" t="s">
        <v>173</v>
      </c>
      <c r="V55" s="382"/>
      <c r="W55" s="401" t="s">
        <v>208</v>
      </c>
      <c r="X55" s="382"/>
      <c r="Y55" s="381" t="s">
        <v>171</v>
      </c>
      <c r="Z55" s="382"/>
      <c r="AA55" s="381" t="s">
        <v>174</v>
      </c>
      <c r="AB55" s="382"/>
      <c r="AC55" s="381" t="s">
        <v>161</v>
      </c>
      <c r="AD55" s="382"/>
      <c r="AE55" s="401" t="s">
        <v>376</v>
      </c>
      <c r="AF55" s="382"/>
      <c r="AG55" s="381" t="s">
        <v>157</v>
      </c>
      <c r="AH55" s="382"/>
      <c r="AI55" s="385" t="s">
        <v>236</v>
      </c>
      <c r="AJ55" s="382"/>
      <c r="AK55" s="381" t="s">
        <v>163</v>
      </c>
      <c r="AL55" s="382"/>
      <c r="AM55" s="381" t="s">
        <v>207</v>
      </c>
      <c r="AN55" s="382"/>
      <c r="AO55" s="381" t="s">
        <v>158</v>
      </c>
      <c r="AP55" s="382"/>
      <c r="AQ55" s="385" t="s">
        <v>238</v>
      </c>
      <c r="AR55" s="382"/>
      <c r="AS55" s="381" t="s">
        <v>159</v>
      </c>
      <c r="AT55" s="382"/>
      <c r="AU55" s="381" t="s">
        <v>206</v>
      </c>
      <c r="AV55" s="382"/>
      <c r="AW55" s="381" t="s">
        <v>205</v>
      </c>
      <c r="AX55" s="382"/>
      <c r="AY55" s="381" t="s">
        <v>202</v>
      </c>
      <c r="AZ55" s="382"/>
    </row>
    <row r="56" spans="3:52" ht="18" customHeight="1" x14ac:dyDescent="0.2">
      <c r="E56" s="386"/>
      <c r="F56" s="387"/>
      <c r="H56" s="373"/>
      <c r="I56" s="377"/>
      <c r="J56" s="378"/>
      <c r="K56" s="358"/>
      <c r="L56" s="359"/>
      <c r="M56" s="358"/>
      <c r="N56" s="359"/>
      <c r="O56" s="358"/>
      <c r="P56" s="359"/>
      <c r="Q56" s="358"/>
      <c r="R56" s="359"/>
      <c r="S56" s="358"/>
      <c r="T56" s="359"/>
      <c r="U56" s="358"/>
      <c r="V56" s="359"/>
      <c r="W56" s="402"/>
      <c r="X56" s="359"/>
      <c r="Y56" s="358"/>
      <c r="Z56" s="359"/>
      <c r="AA56" s="358"/>
      <c r="AB56" s="359"/>
      <c r="AC56" s="358"/>
      <c r="AD56" s="359"/>
      <c r="AE56" s="402"/>
      <c r="AF56" s="359"/>
      <c r="AG56" s="358"/>
      <c r="AH56" s="359"/>
      <c r="AI56" s="358"/>
      <c r="AJ56" s="359"/>
      <c r="AK56" s="358"/>
      <c r="AL56" s="359"/>
      <c r="AM56" s="358"/>
      <c r="AN56" s="359"/>
      <c r="AO56" s="358"/>
      <c r="AP56" s="359"/>
      <c r="AQ56" s="358"/>
      <c r="AR56" s="359"/>
      <c r="AS56" s="358"/>
      <c r="AT56" s="359"/>
      <c r="AU56" s="358"/>
      <c r="AV56" s="359"/>
      <c r="AW56" s="358"/>
      <c r="AX56" s="359"/>
      <c r="AY56" s="358"/>
      <c r="AZ56" s="359"/>
    </row>
    <row r="57" spans="3:52" ht="18" customHeight="1" thickBot="1" x14ac:dyDescent="0.25">
      <c r="E57" s="386"/>
      <c r="F57" s="387"/>
      <c r="H57" s="373"/>
      <c r="I57" s="377"/>
      <c r="J57" s="378"/>
      <c r="K57" s="383"/>
      <c r="L57" s="384"/>
      <c r="M57" s="383"/>
      <c r="N57" s="384"/>
      <c r="O57" s="383"/>
      <c r="P57" s="384"/>
      <c r="Q57" s="383"/>
      <c r="R57" s="384"/>
      <c r="S57" s="383"/>
      <c r="T57" s="384"/>
      <c r="U57" s="383"/>
      <c r="V57" s="384"/>
      <c r="W57" s="403"/>
      <c r="X57" s="384"/>
      <c r="Y57" s="383"/>
      <c r="Z57" s="384"/>
      <c r="AA57" s="383"/>
      <c r="AB57" s="384"/>
      <c r="AC57" s="383"/>
      <c r="AD57" s="384"/>
      <c r="AE57" s="403"/>
      <c r="AF57" s="384"/>
      <c r="AG57" s="383"/>
      <c r="AH57" s="384"/>
      <c r="AI57" s="383"/>
      <c r="AJ57" s="384"/>
      <c r="AK57" s="383"/>
      <c r="AL57" s="384"/>
      <c r="AM57" s="383"/>
      <c r="AN57" s="384"/>
      <c r="AO57" s="383"/>
      <c r="AP57" s="384"/>
      <c r="AQ57" s="383"/>
      <c r="AR57" s="384"/>
      <c r="AS57" s="383"/>
      <c r="AT57" s="384"/>
      <c r="AU57" s="383"/>
      <c r="AV57" s="384"/>
      <c r="AW57" s="383"/>
      <c r="AX57" s="384"/>
      <c r="AY57" s="383"/>
      <c r="AZ57" s="384"/>
    </row>
    <row r="58" spans="3:52" ht="20" customHeight="1" thickBot="1" x14ac:dyDescent="0.3">
      <c r="E58" s="388"/>
      <c r="F58" s="389"/>
      <c r="H58" s="374"/>
      <c r="I58" s="379"/>
      <c r="J58" s="380"/>
      <c r="K58" s="393" t="s">
        <v>162</v>
      </c>
      <c r="L58" s="394"/>
      <c r="M58" s="394"/>
      <c r="N58" s="394"/>
      <c r="O58" s="394"/>
      <c r="P58" s="394"/>
      <c r="Q58" s="394"/>
      <c r="R58" s="394"/>
      <c r="S58" s="394"/>
      <c r="T58" s="394"/>
      <c r="U58" s="394"/>
      <c r="V58" s="394"/>
      <c r="W58" s="394"/>
      <c r="X58" s="394"/>
      <c r="Y58" s="394"/>
      <c r="Z58" s="394"/>
      <c r="AA58" s="394"/>
      <c r="AB58" s="394"/>
      <c r="AC58" s="394"/>
      <c r="AD58" s="394"/>
      <c r="AE58" s="394"/>
      <c r="AF58" s="394"/>
      <c r="AG58" s="394"/>
      <c r="AH58" s="394"/>
      <c r="AI58" s="394"/>
      <c r="AJ58" s="394"/>
      <c r="AK58" s="394"/>
      <c r="AL58" s="394"/>
      <c r="AM58" s="394"/>
      <c r="AN58" s="394"/>
      <c r="AO58" s="394"/>
      <c r="AP58" s="394"/>
      <c r="AQ58" s="394"/>
      <c r="AR58" s="394"/>
      <c r="AS58" s="394"/>
      <c r="AT58" s="394"/>
      <c r="AU58" s="394"/>
      <c r="AV58" s="394"/>
      <c r="AW58" s="394"/>
      <c r="AX58" s="394"/>
      <c r="AY58" s="394"/>
      <c r="AZ58" s="395"/>
    </row>
    <row r="59" spans="3:52" x14ac:dyDescent="0.2">
      <c r="H59" s="155" t="s">
        <v>461</v>
      </c>
    </row>
  </sheetData>
  <mergeCells count="139">
    <mergeCell ref="K2:AZ2"/>
    <mergeCell ref="D3:D4"/>
    <mergeCell ref="AG3:AH5"/>
    <mergeCell ref="AM3:AN5"/>
    <mergeCell ref="AS3:AT5"/>
    <mergeCell ref="AO3:AP5"/>
    <mergeCell ref="AY3:AZ5"/>
    <mergeCell ref="S3:T5"/>
    <mergeCell ref="K3:L5"/>
    <mergeCell ref="U3:V5"/>
    <mergeCell ref="AY6:AY10"/>
    <mergeCell ref="AZ6:AZ10"/>
    <mergeCell ref="AE3:AF5"/>
    <mergeCell ref="D5:D7"/>
    <mergeCell ref="G6:G10"/>
    <mergeCell ref="H6:H10"/>
    <mergeCell ref="I6:I10"/>
    <mergeCell ref="J6:J10"/>
    <mergeCell ref="AG6:AG10"/>
    <mergeCell ref="AH6:AH10"/>
    <mergeCell ref="AM6:AM10"/>
    <mergeCell ref="AN6:AN10"/>
    <mergeCell ref="AI3:AJ5"/>
    <mergeCell ref="AA3:AB5"/>
    <mergeCell ref="Q3:R5"/>
    <mergeCell ref="M3:N5"/>
    <mergeCell ref="AC3:AD5"/>
    <mergeCell ref="W3:X5"/>
    <mergeCell ref="AQ3:AR5"/>
    <mergeCell ref="AU3:AV5"/>
    <mergeCell ref="O3:P5"/>
    <mergeCell ref="Y3:Z5"/>
    <mergeCell ref="AW3:AX5"/>
    <mergeCell ref="AK3:AL5"/>
    <mergeCell ref="K6:K10"/>
    <mergeCell ref="L6:L10"/>
    <mergeCell ref="U6:U10"/>
    <mergeCell ref="V6:V10"/>
    <mergeCell ref="AS6:AS10"/>
    <mergeCell ref="AO6:AO10"/>
    <mergeCell ref="AP6:AP10"/>
    <mergeCell ref="Y6:Y10"/>
    <mergeCell ref="Z6:Z10"/>
    <mergeCell ref="AX6:AX10"/>
    <mergeCell ref="AK6:AK10"/>
    <mergeCell ref="AL6:AL10"/>
    <mergeCell ref="AQ6:AQ10"/>
    <mergeCell ref="AR6:AR10"/>
    <mergeCell ref="AU6:AU10"/>
    <mergeCell ref="AV6:AV10"/>
    <mergeCell ref="AT6:AT10"/>
    <mergeCell ref="O6:O10"/>
    <mergeCell ref="P6:P10"/>
    <mergeCell ref="S6:S10"/>
    <mergeCell ref="T6:T10"/>
    <mergeCell ref="AZ50:AZ54"/>
    <mergeCell ref="AE6:AE10"/>
    <mergeCell ref="AF6:AF10"/>
    <mergeCell ref="A7:A10"/>
    <mergeCell ref="B7:B10"/>
    <mergeCell ref="H50:H58"/>
    <mergeCell ref="I50:J58"/>
    <mergeCell ref="AG50:AG54"/>
    <mergeCell ref="AH50:AH54"/>
    <mergeCell ref="AM50:AM54"/>
    <mergeCell ref="AN50:AN54"/>
    <mergeCell ref="M6:M10"/>
    <mergeCell ref="N6:N10"/>
    <mergeCell ref="AC6:AC10"/>
    <mergeCell ref="AD6:AD10"/>
    <mergeCell ref="W6:W10"/>
    <mergeCell ref="X6:X10"/>
    <mergeCell ref="AI6:AI10"/>
    <mergeCell ref="AJ6:AJ10"/>
    <mergeCell ref="AA6:AA10"/>
    <mergeCell ref="AB6:AB10"/>
    <mergeCell ref="Q6:Q10"/>
    <mergeCell ref="R6:R10"/>
    <mergeCell ref="AW6:AW10"/>
    <mergeCell ref="K50:K54"/>
    <mergeCell ref="L50:L54"/>
    <mergeCell ref="U50:U54"/>
    <mergeCell ref="V50:V54"/>
    <mergeCell ref="AS50:AS54"/>
    <mergeCell ref="AT50:AT54"/>
    <mergeCell ref="AO50:AO54"/>
    <mergeCell ref="AP50:AP54"/>
    <mergeCell ref="AY50:AY54"/>
    <mergeCell ref="AW50:AW54"/>
    <mergeCell ref="AX50:AX54"/>
    <mergeCell ref="AK50:AK54"/>
    <mergeCell ref="AL50:AL54"/>
    <mergeCell ref="AQ50:AQ54"/>
    <mergeCell ref="AR50:AR54"/>
    <mergeCell ref="AU50:AU54"/>
    <mergeCell ref="AV50:AV54"/>
    <mergeCell ref="O50:O54"/>
    <mergeCell ref="P50:P54"/>
    <mergeCell ref="AE50:AE54"/>
    <mergeCell ref="AF50:AF54"/>
    <mergeCell ref="S50:S54"/>
    <mergeCell ref="T50:T54"/>
    <mergeCell ref="E53:F58"/>
    <mergeCell ref="AG55:AH57"/>
    <mergeCell ref="AM55:AN57"/>
    <mergeCell ref="AS55:AT57"/>
    <mergeCell ref="AO55:AP57"/>
    <mergeCell ref="AY55:AZ57"/>
    <mergeCell ref="S55:T57"/>
    <mergeCell ref="K55:L57"/>
    <mergeCell ref="M50:M54"/>
    <mergeCell ref="N50:N54"/>
    <mergeCell ref="AC50:AC54"/>
    <mergeCell ref="AD50:AD54"/>
    <mergeCell ref="W50:W54"/>
    <mergeCell ref="X50:X54"/>
    <mergeCell ref="AI50:AI54"/>
    <mergeCell ref="AJ50:AJ54"/>
    <mergeCell ref="AA50:AA54"/>
    <mergeCell ref="AB50:AB54"/>
    <mergeCell ref="Q50:Q54"/>
    <mergeCell ref="R50:R54"/>
    <mergeCell ref="Y50:Y54"/>
    <mergeCell ref="Z50:Z54"/>
    <mergeCell ref="W55:X57"/>
    <mergeCell ref="AE55:AF57"/>
    <mergeCell ref="K58:AZ58"/>
    <mergeCell ref="AK55:AL57"/>
    <mergeCell ref="AI55:AJ57"/>
    <mergeCell ref="AA55:AB57"/>
    <mergeCell ref="Q55:R57"/>
    <mergeCell ref="M55:N57"/>
    <mergeCell ref="AC55:AD57"/>
    <mergeCell ref="U55:V57"/>
    <mergeCell ref="AQ55:AR57"/>
    <mergeCell ref="AU55:AV57"/>
    <mergeCell ref="O55:P57"/>
    <mergeCell ref="Y55:Z57"/>
    <mergeCell ref="AW55:AX57"/>
  </mergeCells>
  <pageMargins left="0.7" right="0.7" top="0.75" bottom="0.75" header="0.3" footer="0.3"/>
  <ignoredErrors>
    <ignoredError sqref="L48:L49 N48:N49 P48:P49 R48:R49 T48:T49 V48:V49 X48:X49 Z48:Z49 AB48:AB49 AD48:AD49 AF48:AF49 AH48:AH49 AJ48:AJ49 AL48:AL49 AN48:AN49 AP48:AP49 AR48:AR49 AT48:AT49" formula="1"/>
    <ignoredError sqref="I13 I15 I17:I19 I21:I22 I28 I30:I45 I26" numberStoredAsText="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M62"/>
  <sheetViews>
    <sheetView showRuler="0" workbookViewId="0">
      <selection activeCell="H12" sqref="H12"/>
    </sheetView>
  </sheetViews>
  <sheetFormatPr baseColWidth="10" defaultRowHeight="16" x14ac:dyDescent="0.2"/>
  <cols>
    <col min="1" max="1" width="16.33203125" style="2" customWidth="1"/>
    <col min="2" max="2" width="14.6640625" customWidth="1"/>
    <col min="3" max="3" width="37.6640625" customWidth="1"/>
    <col min="4" max="4" width="81.1640625" customWidth="1"/>
    <col min="5" max="6" width="9.1640625" style="2" customWidth="1"/>
    <col min="7" max="7" width="10" customWidth="1"/>
    <col min="8" max="8" width="10" style="1" customWidth="1"/>
    <col min="9" max="12" width="9.1640625" style="2" customWidth="1"/>
  </cols>
  <sheetData>
    <row r="1" spans="1:13" ht="26" x14ac:dyDescent="0.3">
      <c r="A1" s="26" t="s">
        <v>17</v>
      </c>
      <c r="B1" s="27"/>
      <c r="C1" s="27"/>
      <c r="D1" s="27"/>
      <c r="E1" s="28"/>
      <c r="F1" s="28"/>
      <c r="G1" s="27"/>
      <c r="H1" s="29"/>
      <c r="I1" s="28"/>
      <c r="J1" s="28"/>
      <c r="K1" s="28"/>
      <c r="L1" s="28"/>
    </row>
    <row r="2" spans="1:13" ht="20" customHeight="1" x14ac:dyDescent="0.2">
      <c r="A2" s="8"/>
      <c r="B2" s="9"/>
      <c r="C2" s="9"/>
      <c r="D2" s="9"/>
      <c r="E2" s="8"/>
      <c r="F2" s="8"/>
      <c r="G2" s="9"/>
      <c r="H2" s="7"/>
      <c r="I2" s="707" t="s">
        <v>0</v>
      </c>
      <c r="J2" s="707"/>
      <c r="K2" s="707" t="s">
        <v>1</v>
      </c>
      <c r="L2" s="707"/>
      <c r="M2" s="18"/>
    </row>
    <row r="3" spans="1:13" ht="20" customHeight="1" x14ac:dyDescent="0.2">
      <c r="A3" s="10" t="s">
        <v>2</v>
      </c>
      <c r="B3" s="11" t="s">
        <v>3</v>
      </c>
      <c r="C3" s="11" t="s">
        <v>4</v>
      </c>
      <c r="D3" s="11" t="s">
        <v>5</v>
      </c>
      <c r="E3" s="10" t="s">
        <v>6</v>
      </c>
      <c r="F3" s="10" t="s">
        <v>7</v>
      </c>
      <c r="G3" s="11" t="s">
        <v>8</v>
      </c>
      <c r="H3" s="12" t="s">
        <v>9</v>
      </c>
      <c r="I3" s="10" t="s">
        <v>10</v>
      </c>
      <c r="J3" s="10" t="s">
        <v>11</v>
      </c>
      <c r="K3" s="10" t="s">
        <v>12</v>
      </c>
      <c r="L3" s="10" t="s">
        <v>13</v>
      </c>
      <c r="M3" s="18"/>
    </row>
    <row r="4" spans="1:13" ht="20" customHeight="1" x14ac:dyDescent="0.2">
      <c r="A4" s="13">
        <v>42864</v>
      </c>
      <c r="B4" s="5" t="s">
        <v>14</v>
      </c>
      <c r="C4" s="5" t="s">
        <v>15</v>
      </c>
      <c r="D4" s="5" t="s">
        <v>18</v>
      </c>
      <c r="E4" s="6"/>
      <c r="F4" s="6"/>
      <c r="G4" s="5" t="s">
        <v>16</v>
      </c>
      <c r="H4" s="7">
        <v>13800</v>
      </c>
      <c r="I4" s="6">
        <v>1</v>
      </c>
      <c r="J4" s="14">
        <v>100</v>
      </c>
      <c r="K4" s="7"/>
      <c r="L4" s="7"/>
      <c r="M4" s="18"/>
    </row>
    <row r="5" spans="1:13" ht="20" customHeight="1" x14ac:dyDescent="0.2">
      <c r="A5" s="13"/>
      <c r="B5" s="5"/>
      <c r="C5" s="5"/>
      <c r="D5" s="5" t="s">
        <v>19</v>
      </c>
      <c r="E5" s="6"/>
      <c r="F5" s="6"/>
      <c r="G5" s="5" t="s">
        <v>16</v>
      </c>
      <c r="H5" s="7">
        <v>17600</v>
      </c>
      <c r="I5" s="6">
        <v>1</v>
      </c>
      <c r="J5" s="15">
        <v>100</v>
      </c>
      <c r="K5" s="7"/>
      <c r="L5" s="7"/>
      <c r="M5" s="18"/>
    </row>
    <row r="6" spans="1:13" ht="20" customHeight="1" x14ac:dyDescent="0.2">
      <c r="A6" s="13">
        <v>42500</v>
      </c>
      <c r="B6" s="5"/>
      <c r="C6" s="5"/>
      <c r="D6" s="5" t="s">
        <v>149</v>
      </c>
      <c r="E6" s="6"/>
      <c r="F6" s="6"/>
      <c r="G6" s="5" t="s">
        <v>16</v>
      </c>
      <c r="H6" s="7">
        <v>294</v>
      </c>
      <c r="I6" s="6">
        <v>1</v>
      </c>
      <c r="J6" s="19">
        <v>100</v>
      </c>
      <c r="K6" s="7"/>
      <c r="L6" s="7"/>
      <c r="M6" s="18"/>
    </row>
    <row r="7" spans="1:13" ht="20" customHeight="1" x14ac:dyDescent="0.2">
      <c r="A7" s="13"/>
      <c r="B7" s="5"/>
      <c r="C7" s="5"/>
      <c r="D7" s="5" t="s">
        <v>154</v>
      </c>
      <c r="E7" s="6"/>
      <c r="F7" s="6"/>
      <c r="G7" s="5" t="s">
        <v>16</v>
      </c>
      <c r="H7" s="7">
        <v>149</v>
      </c>
      <c r="I7" s="6"/>
      <c r="J7" s="19"/>
      <c r="K7" s="7"/>
      <c r="L7" s="7"/>
      <c r="M7" s="18"/>
    </row>
    <row r="8" spans="1:13" ht="20" customHeight="1" x14ac:dyDescent="0.2">
      <c r="A8" s="13">
        <v>42900</v>
      </c>
      <c r="B8" s="5"/>
      <c r="C8" s="5"/>
      <c r="D8" s="5" t="s">
        <v>426</v>
      </c>
      <c r="E8" s="6"/>
      <c r="F8" s="6"/>
      <c r="G8" s="5" t="s">
        <v>16</v>
      </c>
      <c r="H8" s="7">
        <v>34300</v>
      </c>
      <c r="I8" s="6">
        <v>1</v>
      </c>
      <c r="J8" s="19">
        <v>100</v>
      </c>
      <c r="K8" s="7"/>
      <c r="L8" s="7"/>
      <c r="M8" s="18"/>
    </row>
    <row r="9" spans="1:13" ht="20" customHeight="1" x14ac:dyDescent="0.2">
      <c r="A9" s="13">
        <v>42901</v>
      </c>
      <c r="B9" s="5"/>
      <c r="C9" s="5"/>
      <c r="D9" s="5" t="s">
        <v>427</v>
      </c>
      <c r="E9" s="6"/>
      <c r="F9" s="6"/>
      <c r="G9" s="5" t="s">
        <v>16</v>
      </c>
      <c r="H9" s="7">
        <v>1700</v>
      </c>
      <c r="I9" s="6">
        <v>1</v>
      </c>
      <c r="J9" s="19">
        <v>500</v>
      </c>
      <c r="K9" s="7"/>
      <c r="L9" s="7"/>
      <c r="M9" s="18"/>
    </row>
    <row r="10" spans="1:13" ht="20" customHeight="1" x14ac:dyDescent="0.2">
      <c r="A10" s="13">
        <v>42887</v>
      </c>
      <c r="B10" s="5" t="s">
        <v>233</v>
      </c>
      <c r="C10" s="5" t="s">
        <v>234</v>
      </c>
      <c r="D10" s="5" t="s">
        <v>426</v>
      </c>
      <c r="E10" s="6"/>
      <c r="F10" s="6"/>
      <c r="G10" s="5" t="s">
        <v>235</v>
      </c>
      <c r="H10" s="7">
        <v>731</v>
      </c>
      <c r="I10" s="17">
        <v>1</v>
      </c>
      <c r="J10" s="19">
        <v>100</v>
      </c>
      <c r="K10" s="7"/>
      <c r="L10" s="7"/>
      <c r="M10" s="18"/>
    </row>
    <row r="11" spans="1:13" ht="20" customHeight="1" x14ac:dyDescent="0.2">
      <c r="A11" s="13"/>
      <c r="B11" s="5"/>
      <c r="C11" s="5"/>
      <c r="D11" s="5"/>
      <c r="E11" s="6"/>
      <c r="F11" s="6"/>
      <c r="G11" s="5"/>
      <c r="H11" s="7"/>
      <c r="I11" s="6"/>
      <c r="J11" s="19"/>
      <c r="K11" s="16"/>
      <c r="L11" s="17"/>
      <c r="M11" s="18"/>
    </row>
    <row r="12" spans="1:13" ht="20" customHeight="1" x14ac:dyDescent="0.2">
      <c r="A12" s="13"/>
      <c r="B12" s="5"/>
      <c r="C12" s="5"/>
      <c r="D12" s="5"/>
      <c r="E12" s="6"/>
      <c r="F12" s="6"/>
      <c r="G12" s="5"/>
      <c r="H12" s="7"/>
      <c r="I12" s="6"/>
      <c r="J12" s="15"/>
      <c r="K12" s="7"/>
      <c r="L12" s="6"/>
    </row>
    <row r="13" spans="1:13" ht="20" customHeight="1" x14ac:dyDescent="0.2">
      <c r="A13" s="13"/>
      <c r="B13" s="5"/>
      <c r="C13" s="5"/>
      <c r="D13" s="5"/>
      <c r="E13" s="6"/>
      <c r="F13" s="6"/>
      <c r="G13" s="5"/>
      <c r="H13" s="7"/>
      <c r="I13" s="6"/>
      <c r="J13" s="15"/>
      <c r="K13" s="7"/>
      <c r="L13" s="6"/>
    </row>
    <row r="14" spans="1:13" ht="20" customHeight="1" x14ac:dyDescent="0.2">
      <c r="A14" s="13"/>
      <c r="B14" s="5"/>
      <c r="C14" s="5"/>
      <c r="D14" s="5"/>
      <c r="E14" s="6"/>
      <c r="F14" s="6"/>
      <c r="G14" s="5"/>
      <c r="H14" s="7"/>
      <c r="I14" s="6"/>
      <c r="J14" s="15"/>
      <c r="K14" s="7"/>
      <c r="L14" s="6"/>
    </row>
    <row r="15" spans="1:13" ht="20" customHeight="1" x14ac:dyDescent="0.2">
      <c r="A15" s="13"/>
      <c r="B15" s="5"/>
      <c r="C15" s="5"/>
      <c r="D15" s="5"/>
      <c r="E15" s="6"/>
      <c r="F15" s="6"/>
      <c r="G15" s="5"/>
      <c r="H15" s="7"/>
      <c r="I15" s="6"/>
      <c r="J15" s="15"/>
      <c r="K15" s="7"/>
      <c r="L15" s="6"/>
    </row>
    <row r="16" spans="1:13" ht="20" customHeight="1" x14ac:dyDescent="0.2">
      <c r="A16" s="13"/>
      <c r="B16" s="5"/>
      <c r="C16" s="5"/>
      <c r="D16" s="5"/>
      <c r="E16" s="6"/>
      <c r="F16" s="6"/>
      <c r="G16" s="5"/>
      <c r="H16" s="7"/>
      <c r="I16" s="6"/>
      <c r="J16" s="15"/>
      <c r="K16" s="7"/>
      <c r="L16" s="6"/>
    </row>
    <row r="17" spans="1:12" ht="20" customHeight="1" x14ac:dyDescent="0.2">
      <c r="A17" s="13"/>
      <c r="B17" s="5"/>
      <c r="C17" s="5"/>
      <c r="D17" s="5"/>
      <c r="E17" s="6"/>
      <c r="F17" s="6"/>
      <c r="G17" s="5"/>
      <c r="H17" s="7"/>
      <c r="I17" s="6"/>
      <c r="J17" s="15"/>
      <c r="K17" s="7"/>
      <c r="L17" s="6"/>
    </row>
    <row r="18" spans="1:12" ht="20" customHeight="1" x14ac:dyDescent="0.2">
      <c r="A18" s="13"/>
      <c r="B18" s="5"/>
      <c r="C18" s="5"/>
      <c r="D18" s="5"/>
      <c r="E18" s="6"/>
      <c r="F18" s="6"/>
      <c r="G18" s="5"/>
      <c r="H18" s="7"/>
      <c r="I18" s="6"/>
      <c r="J18" s="15"/>
      <c r="K18" s="7"/>
      <c r="L18" s="6"/>
    </row>
    <row r="19" spans="1:12" ht="20" customHeight="1" x14ac:dyDescent="0.2">
      <c r="A19" s="13"/>
      <c r="B19" s="5"/>
      <c r="C19" s="5"/>
      <c r="D19" s="5"/>
      <c r="E19" s="6"/>
      <c r="F19" s="6"/>
      <c r="G19" s="5"/>
      <c r="H19" s="7"/>
      <c r="I19" s="6"/>
      <c r="J19" s="15"/>
      <c r="K19" s="7"/>
      <c r="L19" s="6"/>
    </row>
    <row r="20" spans="1:12" ht="20" customHeight="1" x14ac:dyDescent="0.2">
      <c r="A20" s="13"/>
      <c r="B20" s="5"/>
      <c r="C20" s="5"/>
      <c r="D20" s="5"/>
      <c r="E20" s="6"/>
      <c r="F20" s="6"/>
      <c r="G20" s="5"/>
      <c r="H20" s="7"/>
      <c r="I20" s="6"/>
      <c r="J20" s="15"/>
      <c r="K20" s="7"/>
      <c r="L20" s="6"/>
    </row>
    <row r="21" spans="1:12" ht="20" customHeight="1" x14ac:dyDescent="0.2">
      <c r="A21" s="13"/>
      <c r="B21" s="5"/>
      <c r="C21" s="5"/>
      <c r="D21" s="5"/>
      <c r="E21" s="6"/>
      <c r="F21" s="6"/>
      <c r="G21" s="5"/>
      <c r="H21" s="7"/>
      <c r="I21" s="6"/>
      <c r="J21" s="15"/>
      <c r="K21" s="7"/>
      <c r="L21" s="6"/>
    </row>
    <row r="22" spans="1:12" ht="20" customHeight="1" x14ac:dyDescent="0.2">
      <c r="A22" s="13"/>
      <c r="B22" s="5"/>
      <c r="C22" s="5"/>
      <c r="D22" s="5"/>
      <c r="E22" s="6"/>
      <c r="F22" s="6"/>
      <c r="G22" s="5"/>
      <c r="H22" s="7"/>
      <c r="I22" s="6"/>
      <c r="J22" s="15"/>
      <c r="K22" s="7"/>
      <c r="L22" s="6"/>
    </row>
    <row r="23" spans="1:12" ht="20" customHeight="1" x14ac:dyDescent="0.2">
      <c r="A23" s="13"/>
      <c r="B23" s="5"/>
      <c r="C23" s="5"/>
      <c r="D23" s="5"/>
      <c r="E23" s="6"/>
      <c r="F23" s="6"/>
      <c r="G23" s="5"/>
      <c r="H23" s="7"/>
      <c r="I23" s="6"/>
      <c r="J23" s="15"/>
      <c r="K23" s="7"/>
      <c r="L23" s="6"/>
    </row>
    <row r="24" spans="1:12" ht="20" customHeight="1" x14ac:dyDescent="0.2">
      <c r="A24" s="13"/>
      <c r="B24" s="5"/>
      <c r="C24" s="5"/>
      <c r="D24" s="5"/>
      <c r="E24" s="6"/>
      <c r="F24" s="6"/>
      <c r="G24" s="5"/>
      <c r="H24" s="7"/>
      <c r="I24" s="6"/>
      <c r="J24" s="15"/>
      <c r="K24" s="7"/>
      <c r="L24" s="6"/>
    </row>
    <row r="25" spans="1:12" ht="20" customHeight="1" x14ac:dyDescent="0.2">
      <c r="A25" s="13"/>
      <c r="B25" s="5"/>
      <c r="C25" s="5"/>
      <c r="D25" s="5"/>
      <c r="E25" s="6"/>
      <c r="F25" s="6"/>
      <c r="G25" s="5"/>
      <c r="H25" s="7"/>
      <c r="I25" s="6"/>
      <c r="J25" s="15"/>
      <c r="K25" s="7"/>
      <c r="L25" s="6"/>
    </row>
    <row r="26" spans="1:12" ht="20" customHeight="1" x14ac:dyDescent="0.2">
      <c r="A26" s="6"/>
      <c r="B26" s="5"/>
      <c r="C26" s="5"/>
      <c r="D26" s="5"/>
      <c r="E26" s="6"/>
      <c r="F26" s="6"/>
      <c r="G26" s="5"/>
      <c r="H26" s="7"/>
      <c r="I26" s="6"/>
      <c r="J26" s="6"/>
      <c r="K26" s="6"/>
      <c r="L26" s="6"/>
    </row>
    <row r="27" spans="1:12" x14ac:dyDescent="0.2">
      <c r="A27" s="6"/>
      <c r="B27" s="5"/>
      <c r="C27" s="5"/>
      <c r="D27" s="5"/>
      <c r="E27" s="6"/>
      <c r="F27" s="6"/>
      <c r="G27" s="5"/>
      <c r="H27" s="7"/>
      <c r="I27" s="6"/>
      <c r="J27" s="6"/>
      <c r="K27" s="6"/>
      <c r="L27" s="6"/>
    </row>
    <row r="28" spans="1:12" x14ac:dyDescent="0.2">
      <c r="A28" s="4"/>
      <c r="B28" s="3"/>
      <c r="C28" s="3"/>
      <c r="D28" s="3"/>
      <c r="E28" s="4"/>
      <c r="F28" s="4"/>
      <c r="G28" s="3"/>
      <c r="I28" s="4"/>
      <c r="J28" s="4"/>
      <c r="K28" s="4"/>
    </row>
    <row r="29" spans="1:12" x14ac:dyDescent="0.2">
      <c r="A29" s="4"/>
      <c r="B29" s="3"/>
      <c r="C29" s="3"/>
      <c r="D29" s="3"/>
      <c r="E29" s="4"/>
      <c r="F29" s="4"/>
      <c r="G29" s="3"/>
      <c r="I29" s="4"/>
      <c r="J29" s="4"/>
      <c r="K29" s="4"/>
    </row>
    <row r="30" spans="1:12" x14ac:dyDescent="0.2">
      <c r="A30" s="4"/>
      <c r="B30" s="3"/>
      <c r="C30" s="3"/>
      <c r="D30" s="3"/>
      <c r="E30" s="4"/>
      <c r="F30" s="4"/>
      <c r="G30" s="3"/>
      <c r="I30" s="4"/>
      <c r="J30" s="4"/>
      <c r="K30" s="4"/>
    </row>
    <row r="31" spans="1:12" x14ac:dyDescent="0.2">
      <c r="A31" s="4"/>
      <c r="B31" s="3"/>
      <c r="C31" s="3"/>
      <c r="D31" s="3"/>
      <c r="E31" s="4"/>
      <c r="F31" s="4"/>
      <c r="G31" s="3"/>
      <c r="I31" s="4"/>
      <c r="J31" s="4"/>
      <c r="K31" s="4"/>
    </row>
    <row r="32" spans="1:12" x14ac:dyDescent="0.2">
      <c r="A32" s="4"/>
      <c r="B32" s="3"/>
      <c r="C32" s="3"/>
      <c r="D32" s="3"/>
      <c r="E32" s="4"/>
      <c r="F32" s="4"/>
      <c r="G32" s="3"/>
      <c r="I32" s="4"/>
      <c r="J32" s="4"/>
      <c r="K32" s="4"/>
    </row>
    <row r="33" spans="1:12" x14ac:dyDescent="0.2">
      <c r="A33" s="4"/>
      <c r="B33" s="3"/>
      <c r="C33" s="3"/>
      <c r="D33" s="3"/>
      <c r="E33" s="4"/>
      <c r="F33" s="4"/>
      <c r="G33" s="3"/>
      <c r="I33" s="4"/>
      <c r="J33" s="4"/>
      <c r="K33" s="4"/>
    </row>
    <row r="34" spans="1:12" x14ac:dyDescent="0.2">
      <c r="A34" s="4"/>
      <c r="B34" s="3"/>
      <c r="C34" s="3"/>
      <c r="D34" s="3"/>
      <c r="E34" s="4"/>
      <c r="F34" s="4"/>
      <c r="G34" s="3"/>
      <c r="I34" s="4"/>
      <c r="J34" s="4"/>
      <c r="K34" s="4"/>
    </row>
    <row r="35" spans="1:12" x14ac:dyDescent="0.2">
      <c r="A35" s="4"/>
      <c r="B35" s="3"/>
      <c r="C35" s="3"/>
      <c r="D35" s="3"/>
      <c r="E35" s="4"/>
      <c r="F35" s="4"/>
      <c r="G35" s="3"/>
      <c r="I35" s="4"/>
      <c r="J35" s="4"/>
      <c r="K35" s="4"/>
      <c r="L35"/>
    </row>
    <row r="36" spans="1:12" x14ac:dyDescent="0.2">
      <c r="A36" s="4"/>
      <c r="B36" s="3"/>
      <c r="C36" s="3"/>
      <c r="D36" s="3"/>
      <c r="E36" s="4"/>
      <c r="F36" s="4"/>
      <c r="G36" s="3"/>
      <c r="I36" s="4"/>
      <c r="J36" s="4"/>
      <c r="K36" s="4"/>
      <c r="L36"/>
    </row>
    <row r="37" spans="1:12" x14ac:dyDescent="0.2">
      <c r="A37" s="4"/>
      <c r="B37" s="3"/>
      <c r="C37" s="3"/>
      <c r="D37" s="3"/>
      <c r="E37" s="4"/>
      <c r="F37" s="4"/>
      <c r="G37" s="3"/>
      <c r="I37" s="4"/>
      <c r="J37" s="4"/>
      <c r="K37" s="4"/>
      <c r="L37"/>
    </row>
    <row r="38" spans="1:12" x14ac:dyDescent="0.2">
      <c r="A38" s="4"/>
      <c r="B38" s="3"/>
      <c r="C38" s="3"/>
      <c r="D38" s="3"/>
      <c r="E38" s="4"/>
      <c r="F38" s="4"/>
      <c r="G38" s="3"/>
      <c r="I38" s="4"/>
      <c r="J38" s="4"/>
      <c r="K38" s="4"/>
      <c r="L38"/>
    </row>
    <row r="39" spans="1:12" x14ac:dyDescent="0.2">
      <c r="A39" s="4"/>
      <c r="B39" s="3"/>
      <c r="C39" s="3"/>
      <c r="D39" s="3"/>
      <c r="E39" s="4"/>
      <c r="F39" s="4"/>
      <c r="G39" s="3"/>
      <c r="I39" s="4"/>
      <c r="J39" s="4"/>
      <c r="K39" s="4"/>
      <c r="L39"/>
    </row>
    <row r="40" spans="1:12" x14ac:dyDescent="0.2">
      <c r="A40" s="4"/>
      <c r="B40" s="3"/>
      <c r="C40" s="3"/>
      <c r="D40" s="3"/>
      <c r="E40" s="4"/>
      <c r="F40" s="4"/>
      <c r="G40" s="3"/>
      <c r="I40" s="4"/>
      <c r="J40" s="4"/>
      <c r="K40" s="4"/>
      <c r="L40"/>
    </row>
    <row r="41" spans="1:12" x14ac:dyDescent="0.2">
      <c r="A41" s="4"/>
      <c r="B41" s="3"/>
      <c r="C41" s="3"/>
      <c r="D41" s="3"/>
      <c r="E41" s="4"/>
      <c r="F41" s="4"/>
      <c r="G41" s="3"/>
      <c r="I41" s="4"/>
      <c r="J41" s="4"/>
      <c r="K41" s="4"/>
      <c r="L41"/>
    </row>
    <row r="42" spans="1:12" x14ac:dyDescent="0.2">
      <c r="L42"/>
    </row>
    <row r="43" spans="1:12" x14ac:dyDescent="0.2">
      <c r="L43"/>
    </row>
    <row r="44" spans="1:12" x14ac:dyDescent="0.2">
      <c r="L44"/>
    </row>
    <row r="45" spans="1:12" x14ac:dyDescent="0.2">
      <c r="L45"/>
    </row>
    <row r="46" spans="1:12" x14ac:dyDescent="0.2">
      <c r="L46"/>
    </row>
    <row r="47" spans="1:12" x14ac:dyDescent="0.2">
      <c r="L47"/>
    </row>
    <row r="48" spans="1:12" x14ac:dyDescent="0.2">
      <c r="L48"/>
    </row>
    <row r="49" spans="1:12" x14ac:dyDescent="0.2">
      <c r="L49"/>
    </row>
    <row r="50" spans="1:12" x14ac:dyDescent="0.2">
      <c r="L50"/>
    </row>
    <row r="51" spans="1:12" x14ac:dyDescent="0.2">
      <c r="A51"/>
      <c r="E51"/>
      <c r="F51"/>
      <c r="H51"/>
      <c r="I51"/>
      <c r="J51"/>
      <c r="K51"/>
      <c r="L51"/>
    </row>
    <row r="52" spans="1:12" x14ac:dyDescent="0.2">
      <c r="A52"/>
      <c r="E52"/>
      <c r="F52"/>
      <c r="H52"/>
      <c r="I52"/>
      <c r="J52"/>
      <c r="K52"/>
      <c r="L52"/>
    </row>
    <row r="53" spans="1:12" x14ac:dyDescent="0.2">
      <c r="A53"/>
      <c r="E53"/>
      <c r="F53"/>
      <c r="H53"/>
      <c r="I53"/>
      <c r="J53"/>
      <c r="K53"/>
      <c r="L53"/>
    </row>
    <row r="54" spans="1:12" x14ac:dyDescent="0.2">
      <c r="A54"/>
      <c r="E54"/>
      <c r="F54"/>
      <c r="H54"/>
      <c r="I54"/>
      <c r="J54"/>
      <c r="K54"/>
      <c r="L54"/>
    </row>
    <row r="55" spans="1:12" x14ac:dyDescent="0.2">
      <c r="A55"/>
      <c r="E55"/>
      <c r="F55"/>
      <c r="H55"/>
      <c r="I55"/>
      <c r="J55"/>
      <c r="K55"/>
      <c r="L55"/>
    </row>
    <row r="56" spans="1:12" x14ac:dyDescent="0.2">
      <c r="A56"/>
      <c r="E56"/>
      <c r="F56"/>
      <c r="H56"/>
      <c r="I56"/>
      <c r="J56"/>
      <c r="K56"/>
      <c r="L56"/>
    </row>
    <row r="57" spans="1:12" x14ac:dyDescent="0.2">
      <c r="A57"/>
      <c r="E57"/>
      <c r="F57"/>
      <c r="H57"/>
      <c r="I57"/>
      <c r="J57"/>
      <c r="K57"/>
      <c r="L57"/>
    </row>
    <row r="58" spans="1:12" x14ac:dyDescent="0.2">
      <c r="A58"/>
      <c r="E58"/>
      <c r="F58"/>
      <c r="H58"/>
      <c r="I58"/>
      <c r="J58"/>
      <c r="K58"/>
      <c r="L58"/>
    </row>
    <row r="59" spans="1:12" x14ac:dyDescent="0.2">
      <c r="A59"/>
      <c r="E59"/>
      <c r="F59"/>
      <c r="H59"/>
      <c r="I59"/>
      <c r="J59"/>
      <c r="K59"/>
      <c r="L59"/>
    </row>
    <row r="60" spans="1:12" x14ac:dyDescent="0.2">
      <c r="A60"/>
      <c r="E60"/>
      <c r="F60"/>
      <c r="H60"/>
      <c r="I60"/>
      <c r="J60"/>
      <c r="K60"/>
      <c r="L60"/>
    </row>
    <row r="61" spans="1:12" x14ac:dyDescent="0.2">
      <c r="A61"/>
      <c r="E61"/>
      <c r="F61"/>
      <c r="H61"/>
      <c r="I61"/>
      <c r="J61"/>
      <c r="K61"/>
      <c r="L61"/>
    </row>
    <row r="62" spans="1:12" x14ac:dyDescent="0.2">
      <c r="A62"/>
      <c r="E62"/>
      <c r="F62"/>
      <c r="H62"/>
      <c r="I62"/>
      <c r="J62"/>
      <c r="K62"/>
      <c r="L62"/>
    </row>
  </sheetData>
  <mergeCells count="2">
    <mergeCell ref="I2:J2"/>
    <mergeCell ref="K2:L2"/>
  </mergeCells>
  <conditionalFormatting sqref="A4:J4 N4:XFD4">
    <cfRule type="expression" dxfId="3" priority="4">
      <formula>"IF(A1="""")"</formula>
    </cfRule>
  </conditionalFormatting>
  <conditionalFormatting sqref="A5:J5 N5:XFD5">
    <cfRule type="expression" dxfId="2" priority="3">
      <formula>"IF(A5 = """")"</formula>
    </cfRule>
  </conditionalFormatting>
  <conditionalFormatting sqref="M4">
    <cfRule type="expression" dxfId="1" priority="2">
      <formula>"IF(A1="""")"</formula>
    </cfRule>
  </conditionalFormatting>
  <conditionalFormatting sqref="M5">
    <cfRule type="expression" dxfId="0" priority="1">
      <formula>"IF(A5 = """")"</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Adverse effects (%)</vt:lpstr>
      <vt:lpstr>Random-Controlled</vt:lpstr>
      <vt:lpstr>RC Efficacy (Sleep studies)</vt:lpstr>
      <vt:lpstr>Random-Controlled (MLT - PLB)</vt:lpstr>
      <vt:lpstr>RC (MLT - PLB) Summary</vt:lpstr>
      <vt:lpstr>Adverse effects (%) High - Low</vt:lpstr>
      <vt:lpstr>AE (%) Split (10%)</vt:lpstr>
      <vt:lpstr>AE+ Only</vt:lpstr>
      <vt:lpstr>Search</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2017-05-09T18:45:03Z</dcterms:created>
  <dcterms:modified xsi:type="dcterms:W3CDTF">2017-06-24T15:25:01Z</dcterms:modified>
</cp:coreProperties>
</file>